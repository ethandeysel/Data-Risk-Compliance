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Data Transfer" sheetId="3" state="visible" r:id="rId3"/>
    <sheet xmlns:r="http://schemas.openxmlformats.org/officeDocument/2006/relationships" name="Compliance Database" sheetId="4" state="visible" r:id="rId4"/>
    <sheet xmlns:r="http://schemas.openxmlformats.org/officeDocument/2006/relationships" name="Acts" sheetId="5" state="visible" r:id="rId5"/>
    <sheet xmlns:r="http://schemas.openxmlformats.org/officeDocument/2006/relationships" name="Regulators" sheetId="6" state="visible" r:id="rId6"/>
    <sheet xmlns:r="http://schemas.openxmlformats.org/officeDocument/2006/relationships" name="Topics" sheetId="7" state="visible" r:id="rId7"/>
    <sheet xmlns:r="http://schemas.openxmlformats.org/officeDocument/2006/relationships" name="Lists" sheetId="8" state="hidden" r:id="rId8"/>
    <sheet xmlns:r="http://schemas.openxmlformats.org/officeDocument/2006/relationships" name="Engine" sheetId="9" state="hidden" r:id="rId9"/>
    <sheet xmlns:r="http://schemas.openxmlformats.org/officeDocument/2006/relationships" name="Transfer Engine" sheetId="10" state="hidden" r:id="rId1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1"/>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2" fillId="3"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1" fillId="2" borderId="0" pivotButton="0" quotePrefix="0" xfId="0"/>
    <xf numFmtId="0" fontId="0" fillId="0" borderId="0" applyAlignment="1" pivotButton="0" quotePrefix="0" xfId="0">
      <alignment vertical="top" wrapText="1"/>
    </xf>
    <xf numFmtId="0" fontId="1"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ComplianceTable" displayName="ComplianceTable" ref="A1:O630" headerRowCount="1">
  <autoFilter ref="A1:O630"/>
  <tableColumns count="15">
    <tableColumn id="1" name="Country"/>
    <tableColumn id="2" name="Act"/>
    <tableColumn id="3" name="Section"/>
    <tableColumn id="4" name="Heading"/>
    <tableColumn id="5" name="Pages"/>
    <tableColumn id="6" name="Category"/>
    <tableColumn id="7" name="Financial Relevance"/>
    <tableColumn id="8" name="Confidence"/>
    <tableColumn id="9" name="Topics"/>
    <tableColumn id="10" name="Data Types"/>
    <tableColumn id="11" name="Authority"/>
    <tableColumn id="12" name="Summary"/>
    <tableColumn id="13" name="DTIA Summary"/>
    <tableColumn id="14" name="Requirements"/>
    <tableColumn id="15" name="Source Quot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F46" headerRowCount="1">
  <autoFilter ref="A1:F46"/>
  <tableColumns count="6">
    <tableColumn id="1" name="Country"/>
    <tableColumn id="2" name="Act"/>
    <tableColumn id="3" name="Sections"/>
    <tableColumn id="4" name="Regulators"/>
    <tableColumn id="5" name="Topics"/>
    <tableColumn id="6" name="Financial Relevance"/>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61" headerRowCount="1">
  <autoFilter ref="A1:C61"/>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52" headerRowCount="1">
  <autoFilter ref="A1:B52"/>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9</v>
      </c>
    </row>
    <row r="4">
      <c r="A4" s="2" t="inlineStr">
        <is>
          <t>Acts</t>
        </is>
      </c>
      <c r="B4" t="n">
        <v>45</v>
      </c>
    </row>
    <row r="5">
      <c r="A5" s="2" t="inlineStr">
        <is>
          <t>Regulators</t>
        </is>
      </c>
      <c r="B5" t="n">
        <v>60</v>
      </c>
    </row>
    <row r="6">
      <c r="A6" s="2" t="inlineStr">
        <is>
          <t>Topics</t>
        </is>
      </c>
      <c r="B6" t="n">
        <v>51</v>
      </c>
    </row>
    <row r="7">
      <c r="A7" s="2" t="inlineStr">
        <is>
          <t>Compliance sections</t>
        </is>
      </c>
      <c r="B7" t="n">
        <v>629</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Data Transfer sheet answers cross-border questions: pick two countries and see every relevant act/section from either side of the transfer.</t>
        </is>
      </c>
    </row>
    <row r="15">
      <c r="A15" s="4" t="inlineStr">
        <is>
          <t>5. The Compliance Database sheet holds every extracted section; Acts / Regulators / Topics summarise them.</t>
        </is>
      </c>
    </row>
  </sheetData>
  <mergeCells count="6">
    <mergeCell ref="A13:C13"/>
    <mergeCell ref="A11:C11"/>
    <mergeCell ref="A1:C1"/>
    <mergeCell ref="A14:C14"/>
    <mergeCell ref="A12:C12"/>
    <mergeCell ref="A15: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2"/>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Category</t>
        </is>
      </c>
      <c r="B5" s="6" t="inlineStr">
        <is>
          <t>All</t>
        </is>
      </c>
    </row>
    <row r="6">
      <c r="A6" s="2" t="inlineStr">
        <is>
          <t>Topic</t>
        </is>
      </c>
      <c r="B6" s="6" t="inlineStr">
        <is>
          <t>All</t>
        </is>
      </c>
    </row>
    <row r="7">
      <c r="A7" s="2" t="inlineStr">
        <is>
          <t>Data Type</t>
        </is>
      </c>
      <c r="B7" s="6" t="inlineStr">
        <is>
          <t>All</t>
        </is>
      </c>
    </row>
    <row r="8">
      <c r="A8" s="2" t="inlineStr">
        <is>
          <t>Financial Relevance</t>
        </is>
      </c>
      <c r="B8" s="6" t="inlineStr">
        <is>
          <t>All</t>
        </is>
      </c>
    </row>
    <row r="9">
      <c r="A9" s="2" t="inlineStr">
        <is>
          <t>Authority</t>
        </is>
      </c>
      <c r="B9" s="6" t="inlineStr">
        <is>
          <t>All</t>
        </is>
      </c>
    </row>
    <row r="10">
      <c r="A10" s="2" t="inlineStr">
        <is>
          <t>Keyword (free text)</t>
        </is>
      </c>
      <c r="B10" s="6" t="inlineStr"/>
    </row>
    <row r="12">
      <c r="A12" s="2" t="inlineStr">
        <is>
          <t>Matching sections (of 629 total):</t>
        </is>
      </c>
      <c r="C12" s="2">
        <f>Engine!$D$1</f>
        <v/>
      </c>
    </row>
    <row r="13">
      <c r="A13" s="7" t="inlineStr">
        <is>
          <t>Country</t>
        </is>
      </c>
      <c r="B13" s="7" t="inlineStr">
        <is>
          <t>Act</t>
        </is>
      </c>
      <c r="C13" s="7" t="inlineStr">
        <is>
          <t>Section</t>
        </is>
      </c>
      <c r="D13" s="7" t="inlineStr">
        <is>
          <t>Heading</t>
        </is>
      </c>
      <c r="E13" s="7" t="inlineStr">
        <is>
          <t>Pages</t>
        </is>
      </c>
      <c r="F13" s="7" t="inlineStr">
        <is>
          <t>Category</t>
        </is>
      </c>
      <c r="G13" s="7" t="inlineStr">
        <is>
          <t>Financial Relevance</t>
        </is>
      </c>
      <c r="H13" s="7" t="inlineStr">
        <is>
          <t>Confidence</t>
        </is>
      </c>
      <c r="I13" s="7" t="inlineStr">
        <is>
          <t>Topics</t>
        </is>
      </c>
      <c r="J13" s="7" t="inlineStr">
        <is>
          <t>Data Types</t>
        </is>
      </c>
      <c r="K13" s="7" t="inlineStr">
        <is>
          <t>Authority</t>
        </is>
      </c>
      <c r="L13" s="7" t="inlineStr">
        <is>
          <t>Summary</t>
        </is>
      </c>
      <c r="M13" s="7" t="inlineStr">
        <is>
          <t>DTIA Summary</t>
        </is>
      </c>
      <c r="N13" s="7" t="inlineStr">
        <is>
          <t>Requirements</t>
        </is>
      </c>
      <c r="O13" s="7" t="inlineStr">
        <is>
          <t>Source Quote</t>
        </is>
      </c>
    </row>
    <row r="14">
      <c r="A14">
        <f>IF(ISNA(MATCH(1,Engine!$C$2:$C$630,0)),"",INDEX('Compliance Database'!$A$2:$A$630,MATCH(1,Engine!$C$2:$C$630,0)))</f>
        <v/>
      </c>
      <c r="B14">
        <f>IF(ISNA(MATCH(1,Engine!$C$2:$C$630,0)),"",INDEX('Compliance Database'!$B$2:$B$630,MATCH(1,Engine!$C$2:$C$630,0)))</f>
        <v/>
      </c>
      <c r="C14">
        <f>IF(ISNA(MATCH(1,Engine!$C$2:$C$630,0)),"",INDEX('Compliance Database'!$C$2:$C$630,MATCH(1,Engine!$C$2:$C$630,0)))</f>
        <v/>
      </c>
      <c r="D14" s="8">
        <f>IF(ISNA(MATCH(1,Engine!$C$2:$C$630,0)),"",INDEX('Compliance Database'!$D$2:$D$630,MATCH(1,Engine!$C$2:$C$630,0)))</f>
        <v/>
      </c>
      <c r="E14">
        <f>IF(ISNA(MATCH(1,Engine!$C$2:$C$630,0)),"",INDEX('Compliance Database'!$E$2:$E$630,MATCH(1,Engine!$C$2:$C$630,0)))</f>
        <v/>
      </c>
      <c r="F14">
        <f>IF(ISNA(MATCH(1,Engine!$C$2:$C$630,0)),"",INDEX('Compliance Database'!$F$2:$F$630,MATCH(1,Engine!$C$2:$C$630,0)))</f>
        <v/>
      </c>
      <c r="G14">
        <f>IF(ISNA(MATCH(1,Engine!$C$2:$C$630,0)),"",INDEX('Compliance Database'!$G$2:$G$630,MATCH(1,Engine!$C$2:$C$630,0)))</f>
        <v/>
      </c>
      <c r="H14">
        <f>IF(ISNA(MATCH(1,Engine!$C$2:$C$630,0)),"",INDEX('Compliance Database'!$H$2:$H$630,MATCH(1,Engine!$C$2:$C$630,0)))</f>
        <v/>
      </c>
      <c r="I14" s="8">
        <f>IF(ISNA(MATCH(1,Engine!$C$2:$C$630,0)),"",INDEX('Compliance Database'!$I$2:$I$630,MATCH(1,Engine!$C$2:$C$630,0)))</f>
        <v/>
      </c>
      <c r="J14" s="8">
        <f>IF(ISNA(MATCH(1,Engine!$C$2:$C$630,0)),"",INDEX('Compliance Database'!$J$2:$J$630,MATCH(1,Engine!$C$2:$C$630,0)))</f>
        <v/>
      </c>
      <c r="K14">
        <f>IF(ISNA(MATCH(1,Engine!$C$2:$C$630,0)),"",INDEX('Compliance Database'!$K$2:$K$630,MATCH(1,Engine!$C$2:$C$630,0)))</f>
        <v/>
      </c>
      <c r="L14" s="8">
        <f>IF(ISNA(MATCH(1,Engine!$C$2:$C$630,0)),"",INDEX('Compliance Database'!$L$2:$L$630,MATCH(1,Engine!$C$2:$C$630,0)))</f>
        <v/>
      </c>
      <c r="M14" s="8">
        <f>IF(ISNA(MATCH(1,Engine!$C$2:$C$630,0)),"",INDEX('Compliance Database'!$M$2:$M$630,MATCH(1,Engine!$C$2:$C$630,0)))</f>
        <v/>
      </c>
      <c r="N14" s="8">
        <f>IF(ISNA(MATCH(1,Engine!$C$2:$C$630,0)),"",INDEX('Compliance Database'!$N$2:$N$630,MATCH(1,Engine!$C$2:$C$630,0)))</f>
        <v/>
      </c>
      <c r="O14" s="8">
        <f>IF(ISNA(MATCH(1,Engine!$C$2:$C$630,0)),"",INDEX('Compliance Database'!$O$2:$O$630,MATCH(1,Engine!$C$2:$C$630,0)))</f>
        <v/>
      </c>
    </row>
    <row r="15">
      <c r="A15">
        <f>IF(ISNA(MATCH(2,Engine!$C$2:$C$630,0)),"",INDEX('Compliance Database'!$A$2:$A$630,MATCH(2,Engine!$C$2:$C$630,0)))</f>
        <v/>
      </c>
      <c r="B15">
        <f>IF(ISNA(MATCH(2,Engine!$C$2:$C$630,0)),"",INDEX('Compliance Database'!$B$2:$B$630,MATCH(2,Engine!$C$2:$C$630,0)))</f>
        <v/>
      </c>
      <c r="C15">
        <f>IF(ISNA(MATCH(2,Engine!$C$2:$C$630,0)),"",INDEX('Compliance Database'!$C$2:$C$630,MATCH(2,Engine!$C$2:$C$630,0)))</f>
        <v/>
      </c>
      <c r="D15" s="8">
        <f>IF(ISNA(MATCH(2,Engine!$C$2:$C$630,0)),"",INDEX('Compliance Database'!$D$2:$D$630,MATCH(2,Engine!$C$2:$C$630,0)))</f>
        <v/>
      </c>
      <c r="E15">
        <f>IF(ISNA(MATCH(2,Engine!$C$2:$C$630,0)),"",INDEX('Compliance Database'!$E$2:$E$630,MATCH(2,Engine!$C$2:$C$630,0)))</f>
        <v/>
      </c>
      <c r="F15">
        <f>IF(ISNA(MATCH(2,Engine!$C$2:$C$630,0)),"",INDEX('Compliance Database'!$F$2:$F$630,MATCH(2,Engine!$C$2:$C$630,0)))</f>
        <v/>
      </c>
      <c r="G15">
        <f>IF(ISNA(MATCH(2,Engine!$C$2:$C$630,0)),"",INDEX('Compliance Database'!$G$2:$G$630,MATCH(2,Engine!$C$2:$C$630,0)))</f>
        <v/>
      </c>
      <c r="H15">
        <f>IF(ISNA(MATCH(2,Engine!$C$2:$C$630,0)),"",INDEX('Compliance Database'!$H$2:$H$630,MATCH(2,Engine!$C$2:$C$630,0)))</f>
        <v/>
      </c>
      <c r="I15" s="8">
        <f>IF(ISNA(MATCH(2,Engine!$C$2:$C$630,0)),"",INDEX('Compliance Database'!$I$2:$I$630,MATCH(2,Engine!$C$2:$C$630,0)))</f>
        <v/>
      </c>
      <c r="J15" s="8">
        <f>IF(ISNA(MATCH(2,Engine!$C$2:$C$630,0)),"",INDEX('Compliance Database'!$J$2:$J$630,MATCH(2,Engine!$C$2:$C$630,0)))</f>
        <v/>
      </c>
      <c r="K15">
        <f>IF(ISNA(MATCH(2,Engine!$C$2:$C$630,0)),"",INDEX('Compliance Database'!$K$2:$K$630,MATCH(2,Engine!$C$2:$C$630,0)))</f>
        <v/>
      </c>
      <c r="L15" s="8">
        <f>IF(ISNA(MATCH(2,Engine!$C$2:$C$630,0)),"",INDEX('Compliance Database'!$L$2:$L$630,MATCH(2,Engine!$C$2:$C$630,0)))</f>
        <v/>
      </c>
      <c r="M15" s="8">
        <f>IF(ISNA(MATCH(2,Engine!$C$2:$C$630,0)),"",INDEX('Compliance Database'!$M$2:$M$630,MATCH(2,Engine!$C$2:$C$630,0)))</f>
        <v/>
      </c>
      <c r="N15" s="8">
        <f>IF(ISNA(MATCH(2,Engine!$C$2:$C$630,0)),"",INDEX('Compliance Database'!$N$2:$N$630,MATCH(2,Engine!$C$2:$C$630,0)))</f>
        <v/>
      </c>
      <c r="O15" s="8">
        <f>IF(ISNA(MATCH(2,Engine!$C$2:$C$630,0)),"",INDEX('Compliance Database'!$O$2:$O$630,MATCH(2,Engine!$C$2:$C$630,0)))</f>
        <v/>
      </c>
    </row>
    <row r="16">
      <c r="A16">
        <f>IF(ISNA(MATCH(3,Engine!$C$2:$C$630,0)),"",INDEX('Compliance Database'!$A$2:$A$630,MATCH(3,Engine!$C$2:$C$630,0)))</f>
        <v/>
      </c>
      <c r="B16">
        <f>IF(ISNA(MATCH(3,Engine!$C$2:$C$630,0)),"",INDEX('Compliance Database'!$B$2:$B$630,MATCH(3,Engine!$C$2:$C$630,0)))</f>
        <v/>
      </c>
      <c r="C16">
        <f>IF(ISNA(MATCH(3,Engine!$C$2:$C$630,0)),"",INDEX('Compliance Database'!$C$2:$C$630,MATCH(3,Engine!$C$2:$C$630,0)))</f>
        <v/>
      </c>
      <c r="D16" s="8">
        <f>IF(ISNA(MATCH(3,Engine!$C$2:$C$630,0)),"",INDEX('Compliance Database'!$D$2:$D$630,MATCH(3,Engine!$C$2:$C$630,0)))</f>
        <v/>
      </c>
      <c r="E16">
        <f>IF(ISNA(MATCH(3,Engine!$C$2:$C$630,0)),"",INDEX('Compliance Database'!$E$2:$E$630,MATCH(3,Engine!$C$2:$C$630,0)))</f>
        <v/>
      </c>
      <c r="F16">
        <f>IF(ISNA(MATCH(3,Engine!$C$2:$C$630,0)),"",INDEX('Compliance Database'!$F$2:$F$630,MATCH(3,Engine!$C$2:$C$630,0)))</f>
        <v/>
      </c>
      <c r="G16">
        <f>IF(ISNA(MATCH(3,Engine!$C$2:$C$630,0)),"",INDEX('Compliance Database'!$G$2:$G$630,MATCH(3,Engine!$C$2:$C$630,0)))</f>
        <v/>
      </c>
      <c r="H16">
        <f>IF(ISNA(MATCH(3,Engine!$C$2:$C$630,0)),"",INDEX('Compliance Database'!$H$2:$H$630,MATCH(3,Engine!$C$2:$C$630,0)))</f>
        <v/>
      </c>
      <c r="I16" s="8">
        <f>IF(ISNA(MATCH(3,Engine!$C$2:$C$630,0)),"",INDEX('Compliance Database'!$I$2:$I$630,MATCH(3,Engine!$C$2:$C$630,0)))</f>
        <v/>
      </c>
      <c r="J16" s="8">
        <f>IF(ISNA(MATCH(3,Engine!$C$2:$C$630,0)),"",INDEX('Compliance Database'!$J$2:$J$630,MATCH(3,Engine!$C$2:$C$630,0)))</f>
        <v/>
      </c>
      <c r="K16">
        <f>IF(ISNA(MATCH(3,Engine!$C$2:$C$630,0)),"",INDEX('Compliance Database'!$K$2:$K$630,MATCH(3,Engine!$C$2:$C$630,0)))</f>
        <v/>
      </c>
      <c r="L16" s="8">
        <f>IF(ISNA(MATCH(3,Engine!$C$2:$C$630,0)),"",INDEX('Compliance Database'!$L$2:$L$630,MATCH(3,Engine!$C$2:$C$630,0)))</f>
        <v/>
      </c>
      <c r="M16" s="8">
        <f>IF(ISNA(MATCH(3,Engine!$C$2:$C$630,0)),"",INDEX('Compliance Database'!$M$2:$M$630,MATCH(3,Engine!$C$2:$C$630,0)))</f>
        <v/>
      </c>
      <c r="N16" s="8">
        <f>IF(ISNA(MATCH(3,Engine!$C$2:$C$630,0)),"",INDEX('Compliance Database'!$N$2:$N$630,MATCH(3,Engine!$C$2:$C$630,0)))</f>
        <v/>
      </c>
      <c r="O16" s="8">
        <f>IF(ISNA(MATCH(3,Engine!$C$2:$C$630,0)),"",INDEX('Compliance Database'!$O$2:$O$630,MATCH(3,Engine!$C$2:$C$630,0)))</f>
        <v/>
      </c>
    </row>
    <row r="17">
      <c r="A17">
        <f>IF(ISNA(MATCH(4,Engine!$C$2:$C$630,0)),"",INDEX('Compliance Database'!$A$2:$A$630,MATCH(4,Engine!$C$2:$C$630,0)))</f>
        <v/>
      </c>
      <c r="B17">
        <f>IF(ISNA(MATCH(4,Engine!$C$2:$C$630,0)),"",INDEX('Compliance Database'!$B$2:$B$630,MATCH(4,Engine!$C$2:$C$630,0)))</f>
        <v/>
      </c>
      <c r="C17">
        <f>IF(ISNA(MATCH(4,Engine!$C$2:$C$630,0)),"",INDEX('Compliance Database'!$C$2:$C$630,MATCH(4,Engine!$C$2:$C$630,0)))</f>
        <v/>
      </c>
      <c r="D17" s="8">
        <f>IF(ISNA(MATCH(4,Engine!$C$2:$C$630,0)),"",INDEX('Compliance Database'!$D$2:$D$630,MATCH(4,Engine!$C$2:$C$630,0)))</f>
        <v/>
      </c>
      <c r="E17">
        <f>IF(ISNA(MATCH(4,Engine!$C$2:$C$630,0)),"",INDEX('Compliance Database'!$E$2:$E$630,MATCH(4,Engine!$C$2:$C$630,0)))</f>
        <v/>
      </c>
      <c r="F17">
        <f>IF(ISNA(MATCH(4,Engine!$C$2:$C$630,0)),"",INDEX('Compliance Database'!$F$2:$F$630,MATCH(4,Engine!$C$2:$C$630,0)))</f>
        <v/>
      </c>
      <c r="G17">
        <f>IF(ISNA(MATCH(4,Engine!$C$2:$C$630,0)),"",INDEX('Compliance Database'!$G$2:$G$630,MATCH(4,Engine!$C$2:$C$630,0)))</f>
        <v/>
      </c>
      <c r="H17">
        <f>IF(ISNA(MATCH(4,Engine!$C$2:$C$630,0)),"",INDEX('Compliance Database'!$H$2:$H$630,MATCH(4,Engine!$C$2:$C$630,0)))</f>
        <v/>
      </c>
      <c r="I17" s="8">
        <f>IF(ISNA(MATCH(4,Engine!$C$2:$C$630,0)),"",INDEX('Compliance Database'!$I$2:$I$630,MATCH(4,Engine!$C$2:$C$630,0)))</f>
        <v/>
      </c>
      <c r="J17" s="8">
        <f>IF(ISNA(MATCH(4,Engine!$C$2:$C$630,0)),"",INDEX('Compliance Database'!$J$2:$J$630,MATCH(4,Engine!$C$2:$C$630,0)))</f>
        <v/>
      </c>
      <c r="K17">
        <f>IF(ISNA(MATCH(4,Engine!$C$2:$C$630,0)),"",INDEX('Compliance Database'!$K$2:$K$630,MATCH(4,Engine!$C$2:$C$630,0)))</f>
        <v/>
      </c>
      <c r="L17" s="8">
        <f>IF(ISNA(MATCH(4,Engine!$C$2:$C$630,0)),"",INDEX('Compliance Database'!$L$2:$L$630,MATCH(4,Engine!$C$2:$C$630,0)))</f>
        <v/>
      </c>
      <c r="M17" s="8">
        <f>IF(ISNA(MATCH(4,Engine!$C$2:$C$630,0)),"",INDEX('Compliance Database'!$M$2:$M$630,MATCH(4,Engine!$C$2:$C$630,0)))</f>
        <v/>
      </c>
      <c r="N17" s="8">
        <f>IF(ISNA(MATCH(4,Engine!$C$2:$C$630,0)),"",INDEX('Compliance Database'!$N$2:$N$630,MATCH(4,Engine!$C$2:$C$630,0)))</f>
        <v/>
      </c>
      <c r="O17" s="8">
        <f>IF(ISNA(MATCH(4,Engine!$C$2:$C$630,0)),"",INDEX('Compliance Database'!$O$2:$O$630,MATCH(4,Engine!$C$2:$C$630,0)))</f>
        <v/>
      </c>
    </row>
    <row r="18">
      <c r="A18">
        <f>IF(ISNA(MATCH(5,Engine!$C$2:$C$630,0)),"",INDEX('Compliance Database'!$A$2:$A$630,MATCH(5,Engine!$C$2:$C$630,0)))</f>
        <v/>
      </c>
      <c r="B18">
        <f>IF(ISNA(MATCH(5,Engine!$C$2:$C$630,0)),"",INDEX('Compliance Database'!$B$2:$B$630,MATCH(5,Engine!$C$2:$C$630,0)))</f>
        <v/>
      </c>
      <c r="C18">
        <f>IF(ISNA(MATCH(5,Engine!$C$2:$C$630,0)),"",INDEX('Compliance Database'!$C$2:$C$630,MATCH(5,Engine!$C$2:$C$630,0)))</f>
        <v/>
      </c>
      <c r="D18" s="8">
        <f>IF(ISNA(MATCH(5,Engine!$C$2:$C$630,0)),"",INDEX('Compliance Database'!$D$2:$D$630,MATCH(5,Engine!$C$2:$C$630,0)))</f>
        <v/>
      </c>
      <c r="E18">
        <f>IF(ISNA(MATCH(5,Engine!$C$2:$C$630,0)),"",INDEX('Compliance Database'!$E$2:$E$630,MATCH(5,Engine!$C$2:$C$630,0)))</f>
        <v/>
      </c>
      <c r="F18">
        <f>IF(ISNA(MATCH(5,Engine!$C$2:$C$630,0)),"",INDEX('Compliance Database'!$F$2:$F$630,MATCH(5,Engine!$C$2:$C$630,0)))</f>
        <v/>
      </c>
      <c r="G18">
        <f>IF(ISNA(MATCH(5,Engine!$C$2:$C$630,0)),"",INDEX('Compliance Database'!$G$2:$G$630,MATCH(5,Engine!$C$2:$C$630,0)))</f>
        <v/>
      </c>
      <c r="H18">
        <f>IF(ISNA(MATCH(5,Engine!$C$2:$C$630,0)),"",INDEX('Compliance Database'!$H$2:$H$630,MATCH(5,Engine!$C$2:$C$630,0)))</f>
        <v/>
      </c>
      <c r="I18" s="8">
        <f>IF(ISNA(MATCH(5,Engine!$C$2:$C$630,0)),"",INDEX('Compliance Database'!$I$2:$I$630,MATCH(5,Engine!$C$2:$C$630,0)))</f>
        <v/>
      </c>
      <c r="J18" s="8">
        <f>IF(ISNA(MATCH(5,Engine!$C$2:$C$630,0)),"",INDEX('Compliance Database'!$J$2:$J$630,MATCH(5,Engine!$C$2:$C$630,0)))</f>
        <v/>
      </c>
      <c r="K18">
        <f>IF(ISNA(MATCH(5,Engine!$C$2:$C$630,0)),"",INDEX('Compliance Database'!$K$2:$K$630,MATCH(5,Engine!$C$2:$C$630,0)))</f>
        <v/>
      </c>
      <c r="L18" s="8">
        <f>IF(ISNA(MATCH(5,Engine!$C$2:$C$630,0)),"",INDEX('Compliance Database'!$L$2:$L$630,MATCH(5,Engine!$C$2:$C$630,0)))</f>
        <v/>
      </c>
      <c r="M18" s="8">
        <f>IF(ISNA(MATCH(5,Engine!$C$2:$C$630,0)),"",INDEX('Compliance Database'!$M$2:$M$630,MATCH(5,Engine!$C$2:$C$630,0)))</f>
        <v/>
      </c>
      <c r="N18" s="8">
        <f>IF(ISNA(MATCH(5,Engine!$C$2:$C$630,0)),"",INDEX('Compliance Database'!$N$2:$N$630,MATCH(5,Engine!$C$2:$C$630,0)))</f>
        <v/>
      </c>
      <c r="O18" s="8">
        <f>IF(ISNA(MATCH(5,Engine!$C$2:$C$630,0)),"",INDEX('Compliance Database'!$O$2:$O$630,MATCH(5,Engine!$C$2:$C$630,0)))</f>
        <v/>
      </c>
    </row>
    <row r="19">
      <c r="A19">
        <f>IF(ISNA(MATCH(6,Engine!$C$2:$C$630,0)),"",INDEX('Compliance Database'!$A$2:$A$630,MATCH(6,Engine!$C$2:$C$630,0)))</f>
        <v/>
      </c>
      <c r="B19">
        <f>IF(ISNA(MATCH(6,Engine!$C$2:$C$630,0)),"",INDEX('Compliance Database'!$B$2:$B$630,MATCH(6,Engine!$C$2:$C$630,0)))</f>
        <v/>
      </c>
      <c r="C19">
        <f>IF(ISNA(MATCH(6,Engine!$C$2:$C$630,0)),"",INDEX('Compliance Database'!$C$2:$C$630,MATCH(6,Engine!$C$2:$C$630,0)))</f>
        <v/>
      </c>
      <c r="D19" s="8">
        <f>IF(ISNA(MATCH(6,Engine!$C$2:$C$630,0)),"",INDEX('Compliance Database'!$D$2:$D$630,MATCH(6,Engine!$C$2:$C$630,0)))</f>
        <v/>
      </c>
      <c r="E19">
        <f>IF(ISNA(MATCH(6,Engine!$C$2:$C$630,0)),"",INDEX('Compliance Database'!$E$2:$E$630,MATCH(6,Engine!$C$2:$C$630,0)))</f>
        <v/>
      </c>
      <c r="F19">
        <f>IF(ISNA(MATCH(6,Engine!$C$2:$C$630,0)),"",INDEX('Compliance Database'!$F$2:$F$630,MATCH(6,Engine!$C$2:$C$630,0)))</f>
        <v/>
      </c>
      <c r="G19">
        <f>IF(ISNA(MATCH(6,Engine!$C$2:$C$630,0)),"",INDEX('Compliance Database'!$G$2:$G$630,MATCH(6,Engine!$C$2:$C$630,0)))</f>
        <v/>
      </c>
      <c r="H19">
        <f>IF(ISNA(MATCH(6,Engine!$C$2:$C$630,0)),"",INDEX('Compliance Database'!$H$2:$H$630,MATCH(6,Engine!$C$2:$C$630,0)))</f>
        <v/>
      </c>
      <c r="I19" s="8">
        <f>IF(ISNA(MATCH(6,Engine!$C$2:$C$630,0)),"",INDEX('Compliance Database'!$I$2:$I$630,MATCH(6,Engine!$C$2:$C$630,0)))</f>
        <v/>
      </c>
      <c r="J19" s="8">
        <f>IF(ISNA(MATCH(6,Engine!$C$2:$C$630,0)),"",INDEX('Compliance Database'!$J$2:$J$630,MATCH(6,Engine!$C$2:$C$630,0)))</f>
        <v/>
      </c>
      <c r="K19">
        <f>IF(ISNA(MATCH(6,Engine!$C$2:$C$630,0)),"",INDEX('Compliance Database'!$K$2:$K$630,MATCH(6,Engine!$C$2:$C$630,0)))</f>
        <v/>
      </c>
      <c r="L19" s="8">
        <f>IF(ISNA(MATCH(6,Engine!$C$2:$C$630,0)),"",INDEX('Compliance Database'!$L$2:$L$630,MATCH(6,Engine!$C$2:$C$630,0)))</f>
        <v/>
      </c>
      <c r="M19" s="8">
        <f>IF(ISNA(MATCH(6,Engine!$C$2:$C$630,0)),"",INDEX('Compliance Database'!$M$2:$M$630,MATCH(6,Engine!$C$2:$C$630,0)))</f>
        <v/>
      </c>
      <c r="N19" s="8">
        <f>IF(ISNA(MATCH(6,Engine!$C$2:$C$630,0)),"",INDEX('Compliance Database'!$N$2:$N$630,MATCH(6,Engine!$C$2:$C$630,0)))</f>
        <v/>
      </c>
      <c r="O19" s="8">
        <f>IF(ISNA(MATCH(6,Engine!$C$2:$C$630,0)),"",INDEX('Compliance Database'!$O$2:$O$630,MATCH(6,Engine!$C$2:$C$630,0)))</f>
        <v/>
      </c>
    </row>
    <row r="20">
      <c r="A20">
        <f>IF(ISNA(MATCH(7,Engine!$C$2:$C$630,0)),"",INDEX('Compliance Database'!$A$2:$A$630,MATCH(7,Engine!$C$2:$C$630,0)))</f>
        <v/>
      </c>
      <c r="B20">
        <f>IF(ISNA(MATCH(7,Engine!$C$2:$C$630,0)),"",INDEX('Compliance Database'!$B$2:$B$630,MATCH(7,Engine!$C$2:$C$630,0)))</f>
        <v/>
      </c>
      <c r="C20">
        <f>IF(ISNA(MATCH(7,Engine!$C$2:$C$630,0)),"",INDEX('Compliance Database'!$C$2:$C$630,MATCH(7,Engine!$C$2:$C$630,0)))</f>
        <v/>
      </c>
      <c r="D20" s="8">
        <f>IF(ISNA(MATCH(7,Engine!$C$2:$C$630,0)),"",INDEX('Compliance Database'!$D$2:$D$630,MATCH(7,Engine!$C$2:$C$630,0)))</f>
        <v/>
      </c>
      <c r="E20">
        <f>IF(ISNA(MATCH(7,Engine!$C$2:$C$630,0)),"",INDEX('Compliance Database'!$E$2:$E$630,MATCH(7,Engine!$C$2:$C$630,0)))</f>
        <v/>
      </c>
      <c r="F20">
        <f>IF(ISNA(MATCH(7,Engine!$C$2:$C$630,0)),"",INDEX('Compliance Database'!$F$2:$F$630,MATCH(7,Engine!$C$2:$C$630,0)))</f>
        <v/>
      </c>
      <c r="G20">
        <f>IF(ISNA(MATCH(7,Engine!$C$2:$C$630,0)),"",INDEX('Compliance Database'!$G$2:$G$630,MATCH(7,Engine!$C$2:$C$630,0)))</f>
        <v/>
      </c>
      <c r="H20">
        <f>IF(ISNA(MATCH(7,Engine!$C$2:$C$630,0)),"",INDEX('Compliance Database'!$H$2:$H$630,MATCH(7,Engine!$C$2:$C$630,0)))</f>
        <v/>
      </c>
      <c r="I20" s="8">
        <f>IF(ISNA(MATCH(7,Engine!$C$2:$C$630,0)),"",INDEX('Compliance Database'!$I$2:$I$630,MATCH(7,Engine!$C$2:$C$630,0)))</f>
        <v/>
      </c>
      <c r="J20" s="8">
        <f>IF(ISNA(MATCH(7,Engine!$C$2:$C$630,0)),"",INDEX('Compliance Database'!$J$2:$J$630,MATCH(7,Engine!$C$2:$C$630,0)))</f>
        <v/>
      </c>
      <c r="K20">
        <f>IF(ISNA(MATCH(7,Engine!$C$2:$C$630,0)),"",INDEX('Compliance Database'!$K$2:$K$630,MATCH(7,Engine!$C$2:$C$630,0)))</f>
        <v/>
      </c>
      <c r="L20" s="8">
        <f>IF(ISNA(MATCH(7,Engine!$C$2:$C$630,0)),"",INDEX('Compliance Database'!$L$2:$L$630,MATCH(7,Engine!$C$2:$C$630,0)))</f>
        <v/>
      </c>
      <c r="M20" s="8">
        <f>IF(ISNA(MATCH(7,Engine!$C$2:$C$630,0)),"",INDEX('Compliance Database'!$M$2:$M$630,MATCH(7,Engine!$C$2:$C$630,0)))</f>
        <v/>
      </c>
      <c r="N20" s="8">
        <f>IF(ISNA(MATCH(7,Engine!$C$2:$C$630,0)),"",INDEX('Compliance Database'!$N$2:$N$630,MATCH(7,Engine!$C$2:$C$630,0)))</f>
        <v/>
      </c>
      <c r="O20" s="8">
        <f>IF(ISNA(MATCH(7,Engine!$C$2:$C$630,0)),"",INDEX('Compliance Database'!$O$2:$O$630,MATCH(7,Engine!$C$2:$C$630,0)))</f>
        <v/>
      </c>
    </row>
    <row r="21">
      <c r="A21">
        <f>IF(ISNA(MATCH(8,Engine!$C$2:$C$630,0)),"",INDEX('Compliance Database'!$A$2:$A$630,MATCH(8,Engine!$C$2:$C$630,0)))</f>
        <v/>
      </c>
      <c r="B21">
        <f>IF(ISNA(MATCH(8,Engine!$C$2:$C$630,0)),"",INDEX('Compliance Database'!$B$2:$B$630,MATCH(8,Engine!$C$2:$C$630,0)))</f>
        <v/>
      </c>
      <c r="C21">
        <f>IF(ISNA(MATCH(8,Engine!$C$2:$C$630,0)),"",INDEX('Compliance Database'!$C$2:$C$630,MATCH(8,Engine!$C$2:$C$630,0)))</f>
        <v/>
      </c>
      <c r="D21" s="8">
        <f>IF(ISNA(MATCH(8,Engine!$C$2:$C$630,0)),"",INDEX('Compliance Database'!$D$2:$D$630,MATCH(8,Engine!$C$2:$C$630,0)))</f>
        <v/>
      </c>
      <c r="E21">
        <f>IF(ISNA(MATCH(8,Engine!$C$2:$C$630,0)),"",INDEX('Compliance Database'!$E$2:$E$630,MATCH(8,Engine!$C$2:$C$630,0)))</f>
        <v/>
      </c>
      <c r="F21">
        <f>IF(ISNA(MATCH(8,Engine!$C$2:$C$630,0)),"",INDEX('Compliance Database'!$F$2:$F$630,MATCH(8,Engine!$C$2:$C$630,0)))</f>
        <v/>
      </c>
      <c r="G21">
        <f>IF(ISNA(MATCH(8,Engine!$C$2:$C$630,0)),"",INDEX('Compliance Database'!$G$2:$G$630,MATCH(8,Engine!$C$2:$C$630,0)))</f>
        <v/>
      </c>
      <c r="H21">
        <f>IF(ISNA(MATCH(8,Engine!$C$2:$C$630,0)),"",INDEX('Compliance Database'!$H$2:$H$630,MATCH(8,Engine!$C$2:$C$630,0)))</f>
        <v/>
      </c>
      <c r="I21" s="8">
        <f>IF(ISNA(MATCH(8,Engine!$C$2:$C$630,0)),"",INDEX('Compliance Database'!$I$2:$I$630,MATCH(8,Engine!$C$2:$C$630,0)))</f>
        <v/>
      </c>
      <c r="J21" s="8">
        <f>IF(ISNA(MATCH(8,Engine!$C$2:$C$630,0)),"",INDEX('Compliance Database'!$J$2:$J$630,MATCH(8,Engine!$C$2:$C$630,0)))</f>
        <v/>
      </c>
      <c r="K21">
        <f>IF(ISNA(MATCH(8,Engine!$C$2:$C$630,0)),"",INDEX('Compliance Database'!$K$2:$K$630,MATCH(8,Engine!$C$2:$C$630,0)))</f>
        <v/>
      </c>
      <c r="L21" s="8">
        <f>IF(ISNA(MATCH(8,Engine!$C$2:$C$630,0)),"",INDEX('Compliance Database'!$L$2:$L$630,MATCH(8,Engine!$C$2:$C$630,0)))</f>
        <v/>
      </c>
      <c r="M21" s="8">
        <f>IF(ISNA(MATCH(8,Engine!$C$2:$C$630,0)),"",INDEX('Compliance Database'!$M$2:$M$630,MATCH(8,Engine!$C$2:$C$630,0)))</f>
        <v/>
      </c>
      <c r="N21" s="8">
        <f>IF(ISNA(MATCH(8,Engine!$C$2:$C$630,0)),"",INDEX('Compliance Database'!$N$2:$N$630,MATCH(8,Engine!$C$2:$C$630,0)))</f>
        <v/>
      </c>
      <c r="O21" s="8">
        <f>IF(ISNA(MATCH(8,Engine!$C$2:$C$630,0)),"",INDEX('Compliance Database'!$O$2:$O$630,MATCH(8,Engine!$C$2:$C$630,0)))</f>
        <v/>
      </c>
    </row>
    <row r="22">
      <c r="A22">
        <f>IF(ISNA(MATCH(9,Engine!$C$2:$C$630,0)),"",INDEX('Compliance Database'!$A$2:$A$630,MATCH(9,Engine!$C$2:$C$630,0)))</f>
        <v/>
      </c>
      <c r="B22">
        <f>IF(ISNA(MATCH(9,Engine!$C$2:$C$630,0)),"",INDEX('Compliance Database'!$B$2:$B$630,MATCH(9,Engine!$C$2:$C$630,0)))</f>
        <v/>
      </c>
      <c r="C22">
        <f>IF(ISNA(MATCH(9,Engine!$C$2:$C$630,0)),"",INDEX('Compliance Database'!$C$2:$C$630,MATCH(9,Engine!$C$2:$C$630,0)))</f>
        <v/>
      </c>
      <c r="D22" s="8">
        <f>IF(ISNA(MATCH(9,Engine!$C$2:$C$630,0)),"",INDEX('Compliance Database'!$D$2:$D$630,MATCH(9,Engine!$C$2:$C$630,0)))</f>
        <v/>
      </c>
      <c r="E22">
        <f>IF(ISNA(MATCH(9,Engine!$C$2:$C$630,0)),"",INDEX('Compliance Database'!$E$2:$E$630,MATCH(9,Engine!$C$2:$C$630,0)))</f>
        <v/>
      </c>
      <c r="F22">
        <f>IF(ISNA(MATCH(9,Engine!$C$2:$C$630,0)),"",INDEX('Compliance Database'!$F$2:$F$630,MATCH(9,Engine!$C$2:$C$630,0)))</f>
        <v/>
      </c>
      <c r="G22">
        <f>IF(ISNA(MATCH(9,Engine!$C$2:$C$630,0)),"",INDEX('Compliance Database'!$G$2:$G$630,MATCH(9,Engine!$C$2:$C$630,0)))</f>
        <v/>
      </c>
      <c r="H22">
        <f>IF(ISNA(MATCH(9,Engine!$C$2:$C$630,0)),"",INDEX('Compliance Database'!$H$2:$H$630,MATCH(9,Engine!$C$2:$C$630,0)))</f>
        <v/>
      </c>
      <c r="I22" s="8">
        <f>IF(ISNA(MATCH(9,Engine!$C$2:$C$630,0)),"",INDEX('Compliance Database'!$I$2:$I$630,MATCH(9,Engine!$C$2:$C$630,0)))</f>
        <v/>
      </c>
      <c r="J22" s="8">
        <f>IF(ISNA(MATCH(9,Engine!$C$2:$C$630,0)),"",INDEX('Compliance Database'!$J$2:$J$630,MATCH(9,Engine!$C$2:$C$630,0)))</f>
        <v/>
      </c>
      <c r="K22">
        <f>IF(ISNA(MATCH(9,Engine!$C$2:$C$630,0)),"",INDEX('Compliance Database'!$K$2:$K$630,MATCH(9,Engine!$C$2:$C$630,0)))</f>
        <v/>
      </c>
      <c r="L22" s="8">
        <f>IF(ISNA(MATCH(9,Engine!$C$2:$C$630,0)),"",INDEX('Compliance Database'!$L$2:$L$630,MATCH(9,Engine!$C$2:$C$630,0)))</f>
        <v/>
      </c>
      <c r="M22" s="8">
        <f>IF(ISNA(MATCH(9,Engine!$C$2:$C$630,0)),"",INDEX('Compliance Database'!$M$2:$M$630,MATCH(9,Engine!$C$2:$C$630,0)))</f>
        <v/>
      </c>
      <c r="N22" s="8">
        <f>IF(ISNA(MATCH(9,Engine!$C$2:$C$630,0)),"",INDEX('Compliance Database'!$N$2:$N$630,MATCH(9,Engine!$C$2:$C$630,0)))</f>
        <v/>
      </c>
      <c r="O22" s="8">
        <f>IF(ISNA(MATCH(9,Engine!$C$2:$C$630,0)),"",INDEX('Compliance Database'!$O$2:$O$630,MATCH(9,Engine!$C$2:$C$630,0)))</f>
        <v/>
      </c>
    </row>
    <row r="23">
      <c r="A23">
        <f>IF(ISNA(MATCH(10,Engine!$C$2:$C$630,0)),"",INDEX('Compliance Database'!$A$2:$A$630,MATCH(10,Engine!$C$2:$C$630,0)))</f>
        <v/>
      </c>
      <c r="B23">
        <f>IF(ISNA(MATCH(10,Engine!$C$2:$C$630,0)),"",INDEX('Compliance Database'!$B$2:$B$630,MATCH(10,Engine!$C$2:$C$630,0)))</f>
        <v/>
      </c>
      <c r="C23">
        <f>IF(ISNA(MATCH(10,Engine!$C$2:$C$630,0)),"",INDEX('Compliance Database'!$C$2:$C$630,MATCH(10,Engine!$C$2:$C$630,0)))</f>
        <v/>
      </c>
      <c r="D23" s="8">
        <f>IF(ISNA(MATCH(10,Engine!$C$2:$C$630,0)),"",INDEX('Compliance Database'!$D$2:$D$630,MATCH(10,Engine!$C$2:$C$630,0)))</f>
        <v/>
      </c>
      <c r="E23">
        <f>IF(ISNA(MATCH(10,Engine!$C$2:$C$630,0)),"",INDEX('Compliance Database'!$E$2:$E$630,MATCH(10,Engine!$C$2:$C$630,0)))</f>
        <v/>
      </c>
      <c r="F23">
        <f>IF(ISNA(MATCH(10,Engine!$C$2:$C$630,0)),"",INDEX('Compliance Database'!$F$2:$F$630,MATCH(10,Engine!$C$2:$C$630,0)))</f>
        <v/>
      </c>
      <c r="G23">
        <f>IF(ISNA(MATCH(10,Engine!$C$2:$C$630,0)),"",INDEX('Compliance Database'!$G$2:$G$630,MATCH(10,Engine!$C$2:$C$630,0)))</f>
        <v/>
      </c>
      <c r="H23">
        <f>IF(ISNA(MATCH(10,Engine!$C$2:$C$630,0)),"",INDEX('Compliance Database'!$H$2:$H$630,MATCH(10,Engine!$C$2:$C$630,0)))</f>
        <v/>
      </c>
      <c r="I23" s="8">
        <f>IF(ISNA(MATCH(10,Engine!$C$2:$C$630,0)),"",INDEX('Compliance Database'!$I$2:$I$630,MATCH(10,Engine!$C$2:$C$630,0)))</f>
        <v/>
      </c>
      <c r="J23" s="8">
        <f>IF(ISNA(MATCH(10,Engine!$C$2:$C$630,0)),"",INDEX('Compliance Database'!$J$2:$J$630,MATCH(10,Engine!$C$2:$C$630,0)))</f>
        <v/>
      </c>
      <c r="K23">
        <f>IF(ISNA(MATCH(10,Engine!$C$2:$C$630,0)),"",INDEX('Compliance Database'!$K$2:$K$630,MATCH(10,Engine!$C$2:$C$630,0)))</f>
        <v/>
      </c>
      <c r="L23" s="8">
        <f>IF(ISNA(MATCH(10,Engine!$C$2:$C$630,0)),"",INDEX('Compliance Database'!$L$2:$L$630,MATCH(10,Engine!$C$2:$C$630,0)))</f>
        <v/>
      </c>
      <c r="M23" s="8">
        <f>IF(ISNA(MATCH(10,Engine!$C$2:$C$630,0)),"",INDEX('Compliance Database'!$M$2:$M$630,MATCH(10,Engine!$C$2:$C$630,0)))</f>
        <v/>
      </c>
      <c r="N23" s="8">
        <f>IF(ISNA(MATCH(10,Engine!$C$2:$C$630,0)),"",INDEX('Compliance Database'!$N$2:$N$630,MATCH(10,Engine!$C$2:$C$630,0)))</f>
        <v/>
      </c>
      <c r="O23" s="8">
        <f>IF(ISNA(MATCH(10,Engine!$C$2:$C$630,0)),"",INDEX('Compliance Database'!$O$2:$O$630,MATCH(10,Engine!$C$2:$C$630,0)))</f>
        <v/>
      </c>
    </row>
    <row r="24">
      <c r="A24">
        <f>IF(ISNA(MATCH(11,Engine!$C$2:$C$630,0)),"",INDEX('Compliance Database'!$A$2:$A$630,MATCH(11,Engine!$C$2:$C$630,0)))</f>
        <v/>
      </c>
      <c r="B24">
        <f>IF(ISNA(MATCH(11,Engine!$C$2:$C$630,0)),"",INDEX('Compliance Database'!$B$2:$B$630,MATCH(11,Engine!$C$2:$C$630,0)))</f>
        <v/>
      </c>
      <c r="C24">
        <f>IF(ISNA(MATCH(11,Engine!$C$2:$C$630,0)),"",INDEX('Compliance Database'!$C$2:$C$630,MATCH(11,Engine!$C$2:$C$630,0)))</f>
        <v/>
      </c>
      <c r="D24" s="8">
        <f>IF(ISNA(MATCH(11,Engine!$C$2:$C$630,0)),"",INDEX('Compliance Database'!$D$2:$D$630,MATCH(11,Engine!$C$2:$C$630,0)))</f>
        <v/>
      </c>
      <c r="E24">
        <f>IF(ISNA(MATCH(11,Engine!$C$2:$C$630,0)),"",INDEX('Compliance Database'!$E$2:$E$630,MATCH(11,Engine!$C$2:$C$630,0)))</f>
        <v/>
      </c>
      <c r="F24">
        <f>IF(ISNA(MATCH(11,Engine!$C$2:$C$630,0)),"",INDEX('Compliance Database'!$F$2:$F$630,MATCH(11,Engine!$C$2:$C$630,0)))</f>
        <v/>
      </c>
      <c r="G24">
        <f>IF(ISNA(MATCH(11,Engine!$C$2:$C$630,0)),"",INDEX('Compliance Database'!$G$2:$G$630,MATCH(11,Engine!$C$2:$C$630,0)))</f>
        <v/>
      </c>
      <c r="H24">
        <f>IF(ISNA(MATCH(11,Engine!$C$2:$C$630,0)),"",INDEX('Compliance Database'!$H$2:$H$630,MATCH(11,Engine!$C$2:$C$630,0)))</f>
        <v/>
      </c>
      <c r="I24" s="8">
        <f>IF(ISNA(MATCH(11,Engine!$C$2:$C$630,0)),"",INDEX('Compliance Database'!$I$2:$I$630,MATCH(11,Engine!$C$2:$C$630,0)))</f>
        <v/>
      </c>
      <c r="J24" s="8">
        <f>IF(ISNA(MATCH(11,Engine!$C$2:$C$630,0)),"",INDEX('Compliance Database'!$J$2:$J$630,MATCH(11,Engine!$C$2:$C$630,0)))</f>
        <v/>
      </c>
      <c r="K24">
        <f>IF(ISNA(MATCH(11,Engine!$C$2:$C$630,0)),"",INDEX('Compliance Database'!$K$2:$K$630,MATCH(11,Engine!$C$2:$C$630,0)))</f>
        <v/>
      </c>
      <c r="L24" s="8">
        <f>IF(ISNA(MATCH(11,Engine!$C$2:$C$630,0)),"",INDEX('Compliance Database'!$L$2:$L$630,MATCH(11,Engine!$C$2:$C$630,0)))</f>
        <v/>
      </c>
      <c r="M24" s="8">
        <f>IF(ISNA(MATCH(11,Engine!$C$2:$C$630,0)),"",INDEX('Compliance Database'!$M$2:$M$630,MATCH(11,Engine!$C$2:$C$630,0)))</f>
        <v/>
      </c>
      <c r="N24" s="8">
        <f>IF(ISNA(MATCH(11,Engine!$C$2:$C$630,0)),"",INDEX('Compliance Database'!$N$2:$N$630,MATCH(11,Engine!$C$2:$C$630,0)))</f>
        <v/>
      </c>
      <c r="O24" s="8">
        <f>IF(ISNA(MATCH(11,Engine!$C$2:$C$630,0)),"",INDEX('Compliance Database'!$O$2:$O$630,MATCH(11,Engine!$C$2:$C$630,0)))</f>
        <v/>
      </c>
    </row>
    <row r="25">
      <c r="A25">
        <f>IF(ISNA(MATCH(12,Engine!$C$2:$C$630,0)),"",INDEX('Compliance Database'!$A$2:$A$630,MATCH(12,Engine!$C$2:$C$630,0)))</f>
        <v/>
      </c>
      <c r="B25">
        <f>IF(ISNA(MATCH(12,Engine!$C$2:$C$630,0)),"",INDEX('Compliance Database'!$B$2:$B$630,MATCH(12,Engine!$C$2:$C$630,0)))</f>
        <v/>
      </c>
      <c r="C25">
        <f>IF(ISNA(MATCH(12,Engine!$C$2:$C$630,0)),"",INDEX('Compliance Database'!$C$2:$C$630,MATCH(12,Engine!$C$2:$C$630,0)))</f>
        <v/>
      </c>
      <c r="D25" s="8">
        <f>IF(ISNA(MATCH(12,Engine!$C$2:$C$630,0)),"",INDEX('Compliance Database'!$D$2:$D$630,MATCH(12,Engine!$C$2:$C$630,0)))</f>
        <v/>
      </c>
      <c r="E25">
        <f>IF(ISNA(MATCH(12,Engine!$C$2:$C$630,0)),"",INDEX('Compliance Database'!$E$2:$E$630,MATCH(12,Engine!$C$2:$C$630,0)))</f>
        <v/>
      </c>
      <c r="F25">
        <f>IF(ISNA(MATCH(12,Engine!$C$2:$C$630,0)),"",INDEX('Compliance Database'!$F$2:$F$630,MATCH(12,Engine!$C$2:$C$630,0)))</f>
        <v/>
      </c>
      <c r="G25">
        <f>IF(ISNA(MATCH(12,Engine!$C$2:$C$630,0)),"",INDEX('Compliance Database'!$G$2:$G$630,MATCH(12,Engine!$C$2:$C$630,0)))</f>
        <v/>
      </c>
      <c r="H25">
        <f>IF(ISNA(MATCH(12,Engine!$C$2:$C$630,0)),"",INDEX('Compliance Database'!$H$2:$H$630,MATCH(12,Engine!$C$2:$C$630,0)))</f>
        <v/>
      </c>
      <c r="I25" s="8">
        <f>IF(ISNA(MATCH(12,Engine!$C$2:$C$630,0)),"",INDEX('Compliance Database'!$I$2:$I$630,MATCH(12,Engine!$C$2:$C$630,0)))</f>
        <v/>
      </c>
      <c r="J25" s="8">
        <f>IF(ISNA(MATCH(12,Engine!$C$2:$C$630,0)),"",INDEX('Compliance Database'!$J$2:$J$630,MATCH(12,Engine!$C$2:$C$630,0)))</f>
        <v/>
      </c>
      <c r="K25">
        <f>IF(ISNA(MATCH(12,Engine!$C$2:$C$630,0)),"",INDEX('Compliance Database'!$K$2:$K$630,MATCH(12,Engine!$C$2:$C$630,0)))</f>
        <v/>
      </c>
      <c r="L25" s="8">
        <f>IF(ISNA(MATCH(12,Engine!$C$2:$C$630,0)),"",INDEX('Compliance Database'!$L$2:$L$630,MATCH(12,Engine!$C$2:$C$630,0)))</f>
        <v/>
      </c>
      <c r="M25" s="8">
        <f>IF(ISNA(MATCH(12,Engine!$C$2:$C$630,0)),"",INDEX('Compliance Database'!$M$2:$M$630,MATCH(12,Engine!$C$2:$C$630,0)))</f>
        <v/>
      </c>
      <c r="N25" s="8">
        <f>IF(ISNA(MATCH(12,Engine!$C$2:$C$630,0)),"",INDEX('Compliance Database'!$N$2:$N$630,MATCH(12,Engine!$C$2:$C$630,0)))</f>
        <v/>
      </c>
      <c r="O25" s="8">
        <f>IF(ISNA(MATCH(12,Engine!$C$2:$C$630,0)),"",INDEX('Compliance Database'!$O$2:$O$630,MATCH(12,Engine!$C$2:$C$630,0)))</f>
        <v/>
      </c>
    </row>
    <row r="26">
      <c r="A26">
        <f>IF(ISNA(MATCH(13,Engine!$C$2:$C$630,0)),"",INDEX('Compliance Database'!$A$2:$A$630,MATCH(13,Engine!$C$2:$C$630,0)))</f>
        <v/>
      </c>
      <c r="B26">
        <f>IF(ISNA(MATCH(13,Engine!$C$2:$C$630,0)),"",INDEX('Compliance Database'!$B$2:$B$630,MATCH(13,Engine!$C$2:$C$630,0)))</f>
        <v/>
      </c>
      <c r="C26">
        <f>IF(ISNA(MATCH(13,Engine!$C$2:$C$630,0)),"",INDEX('Compliance Database'!$C$2:$C$630,MATCH(13,Engine!$C$2:$C$630,0)))</f>
        <v/>
      </c>
      <c r="D26" s="8">
        <f>IF(ISNA(MATCH(13,Engine!$C$2:$C$630,0)),"",INDEX('Compliance Database'!$D$2:$D$630,MATCH(13,Engine!$C$2:$C$630,0)))</f>
        <v/>
      </c>
      <c r="E26">
        <f>IF(ISNA(MATCH(13,Engine!$C$2:$C$630,0)),"",INDEX('Compliance Database'!$E$2:$E$630,MATCH(13,Engine!$C$2:$C$630,0)))</f>
        <v/>
      </c>
      <c r="F26">
        <f>IF(ISNA(MATCH(13,Engine!$C$2:$C$630,0)),"",INDEX('Compliance Database'!$F$2:$F$630,MATCH(13,Engine!$C$2:$C$630,0)))</f>
        <v/>
      </c>
      <c r="G26">
        <f>IF(ISNA(MATCH(13,Engine!$C$2:$C$630,0)),"",INDEX('Compliance Database'!$G$2:$G$630,MATCH(13,Engine!$C$2:$C$630,0)))</f>
        <v/>
      </c>
      <c r="H26">
        <f>IF(ISNA(MATCH(13,Engine!$C$2:$C$630,0)),"",INDEX('Compliance Database'!$H$2:$H$630,MATCH(13,Engine!$C$2:$C$630,0)))</f>
        <v/>
      </c>
      <c r="I26" s="8">
        <f>IF(ISNA(MATCH(13,Engine!$C$2:$C$630,0)),"",INDEX('Compliance Database'!$I$2:$I$630,MATCH(13,Engine!$C$2:$C$630,0)))</f>
        <v/>
      </c>
      <c r="J26" s="8">
        <f>IF(ISNA(MATCH(13,Engine!$C$2:$C$630,0)),"",INDEX('Compliance Database'!$J$2:$J$630,MATCH(13,Engine!$C$2:$C$630,0)))</f>
        <v/>
      </c>
      <c r="K26">
        <f>IF(ISNA(MATCH(13,Engine!$C$2:$C$630,0)),"",INDEX('Compliance Database'!$K$2:$K$630,MATCH(13,Engine!$C$2:$C$630,0)))</f>
        <v/>
      </c>
      <c r="L26" s="8">
        <f>IF(ISNA(MATCH(13,Engine!$C$2:$C$630,0)),"",INDEX('Compliance Database'!$L$2:$L$630,MATCH(13,Engine!$C$2:$C$630,0)))</f>
        <v/>
      </c>
      <c r="M26" s="8">
        <f>IF(ISNA(MATCH(13,Engine!$C$2:$C$630,0)),"",INDEX('Compliance Database'!$M$2:$M$630,MATCH(13,Engine!$C$2:$C$630,0)))</f>
        <v/>
      </c>
      <c r="N26" s="8">
        <f>IF(ISNA(MATCH(13,Engine!$C$2:$C$630,0)),"",INDEX('Compliance Database'!$N$2:$N$630,MATCH(13,Engine!$C$2:$C$630,0)))</f>
        <v/>
      </c>
      <c r="O26" s="8">
        <f>IF(ISNA(MATCH(13,Engine!$C$2:$C$630,0)),"",INDEX('Compliance Database'!$O$2:$O$630,MATCH(13,Engine!$C$2:$C$630,0)))</f>
        <v/>
      </c>
    </row>
    <row r="27">
      <c r="A27">
        <f>IF(ISNA(MATCH(14,Engine!$C$2:$C$630,0)),"",INDEX('Compliance Database'!$A$2:$A$630,MATCH(14,Engine!$C$2:$C$630,0)))</f>
        <v/>
      </c>
      <c r="B27">
        <f>IF(ISNA(MATCH(14,Engine!$C$2:$C$630,0)),"",INDEX('Compliance Database'!$B$2:$B$630,MATCH(14,Engine!$C$2:$C$630,0)))</f>
        <v/>
      </c>
      <c r="C27">
        <f>IF(ISNA(MATCH(14,Engine!$C$2:$C$630,0)),"",INDEX('Compliance Database'!$C$2:$C$630,MATCH(14,Engine!$C$2:$C$630,0)))</f>
        <v/>
      </c>
      <c r="D27" s="8">
        <f>IF(ISNA(MATCH(14,Engine!$C$2:$C$630,0)),"",INDEX('Compliance Database'!$D$2:$D$630,MATCH(14,Engine!$C$2:$C$630,0)))</f>
        <v/>
      </c>
      <c r="E27">
        <f>IF(ISNA(MATCH(14,Engine!$C$2:$C$630,0)),"",INDEX('Compliance Database'!$E$2:$E$630,MATCH(14,Engine!$C$2:$C$630,0)))</f>
        <v/>
      </c>
      <c r="F27">
        <f>IF(ISNA(MATCH(14,Engine!$C$2:$C$630,0)),"",INDEX('Compliance Database'!$F$2:$F$630,MATCH(14,Engine!$C$2:$C$630,0)))</f>
        <v/>
      </c>
      <c r="G27">
        <f>IF(ISNA(MATCH(14,Engine!$C$2:$C$630,0)),"",INDEX('Compliance Database'!$G$2:$G$630,MATCH(14,Engine!$C$2:$C$630,0)))</f>
        <v/>
      </c>
      <c r="H27">
        <f>IF(ISNA(MATCH(14,Engine!$C$2:$C$630,0)),"",INDEX('Compliance Database'!$H$2:$H$630,MATCH(14,Engine!$C$2:$C$630,0)))</f>
        <v/>
      </c>
      <c r="I27" s="8">
        <f>IF(ISNA(MATCH(14,Engine!$C$2:$C$630,0)),"",INDEX('Compliance Database'!$I$2:$I$630,MATCH(14,Engine!$C$2:$C$630,0)))</f>
        <v/>
      </c>
      <c r="J27" s="8">
        <f>IF(ISNA(MATCH(14,Engine!$C$2:$C$630,0)),"",INDEX('Compliance Database'!$J$2:$J$630,MATCH(14,Engine!$C$2:$C$630,0)))</f>
        <v/>
      </c>
      <c r="K27">
        <f>IF(ISNA(MATCH(14,Engine!$C$2:$C$630,0)),"",INDEX('Compliance Database'!$K$2:$K$630,MATCH(14,Engine!$C$2:$C$630,0)))</f>
        <v/>
      </c>
      <c r="L27" s="8">
        <f>IF(ISNA(MATCH(14,Engine!$C$2:$C$630,0)),"",INDEX('Compliance Database'!$L$2:$L$630,MATCH(14,Engine!$C$2:$C$630,0)))</f>
        <v/>
      </c>
      <c r="M27" s="8">
        <f>IF(ISNA(MATCH(14,Engine!$C$2:$C$630,0)),"",INDEX('Compliance Database'!$M$2:$M$630,MATCH(14,Engine!$C$2:$C$630,0)))</f>
        <v/>
      </c>
      <c r="N27" s="8">
        <f>IF(ISNA(MATCH(14,Engine!$C$2:$C$630,0)),"",INDEX('Compliance Database'!$N$2:$N$630,MATCH(14,Engine!$C$2:$C$630,0)))</f>
        <v/>
      </c>
      <c r="O27" s="8">
        <f>IF(ISNA(MATCH(14,Engine!$C$2:$C$630,0)),"",INDEX('Compliance Database'!$O$2:$O$630,MATCH(14,Engine!$C$2:$C$630,0)))</f>
        <v/>
      </c>
    </row>
    <row r="28">
      <c r="A28">
        <f>IF(ISNA(MATCH(15,Engine!$C$2:$C$630,0)),"",INDEX('Compliance Database'!$A$2:$A$630,MATCH(15,Engine!$C$2:$C$630,0)))</f>
        <v/>
      </c>
      <c r="B28">
        <f>IF(ISNA(MATCH(15,Engine!$C$2:$C$630,0)),"",INDEX('Compliance Database'!$B$2:$B$630,MATCH(15,Engine!$C$2:$C$630,0)))</f>
        <v/>
      </c>
      <c r="C28">
        <f>IF(ISNA(MATCH(15,Engine!$C$2:$C$630,0)),"",INDEX('Compliance Database'!$C$2:$C$630,MATCH(15,Engine!$C$2:$C$630,0)))</f>
        <v/>
      </c>
      <c r="D28" s="8">
        <f>IF(ISNA(MATCH(15,Engine!$C$2:$C$630,0)),"",INDEX('Compliance Database'!$D$2:$D$630,MATCH(15,Engine!$C$2:$C$630,0)))</f>
        <v/>
      </c>
      <c r="E28">
        <f>IF(ISNA(MATCH(15,Engine!$C$2:$C$630,0)),"",INDEX('Compliance Database'!$E$2:$E$630,MATCH(15,Engine!$C$2:$C$630,0)))</f>
        <v/>
      </c>
      <c r="F28">
        <f>IF(ISNA(MATCH(15,Engine!$C$2:$C$630,0)),"",INDEX('Compliance Database'!$F$2:$F$630,MATCH(15,Engine!$C$2:$C$630,0)))</f>
        <v/>
      </c>
      <c r="G28">
        <f>IF(ISNA(MATCH(15,Engine!$C$2:$C$630,0)),"",INDEX('Compliance Database'!$G$2:$G$630,MATCH(15,Engine!$C$2:$C$630,0)))</f>
        <v/>
      </c>
      <c r="H28">
        <f>IF(ISNA(MATCH(15,Engine!$C$2:$C$630,0)),"",INDEX('Compliance Database'!$H$2:$H$630,MATCH(15,Engine!$C$2:$C$630,0)))</f>
        <v/>
      </c>
      <c r="I28" s="8">
        <f>IF(ISNA(MATCH(15,Engine!$C$2:$C$630,0)),"",INDEX('Compliance Database'!$I$2:$I$630,MATCH(15,Engine!$C$2:$C$630,0)))</f>
        <v/>
      </c>
      <c r="J28" s="8">
        <f>IF(ISNA(MATCH(15,Engine!$C$2:$C$630,0)),"",INDEX('Compliance Database'!$J$2:$J$630,MATCH(15,Engine!$C$2:$C$630,0)))</f>
        <v/>
      </c>
      <c r="K28">
        <f>IF(ISNA(MATCH(15,Engine!$C$2:$C$630,0)),"",INDEX('Compliance Database'!$K$2:$K$630,MATCH(15,Engine!$C$2:$C$630,0)))</f>
        <v/>
      </c>
      <c r="L28" s="8">
        <f>IF(ISNA(MATCH(15,Engine!$C$2:$C$630,0)),"",INDEX('Compliance Database'!$L$2:$L$630,MATCH(15,Engine!$C$2:$C$630,0)))</f>
        <v/>
      </c>
      <c r="M28" s="8">
        <f>IF(ISNA(MATCH(15,Engine!$C$2:$C$630,0)),"",INDEX('Compliance Database'!$M$2:$M$630,MATCH(15,Engine!$C$2:$C$630,0)))</f>
        <v/>
      </c>
      <c r="N28" s="8">
        <f>IF(ISNA(MATCH(15,Engine!$C$2:$C$630,0)),"",INDEX('Compliance Database'!$N$2:$N$630,MATCH(15,Engine!$C$2:$C$630,0)))</f>
        <v/>
      </c>
      <c r="O28" s="8">
        <f>IF(ISNA(MATCH(15,Engine!$C$2:$C$630,0)),"",INDEX('Compliance Database'!$O$2:$O$630,MATCH(15,Engine!$C$2:$C$630,0)))</f>
        <v/>
      </c>
    </row>
    <row r="29">
      <c r="A29">
        <f>IF(ISNA(MATCH(16,Engine!$C$2:$C$630,0)),"",INDEX('Compliance Database'!$A$2:$A$630,MATCH(16,Engine!$C$2:$C$630,0)))</f>
        <v/>
      </c>
      <c r="B29">
        <f>IF(ISNA(MATCH(16,Engine!$C$2:$C$630,0)),"",INDEX('Compliance Database'!$B$2:$B$630,MATCH(16,Engine!$C$2:$C$630,0)))</f>
        <v/>
      </c>
      <c r="C29">
        <f>IF(ISNA(MATCH(16,Engine!$C$2:$C$630,0)),"",INDEX('Compliance Database'!$C$2:$C$630,MATCH(16,Engine!$C$2:$C$630,0)))</f>
        <v/>
      </c>
      <c r="D29" s="8">
        <f>IF(ISNA(MATCH(16,Engine!$C$2:$C$630,0)),"",INDEX('Compliance Database'!$D$2:$D$630,MATCH(16,Engine!$C$2:$C$630,0)))</f>
        <v/>
      </c>
      <c r="E29">
        <f>IF(ISNA(MATCH(16,Engine!$C$2:$C$630,0)),"",INDEX('Compliance Database'!$E$2:$E$630,MATCH(16,Engine!$C$2:$C$630,0)))</f>
        <v/>
      </c>
      <c r="F29">
        <f>IF(ISNA(MATCH(16,Engine!$C$2:$C$630,0)),"",INDEX('Compliance Database'!$F$2:$F$630,MATCH(16,Engine!$C$2:$C$630,0)))</f>
        <v/>
      </c>
      <c r="G29">
        <f>IF(ISNA(MATCH(16,Engine!$C$2:$C$630,0)),"",INDEX('Compliance Database'!$G$2:$G$630,MATCH(16,Engine!$C$2:$C$630,0)))</f>
        <v/>
      </c>
      <c r="H29">
        <f>IF(ISNA(MATCH(16,Engine!$C$2:$C$630,0)),"",INDEX('Compliance Database'!$H$2:$H$630,MATCH(16,Engine!$C$2:$C$630,0)))</f>
        <v/>
      </c>
      <c r="I29" s="8">
        <f>IF(ISNA(MATCH(16,Engine!$C$2:$C$630,0)),"",INDEX('Compliance Database'!$I$2:$I$630,MATCH(16,Engine!$C$2:$C$630,0)))</f>
        <v/>
      </c>
      <c r="J29" s="8">
        <f>IF(ISNA(MATCH(16,Engine!$C$2:$C$630,0)),"",INDEX('Compliance Database'!$J$2:$J$630,MATCH(16,Engine!$C$2:$C$630,0)))</f>
        <v/>
      </c>
      <c r="K29">
        <f>IF(ISNA(MATCH(16,Engine!$C$2:$C$630,0)),"",INDEX('Compliance Database'!$K$2:$K$630,MATCH(16,Engine!$C$2:$C$630,0)))</f>
        <v/>
      </c>
      <c r="L29" s="8">
        <f>IF(ISNA(MATCH(16,Engine!$C$2:$C$630,0)),"",INDEX('Compliance Database'!$L$2:$L$630,MATCH(16,Engine!$C$2:$C$630,0)))</f>
        <v/>
      </c>
      <c r="M29" s="8">
        <f>IF(ISNA(MATCH(16,Engine!$C$2:$C$630,0)),"",INDEX('Compliance Database'!$M$2:$M$630,MATCH(16,Engine!$C$2:$C$630,0)))</f>
        <v/>
      </c>
      <c r="N29" s="8">
        <f>IF(ISNA(MATCH(16,Engine!$C$2:$C$630,0)),"",INDEX('Compliance Database'!$N$2:$N$630,MATCH(16,Engine!$C$2:$C$630,0)))</f>
        <v/>
      </c>
      <c r="O29" s="8">
        <f>IF(ISNA(MATCH(16,Engine!$C$2:$C$630,0)),"",INDEX('Compliance Database'!$O$2:$O$630,MATCH(16,Engine!$C$2:$C$630,0)))</f>
        <v/>
      </c>
    </row>
    <row r="30">
      <c r="A30">
        <f>IF(ISNA(MATCH(17,Engine!$C$2:$C$630,0)),"",INDEX('Compliance Database'!$A$2:$A$630,MATCH(17,Engine!$C$2:$C$630,0)))</f>
        <v/>
      </c>
      <c r="B30">
        <f>IF(ISNA(MATCH(17,Engine!$C$2:$C$630,0)),"",INDEX('Compliance Database'!$B$2:$B$630,MATCH(17,Engine!$C$2:$C$630,0)))</f>
        <v/>
      </c>
      <c r="C30">
        <f>IF(ISNA(MATCH(17,Engine!$C$2:$C$630,0)),"",INDEX('Compliance Database'!$C$2:$C$630,MATCH(17,Engine!$C$2:$C$630,0)))</f>
        <v/>
      </c>
      <c r="D30" s="8">
        <f>IF(ISNA(MATCH(17,Engine!$C$2:$C$630,0)),"",INDEX('Compliance Database'!$D$2:$D$630,MATCH(17,Engine!$C$2:$C$630,0)))</f>
        <v/>
      </c>
      <c r="E30">
        <f>IF(ISNA(MATCH(17,Engine!$C$2:$C$630,0)),"",INDEX('Compliance Database'!$E$2:$E$630,MATCH(17,Engine!$C$2:$C$630,0)))</f>
        <v/>
      </c>
      <c r="F30">
        <f>IF(ISNA(MATCH(17,Engine!$C$2:$C$630,0)),"",INDEX('Compliance Database'!$F$2:$F$630,MATCH(17,Engine!$C$2:$C$630,0)))</f>
        <v/>
      </c>
      <c r="G30">
        <f>IF(ISNA(MATCH(17,Engine!$C$2:$C$630,0)),"",INDEX('Compliance Database'!$G$2:$G$630,MATCH(17,Engine!$C$2:$C$630,0)))</f>
        <v/>
      </c>
      <c r="H30">
        <f>IF(ISNA(MATCH(17,Engine!$C$2:$C$630,0)),"",INDEX('Compliance Database'!$H$2:$H$630,MATCH(17,Engine!$C$2:$C$630,0)))</f>
        <v/>
      </c>
      <c r="I30" s="8">
        <f>IF(ISNA(MATCH(17,Engine!$C$2:$C$630,0)),"",INDEX('Compliance Database'!$I$2:$I$630,MATCH(17,Engine!$C$2:$C$630,0)))</f>
        <v/>
      </c>
      <c r="J30" s="8">
        <f>IF(ISNA(MATCH(17,Engine!$C$2:$C$630,0)),"",INDEX('Compliance Database'!$J$2:$J$630,MATCH(17,Engine!$C$2:$C$630,0)))</f>
        <v/>
      </c>
      <c r="K30">
        <f>IF(ISNA(MATCH(17,Engine!$C$2:$C$630,0)),"",INDEX('Compliance Database'!$K$2:$K$630,MATCH(17,Engine!$C$2:$C$630,0)))</f>
        <v/>
      </c>
      <c r="L30" s="8">
        <f>IF(ISNA(MATCH(17,Engine!$C$2:$C$630,0)),"",INDEX('Compliance Database'!$L$2:$L$630,MATCH(17,Engine!$C$2:$C$630,0)))</f>
        <v/>
      </c>
      <c r="M30" s="8">
        <f>IF(ISNA(MATCH(17,Engine!$C$2:$C$630,0)),"",INDEX('Compliance Database'!$M$2:$M$630,MATCH(17,Engine!$C$2:$C$630,0)))</f>
        <v/>
      </c>
      <c r="N30" s="8">
        <f>IF(ISNA(MATCH(17,Engine!$C$2:$C$630,0)),"",INDEX('Compliance Database'!$N$2:$N$630,MATCH(17,Engine!$C$2:$C$630,0)))</f>
        <v/>
      </c>
      <c r="O30" s="8">
        <f>IF(ISNA(MATCH(17,Engine!$C$2:$C$630,0)),"",INDEX('Compliance Database'!$O$2:$O$630,MATCH(17,Engine!$C$2:$C$630,0)))</f>
        <v/>
      </c>
    </row>
    <row r="31">
      <c r="A31">
        <f>IF(ISNA(MATCH(18,Engine!$C$2:$C$630,0)),"",INDEX('Compliance Database'!$A$2:$A$630,MATCH(18,Engine!$C$2:$C$630,0)))</f>
        <v/>
      </c>
      <c r="B31">
        <f>IF(ISNA(MATCH(18,Engine!$C$2:$C$630,0)),"",INDEX('Compliance Database'!$B$2:$B$630,MATCH(18,Engine!$C$2:$C$630,0)))</f>
        <v/>
      </c>
      <c r="C31">
        <f>IF(ISNA(MATCH(18,Engine!$C$2:$C$630,0)),"",INDEX('Compliance Database'!$C$2:$C$630,MATCH(18,Engine!$C$2:$C$630,0)))</f>
        <v/>
      </c>
      <c r="D31" s="8">
        <f>IF(ISNA(MATCH(18,Engine!$C$2:$C$630,0)),"",INDEX('Compliance Database'!$D$2:$D$630,MATCH(18,Engine!$C$2:$C$630,0)))</f>
        <v/>
      </c>
      <c r="E31">
        <f>IF(ISNA(MATCH(18,Engine!$C$2:$C$630,0)),"",INDEX('Compliance Database'!$E$2:$E$630,MATCH(18,Engine!$C$2:$C$630,0)))</f>
        <v/>
      </c>
      <c r="F31">
        <f>IF(ISNA(MATCH(18,Engine!$C$2:$C$630,0)),"",INDEX('Compliance Database'!$F$2:$F$630,MATCH(18,Engine!$C$2:$C$630,0)))</f>
        <v/>
      </c>
      <c r="G31">
        <f>IF(ISNA(MATCH(18,Engine!$C$2:$C$630,0)),"",INDEX('Compliance Database'!$G$2:$G$630,MATCH(18,Engine!$C$2:$C$630,0)))</f>
        <v/>
      </c>
      <c r="H31">
        <f>IF(ISNA(MATCH(18,Engine!$C$2:$C$630,0)),"",INDEX('Compliance Database'!$H$2:$H$630,MATCH(18,Engine!$C$2:$C$630,0)))</f>
        <v/>
      </c>
      <c r="I31" s="8">
        <f>IF(ISNA(MATCH(18,Engine!$C$2:$C$630,0)),"",INDEX('Compliance Database'!$I$2:$I$630,MATCH(18,Engine!$C$2:$C$630,0)))</f>
        <v/>
      </c>
      <c r="J31" s="8">
        <f>IF(ISNA(MATCH(18,Engine!$C$2:$C$630,0)),"",INDEX('Compliance Database'!$J$2:$J$630,MATCH(18,Engine!$C$2:$C$630,0)))</f>
        <v/>
      </c>
      <c r="K31">
        <f>IF(ISNA(MATCH(18,Engine!$C$2:$C$630,0)),"",INDEX('Compliance Database'!$K$2:$K$630,MATCH(18,Engine!$C$2:$C$630,0)))</f>
        <v/>
      </c>
      <c r="L31" s="8">
        <f>IF(ISNA(MATCH(18,Engine!$C$2:$C$630,0)),"",INDEX('Compliance Database'!$L$2:$L$630,MATCH(18,Engine!$C$2:$C$630,0)))</f>
        <v/>
      </c>
      <c r="M31" s="8">
        <f>IF(ISNA(MATCH(18,Engine!$C$2:$C$630,0)),"",INDEX('Compliance Database'!$M$2:$M$630,MATCH(18,Engine!$C$2:$C$630,0)))</f>
        <v/>
      </c>
      <c r="N31" s="8">
        <f>IF(ISNA(MATCH(18,Engine!$C$2:$C$630,0)),"",INDEX('Compliance Database'!$N$2:$N$630,MATCH(18,Engine!$C$2:$C$630,0)))</f>
        <v/>
      </c>
      <c r="O31" s="8">
        <f>IF(ISNA(MATCH(18,Engine!$C$2:$C$630,0)),"",INDEX('Compliance Database'!$O$2:$O$630,MATCH(18,Engine!$C$2:$C$630,0)))</f>
        <v/>
      </c>
    </row>
    <row r="32">
      <c r="A32">
        <f>IF(ISNA(MATCH(19,Engine!$C$2:$C$630,0)),"",INDEX('Compliance Database'!$A$2:$A$630,MATCH(19,Engine!$C$2:$C$630,0)))</f>
        <v/>
      </c>
      <c r="B32">
        <f>IF(ISNA(MATCH(19,Engine!$C$2:$C$630,0)),"",INDEX('Compliance Database'!$B$2:$B$630,MATCH(19,Engine!$C$2:$C$630,0)))</f>
        <v/>
      </c>
      <c r="C32">
        <f>IF(ISNA(MATCH(19,Engine!$C$2:$C$630,0)),"",INDEX('Compliance Database'!$C$2:$C$630,MATCH(19,Engine!$C$2:$C$630,0)))</f>
        <v/>
      </c>
      <c r="D32" s="8">
        <f>IF(ISNA(MATCH(19,Engine!$C$2:$C$630,0)),"",INDEX('Compliance Database'!$D$2:$D$630,MATCH(19,Engine!$C$2:$C$630,0)))</f>
        <v/>
      </c>
      <c r="E32">
        <f>IF(ISNA(MATCH(19,Engine!$C$2:$C$630,0)),"",INDEX('Compliance Database'!$E$2:$E$630,MATCH(19,Engine!$C$2:$C$630,0)))</f>
        <v/>
      </c>
      <c r="F32">
        <f>IF(ISNA(MATCH(19,Engine!$C$2:$C$630,0)),"",INDEX('Compliance Database'!$F$2:$F$630,MATCH(19,Engine!$C$2:$C$630,0)))</f>
        <v/>
      </c>
      <c r="G32">
        <f>IF(ISNA(MATCH(19,Engine!$C$2:$C$630,0)),"",INDEX('Compliance Database'!$G$2:$G$630,MATCH(19,Engine!$C$2:$C$630,0)))</f>
        <v/>
      </c>
      <c r="H32">
        <f>IF(ISNA(MATCH(19,Engine!$C$2:$C$630,0)),"",INDEX('Compliance Database'!$H$2:$H$630,MATCH(19,Engine!$C$2:$C$630,0)))</f>
        <v/>
      </c>
      <c r="I32" s="8">
        <f>IF(ISNA(MATCH(19,Engine!$C$2:$C$630,0)),"",INDEX('Compliance Database'!$I$2:$I$630,MATCH(19,Engine!$C$2:$C$630,0)))</f>
        <v/>
      </c>
      <c r="J32" s="8">
        <f>IF(ISNA(MATCH(19,Engine!$C$2:$C$630,0)),"",INDEX('Compliance Database'!$J$2:$J$630,MATCH(19,Engine!$C$2:$C$630,0)))</f>
        <v/>
      </c>
      <c r="K32">
        <f>IF(ISNA(MATCH(19,Engine!$C$2:$C$630,0)),"",INDEX('Compliance Database'!$K$2:$K$630,MATCH(19,Engine!$C$2:$C$630,0)))</f>
        <v/>
      </c>
      <c r="L32" s="8">
        <f>IF(ISNA(MATCH(19,Engine!$C$2:$C$630,0)),"",INDEX('Compliance Database'!$L$2:$L$630,MATCH(19,Engine!$C$2:$C$630,0)))</f>
        <v/>
      </c>
      <c r="M32" s="8">
        <f>IF(ISNA(MATCH(19,Engine!$C$2:$C$630,0)),"",INDEX('Compliance Database'!$M$2:$M$630,MATCH(19,Engine!$C$2:$C$630,0)))</f>
        <v/>
      </c>
      <c r="N32" s="8">
        <f>IF(ISNA(MATCH(19,Engine!$C$2:$C$630,0)),"",INDEX('Compliance Database'!$N$2:$N$630,MATCH(19,Engine!$C$2:$C$630,0)))</f>
        <v/>
      </c>
      <c r="O32" s="8">
        <f>IF(ISNA(MATCH(19,Engine!$C$2:$C$630,0)),"",INDEX('Compliance Database'!$O$2:$O$630,MATCH(19,Engine!$C$2:$C$630,0)))</f>
        <v/>
      </c>
    </row>
    <row r="33">
      <c r="A33">
        <f>IF(ISNA(MATCH(20,Engine!$C$2:$C$630,0)),"",INDEX('Compliance Database'!$A$2:$A$630,MATCH(20,Engine!$C$2:$C$630,0)))</f>
        <v/>
      </c>
      <c r="B33">
        <f>IF(ISNA(MATCH(20,Engine!$C$2:$C$630,0)),"",INDEX('Compliance Database'!$B$2:$B$630,MATCH(20,Engine!$C$2:$C$630,0)))</f>
        <v/>
      </c>
      <c r="C33">
        <f>IF(ISNA(MATCH(20,Engine!$C$2:$C$630,0)),"",INDEX('Compliance Database'!$C$2:$C$630,MATCH(20,Engine!$C$2:$C$630,0)))</f>
        <v/>
      </c>
      <c r="D33" s="8">
        <f>IF(ISNA(MATCH(20,Engine!$C$2:$C$630,0)),"",INDEX('Compliance Database'!$D$2:$D$630,MATCH(20,Engine!$C$2:$C$630,0)))</f>
        <v/>
      </c>
      <c r="E33">
        <f>IF(ISNA(MATCH(20,Engine!$C$2:$C$630,0)),"",INDEX('Compliance Database'!$E$2:$E$630,MATCH(20,Engine!$C$2:$C$630,0)))</f>
        <v/>
      </c>
      <c r="F33">
        <f>IF(ISNA(MATCH(20,Engine!$C$2:$C$630,0)),"",INDEX('Compliance Database'!$F$2:$F$630,MATCH(20,Engine!$C$2:$C$630,0)))</f>
        <v/>
      </c>
      <c r="G33">
        <f>IF(ISNA(MATCH(20,Engine!$C$2:$C$630,0)),"",INDEX('Compliance Database'!$G$2:$G$630,MATCH(20,Engine!$C$2:$C$630,0)))</f>
        <v/>
      </c>
      <c r="H33">
        <f>IF(ISNA(MATCH(20,Engine!$C$2:$C$630,0)),"",INDEX('Compliance Database'!$H$2:$H$630,MATCH(20,Engine!$C$2:$C$630,0)))</f>
        <v/>
      </c>
      <c r="I33" s="8">
        <f>IF(ISNA(MATCH(20,Engine!$C$2:$C$630,0)),"",INDEX('Compliance Database'!$I$2:$I$630,MATCH(20,Engine!$C$2:$C$630,0)))</f>
        <v/>
      </c>
      <c r="J33" s="8">
        <f>IF(ISNA(MATCH(20,Engine!$C$2:$C$630,0)),"",INDEX('Compliance Database'!$J$2:$J$630,MATCH(20,Engine!$C$2:$C$630,0)))</f>
        <v/>
      </c>
      <c r="K33">
        <f>IF(ISNA(MATCH(20,Engine!$C$2:$C$630,0)),"",INDEX('Compliance Database'!$K$2:$K$630,MATCH(20,Engine!$C$2:$C$630,0)))</f>
        <v/>
      </c>
      <c r="L33" s="8">
        <f>IF(ISNA(MATCH(20,Engine!$C$2:$C$630,0)),"",INDEX('Compliance Database'!$L$2:$L$630,MATCH(20,Engine!$C$2:$C$630,0)))</f>
        <v/>
      </c>
      <c r="M33" s="8">
        <f>IF(ISNA(MATCH(20,Engine!$C$2:$C$630,0)),"",INDEX('Compliance Database'!$M$2:$M$630,MATCH(20,Engine!$C$2:$C$630,0)))</f>
        <v/>
      </c>
      <c r="N33" s="8">
        <f>IF(ISNA(MATCH(20,Engine!$C$2:$C$630,0)),"",INDEX('Compliance Database'!$N$2:$N$630,MATCH(20,Engine!$C$2:$C$630,0)))</f>
        <v/>
      </c>
      <c r="O33" s="8">
        <f>IF(ISNA(MATCH(20,Engine!$C$2:$C$630,0)),"",INDEX('Compliance Database'!$O$2:$O$630,MATCH(20,Engine!$C$2:$C$630,0)))</f>
        <v/>
      </c>
    </row>
    <row r="34">
      <c r="A34">
        <f>IF(ISNA(MATCH(21,Engine!$C$2:$C$630,0)),"",INDEX('Compliance Database'!$A$2:$A$630,MATCH(21,Engine!$C$2:$C$630,0)))</f>
        <v/>
      </c>
      <c r="B34">
        <f>IF(ISNA(MATCH(21,Engine!$C$2:$C$630,0)),"",INDEX('Compliance Database'!$B$2:$B$630,MATCH(21,Engine!$C$2:$C$630,0)))</f>
        <v/>
      </c>
      <c r="C34">
        <f>IF(ISNA(MATCH(21,Engine!$C$2:$C$630,0)),"",INDEX('Compliance Database'!$C$2:$C$630,MATCH(21,Engine!$C$2:$C$630,0)))</f>
        <v/>
      </c>
      <c r="D34" s="8">
        <f>IF(ISNA(MATCH(21,Engine!$C$2:$C$630,0)),"",INDEX('Compliance Database'!$D$2:$D$630,MATCH(21,Engine!$C$2:$C$630,0)))</f>
        <v/>
      </c>
      <c r="E34">
        <f>IF(ISNA(MATCH(21,Engine!$C$2:$C$630,0)),"",INDEX('Compliance Database'!$E$2:$E$630,MATCH(21,Engine!$C$2:$C$630,0)))</f>
        <v/>
      </c>
      <c r="F34">
        <f>IF(ISNA(MATCH(21,Engine!$C$2:$C$630,0)),"",INDEX('Compliance Database'!$F$2:$F$630,MATCH(21,Engine!$C$2:$C$630,0)))</f>
        <v/>
      </c>
      <c r="G34">
        <f>IF(ISNA(MATCH(21,Engine!$C$2:$C$630,0)),"",INDEX('Compliance Database'!$G$2:$G$630,MATCH(21,Engine!$C$2:$C$630,0)))</f>
        <v/>
      </c>
      <c r="H34">
        <f>IF(ISNA(MATCH(21,Engine!$C$2:$C$630,0)),"",INDEX('Compliance Database'!$H$2:$H$630,MATCH(21,Engine!$C$2:$C$630,0)))</f>
        <v/>
      </c>
      <c r="I34" s="8">
        <f>IF(ISNA(MATCH(21,Engine!$C$2:$C$630,0)),"",INDEX('Compliance Database'!$I$2:$I$630,MATCH(21,Engine!$C$2:$C$630,0)))</f>
        <v/>
      </c>
      <c r="J34" s="8">
        <f>IF(ISNA(MATCH(21,Engine!$C$2:$C$630,0)),"",INDEX('Compliance Database'!$J$2:$J$630,MATCH(21,Engine!$C$2:$C$630,0)))</f>
        <v/>
      </c>
      <c r="K34">
        <f>IF(ISNA(MATCH(21,Engine!$C$2:$C$630,0)),"",INDEX('Compliance Database'!$K$2:$K$630,MATCH(21,Engine!$C$2:$C$630,0)))</f>
        <v/>
      </c>
      <c r="L34" s="8">
        <f>IF(ISNA(MATCH(21,Engine!$C$2:$C$630,0)),"",INDEX('Compliance Database'!$L$2:$L$630,MATCH(21,Engine!$C$2:$C$630,0)))</f>
        <v/>
      </c>
      <c r="M34" s="8">
        <f>IF(ISNA(MATCH(21,Engine!$C$2:$C$630,0)),"",INDEX('Compliance Database'!$M$2:$M$630,MATCH(21,Engine!$C$2:$C$630,0)))</f>
        <v/>
      </c>
      <c r="N34" s="8">
        <f>IF(ISNA(MATCH(21,Engine!$C$2:$C$630,0)),"",INDEX('Compliance Database'!$N$2:$N$630,MATCH(21,Engine!$C$2:$C$630,0)))</f>
        <v/>
      </c>
      <c r="O34" s="8">
        <f>IF(ISNA(MATCH(21,Engine!$C$2:$C$630,0)),"",INDEX('Compliance Database'!$O$2:$O$630,MATCH(21,Engine!$C$2:$C$630,0)))</f>
        <v/>
      </c>
    </row>
    <row r="35">
      <c r="A35">
        <f>IF(ISNA(MATCH(22,Engine!$C$2:$C$630,0)),"",INDEX('Compliance Database'!$A$2:$A$630,MATCH(22,Engine!$C$2:$C$630,0)))</f>
        <v/>
      </c>
      <c r="B35">
        <f>IF(ISNA(MATCH(22,Engine!$C$2:$C$630,0)),"",INDEX('Compliance Database'!$B$2:$B$630,MATCH(22,Engine!$C$2:$C$630,0)))</f>
        <v/>
      </c>
      <c r="C35">
        <f>IF(ISNA(MATCH(22,Engine!$C$2:$C$630,0)),"",INDEX('Compliance Database'!$C$2:$C$630,MATCH(22,Engine!$C$2:$C$630,0)))</f>
        <v/>
      </c>
      <c r="D35" s="8">
        <f>IF(ISNA(MATCH(22,Engine!$C$2:$C$630,0)),"",INDEX('Compliance Database'!$D$2:$D$630,MATCH(22,Engine!$C$2:$C$630,0)))</f>
        <v/>
      </c>
      <c r="E35">
        <f>IF(ISNA(MATCH(22,Engine!$C$2:$C$630,0)),"",INDEX('Compliance Database'!$E$2:$E$630,MATCH(22,Engine!$C$2:$C$630,0)))</f>
        <v/>
      </c>
      <c r="F35">
        <f>IF(ISNA(MATCH(22,Engine!$C$2:$C$630,0)),"",INDEX('Compliance Database'!$F$2:$F$630,MATCH(22,Engine!$C$2:$C$630,0)))</f>
        <v/>
      </c>
      <c r="G35">
        <f>IF(ISNA(MATCH(22,Engine!$C$2:$C$630,0)),"",INDEX('Compliance Database'!$G$2:$G$630,MATCH(22,Engine!$C$2:$C$630,0)))</f>
        <v/>
      </c>
      <c r="H35">
        <f>IF(ISNA(MATCH(22,Engine!$C$2:$C$630,0)),"",INDEX('Compliance Database'!$H$2:$H$630,MATCH(22,Engine!$C$2:$C$630,0)))</f>
        <v/>
      </c>
      <c r="I35" s="8">
        <f>IF(ISNA(MATCH(22,Engine!$C$2:$C$630,0)),"",INDEX('Compliance Database'!$I$2:$I$630,MATCH(22,Engine!$C$2:$C$630,0)))</f>
        <v/>
      </c>
      <c r="J35" s="8">
        <f>IF(ISNA(MATCH(22,Engine!$C$2:$C$630,0)),"",INDEX('Compliance Database'!$J$2:$J$630,MATCH(22,Engine!$C$2:$C$630,0)))</f>
        <v/>
      </c>
      <c r="K35">
        <f>IF(ISNA(MATCH(22,Engine!$C$2:$C$630,0)),"",INDEX('Compliance Database'!$K$2:$K$630,MATCH(22,Engine!$C$2:$C$630,0)))</f>
        <v/>
      </c>
      <c r="L35" s="8">
        <f>IF(ISNA(MATCH(22,Engine!$C$2:$C$630,0)),"",INDEX('Compliance Database'!$L$2:$L$630,MATCH(22,Engine!$C$2:$C$630,0)))</f>
        <v/>
      </c>
      <c r="M35" s="8">
        <f>IF(ISNA(MATCH(22,Engine!$C$2:$C$630,0)),"",INDEX('Compliance Database'!$M$2:$M$630,MATCH(22,Engine!$C$2:$C$630,0)))</f>
        <v/>
      </c>
      <c r="N35" s="8">
        <f>IF(ISNA(MATCH(22,Engine!$C$2:$C$630,0)),"",INDEX('Compliance Database'!$N$2:$N$630,MATCH(22,Engine!$C$2:$C$630,0)))</f>
        <v/>
      </c>
      <c r="O35" s="8">
        <f>IF(ISNA(MATCH(22,Engine!$C$2:$C$630,0)),"",INDEX('Compliance Database'!$O$2:$O$630,MATCH(22,Engine!$C$2:$C$630,0)))</f>
        <v/>
      </c>
    </row>
    <row r="36">
      <c r="A36">
        <f>IF(ISNA(MATCH(23,Engine!$C$2:$C$630,0)),"",INDEX('Compliance Database'!$A$2:$A$630,MATCH(23,Engine!$C$2:$C$630,0)))</f>
        <v/>
      </c>
      <c r="B36">
        <f>IF(ISNA(MATCH(23,Engine!$C$2:$C$630,0)),"",INDEX('Compliance Database'!$B$2:$B$630,MATCH(23,Engine!$C$2:$C$630,0)))</f>
        <v/>
      </c>
      <c r="C36">
        <f>IF(ISNA(MATCH(23,Engine!$C$2:$C$630,0)),"",INDEX('Compliance Database'!$C$2:$C$630,MATCH(23,Engine!$C$2:$C$630,0)))</f>
        <v/>
      </c>
      <c r="D36" s="8">
        <f>IF(ISNA(MATCH(23,Engine!$C$2:$C$630,0)),"",INDEX('Compliance Database'!$D$2:$D$630,MATCH(23,Engine!$C$2:$C$630,0)))</f>
        <v/>
      </c>
      <c r="E36">
        <f>IF(ISNA(MATCH(23,Engine!$C$2:$C$630,0)),"",INDEX('Compliance Database'!$E$2:$E$630,MATCH(23,Engine!$C$2:$C$630,0)))</f>
        <v/>
      </c>
      <c r="F36">
        <f>IF(ISNA(MATCH(23,Engine!$C$2:$C$630,0)),"",INDEX('Compliance Database'!$F$2:$F$630,MATCH(23,Engine!$C$2:$C$630,0)))</f>
        <v/>
      </c>
      <c r="G36">
        <f>IF(ISNA(MATCH(23,Engine!$C$2:$C$630,0)),"",INDEX('Compliance Database'!$G$2:$G$630,MATCH(23,Engine!$C$2:$C$630,0)))</f>
        <v/>
      </c>
      <c r="H36">
        <f>IF(ISNA(MATCH(23,Engine!$C$2:$C$630,0)),"",INDEX('Compliance Database'!$H$2:$H$630,MATCH(23,Engine!$C$2:$C$630,0)))</f>
        <v/>
      </c>
      <c r="I36" s="8">
        <f>IF(ISNA(MATCH(23,Engine!$C$2:$C$630,0)),"",INDEX('Compliance Database'!$I$2:$I$630,MATCH(23,Engine!$C$2:$C$630,0)))</f>
        <v/>
      </c>
      <c r="J36" s="8">
        <f>IF(ISNA(MATCH(23,Engine!$C$2:$C$630,0)),"",INDEX('Compliance Database'!$J$2:$J$630,MATCH(23,Engine!$C$2:$C$630,0)))</f>
        <v/>
      </c>
      <c r="K36">
        <f>IF(ISNA(MATCH(23,Engine!$C$2:$C$630,0)),"",INDEX('Compliance Database'!$K$2:$K$630,MATCH(23,Engine!$C$2:$C$630,0)))</f>
        <v/>
      </c>
      <c r="L36" s="8">
        <f>IF(ISNA(MATCH(23,Engine!$C$2:$C$630,0)),"",INDEX('Compliance Database'!$L$2:$L$630,MATCH(23,Engine!$C$2:$C$630,0)))</f>
        <v/>
      </c>
      <c r="M36" s="8">
        <f>IF(ISNA(MATCH(23,Engine!$C$2:$C$630,0)),"",INDEX('Compliance Database'!$M$2:$M$630,MATCH(23,Engine!$C$2:$C$630,0)))</f>
        <v/>
      </c>
      <c r="N36" s="8">
        <f>IF(ISNA(MATCH(23,Engine!$C$2:$C$630,0)),"",INDEX('Compliance Database'!$N$2:$N$630,MATCH(23,Engine!$C$2:$C$630,0)))</f>
        <v/>
      </c>
      <c r="O36" s="8">
        <f>IF(ISNA(MATCH(23,Engine!$C$2:$C$630,0)),"",INDEX('Compliance Database'!$O$2:$O$630,MATCH(23,Engine!$C$2:$C$630,0)))</f>
        <v/>
      </c>
    </row>
    <row r="37">
      <c r="A37">
        <f>IF(ISNA(MATCH(24,Engine!$C$2:$C$630,0)),"",INDEX('Compliance Database'!$A$2:$A$630,MATCH(24,Engine!$C$2:$C$630,0)))</f>
        <v/>
      </c>
      <c r="B37">
        <f>IF(ISNA(MATCH(24,Engine!$C$2:$C$630,0)),"",INDEX('Compliance Database'!$B$2:$B$630,MATCH(24,Engine!$C$2:$C$630,0)))</f>
        <v/>
      </c>
      <c r="C37">
        <f>IF(ISNA(MATCH(24,Engine!$C$2:$C$630,0)),"",INDEX('Compliance Database'!$C$2:$C$630,MATCH(24,Engine!$C$2:$C$630,0)))</f>
        <v/>
      </c>
      <c r="D37" s="8">
        <f>IF(ISNA(MATCH(24,Engine!$C$2:$C$630,0)),"",INDEX('Compliance Database'!$D$2:$D$630,MATCH(24,Engine!$C$2:$C$630,0)))</f>
        <v/>
      </c>
      <c r="E37">
        <f>IF(ISNA(MATCH(24,Engine!$C$2:$C$630,0)),"",INDEX('Compliance Database'!$E$2:$E$630,MATCH(24,Engine!$C$2:$C$630,0)))</f>
        <v/>
      </c>
      <c r="F37">
        <f>IF(ISNA(MATCH(24,Engine!$C$2:$C$630,0)),"",INDEX('Compliance Database'!$F$2:$F$630,MATCH(24,Engine!$C$2:$C$630,0)))</f>
        <v/>
      </c>
      <c r="G37">
        <f>IF(ISNA(MATCH(24,Engine!$C$2:$C$630,0)),"",INDEX('Compliance Database'!$G$2:$G$630,MATCH(24,Engine!$C$2:$C$630,0)))</f>
        <v/>
      </c>
      <c r="H37">
        <f>IF(ISNA(MATCH(24,Engine!$C$2:$C$630,0)),"",INDEX('Compliance Database'!$H$2:$H$630,MATCH(24,Engine!$C$2:$C$630,0)))</f>
        <v/>
      </c>
      <c r="I37" s="8">
        <f>IF(ISNA(MATCH(24,Engine!$C$2:$C$630,0)),"",INDEX('Compliance Database'!$I$2:$I$630,MATCH(24,Engine!$C$2:$C$630,0)))</f>
        <v/>
      </c>
      <c r="J37" s="8">
        <f>IF(ISNA(MATCH(24,Engine!$C$2:$C$630,0)),"",INDEX('Compliance Database'!$J$2:$J$630,MATCH(24,Engine!$C$2:$C$630,0)))</f>
        <v/>
      </c>
      <c r="K37">
        <f>IF(ISNA(MATCH(24,Engine!$C$2:$C$630,0)),"",INDEX('Compliance Database'!$K$2:$K$630,MATCH(24,Engine!$C$2:$C$630,0)))</f>
        <v/>
      </c>
      <c r="L37" s="8">
        <f>IF(ISNA(MATCH(24,Engine!$C$2:$C$630,0)),"",INDEX('Compliance Database'!$L$2:$L$630,MATCH(24,Engine!$C$2:$C$630,0)))</f>
        <v/>
      </c>
      <c r="M37" s="8">
        <f>IF(ISNA(MATCH(24,Engine!$C$2:$C$630,0)),"",INDEX('Compliance Database'!$M$2:$M$630,MATCH(24,Engine!$C$2:$C$630,0)))</f>
        <v/>
      </c>
      <c r="N37" s="8">
        <f>IF(ISNA(MATCH(24,Engine!$C$2:$C$630,0)),"",INDEX('Compliance Database'!$N$2:$N$630,MATCH(24,Engine!$C$2:$C$630,0)))</f>
        <v/>
      </c>
      <c r="O37" s="8">
        <f>IF(ISNA(MATCH(24,Engine!$C$2:$C$630,0)),"",INDEX('Compliance Database'!$O$2:$O$630,MATCH(24,Engine!$C$2:$C$630,0)))</f>
        <v/>
      </c>
    </row>
    <row r="38">
      <c r="A38">
        <f>IF(ISNA(MATCH(25,Engine!$C$2:$C$630,0)),"",INDEX('Compliance Database'!$A$2:$A$630,MATCH(25,Engine!$C$2:$C$630,0)))</f>
        <v/>
      </c>
      <c r="B38">
        <f>IF(ISNA(MATCH(25,Engine!$C$2:$C$630,0)),"",INDEX('Compliance Database'!$B$2:$B$630,MATCH(25,Engine!$C$2:$C$630,0)))</f>
        <v/>
      </c>
      <c r="C38">
        <f>IF(ISNA(MATCH(25,Engine!$C$2:$C$630,0)),"",INDEX('Compliance Database'!$C$2:$C$630,MATCH(25,Engine!$C$2:$C$630,0)))</f>
        <v/>
      </c>
      <c r="D38" s="8">
        <f>IF(ISNA(MATCH(25,Engine!$C$2:$C$630,0)),"",INDEX('Compliance Database'!$D$2:$D$630,MATCH(25,Engine!$C$2:$C$630,0)))</f>
        <v/>
      </c>
      <c r="E38">
        <f>IF(ISNA(MATCH(25,Engine!$C$2:$C$630,0)),"",INDEX('Compliance Database'!$E$2:$E$630,MATCH(25,Engine!$C$2:$C$630,0)))</f>
        <v/>
      </c>
      <c r="F38">
        <f>IF(ISNA(MATCH(25,Engine!$C$2:$C$630,0)),"",INDEX('Compliance Database'!$F$2:$F$630,MATCH(25,Engine!$C$2:$C$630,0)))</f>
        <v/>
      </c>
      <c r="G38">
        <f>IF(ISNA(MATCH(25,Engine!$C$2:$C$630,0)),"",INDEX('Compliance Database'!$G$2:$G$630,MATCH(25,Engine!$C$2:$C$630,0)))</f>
        <v/>
      </c>
      <c r="H38">
        <f>IF(ISNA(MATCH(25,Engine!$C$2:$C$630,0)),"",INDEX('Compliance Database'!$H$2:$H$630,MATCH(25,Engine!$C$2:$C$630,0)))</f>
        <v/>
      </c>
      <c r="I38" s="8">
        <f>IF(ISNA(MATCH(25,Engine!$C$2:$C$630,0)),"",INDEX('Compliance Database'!$I$2:$I$630,MATCH(25,Engine!$C$2:$C$630,0)))</f>
        <v/>
      </c>
      <c r="J38" s="8">
        <f>IF(ISNA(MATCH(25,Engine!$C$2:$C$630,0)),"",INDEX('Compliance Database'!$J$2:$J$630,MATCH(25,Engine!$C$2:$C$630,0)))</f>
        <v/>
      </c>
      <c r="K38">
        <f>IF(ISNA(MATCH(25,Engine!$C$2:$C$630,0)),"",INDEX('Compliance Database'!$K$2:$K$630,MATCH(25,Engine!$C$2:$C$630,0)))</f>
        <v/>
      </c>
      <c r="L38" s="8">
        <f>IF(ISNA(MATCH(25,Engine!$C$2:$C$630,0)),"",INDEX('Compliance Database'!$L$2:$L$630,MATCH(25,Engine!$C$2:$C$630,0)))</f>
        <v/>
      </c>
      <c r="M38" s="8">
        <f>IF(ISNA(MATCH(25,Engine!$C$2:$C$630,0)),"",INDEX('Compliance Database'!$M$2:$M$630,MATCH(25,Engine!$C$2:$C$630,0)))</f>
        <v/>
      </c>
      <c r="N38" s="8">
        <f>IF(ISNA(MATCH(25,Engine!$C$2:$C$630,0)),"",INDEX('Compliance Database'!$N$2:$N$630,MATCH(25,Engine!$C$2:$C$630,0)))</f>
        <v/>
      </c>
      <c r="O38" s="8">
        <f>IF(ISNA(MATCH(25,Engine!$C$2:$C$630,0)),"",INDEX('Compliance Database'!$O$2:$O$630,MATCH(25,Engine!$C$2:$C$630,0)))</f>
        <v/>
      </c>
    </row>
    <row r="39">
      <c r="A39">
        <f>IF(ISNA(MATCH(26,Engine!$C$2:$C$630,0)),"",INDEX('Compliance Database'!$A$2:$A$630,MATCH(26,Engine!$C$2:$C$630,0)))</f>
        <v/>
      </c>
      <c r="B39">
        <f>IF(ISNA(MATCH(26,Engine!$C$2:$C$630,0)),"",INDEX('Compliance Database'!$B$2:$B$630,MATCH(26,Engine!$C$2:$C$630,0)))</f>
        <v/>
      </c>
      <c r="C39">
        <f>IF(ISNA(MATCH(26,Engine!$C$2:$C$630,0)),"",INDEX('Compliance Database'!$C$2:$C$630,MATCH(26,Engine!$C$2:$C$630,0)))</f>
        <v/>
      </c>
      <c r="D39" s="8">
        <f>IF(ISNA(MATCH(26,Engine!$C$2:$C$630,0)),"",INDEX('Compliance Database'!$D$2:$D$630,MATCH(26,Engine!$C$2:$C$630,0)))</f>
        <v/>
      </c>
      <c r="E39">
        <f>IF(ISNA(MATCH(26,Engine!$C$2:$C$630,0)),"",INDEX('Compliance Database'!$E$2:$E$630,MATCH(26,Engine!$C$2:$C$630,0)))</f>
        <v/>
      </c>
      <c r="F39">
        <f>IF(ISNA(MATCH(26,Engine!$C$2:$C$630,0)),"",INDEX('Compliance Database'!$F$2:$F$630,MATCH(26,Engine!$C$2:$C$630,0)))</f>
        <v/>
      </c>
      <c r="G39">
        <f>IF(ISNA(MATCH(26,Engine!$C$2:$C$630,0)),"",INDEX('Compliance Database'!$G$2:$G$630,MATCH(26,Engine!$C$2:$C$630,0)))</f>
        <v/>
      </c>
      <c r="H39">
        <f>IF(ISNA(MATCH(26,Engine!$C$2:$C$630,0)),"",INDEX('Compliance Database'!$H$2:$H$630,MATCH(26,Engine!$C$2:$C$630,0)))</f>
        <v/>
      </c>
      <c r="I39" s="8">
        <f>IF(ISNA(MATCH(26,Engine!$C$2:$C$630,0)),"",INDEX('Compliance Database'!$I$2:$I$630,MATCH(26,Engine!$C$2:$C$630,0)))</f>
        <v/>
      </c>
      <c r="J39" s="8">
        <f>IF(ISNA(MATCH(26,Engine!$C$2:$C$630,0)),"",INDEX('Compliance Database'!$J$2:$J$630,MATCH(26,Engine!$C$2:$C$630,0)))</f>
        <v/>
      </c>
      <c r="K39">
        <f>IF(ISNA(MATCH(26,Engine!$C$2:$C$630,0)),"",INDEX('Compliance Database'!$K$2:$K$630,MATCH(26,Engine!$C$2:$C$630,0)))</f>
        <v/>
      </c>
      <c r="L39" s="8">
        <f>IF(ISNA(MATCH(26,Engine!$C$2:$C$630,0)),"",INDEX('Compliance Database'!$L$2:$L$630,MATCH(26,Engine!$C$2:$C$630,0)))</f>
        <v/>
      </c>
      <c r="M39" s="8">
        <f>IF(ISNA(MATCH(26,Engine!$C$2:$C$630,0)),"",INDEX('Compliance Database'!$M$2:$M$630,MATCH(26,Engine!$C$2:$C$630,0)))</f>
        <v/>
      </c>
      <c r="N39" s="8">
        <f>IF(ISNA(MATCH(26,Engine!$C$2:$C$630,0)),"",INDEX('Compliance Database'!$N$2:$N$630,MATCH(26,Engine!$C$2:$C$630,0)))</f>
        <v/>
      </c>
      <c r="O39" s="8">
        <f>IF(ISNA(MATCH(26,Engine!$C$2:$C$630,0)),"",INDEX('Compliance Database'!$O$2:$O$630,MATCH(26,Engine!$C$2:$C$630,0)))</f>
        <v/>
      </c>
    </row>
    <row r="40">
      <c r="A40">
        <f>IF(ISNA(MATCH(27,Engine!$C$2:$C$630,0)),"",INDEX('Compliance Database'!$A$2:$A$630,MATCH(27,Engine!$C$2:$C$630,0)))</f>
        <v/>
      </c>
      <c r="B40">
        <f>IF(ISNA(MATCH(27,Engine!$C$2:$C$630,0)),"",INDEX('Compliance Database'!$B$2:$B$630,MATCH(27,Engine!$C$2:$C$630,0)))</f>
        <v/>
      </c>
      <c r="C40">
        <f>IF(ISNA(MATCH(27,Engine!$C$2:$C$630,0)),"",INDEX('Compliance Database'!$C$2:$C$630,MATCH(27,Engine!$C$2:$C$630,0)))</f>
        <v/>
      </c>
      <c r="D40" s="8">
        <f>IF(ISNA(MATCH(27,Engine!$C$2:$C$630,0)),"",INDEX('Compliance Database'!$D$2:$D$630,MATCH(27,Engine!$C$2:$C$630,0)))</f>
        <v/>
      </c>
      <c r="E40">
        <f>IF(ISNA(MATCH(27,Engine!$C$2:$C$630,0)),"",INDEX('Compliance Database'!$E$2:$E$630,MATCH(27,Engine!$C$2:$C$630,0)))</f>
        <v/>
      </c>
      <c r="F40">
        <f>IF(ISNA(MATCH(27,Engine!$C$2:$C$630,0)),"",INDEX('Compliance Database'!$F$2:$F$630,MATCH(27,Engine!$C$2:$C$630,0)))</f>
        <v/>
      </c>
      <c r="G40">
        <f>IF(ISNA(MATCH(27,Engine!$C$2:$C$630,0)),"",INDEX('Compliance Database'!$G$2:$G$630,MATCH(27,Engine!$C$2:$C$630,0)))</f>
        <v/>
      </c>
      <c r="H40">
        <f>IF(ISNA(MATCH(27,Engine!$C$2:$C$630,0)),"",INDEX('Compliance Database'!$H$2:$H$630,MATCH(27,Engine!$C$2:$C$630,0)))</f>
        <v/>
      </c>
      <c r="I40" s="8">
        <f>IF(ISNA(MATCH(27,Engine!$C$2:$C$630,0)),"",INDEX('Compliance Database'!$I$2:$I$630,MATCH(27,Engine!$C$2:$C$630,0)))</f>
        <v/>
      </c>
      <c r="J40" s="8">
        <f>IF(ISNA(MATCH(27,Engine!$C$2:$C$630,0)),"",INDEX('Compliance Database'!$J$2:$J$630,MATCH(27,Engine!$C$2:$C$630,0)))</f>
        <v/>
      </c>
      <c r="K40">
        <f>IF(ISNA(MATCH(27,Engine!$C$2:$C$630,0)),"",INDEX('Compliance Database'!$K$2:$K$630,MATCH(27,Engine!$C$2:$C$630,0)))</f>
        <v/>
      </c>
      <c r="L40" s="8">
        <f>IF(ISNA(MATCH(27,Engine!$C$2:$C$630,0)),"",INDEX('Compliance Database'!$L$2:$L$630,MATCH(27,Engine!$C$2:$C$630,0)))</f>
        <v/>
      </c>
      <c r="M40" s="8">
        <f>IF(ISNA(MATCH(27,Engine!$C$2:$C$630,0)),"",INDEX('Compliance Database'!$M$2:$M$630,MATCH(27,Engine!$C$2:$C$630,0)))</f>
        <v/>
      </c>
      <c r="N40" s="8">
        <f>IF(ISNA(MATCH(27,Engine!$C$2:$C$630,0)),"",INDEX('Compliance Database'!$N$2:$N$630,MATCH(27,Engine!$C$2:$C$630,0)))</f>
        <v/>
      </c>
      <c r="O40" s="8">
        <f>IF(ISNA(MATCH(27,Engine!$C$2:$C$630,0)),"",INDEX('Compliance Database'!$O$2:$O$630,MATCH(27,Engine!$C$2:$C$630,0)))</f>
        <v/>
      </c>
    </row>
    <row r="41">
      <c r="A41">
        <f>IF(ISNA(MATCH(28,Engine!$C$2:$C$630,0)),"",INDEX('Compliance Database'!$A$2:$A$630,MATCH(28,Engine!$C$2:$C$630,0)))</f>
        <v/>
      </c>
      <c r="B41">
        <f>IF(ISNA(MATCH(28,Engine!$C$2:$C$630,0)),"",INDEX('Compliance Database'!$B$2:$B$630,MATCH(28,Engine!$C$2:$C$630,0)))</f>
        <v/>
      </c>
      <c r="C41">
        <f>IF(ISNA(MATCH(28,Engine!$C$2:$C$630,0)),"",INDEX('Compliance Database'!$C$2:$C$630,MATCH(28,Engine!$C$2:$C$630,0)))</f>
        <v/>
      </c>
      <c r="D41" s="8">
        <f>IF(ISNA(MATCH(28,Engine!$C$2:$C$630,0)),"",INDEX('Compliance Database'!$D$2:$D$630,MATCH(28,Engine!$C$2:$C$630,0)))</f>
        <v/>
      </c>
      <c r="E41">
        <f>IF(ISNA(MATCH(28,Engine!$C$2:$C$630,0)),"",INDEX('Compliance Database'!$E$2:$E$630,MATCH(28,Engine!$C$2:$C$630,0)))</f>
        <v/>
      </c>
      <c r="F41">
        <f>IF(ISNA(MATCH(28,Engine!$C$2:$C$630,0)),"",INDEX('Compliance Database'!$F$2:$F$630,MATCH(28,Engine!$C$2:$C$630,0)))</f>
        <v/>
      </c>
      <c r="G41">
        <f>IF(ISNA(MATCH(28,Engine!$C$2:$C$630,0)),"",INDEX('Compliance Database'!$G$2:$G$630,MATCH(28,Engine!$C$2:$C$630,0)))</f>
        <v/>
      </c>
      <c r="H41">
        <f>IF(ISNA(MATCH(28,Engine!$C$2:$C$630,0)),"",INDEX('Compliance Database'!$H$2:$H$630,MATCH(28,Engine!$C$2:$C$630,0)))</f>
        <v/>
      </c>
      <c r="I41" s="8">
        <f>IF(ISNA(MATCH(28,Engine!$C$2:$C$630,0)),"",INDEX('Compliance Database'!$I$2:$I$630,MATCH(28,Engine!$C$2:$C$630,0)))</f>
        <v/>
      </c>
      <c r="J41" s="8">
        <f>IF(ISNA(MATCH(28,Engine!$C$2:$C$630,0)),"",INDEX('Compliance Database'!$J$2:$J$630,MATCH(28,Engine!$C$2:$C$630,0)))</f>
        <v/>
      </c>
      <c r="K41">
        <f>IF(ISNA(MATCH(28,Engine!$C$2:$C$630,0)),"",INDEX('Compliance Database'!$K$2:$K$630,MATCH(28,Engine!$C$2:$C$630,0)))</f>
        <v/>
      </c>
      <c r="L41" s="8">
        <f>IF(ISNA(MATCH(28,Engine!$C$2:$C$630,0)),"",INDEX('Compliance Database'!$L$2:$L$630,MATCH(28,Engine!$C$2:$C$630,0)))</f>
        <v/>
      </c>
      <c r="M41" s="8">
        <f>IF(ISNA(MATCH(28,Engine!$C$2:$C$630,0)),"",INDEX('Compliance Database'!$M$2:$M$630,MATCH(28,Engine!$C$2:$C$630,0)))</f>
        <v/>
      </c>
      <c r="N41" s="8">
        <f>IF(ISNA(MATCH(28,Engine!$C$2:$C$630,0)),"",INDEX('Compliance Database'!$N$2:$N$630,MATCH(28,Engine!$C$2:$C$630,0)))</f>
        <v/>
      </c>
      <c r="O41" s="8">
        <f>IF(ISNA(MATCH(28,Engine!$C$2:$C$630,0)),"",INDEX('Compliance Database'!$O$2:$O$630,MATCH(28,Engine!$C$2:$C$630,0)))</f>
        <v/>
      </c>
    </row>
    <row r="42">
      <c r="A42">
        <f>IF(ISNA(MATCH(29,Engine!$C$2:$C$630,0)),"",INDEX('Compliance Database'!$A$2:$A$630,MATCH(29,Engine!$C$2:$C$630,0)))</f>
        <v/>
      </c>
      <c r="B42">
        <f>IF(ISNA(MATCH(29,Engine!$C$2:$C$630,0)),"",INDEX('Compliance Database'!$B$2:$B$630,MATCH(29,Engine!$C$2:$C$630,0)))</f>
        <v/>
      </c>
      <c r="C42">
        <f>IF(ISNA(MATCH(29,Engine!$C$2:$C$630,0)),"",INDEX('Compliance Database'!$C$2:$C$630,MATCH(29,Engine!$C$2:$C$630,0)))</f>
        <v/>
      </c>
      <c r="D42" s="8">
        <f>IF(ISNA(MATCH(29,Engine!$C$2:$C$630,0)),"",INDEX('Compliance Database'!$D$2:$D$630,MATCH(29,Engine!$C$2:$C$630,0)))</f>
        <v/>
      </c>
      <c r="E42">
        <f>IF(ISNA(MATCH(29,Engine!$C$2:$C$630,0)),"",INDEX('Compliance Database'!$E$2:$E$630,MATCH(29,Engine!$C$2:$C$630,0)))</f>
        <v/>
      </c>
      <c r="F42">
        <f>IF(ISNA(MATCH(29,Engine!$C$2:$C$630,0)),"",INDEX('Compliance Database'!$F$2:$F$630,MATCH(29,Engine!$C$2:$C$630,0)))</f>
        <v/>
      </c>
      <c r="G42">
        <f>IF(ISNA(MATCH(29,Engine!$C$2:$C$630,0)),"",INDEX('Compliance Database'!$G$2:$G$630,MATCH(29,Engine!$C$2:$C$630,0)))</f>
        <v/>
      </c>
      <c r="H42">
        <f>IF(ISNA(MATCH(29,Engine!$C$2:$C$630,0)),"",INDEX('Compliance Database'!$H$2:$H$630,MATCH(29,Engine!$C$2:$C$630,0)))</f>
        <v/>
      </c>
      <c r="I42" s="8">
        <f>IF(ISNA(MATCH(29,Engine!$C$2:$C$630,0)),"",INDEX('Compliance Database'!$I$2:$I$630,MATCH(29,Engine!$C$2:$C$630,0)))</f>
        <v/>
      </c>
      <c r="J42" s="8">
        <f>IF(ISNA(MATCH(29,Engine!$C$2:$C$630,0)),"",INDEX('Compliance Database'!$J$2:$J$630,MATCH(29,Engine!$C$2:$C$630,0)))</f>
        <v/>
      </c>
      <c r="K42">
        <f>IF(ISNA(MATCH(29,Engine!$C$2:$C$630,0)),"",INDEX('Compliance Database'!$K$2:$K$630,MATCH(29,Engine!$C$2:$C$630,0)))</f>
        <v/>
      </c>
      <c r="L42" s="8">
        <f>IF(ISNA(MATCH(29,Engine!$C$2:$C$630,0)),"",INDEX('Compliance Database'!$L$2:$L$630,MATCH(29,Engine!$C$2:$C$630,0)))</f>
        <v/>
      </c>
      <c r="M42" s="8">
        <f>IF(ISNA(MATCH(29,Engine!$C$2:$C$630,0)),"",INDEX('Compliance Database'!$M$2:$M$630,MATCH(29,Engine!$C$2:$C$630,0)))</f>
        <v/>
      </c>
      <c r="N42" s="8">
        <f>IF(ISNA(MATCH(29,Engine!$C$2:$C$630,0)),"",INDEX('Compliance Database'!$N$2:$N$630,MATCH(29,Engine!$C$2:$C$630,0)))</f>
        <v/>
      </c>
      <c r="O42" s="8">
        <f>IF(ISNA(MATCH(29,Engine!$C$2:$C$630,0)),"",INDEX('Compliance Database'!$O$2:$O$630,MATCH(29,Engine!$C$2:$C$630,0)))</f>
        <v/>
      </c>
    </row>
    <row r="43">
      <c r="A43">
        <f>IF(ISNA(MATCH(30,Engine!$C$2:$C$630,0)),"",INDEX('Compliance Database'!$A$2:$A$630,MATCH(30,Engine!$C$2:$C$630,0)))</f>
        <v/>
      </c>
      <c r="B43">
        <f>IF(ISNA(MATCH(30,Engine!$C$2:$C$630,0)),"",INDEX('Compliance Database'!$B$2:$B$630,MATCH(30,Engine!$C$2:$C$630,0)))</f>
        <v/>
      </c>
      <c r="C43">
        <f>IF(ISNA(MATCH(30,Engine!$C$2:$C$630,0)),"",INDEX('Compliance Database'!$C$2:$C$630,MATCH(30,Engine!$C$2:$C$630,0)))</f>
        <v/>
      </c>
      <c r="D43" s="8">
        <f>IF(ISNA(MATCH(30,Engine!$C$2:$C$630,0)),"",INDEX('Compliance Database'!$D$2:$D$630,MATCH(30,Engine!$C$2:$C$630,0)))</f>
        <v/>
      </c>
      <c r="E43">
        <f>IF(ISNA(MATCH(30,Engine!$C$2:$C$630,0)),"",INDEX('Compliance Database'!$E$2:$E$630,MATCH(30,Engine!$C$2:$C$630,0)))</f>
        <v/>
      </c>
      <c r="F43">
        <f>IF(ISNA(MATCH(30,Engine!$C$2:$C$630,0)),"",INDEX('Compliance Database'!$F$2:$F$630,MATCH(30,Engine!$C$2:$C$630,0)))</f>
        <v/>
      </c>
      <c r="G43">
        <f>IF(ISNA(MATCH(30,Engine!$C$2:$C$630,0)),"",INDEX('Compliance Database'!$G$2:$G$630,MATCH(30,Engine!$C$2:$C$630,0)))</f>
        <v/>
      </c>
      <c r="H43">
        <f>IF(ISNA(MATCH(30,Engine!$C$2:$C$630,0)),"",INDEX('Compliance Database'!$H$2:$H$630,MATCH(30,Engine!$C$2:$C$630,0)))</f>
        <v/>
      </c>
      <c r="I43" s="8">
        <f>IF(ISNA(MATCH(30,Engine!$C$2:$C$630,0)),"",INDEX('Compliance Database'!$I$2:$I$630,MATCH(30,Engine!$C$2:$C$630,0)))</f>
        <v/>
      </c>
      <c r="J43" s="8">
        <f>IF(ISNA(MATCH(30,Engine!$C$2:$C$630,0)),"",INDEX('Compliance Database'!$J$2:$J$630,MATCH(30,Engine!$C$2:$C$630,0)))</f>
        <v/>
      </c>
      <c r="K43">
        <f>IF(ISNA(MATCH(30,Engine!$C$2:$C$630,0)),"",INDEX('Compliance Database'!$K$2:$K$630,MATCH(30,Engine!$C$2:$C$630,0)))</f>
        <v/>
      </c>
      <c r="L43" s="8">
        <f>IF(ISNA(MATCH(30,Engine!$C$2:$C$630,0)),"",INDEX('Compliance Database'!$L$2:$L$630,MATCH(30,Engine!$C$2:$C$630,0)))</f>
        <v/>
      </c>
      <c r="M43" s="8">
        <f>IF(ISNA(MATCH(30,Engine!$C$2:$C$630,0)),"",INDEX('Compliance Database'!$M$2:$M$630,MATCH(30,Engine!$C$2:$C$630,0)))</f>
        <v/>
      </c>
      <c r="N43" s="8">
        <f>IF(ISNA(MATCH(30,Engine!$C$2:$C$630,0)),"",INDEX('Compliance Database'!$N$2:$N$630,MATCH(30,Engine!$C$2:$C$630,0)))</f>
        <v/>
      </c>
      <c r="O43" s="8">
        <f>IF(ISNA(MATCH(30,Engine!$C$2:$C$630,0)),"",INDEX('Compliance Database'!$O$2:$O$630,MATCH(30,Engine!$C$2:$C$630,0)))</f>
        <v/>
      </c>
    </row>
    <row r="44">
      <c r="A44">
        <f>IF(ISNA(MATCH(31,Engine!$C$2:$C$630,0)),"",INDEX('Compliance Database'!$A$2:$A$630,MATCH(31,Engine!$C$2:$C$630,0)))</f>
        <v/>
      </c>
      <c r="B44">
        <f>IF(ISNA(MATCH(31,Engine!$C$2:$C$630,0)),"",INDEX('Compliance Database'!$B$2:$B$630,MATCH(31,Engine!$C$2:$C$630,0)))</f>
        <v/>
      </c>
      <c r="C44">
        <f>IF(ISNA(MATCH(31,Engine!$C$2:$C$630,0)),"",INDEX('Compliance Database'!$C$2:$C$630,MATCH(31,Engine!$C$2:$C$630,0)))</f>
        <v/>
      </c>
      <c r="D44" s="8">
        <f>IF(ISNA(MATCH(31,Engine!$C$2:$C$630,0)),"",INDEX('Compliance Database'!$D$2:$D$630,MATCH(31,Engine!$C$2:$C$630,0)))</f>
        <v/>
      </c>
      <c r="E44">
        <f>IF(ISNA(MATCH(31,Engine!$C$2:$C$630,0)),"",INDEX('Compliance Database'!$E$2:$E$630,MATCH(31,Engine!$C$2:$C$630,0)))</f>
        <v/>
      </c>
      <c r="F44">
        <f>IF(ISNA(MATCH(31,Engine!$C$2:$C$630,0)),"",INDEX('Compliance Database'!$F$2:$F$630,MATCH(31,Engine!$C$2:$C$630,0)))</f>
        <v/>
      </c>
      <c r="G44">
        <f>IF(ISNA(MATCH(31,Engine!$C$2:$C$630,0)),"",INDEX('Compliance Database'!$G$2:$G$630,MATCH(31,Engine!$C$2:$C$630,0)))</f>
        <v/>
      </c>
      <c r="H44">
        <f>IF(ISNA(MATCH(31,Engine!$C$2:$C$630,0)),"",INDEX('Compliance Database'!$H$2:$H$630,MATCH(31,Engine!$C$2:$C$630,0)))</f>
        <v/>
      </c>
      <c r="I44" s="8">
        <f>IF(ISNA(MATCH(31,Engine!$C$2:$C$630,0)),"",INDEX('Compliance Database'!$I$2:$I$630,MATCH(31,Engine!$C$2:$C$630,0)))</f>
        <v/>
      </c>
      <c r="J44" s="8">
        <f>IF(ISNA(MATCH(31,Engine!$C$2:$C$630,0)),"",INDEX('Compliance Database'!$J$2:$J$630,MATCH(31,Engine!$C$2:$C$630,0)))</f>
        <v/>
      </c>
      <c r="K44">
        <f>IF(ISNA(MATCH(31,Engine!$C$2:$C$630,0)),"",INDEX('Compliance Database'!$K$2:$K$630,MATCH(31,Engine!$C$2:$C$630,0)))</f>
        <v/>
      </c>
      <c r="L44" s="8">
        <f>IF(ISNA(MATCH(31,Engine!$C$2:$C$630,0)),"",INDEX('Compliance Database'!$L$2:$L$630,MATCH(31,Engine!$C$2:$C$630,0)))</f>
        <v/>
      </c>
      <c r="M44" s="8">
        <f>IF(ISNA(MATCH(31,Engine!$C$2:$C$630,0)),"",INDEX('Compliance Database'!$M$2:$M$630,MATCH(31,Engine!$C$2:$C$630,0)))</f>
        <v/>
      </c>
      <c r="N44" s="8">
        <f>IF(ISNA(MATCH(31,Engine!$C$2:$C$630,0)),"",INDEX('Compliance Database'!$N$2:$N$630,MATCH(31,Engine!$C$2:$C$630,0)))</f>
        <v/>
      </c>
      <c r="O44" s="8">
        <f>IF(ISNA(MATCH(31,Engine!$C$2:$C$630,0)),"",INDEX('Compliance Database'!$O$2:$O$630,MATCH(31,Engine!$C$2:$C$630,0)))</f>
        <v/>
      </c>
    </row>
    <row r="45">
      <c r="A45">
        <f>IF(ISNA(MATCH(32,Engine!$C$2:$C$630,0)),"",INDEX('Compliance Database'!$A$2:$A$630,MATCH(32,Engine!$C$2:$C$630,0)))</f>
        <v/>
      </c>
      <c r="B45">
        <f>IF(ISNA(MATCH(32,Engine!$C$2:$C$630,0)),"",INDEX('Compliance Database'!$B$2:$B$630,MATCH(32,Engine!$C$2:$C$630,0)))</f>
        <v/>
      </c>
      <c r="C45">
        <f>IF(ISNA(MATCH(32,Engine!$C$2:$C$630,0)),"",INDEX('Compliance Database'!$C$2:$C$630,MATCH(32,Engine!$C$2:$C$630,0)))</f>
        <v/>
      </c>
      <c r="D45" s="8">
        <f>IF(ISNA(MATCH(32,Engine!$C$2:$C$630,0)),"",INDEX('Compliance Database'!$D$2:$D$630,MATCH(32,Engine!$C$2:$C$630,0)))</f>
        <v/>
      </c>
      <c r="E45">
        <f>IF(ISNA(MATCH(32,Engine!$C$2:$C$630,0)),"",INDEX('Compliance Database'!$E$2:$E$630,MATCH(32,Engine!$C$2:$C$630,0)))</f>
        <v/>
      </c>
      <c r="F45">
        <f>IF(ISNA(MATCH(32,Engine!$C$2:$C$630,0)),"",INDEX('Compliance Database'!$F$2:$F$630,MATCH(32,Engine!$C$2:$C$630,0)))</f>
        <v/>
      </c>
      <c r="G45">
        <f>IF(ISNA(MATCH(32,Engine!$C$2:$C$630,0)),"",INDEX('Compliance Database'!$G$2:$G$630,MATCH(32,Engine!$C$2:$C$630,0)))</f>
        <v/>
      </c>
      <c r="H45">
        <f>IF(ISNA(MATCH(32,Engine!$C$2:$C$630,0)),"",INDEX('Compliance Database'!$H$2:$H$630,MATCH(32,Engine!$C$2:$C$630,0)))</f>
        <v/>
      </c>
      <c r="I45" s="8">
        <f>IF(ISNA(MATCH(32,Engine!$C$2:$C$630,0)),"",INDEX('Compliance Database'!$I$2:$I$630,MATCH(32,Engine!$C$2:$C$630,0)))</f>
        <v/>
      </c>
      <c r="J45" s="8">
        <f>IF(ISNA(MATCH(32,Engine!$C$2:$C$630,0)),"",INDEX('Compliance Database'!$J$2:$J$630,MATCH(32,Engine!$C$2:$C$630,0)))</f>
        <v/>
      </c>
      <c r="K45">
        <f>IF(ISNA(MATCH(32,Engine!$C$2:$C$630,0)),"",INDEX('Compliance Database'!$K$2:$K$630,MATCH(32,Engine!$C$2:$C$630,0)))</f>
        <v/>
      </c>
      <c r="L45" s="8">
        <f>IF(ISNA(MATCH(32,Engine!$C$2:$C$630,0)),"",INDEX('Compliance Database'!$L$2:$L$630,MATCH(32,Engine!$C$2:$C$630,0)))</f>
        <v/>
      </c>
      <c r="M45" s="8">
        <f>IF(ISNA(MATCH(32,Engine!$C$2:$C$630,0)),"",INDEX('Compliance Database'!$M$2:$M$630,MATCH(32,Engine!$C$2:$C$630,0)))</f>
        <v/>
      </c>
      <c r="N45" s="8">
        <f>IF(ISNA(MATCH(32,Engine!$C$2:$C$630,0)),"",INDEX('Compliance Database'!$N$2:$N$630,MATCH(32,Engine!$C$2:$C$630,0)))</f>
        <v/>
      </c>
      <c r="O45" s="8">
        <f>IF(ISNA(MATCH(32,Engine!$C$2:$C$630,0)),"",INDEX('Compliance Database'!$O$2:$O$630,MATCH(32,Engine!$C$2:$C$630,0)))</f>
        <v/>
      </c>
    </row>
    <row r="46">
      <c r="A46">
        <f>IF(ISNA(MATCH(33,Engine!$C$2:$C$630,0)),"",INDEX('Compliance Database'!$A$2:$A$630,MATCH(33,Engine!$C$2:$C$630,0)))</f>
        <v/>
      </c>
      <c r="B46">
        <f>IF(ISNA(MATCH(33,Engine!$C$2:$C$630,0)),"",INDEX('Compliance Database'!$B$2:$B$630,MATCH(33,Engine!$C$2:$C$630,0)))</f>
        <v/>
      </c>
      <c r="C46">
        <f>IF(ISNA(MATCH(33,Engine!$C$2:$C$630,0)),"",INDEX('Compliance Database'!$C$2:$C$630,MATCH(33,Engine!$C$2:$C$630,0)))</f>
        <v/>
      </c>
      <c r="D46" s="8">
        <f>IF(ISNA(MATCH(33,Engine!$C$2:$C$630,0)),"",INDEX('Compliance Database'!$D$2:$D$630,MATCH(33,Engine!$C$2:$C$630,0)))</f>
        <v/>
      </c>
      <c r="E46">
        <f>IF(ISNA(MATCH(33,Engine!$C$2:$C$630,0)),"",INDEX('Compliance Database'!$E$2:$E$630,MATCH(33,Engine!$C$2:$C$630,0)))</f>
        <v/>
      </c>
      <c r="F46">
        <f>IF(ISNA(MATCH(33,Engine!$C$2:$C$630,0)),"",INDEX('Compliance Database'!$F$2:$F$630,MATCH(33,Engine!$C$2:$C$630,0)))</f>
        <v/>
      </c>
      <c r="G46">
        <f>IF(ISNA(MATCH(33,Engine!$C$2:$C$630,0)),"",INDEX('Compliance Database'!$G$2:$G$630,MATCH(33,Engine!$C$2:$C$630,0)))</f>
        <v/>
      </c>
      <c r="H46">
        <f>IF(ISNA(MATCH(33,Engine!$C$2:$C$630,0)),"",INDEX('Compliance Database'!$H$2:$H$630,MATCH(33,Engine!$C$2:$C$630,0)))</f>
        <v/>
      </c>
      <c r="I46" s="8">
        <f>IF(ISNA(MATCH(33,Engine!$C$2:$C$630,0)),"",INDEX('Compliance Database'!$I$2:$I$630,MATCH(33,Engine!$C$2:$C$630,0)))</f>
        <v/>
      </c>
      <c r="J46" s="8">
        <f>IF(ISNA(MATCH(33,Engine!$C$2:$C$630,0)),"",INDEX('Compliance Database'!$J$2:$J$630,MATCH(33,Engine!$C$2:$C$630,0)))</f>
        <v/>
      </c>
      <c r="K46">
        <f>IF(ISNA(MATCH(33,Engine!$C$2:$C$630,0)),"",INDEX('Compliance Database'!$K$2:$K$630,MATCH(33,Engine!$C$2:$C$630,0)))</f>
        <v/>
      </c>
      <c r="L46" s="8">
        <f>IF(ISNA(MATCH(33,Engine!$C$2:$C$630,0)),"",INDEX('Compliance Database'!$L$2:$L$630,MATCH(33,Engine!$C$2:$C$630,0)))</f>
        <v/>
      </c>
      <c r="M46" s="8">
        <f>IF(ISNA(MATCH(33,Engine!$C$2:$C$630,0)),"",INDEX('Compliance Database'!$M$2:$M$630,MATCH(33,Engine!$C$2:$C$630,0)))</f>
        <v/>
      </c>
      <c r="N46" s="8">
        <f>IF(ISNA(MATCH(33,Engine!$C$2:$C$630,0)),"",INDEX('Compliance Database'!$N$2:$N$630,MATCH(33,Engine!$C$2:$C$630,0)))</f>
        <v/>
      </c>
      <c r="O46" s="8">
        <f>IF(ISNA(MATCH(33,Engine!$C$2:$C$630,0)),"",INDEX('Compliance Database'!$O$2:$O$630,MATCH(33,Engine!$C$2:$C$630,0)))</f>
        <v/>
      </c>
    </row>
    <row r="47">
      <c r="A47">
        <f>IF(ISNA(MATCH(34,Engine!$C$2:$C$630,0)),"",INDEX('Compliance Database'!$A$2:$A$630,MATCH(34,Engine!$C$2:$C$630,0)))</f>
        <v/>
      </c>
      <c r="B47">
        <f>IF(ISNA(MATCH(34,Engine!$C$2:$C$630,0)),"",INDEX('Compliance Database'!$B$2:$B$630,MATCH(34,Engine!$C$2:$C$630,0)))</f>
        <v/>
      </c>
      <c r="C47">
        <f>IF(ISNA(MATCH(34,Engine!$C$2:$C$630,0)),"",INDEX('Compliance Database'!$C$2:$C$630,MATCH(34,Engine!$C$2:$C$630,0)))</f>
        <v/>
      </c>
      <c r="D47" s="8">
        <f>IF(ISNA(MATCH(34,Engine!$C$2:$C$630,0)),"",INDEX('Compliance Database'!$D$2:$D$630,MATCH(34,Engine!$C$2:$C$630,0)))</f>
        <v/>
      </c>
      <c r="E47">
        <f>IF(ISNA(MATCH(34,Engine!$C$2:$C$630,0)),"",INDEX('Compliance Database'!$E$2:$E$630,MATCH(34,Engine!$C$2:$C$630,0)))</f>
        <v/>
      </c>
      <c r="F47">
        <f>IF(ISNA(MATCH(34,Engine!$C$2:$C$630,0)),"",INDEX('Compliance Database'!$F$2:$F$630,MATCH(34,Engine!$C$2:$C$630,0)))</f>
        <v/>
      </c>
      <c r="G47">
        <f>IF(ISNA(MATCH(34,Engine!$C$2:$C$630,0)),"",INDEX('Compliance Database'!$G$2:$G$630,MATCH(34,Engine!$C$2:$C$630,0)))</f>
        <v/>
      </c>
      <c r="H47">
        <f>IF(ISNA(MATCH(34,Engine!$C$2:$C$630,0)),"",INDEX('Compliance Database'!$H$2:$H$630,MATCH(34,Engine!$C$2:$C$630,0)))</f>
        <v/>
      </c>
      <c r="I47" s="8">
        <f>IF(ISNA(MATCH(34,Engine!$C$2:$C$630,0)),"",INDEX('Compliance Database'!$I$2:$I$630,MATCH(34,Engine!$C$2:$C$630,0)))</f>
        <v/>
      </c>
      <c r="J47" s="8">
        <f>IF(ISNA(MATCH(34,Engine!$C$2:$C$630,0)),"",INDEX('Compliance Database'!$J$2:$J$630,MATCH(34,Engine!$C$2:$C$630,0)))</f>
        <v/>
      </c>
      <c r="K47">
        <f>IF(ISNA(MATCH(34,Engine!$C$2:$C$630,0)),"",INDEX('Compliance Database'!$K$2:$K$630,MATCH(34,Engine!$C$2:$C$630,0)))</f>
        <v/>
      </c>
      <c r="L47" s="8">
        <f>IF(ISNA(MATCH(34,Engine!$C$2:$C$630,0)),"",INDEX('Compliance Database'!$L$2:$L$630,MATCH(34,Engine!$C$2:$C$630,0)))</f>
        <v/>
      </c>
      <c r="M47" s="8">
        <f>IF(ISNA(MATCH(34,Engine!$C$2:$C$630,0)),"",INDEX('Compliance Database'!$M$2:$M$630,MATCH(34,Engine!$C$2:$C$630,0)))</f>
        <v/>
      </c>
      <c r="N47" s="8">
        <f>IF(ISNA(MATCH(34,Engine!$C$2:$C$630,0)),"",INDEX('Compliance Database'!$N$2:$N$630,MATCH(34,Engine!$C$2:$C$630,0)))</f>
        <v/>
      </c>
      <c r="O47" s="8">
        <f>IF(ISNA(MATCH(34,Engine!$C$2:$C$630,0)),"",INDEX('Compliance Database'!$O$2:$O$630,MATCH(34,Engine!$C$2:$C$630,0)))</f>
        <v/>
      </c>
    </row>
    <row r="48">
      <c r="A48">
        <f>IF(ISNA(MATCH(35,Engine!$C$2:$C$630,0)),"",INDEX('Compliance Database'!$A$2:$A$630,MATCH(35,Engine!$C$2:$C$630,0)))</f>
        <v/>
      </c>
      <c r="B48">
        <f>IF(ISNA(MATCH(35,Engine!$C$2:$C$630,0)),"",INDEX('Compliance Database'!$B$2:$B$630,MATCH(35,Engine!$C$2:$C$630,0)))</f>
        <v/>
      </c>
      <c r="C48">
        <f>IF(ISNA(MATCH(35,Engine!$C$2:$C$630,0)),"",INDEX('Compliance Database'!$C$2:$C$630,MATCH(35,Engine!$C$2:$C$630,0)))</f>
        <v/>
      </c>
      <c r="D48" s="8">
        <f>IF(ISNA(MATCH(35,Engine!$C$2:$C$630,0)),"",INDEX('Compliance Database'!$D$2:$D$630,MATCH(35,Engine!$C$2:$C$630,0)))</f>
        <v/>
      </c>
      <c r="E48">
        <f>IF(ISNA(MATCH(35,Engine!$C$2:$C$630,0)),"",INDEX('Compliance Database'!$E$2:$E$630,MATCH(35,Engine!$C$2:$C$630,0)))</f>
        <v/>
      </c>
      <c r="F48">
        <f>IF(ISNA(MATCH(35,Engine!$C$2:$C$630,0)),"",INDEX('Compliance Database'!$F$2:$F$630,MATCH(35,Engine!$C$2:$C$630,0)))</f>
        <v/>
      </c>
      <c r="G48">
        <f>IF(ISNA(MATCH(35,Engine!$C$2:$C$630,0)),"",INDEX('Compliance Database'!$G$2:$G$630,MATCH(35,Engine!$C$2:$C$630,0)))</f>
        <v/>
      </c>
      <c r="H48">
        <f>IF(ISNA(MATCH(35,Engine!$C$2:$C$630,0)),"",INDEX('Compliance Database'!$H$2:$H$630,MATCH(35,Engine!$C$2:$C$630,0)))</f>
        <v/>
      </c>
      <c r="I48" s="8">
        <f>IF(ISNA(MATCH(35,Engine!$C$2:$C$630,0)),"",INDEX('Compliance Database'!$I$2:$I$630,MATCH(35,Engine!$C$2:$C$630,0)))</f>
        <v/>
      </c>
      <c r="J48" s="8">
        <f>IF(ISNA(MATCH(35,Engine!$C$2:$C$630,0)),"",INDEX('Compliance Database'!$J$2:$J$630,MATCH(35,Engine!$C$2:$C$630,0)))</f>
        <v/>
      </c>
      <c r="K48">
        <f>IF(ISNA(MATCH(35,Engine!$C$2:$C$630,0)),"",INDEX('Compliance Database'!$K$2:$K$630,MATCH(35,Engine!$C$2:$C$630,0)))</f>
        <v/>
      </c>
      <c r="L48" s="8">
        <f>IF(ISNA(MATCH(35,Engine!$C$2:$C$630,0)),"",INDEX('Compliance Database'!$L$2:$L$630,MATCH(35,Engine!$C$2:$C$630,0)))</f>
        <v/>
      </c>
      <c r="M48" s="8">
        <f>IF(ISNA(MATCH(35,Engine!$C$2:$C$630,0)),"",INDEX('Compliance Database'!$M$2:$M$630,MATCH(35,Engine!$C$2:$C$630,0)))</f>
        <v/>
      </c>
      <c r="N48" s="8">
        <f>IF(ISNA(MATCH(35,Engine!$C$2:$C$630,0)),"",INDEX('Compliance Database'!$N$2:$N$630,MATCH(35,Engine!$C$2:$C$630,0)))</f>
        <v/>
      </c>
      <c r="O48" s="8">
        <f>IF(ISNA(MATCH(35,Engine!$C$2:$C$630,0)),"",INDEX('Compliance Database'!$O$2:$O$630,MATCH(35,Engine!$C$2:$C$630,0)))</f>
        <v/>
      </c>
    </row>
    <row r="49">
      <c r="A49">
        <f>IF(ISNA(MATCH(36,Engine!$C$2:$C$630,0)),"",INDEX('Compliance Database'!$A$2:$A$630,MATCH(36,Engine!$C$2:$C$630,0)))</f>
        <v/>
      </c>
      <c r="B49">
        <f>IF(ISNA(MATCH(36,Engine!$C$2:$C$630,0)),"",INDEX('Compliance Database'!$B$2:$B$630,MATCH(36,Engine!$C$2:$C$630,0)))</f>
        <v/>
      </c>
      <c r="C49">
        <f>IF(ISNA(MATCH(36,Engine!$C$2:$C$630,0)),"",INDEX('Compliance Database'!$C$2:$C$630,MATCH(36,Engine!$C$2:$C$630,0)))</f>
        <v/>
      </c>
      <c r="D49" s="8">
        <f>IF(ISNA(MATCH(36,Engine!$C$2:$C$630,0)),"",INDEX('Compliance Database'!$D$2:$D$630,MATCH(36,Engine!$C$2:$C$630,0)))</f>
        <v/>
      </c>
      <c r="E49">
        <f>IF(ISNA(MATCH(36,Engine!$C$2:$C$630,0)),"",INDEX('Compliance Database'!$E$2:$E$630,MATCH(36,Engine!$C$2:$C$630,0)))</f>
        <v/>
      </c>
      <c r="F49">
        <f>IF(ISNA(MATCH(36,Engine!$C$2:$C$630,0)),"",INDEX('Compliance Database'!$F$2:$F$630,MATCH(36,Engine!$C$2:$C$630,0)))</f>
        <v/>
      </c>
      <c r="G49">
        <f>IF(ISNA(MATCH(36,Engine!$C$2:$C$630,0)),"",INDEX('Compliance Database'!$G$2:$G$630,MATCH(36,Engine!$C$2:$C$630,0)))</f>
        <v/>
      </c>
      <c r="H49">
        <f>IF(ISNA(MATCH(36,Engine!$C$2:$C$630,0)),"",INDEX('Compliance Database'!$H$2:$H$630,MATCH(36,Engine!$C$2:$C$630,0)))</f>
        <v/>
      </c>
      <c r="I49" s="8">
        <f>IF(ISNA(MATCH(36,Engine!$C$2:$C$630,0)),"",INDEX('Compliance Database'!$I$2:$I$630,MATCH(36,Engine!$C$2:$C$630,0)))</f>
        <v/>
      </c>
      <c r="J49" s="8">
        <f>IF(ISNA(MATCH(36,Engine!$C$2:$C$630,0)),"",INDEX('Compliance Database'!$J$2:$J$630,MATCH(36,Engine!$C$2:$C$630,0)))</f>
        <v/>
      </c>
      <c r="K49">
        <f>IF(ISNA(MATCH(36,Engine!$C$2:$C$630,0)),"",INDEX('Compliance Database'!$K$2:$K$630,MATCH(36,Engine!$C$2:$C$630,0)))</f>
        <v/>
      </c>
      <c r="L49" s="8">
        <f>IF(ISNA(MATCH(36,Engine!$C$2:$C$630,0)),"",INDEX('Compliance Database'!$L$2:$L$630,MATCH(36,Engine!$C$2:$C$630,0)))</f>
        <v/>
      </c>
      <c r="M49" s="8">
        <f>IF(ISNA(MATCH(36,Engine!$C$2:$C$630,0)),"",INDEX('Compliance Database'!$M$2:$M$630,MATCH(36,Engine!$C$2:$C$630,0)))</f>
        <v/>
      </c>
      <c r="N49" s="8">
        <f>IF(ISNA(MATCH(36,Engine!$C$2:$C$630,0)),"",INDEX('Compliance Database'!$N$2:$N$630,MATCH(36,Engine!$C$2:$C$630,0)))</f>
        <v/>
      </c>
      <c r="O49" s="8">
        <f>IF(ISNA(MATCH(36,Engine!$C$2:$C$630,0)),"",INDEX('Compliance Database'!$O$2:$O$630,MATCH(36,Engine!$C$2:$C$630,0)))</f>
        <v/>
      </c>
    </row>
    <row r="50">
      <c r="A50">
        <f>IF(ISNA(MATCH(37,Engine!$C$2:$C$630,0)),"",INDEX('Compliance Database'!$A$2:$A$630,MATCH(37,Engine!$C$2:$C$630,0)))</f>
        <v/>
      </c>
      <c r="B50">
        <f>IF(ISNA(MATCH(37,Engine!$C$2:$C$630,0)),"",INDEX('Compliance Database'!$B$2:$B$630,MATCH(37,Engine!$C$2:$C$630,0)))</f>
        <v/>
      </c>
      <c r="C50">
        <f>IF(ISNA(MATCH(37,Engine!$C$2:$C$630,0)),"",INDEX('Compliance Database'!$C$2:$C$630,MATCH(37,Engine!$C$2:$C$630,0)))</f>
        <v/>
      </c>
      <c r="D50" s="8">
        <f>IF(ISNA(MATCH(37,Engine!$C$2:$C$630,0)),"",INDEX('Compliance Database'!$D$2:$D$630,MATCH(37,Engine!$C$2:$C$630,0)))</f>
        <v/>
      </c>
      <c r="E50">
        <f>IF(ISNA(MATCH(37,Engine!$C$2:$C$630,0)),"",INDEX('Compliance Database'!$E$2:$E$630,MATCH(37,Engine!$C$2:$C$630,0)))</f>
        <v/>
      </c>
      <c r="F50">
        <f>IF(ISNA(MATCH(37,Engine!$C$2:$C$630,0)),"",INDEX('Compliance Database'!$F$2:$F$630,MATCH(37,Engine!$C$2:$C$630,0)))</f>
        <v/>
      </c>
      <c r="G50">
        <f>IF(ISNA(MATCH(37,Engine!$C$2:$C$630,0)),"",INDEX('Compliance Database'!$G$2:$G$630,MATCH(37,Engine!$C$2:$C$630,0)))</f>
        <v/>
      </c>
      <c r="H50">
        <f>IF(ISNA(MATCH(37,Engine!$C$2:$C$630,0)),"",INDEX('Compliance Database'!$H$2:$H$630,MATCH(37,Engine!$C$2:$C$630,0)))</f>
        <v/>
      </c>
      <c r="I50" s="8">
        <f>IF(ISNA(MATCH(37,Engine!$C$2:$C$630,0)),"",INDEX('Compliance Database'!$I$2:$I$630,MATCH(37,Engine!$C$2:$C$630,0)))</f>
        <v/>
      </c>
      <c r="J50" s="8">
        <f>IF(ISNA(MATCH(37,Engine!$C$2:$C$630,0)),"",INDEX('Compliance Database'!$J$2:$J$630,MATCH(37,Engine!$C$2:$C$630,0)))</f>
        <v/>
      </c>
      <c r="K50">
        <f>IF(ISNA(MATCH(37,Engine!$C$2:$C$630,0)),"",INDEX('Compliance Database'!$K$2:$K$630,MATCH(37,Engine!$C$2:$C$630,0)))</f>
        <v/>
      </c>
      <c r="L50" s="8">
        <f>IF(ISNA(MATCH(37,Engine!$C$2:$C$630,0)),"",INDEX('Compliance Database'!$L$2:$L$630,MATCH(37,Engine!$C$2:$C$630,0)))</f>
        <v/>
      </c>
      <c r="M50" s="8">
        <f>IF(ISNA(MATCH(37,Engine!$C$2:$C$630,0)),"",INDEX('Compliance Database'!$M$2:$M$630,MATCH(37,Engine!$C$2:$C$630,0)))</f>
        <v/>
      </c>
      <c r="N50" s="8">
        <f>IF(ISNA(MATCH(37,Engine!$C$2:$C$630,0)),"",INDEX('Compliance Database'!$N$2:$N$630,MATCH(37,Engine!$C$2:$C$630,0)))</f>
        <v/>
      </c>
      <c r="O50" s="8">
        <f>IF(ISNA(MATCH(37,Engine!$C$2:$C$630,0)),"",INDEX('Compliance Database'!$O$2:$O$630,MATCH(37,Engine!$C$2:$C$630,0)))</f>
        <v/>
      </c>
    </row>
    <row r="51">
      <c r="A51">
        <f>IF(ISNA(MATCH(38,Engine!$C$2:$C$630,0)),"",INDEX('Compliance Database'!$A$2:$A$630,MATCH(38,Engine!$C$2:$C$630,0)))</f>
        <v/>
      </c>
      <c r="B51">
        <f>IF(ISNA(MATCH(38,Engine!$C$2:$C$630,0)),"",INDEX('Compliance Database'!$B$2:$B$630,MATCH(38,Engine!$C$2:$C$630,0)))</f>
        <v/>
      </c>
      <c r="C51">
        <f>IF(ISNA(MATCH(38,Engine!$C$2:$C$630,0)),"",INDEX('Compliance Database'!$C$2:$C$630,MATCH(38,Engine!$C$2:$C$630,0)))</f>
        <v/>
      </c>
      <c r="D51" s="8">
        <f>IF(ISNA(MATCH(38,Engine!$C$2:$C$630,0)),"",INDEX('Compliance Database'!$D$2:$D$630,MATCH(38,Engine!$C$2:$C$630,0)))</f>
        <v/>
      </c>
      <c r="E51">
        <f>IF(ISNA(MATCH(38,Engine!$C$2:$C$630,0)),"",INDEX('Compliance Database'!$E$2:$E$630,MATCH(38,Engine!$C$2:$C$630,0)))</f>
        <v/>
      </c>
      <c r="F51">
        <f>IF(ISNA(MATCH(38,Engine!$C$2:$C$630,0)),"",INDEX('Compliance Database'!$F$2:$F$630,MATCH(38,Engine!$C$2:$C$630,0)))</f>
        <v/>
      </c>
      <c r="G51">
        <f>IF(ISNA(MATCH(38,Engine!$C$2:$C$630,0)),"",INDEX('Compliance Database'!$G$2:$G$630,MATCH(38,Engine!$C$2:$C$630,0)))</f>
        <v/>
      </c>
      <c r="H51">
        <f>IF(ISNA(MATCH(38,Engine!$C$2:$C$630,0)),"",INDEX('Compliance Database'!$H$2:$H$630,MATCH(38,Engine!$C$2:$C$630,0)))</f>
        <v/>
      </c>
      <c r="I51" s="8">
        <f>IF(ISNA(MATCH(38,Engine!$C$2:$C$630,0)),"",INDEX('Compliance Database'!$I$2:$I$630,MATCH(38,Engine!$C$2:$C$630,0)))</f>
        <v/>
      </c>
      <c r="J51" s="8">
        <f>IF(ISNA(MATCH(38,Engine!$C$2:$C$630,0)),"",INDEX('Compliance Database'!$J$2:$J$630,MATCH(38,Engine!$C$2:$C$630,0)))</f>
        <v/>
      </c>
      <c r="K51">
        <f>IF(ISNA(MATCH(38,Engine!$C$2:$C$630,0)),"",INDEX('Compliance Database'!$K$2:$K$630,MATCH(38,Engine!$C$2:$C$630,0)))</f>
        <v/>
      </c>
      <c r="L51" s="8">
        <f>IF(ISNA(MATCH(38,Engine!$C$2:$C$630,0)),"",INDEX('Compliance Database'!$L$2:$L$630,MATCH(38,Engine!$C$2:$C$630,0)))</f>
        <v/>
      </c>
      <c r="M51" s="8">
        <f>IF(ISNA(MATCH(38,Engine!$C$2:$C$630,0)),"",INDEX('Compliance Database'!$M$2:$M$630,MATCH(38,Engine!$C$2:$C$630,0)))</f>
        <v/>
      </c>
      <c r="N51" s="8">
        <f>IF(ISNA(MATCH(38,Engine!$C$2:$C$630,0)),"",INDEX('Compliance Database'!$N$2:$N$630,MATCH(38,Engine!$C$2:$C$630,0)))</f>
        <v/>
      </c>
      <c r="O51" s="8">
        <f>IF(ISNA(MATCH(38,Engine!$C$2:$C$630,0)),"",INDEX('Compliance Database'!$O$2:$O$630,MATCH(38,Engine!$C$2:$C$630,0)))</f>
        <v/>
      </c>
    </row>
    <row r="52">
      <c r="A52">
        <f>IF(ISNA(MATCH(39,Engine!$C$2:$C$630,0)),"",INDEX('Compliance Database'!$A$2:$A$630,MATCH(39,Engine!$C$2:$C$630,0)))</f>
        <v/>
      </c>
      <c r="B52">
        <f>IF(ISNA(MATCH(39,Engine!$C$2:$C$630,0)),"",INDEX('Compliance Database'!$B$2:$B$630,MATCH(39,Engine!$C$2:$C$630,0)))</f>
        <v/>
      </c>
      <c r="C52">
        <f>IF(ISNA(MATCH(39,Engine!$C$2:$C$630,0)),"",INDEX('Compliance Database'!$C$2:$C$630,MATCH(39,Engine!$C$2:$C$630,0)))</f>
        <v/>
      </c>
      <c r="D52" s="8">
        <f>IF(ISNA(MATCH(39,Engine!$C$2:$C$630,0)),"",INDEX('Compliance Database'!$D$2:$D$630,MATCH(39,Engine!$C$2:$C$630,0)))</f>
        <v/>
      </c>
      <c r="E52">
        <f>IF(ISNA(MATCH(39,Engine!$C$2:$C$630,0)),"",INDEX('Compliance Database'!$E$2:$E$630,MATCH(39,Engine!$C$2:$C$630,0)))</f>
        <v/>
      </c>
      <c r="F52">
        <f>IF(ISNA(MATCH(39,Engine!$C$2:$C$630,0)),"",INDEX('Compliance Database'!$F$2:$F$630,MATCH(39,Engine!$C$2:$C$630,0)))</f>
        <v/>
      </c>
      <c r="G52">
        <f>IF(ISNA(MATCH(39,Engine!$C$2:$C$630,0)),"",INDEX('Compliance Database'!$G$2:$G$630,MATCH(39,Engine!$C$2:$C$630,0)))</f>
        <v/>
      </c>
      <c r="H52">
        <f>IF(ISNA(MATCH(39,Engine!$C$2:$C$630,0)),"",INDEX('Compliance Database'!$H$2:$H$630,MATCH(39,Engine!$C$2:$C$630,0)))</f>
        <v/>
      </c>
      <c r="I52" s="8">
        <f>IF(ISNA(MATCH(39,Engine!$C$2:$C$630,0)),"",INDEX('Compliance Database'!$I$2:$I$630,MATCH(39,Engine!$C$2:$C$630,0)))</f>
        <v/>
      </c>
      <c r="J52" s="8">
        <f>IF(ISNA(MATCH(39,Engine!$C$2:$C$630,0)),"",INDEX('Compliance Database'!$J$2:$J$630,MATCH(39,Engine!$C$2:$C$630,0)))</f>
        <v/>
      </c>
      <c r="K52">
        <f>IF(ISNA(MATCH(39,Engine!$C$2:$C$630,0)),"",INDEX('Compliance Database'!$K$2:$K$630,MATCH(39,Engine!$C$2:$C$630,0)))</f>
        <v/>
      </c>
      <c r="L52" s="8">
        <f>IF(ISNA(MATCH(39,Engine!$C$2:$C$630,0)),"",INDEX('Compliance Database'!$L$2:$L$630,MATCH(39,Engine!$C$2:$C$630,0)))</f>
        <v/>
      </c>
      <c r="M52" s="8">
        <f>IF(ISNA(MATCH(39,Engine!$C$2:$C$630,0)),"",INDEX('Compliance Database'!$M$2:$M$630,MATCH(39,Engine!$C$2:$C$630,0)))</f>
        <v/>
      </c>
      <c r="N52" s="8">
        <f>IF(ISNA(MATCH(39,Engine!$C$2:$C$630,0)),"",INDEX('Compliance Database'!$N$2:$N$630,MATCH(39,Engine!$C$2:$C$630,0)))</f>
        <v/>
      </c>
      <c r="O52" s="8">
        <f>IF(ISNA(MATCH(39,Engine!$C$2:$C$630,0)),"",INDEX('Compliance Database'!$O$2:$O$630,MATCH(39,Engine!$C$2:$C$630,0)))</f>
        <v/>
      </c>
    </row>
    <row r="53">
      <c r="A53">
        <f>IF(ISNA(MATCH(40,Engine!$C$2:$C$630,0)),"",INDEX('Compliance Database'!$A$2:$A$630,MATCH(40,Engine!$C$2:$C$630,0)))</f>
        <v/>
      </c>
      <c r="B53">
        <f>IF(ISNA(MATCH(40,Engine!$C$2:$C$630,0)),"",INDEX('Compliance Database'!$B$2:$B$630,MATCH(40,Engine!$C$2:$C$630,0)))</f>
        <v/>
      </c>
      <c r="C53">
        <f>IF(ISNA(MATCH(40,Engine!$C$2:$C$630,0)),"",INDEX('Compliance Database'!$C$2:$C$630,MATCH(40,Engine!$C$2:$C$630,0)))</f>
        <v/>
      </c>
      <c r="D53" s="8">
        <f>IF(ISNA(MATCH(40,Engine!$C$2:$C$630,0)),"",INDEX('Compliance Database'!$D$2:$D$630,MATCH(40,Engine!$C$2:$C$630,0)))</f>
        <v/>
      </c>
      <c r="E53">
        <f>IF(ISNA(MATCH(40,Engine!$C$2:$C$630,0)),"",INDEX('Compliance Database'!$E$2:$E$630,MATCH(40,Engine!$C$2:$C$630,0)))</f>
        <v/>
      </c>
      <c r="F53">
        <f>IF(ISNA(MATCH(40,Engine!$C$2:$C$630,0)),"",INDEX('Compliance Database'!$F$2:$F$630,MATCH(40,Engine!$C$2:$C$630,0)))</f>
        <v/>
      </c>
      <c r="G53">
        <f>IF(ISNA(MATCH(40,Engine!$C$2:$C$630,0)),"",INDEX('Compliance Database'!$G$2:$G$630,MATCH(40,Engine!$C$2:$C$630,0)))</f>
        <v/>
      </c>
      <c r="H53">
        <f>IF(ISNA(MATCH(40,Engine!$C$2:$C$630,0)),"",INDEX('Compliance Database'!$H$2:$H$630,MATCH(40,Engine!$C$2:$C$630,0)))</f>
        <v/>
      </c>
      <c r="I53" s="8">
        <f>IF(ISNA(MATCH(40,Engine!$C$2:$C$630,0)),"",INDEX('Compliance Database'!$I$2:$I$630,MATCH(40,Engine!$C$2:$C$630,0)))</f>
        <v/>
      </c>
      <c r="J53" s="8">
        <f>IF(ISNA(MATCH(40,Engine!$C$2:$C$630,0)),"",INDEX('Compliance Database'!$J$2:$J$630,MATCH(40,Engine!$C$2:$C$630,0)))</f>
        <v/>
      </c>
      <c r="K53">
        <f>IF(ISNA(MATCH(40,Engine!$C$2:$C$630,0)),"",INDEX('Compliance Database'!$K$2:$K$630,MATCH(40,Engine!$C$2:$C$630,0)))</f>
        <v/>
      </c>
      <c r="L53" s="8">
        <f>IF(ISNA(MATCH(40,Engine!$C$2:$C$630,0)),"",INDEX('Compliance Database'!$L$2:$L$630,MATCH(40,Engine!$C$2:$C$630,0)))</f>
        <v/>
      </c>
      <c r="M53" s="8">
        <f>IF(ISNA(MATCH(40,Engine!$C$2:$C$630,0)),"",INDEX('Compliance Database'!$M$2:$M$630,MATCH(40,Engine!$C$2:$C$630,0)))</f>
        <v/>
      </c>
      <c r="N53" s="8">
        <f>IF(ISNA(MATCH(40,Engine!$C$2:$C$630,0)),"",INDEX('Compliance Database'!$N$2:$N$630,MATCH(40,Engine!$C$2:$C$630,0)))</f>
        <v/>
      </c>
      <c r="O53" s="8">
        <f>IF(ISNA(MATCH(40,Engine!$C$2:$C$630,0)),"",INDEX('Compliance Database'!$O$2:$O$630,MATCH(40,Engine!$C$2:$C$630,0)))</f>
        <v/>
      </c>
    </row>
    <row r="54">
      <c r="A54">
        <f>IF(ISNA(MATCH(41,Engine!$C$2:$C$630,0)),"",INDEX('Compliance Database'!$A$2:$A$630,MATCH(41,Engine!$C$2:$C$630,0)))</f>
        <v/>
      </c>
      <c r="B54">
        <f>IF(ISNA(MATCH(41,Engine!$C$2:$C$630,0)),"",INDEX('Compliance Database'!$B$2:$B$630,MATCH(41,Engine!$C$2:$C$630,0)))</f>
        <v/>
      </c>
      <c r="C54">
        <f>IF(ISNA(MATCH(41,Engine!$C$2:$C$630,0)),"",INDEX('Compliance Database'!$C$2:$C$630,MATCH(41,Engine!$C$2:$C$630,0)))</f>
        <v/>
      </c>
      <c r="D54" s="8">
        <f>IF(ISNA(MATCH(41,Engine!$C$2:$C$630,0)),"",INDEX('Compliance Database'!$D$2:$D$630,MATCH(41,Engine!$C$2:$C$630,0)))</f>
        <v/>
      </c>
      <c r="E54">
        <f>IF(ISNA(MATCH(41,Engine!$C$2:$C$630,0)),"",INDEX('Compliance Database'!$E$2:$E$630,MATCH(41,Engine!$C$2:$C$630,0)))</f>
        <v/>
      </c>
      <c r="F54">
        <f>IF(ISNA(MATCH(41,Engine!$C$2:$C$630,0)),"",INDEX('Compliance Database'!$F$2:$F$630,MATCH(41,Engine!$C$2:$C$630,0)))</f>
        <v/>
      </c>
      <c r="G54">
        <f>IF(ISNA(MATCH(41,Engine!$C$2:$C$630,0)),"",INDEX('Compliance Database'!$G$2:$G$630,MATCH(41,Engine!$C$2:$C$630,0)))</f>
        <v/>
      </c>
      <c r="H54">
        <f>IF(ISNA(MATCH(41,Engine!$C$2:$C$630,0)),"",INDEX('Compliance Database'!$H$2:$H$630,MATCH(41,Engine!$C$2:$C$630,0)))</f>
        <v/>
      </c>
      <c r="I54" s="8">
        <f>IF(ISNA(MATCH(41,Engine!$C$2:$C$630,0)),"",INDEX('Compliance Database'!$I$2:$I$630,MATCH(41,Engine!$C$2:$C$630,0)))</f>
        <v/>
      </c>
      <c r="J54" s="8">
        <f>IF(ISNA(MATCH(41,Engine!$C$2:$C$630,0)),"",INDEX('Compliance Database'!$J$2:$J$630,MATCH(41,Engine!$C$2:$C$630,0)))</f>
        <v/>
      </c>
      <c r="K54">
        <f>IF(ISNA(MATCH(41,Engine!$C$2:$C$630,0)),"",INDEX('Compliance Database'!$K$2:$K$630,MATCH(41,Engine!$C$2:$C$630,0)))</f>
        <v/>
      </c>
      <c r="L54" s="8">
        <f>IF(ISNA(MATCH(41,Engine!$C$2:$C$630,0)),"",INDEX('Compliance Database'!$L$2:$L$630,MATCH(41,Engine!$C$2:$C$630,0)))</f>
        <v/>
      </c>
      <c r="M54" s="8">
        <f>IF(ISNA(MATCH(41,Engine!$C$2:$C$630,0)),"",INDEX('Compliance Database'!$M$2:$M$630,MATCH(41,Engine!$C$2:$C$630,0)))</f>
        <v/>
      </c>
      <c r="N54" s="8">
        <f>IF(ISNA(MATCH(41,Engine!$C$2:$C$630,0)),"",INDEX('Compliance Database'!$N$2:$N$630,MATCH(41,Engine!$C$2:$C$630,0)))</f>
        <v/>
      </c>
      <c r="O54" s="8">
        <f>IF(ISNA(MATCH(41,Engine!$C$2:$C$630,0)),"",INDEX('Compliance Database'!$O$2:$O$630,MATCH(41,Engine!$C$2:$C$630,0)))</f>
        <v/>
      </c>
    </row>
    <row r="55">
      <c r="A55">
        <f>IF(ISNA(MATCH(42,Engine!$C$2:$C$630,0)),"",INDEX('Compliance Database'!$A$2:$A$630,MATCH(42,Engine!$C$2:$C$630,0)))</f>
        <v/>
      </c>
      <c r="B55">
        <f>IF(ISNA(MATCH(42,Engine!$C$2:$C$630,0)),"",INDEX('Compliance Database'!$B$2:$B$630,MATCH(42,Engine!$C$2:$C$630,0)))</f>
        <v/>
      </c>
      <c r="C55">
        <f>IF(ISNA(MATCH(42,Engine!$C$2:$C$630,0)),"",INDEX('Compliance Database'!$C$2:$C$630,MATCH(42,Engine!$C$2:$C$630,0)))</f>
        <v/>
      </c>
      <c r="D55" s="8">
        <f>IF(ISNA(MATCH(42,Engine!$C$2:$C$630,0)),"",INDEX('Compliance Database'!$D$2:$D$630,MATCH(42,Engine!$C$2:$C$630,0)))</f>
        <v/>
      </c>
      <c r="E55">
        <f>IF(ISNA(MATCH(42,Engine!$C$2:$C$630,0)),"",INDEX('Compliance Database'!$E$2:$E$630,MATCH(42,Engine!$C$2:$C$630,0)))</f>
        <v/>
      </c>
      <c r="F55">
        <f>IF(ISNA(MATCH(42,Engine!$C$2:$C$630,0)),"",INDEX('Compliance Database'!$F$2:$F$630,MATCH(42,Engine!$C$2:$C$630,0)))</f>
        <v/>
      </c>
      <c r="G55">
        <f>IF(ISNA(MATCH(42,Engine!$C$2:$C$630,0)),"",INDEX('Compliance Database'!$G$2:$G$630,MATCH(42,Engine!$C$2:$C$630,0)))</f>
        <v/>
      </c>
      <c r="H55">
        <f>IF(ISNA(MATCH(42,Engine!$C$2:$C$630,0)),"",INDEX('Compliance Database'!$H$2:$H$630,MATCH(42,Engine!$C$2:$C$630,0)))</f>
        <v/>
      </c>
      <c r="I55" s="8">
        <f>IF(ISNA(MATCH(42,Engine!$C$2:$C$630,0)),"",INDEX('Compliance Database'!$I$2:$I$630,MATCH(42,Engine!$C$2:$C$630,0)))</f>
        <v/>
      </c>
      <c r="J55" s="8">
        <f>IF(ISNA(MATCH(42,Engine!$C$2:$C$630,0)),"",INDEX('Compliance Database'!$J$2:$J$630,MATCH(42,Engine!$C$2:$C$630,0)))</f>
        <v/>
      </c>
      <c r="K55">
        <f>IF(ISNA(MATCH(42,Engine!$C$2:$C$630,0)),"",INDEX('Compliance Database'!$K$2:$K$630,MATCH(42,Engine!$C$2:$C$630,0)))</f>
        <v/>
      </c>
      <c r="L55" s="8">
        <f>IF(ISNA(MATCH(42,Engine!$C$2:$C$630,0)),"",INDEX('Compliance Database'!$L$2:$L$630,MATCH(42,Engine!$C$2:$C$630,0)))</f>
        <v/>
      </c>
      <c r="M55" s="8">
        <f>IF(ISNA(MATCH(42,Engine!$C$2:$C$630,0)),"",INDEX('Compliance Database'!$M$2:$M$630,MATCH(42,Engine!$C$2:$C$630,0)))</f>
        <v/>
      </c>
      <c r="N55" s="8">
        <f>IF(ISNA(MATCH(42,Engine!$C$2:$C$630,0)),"",INDEX('Compliance Database'!$N$2:$N$630,MATCH(42,Engine!$C$2:$C$630,0)))</f>
        <v/>
      </c>
      <c r="O55" s="8">
        <f>IF(ISNA(MATCH(42,Engine!$C$2:$C$630,0)),"",INDEX('Compliance Database'!$O$2:$O$630,MATCH(42,Engine!$C$2:$C$630,0)))</f>
        <v/>
      </c>
    </row>
    <row r="56">
      <c r="A56">
        <f>IF(ISNA(MATCH(43,Engine!$C$2:$C$630,0)),"",INDEX('Compliance Database'!$A$2:$A$630,MATCH(43,Engine!$C$2:$C$630,0)))</f>
        <v/>
      </c>
      <c r="B56">
        <f>IF(ISNA(MATCH(43,Engine!$C$2:$C$630,0)),"",INDEX('Compliance Database'!$B$2:$B$630,MATCH(43,Engine!$C$2:$C$630,0)))</f>
        <v/>
      </c>
      <c r="C56">
        <f>IF(ISNA(MATCH(43,Engine!$C$2:$C$630,0)),"",INDEX('Compliance Database'!$C$2:$C$630,MATCH(43,Engine!$C$2:$C$630,0)))</f>
        <v/>
      </c>
      <c r="D56" s="8">
        <f>IF(ISNA(MATCH(43,Engine!$C$2:$C$630,0)),"",INDEX('Compliance Database'!$D$2:$D$630,MATCH(43,Engine!$C$2:$C$630,0)))</f>
        <v/>
      </c>
      <c r="E56">
        <f>IF(ISNA(MATCH(43,Engine!$C$2:$C$630,0)),"",INDEX('Compliance Database'!$E$2:$E$630,MATCH(43,Engine!$C$2:$C$630,0)))</f>
        <v/>
      </c>
      <c r="F56">
        <f>IF(ISNA(MATCH(43,Engine!$C$2:$C$630,0)),"",INDEX('Compliance Database'!$F$2:$F$630,MATCH(43,Engine!$C$2:$C$630,0)))</f>
        <v/>
      </c>
      <c r="G56">
        <f>IF(ISNA(MATCH(43,Engine!$C$2:$C$630,0)),"",INDEX('Compliance Database'!$G$2:$G$630,MATCH(43,Engine!$C$2:$C$630,0)))</f>
        <v/>
      </c>
      <c r="H56">
        <f>IF(ISNA(MATCH(43,Engine!$C$2:$C$630,0)),"",INDEX('Compliance Database'!$H$2:$H$630,MATCH(43,Engine!$C$2:$C$630,0)))</f>
        <v/>
      </c>
      <c r="I56" s="8">
        <f>IF(ISNA(MATCH(43,Engine!$C$2:$C$630,0)),"",INDEX('Compliance Database'!$I$2:$I$630,MATCH(43,Engine!$C$2:$C$630,0)))</f>
        <v/>
      </c>
      <c r="J56" s="8">
        <f>IF(ISNA(MATCH(43,Engine!$C$2:$C$630,0)),"",INDEX('Compliance Database'!$J$2:$J$630,MATCH(43,Engine!$C$2:$C$630,0)))</f>
        <v/>
      </c>
      <c r="K56">
        <f>IF(ISNA(MATCH(43,Engine!$C$2:$C$630,0)),"",INDEX('Compliance Database'!$K$2:$K$630,MATCH(43,Engine!$C$2:$C$630,0)))</f>
        <v/>
      </c>
      <c r="L56" s="8">
        <f>IF(ISNA(MATCH(43,Engine!$C$2:$C$630,0)),"",INDEX('Compliance Database'!$L$2:$L$630,MATCH(43,Engine!$C$2:$C$630,0)))</f>
        <v/>
      </c>
      <c r="M56" s="8">
        <f>IF(ISNA(MATCH(43,Engine!$C$2:$C$630,0)),"",INDEX('Compliance Database'!$M$2:$M$630,MATCH(43,Engine!$C$2:$C$630,0)))</f>
        <v/>
      </c>
      <c r="N56" s="8">
        <f>IF(ISNA(MATCH(43,Engine!$C$2:$C$630,0)),"",INDEX('Compliance Database'!$N$2:$N$630,MATCH(43,Engine!$C$2:$C$630,0)))</f>
        <v/>
      </c>
      <c r="O56" s="8">
        <f>IF(ISNA(MATCH(43,Engine!$C$2:$C$630,0)),"",INDEX('Compliance Database'!$O$2:$O$630,MATCH(43,Engine!$C$2:$C$630,0)))</f>
        <v/>
      </c>
    </row>
    <row r="57">
      <c r="A57">
        <f>IF(ISNA(MATCH(44,Engine!$C$2:$C$630,0)),"",INDEX('Compliance Database'!$A$2:$A$630,MATCH(44,Engine!$C$2:$C$630,0)))</f>
        <v/>
      </c>
      <c r="B57">
        <f>IF(ISNA(MATCH(44,Engine!$C$2:$C$630,0)),"",INDEX('Compliance Database'!$B$2:$B$630,MATCH(44,Engine!$C$2:$C$630,0)))</f>
        <v/>
      </c>
      <c r="C57">
        <f>IF(ISNA(MATCH(44,Engine!$C$2:$C$630,0)),"",INDEX('Compliance Database'!$C$2:$C$630,MATCH(44,Engine!$C$2:$C$630,0)))</f>
        <v/>
      </c>
      <c r="D57" s="8">
        <f>IF(ISNA(MATCH(44,Engine!$C$2:$C$630,0)),"",INDEX('Compliance Database'!$D$2:$D$630,MATCH(44,Engine!$C$2:$C$630,0)))</f>
        <v/>
      </c>
      <c r="E57">
        <f>IF(ISNA(MATCH(44,Engine!$C$2:$C$630,0)),"",INDEX('Compliance Database'!$E$2:$E$630,MATCH(44,Engine!$C$2:$C$630,0)))</f>
        <v/>
      </c>
      <c r="F57">
        <f>IF(ISNA(MATCH(44,Engine!$C$2:$C$630,0)),"",INDEX('Compliance Database'!$F$2:$F$630,MATCH(44,Engine!$C$2:$C$630,0)))</f>
        <v/>
      </c>
      <c r="G57">
        <f>IF(ISNA(MATCH(44,Engine!$C$2:$C$630,0)),"",INDEX('Compliance Database'!$G$2:$G$630,MATCH(44,Engine!$C$2:$C$630,0)))</f>
        <v/>
      </c>
      <c r="H57">
        <f>IF(ISNA(MATCH(44,Engine!$C$2:$C$630,0)),"",INDEX('Compliance Database'!$H$2:$H$630,MATCH(44,Engine!$C$2:$C$630,0)))</f>
        <v/>
      </c>
      <c r="I57" s="8">
        <f>IF(ISNA(MATCH(44,Engine!$C$2:$C$630,0)),"",INDEX('Compliance Database'!$I$2:$I$630,MATCH(44,Engine!$C$2:$C$630,0)))</f>
        <v/>
      </c>
      <c r="J57" s="8">
        <f>IF(ISNA(MATCH(44,Engine!$C$2:$C$630,0)),"",INDEX('Compliance Database'!$J$2:$J$630,MATCH(44,Engine!$C$2:$C$630,0)))</f>
        <v/>
      </c>
      <c r="K57">
        <f>IF(ISNA(MATCH(44,Engine!$C$2:$C$630,0)),"",INDEX('Compliance Database'!$K$2:$K$630,MATCH(44,Engine!$C$2:$C$630,0)))</f>
        <v/>
      </c>
      <c r="L57" s="8">
        <f>IF(ISNA(MATCH(44,Engine!$C$2:$C$630,0)),"",INDEX('Compliance Database'!$L$2:$L$630,MATCH(44,Engine!$C$2:$C$630,0)))</f>
        <v/>
      </c>
      <c r="M57" s="8">
        <f>IF(ISNA(MATCH(44,Engine!$C$2:$C$630,0)),"",INDEX('Compliance Database'!$M$2:$M$630,MATCH(44,Engine!$C$2:$C$630,0)))</f>
        <v/>
      </c>
      <c r="N57" s="8">
        <f>IF(ISNA(MATCH(44,Engine!$C$2:$C$630,0)),"",INDEX('Compliance Database'!$N$2:$N$630,MATCH(44,Engine!$C$2:$C$630,0)))</f>
        <v/>
      </c>
      <c r="O57" s="8">
        <f>IF(ISNA(MATCH(44,Engine!$C$2:$C$630,0)),"",INDEX('Compliance Database'!$O$2:$O$630,MATCH(44,Engine!$C$2:$C$630,0)))</f>
        <v/>
      </c>
    </row>
    <row r="58">
      <c r="A58">
        <f>IF(ISNA(MATCH(45,Engine!$C$2:$C$630,0)),"",INDEX('Compliance Database'!$A$2:$A$630,MATCH(45,Engine!$C$2:$C$630,0)))</f>
        <v/>
      </c>
      <c r="B58">
        <f>IF(ISNA(MATCH(45,Engine!$C$2:$C$630,0)),"",INDEX('Compliance Database'!$B$2:$B$630,MATCH(45,Engine!$C$2:$C$630,0)))</f>
        <v/>
      </c>
      <c r="C58">
        <f>IF(ISNA(MATCH(45,Engine!$C$2:$C$630,0)),"",INDEX('Compliance Database'!$C$2:$C$630,MATCH(45,Engine!$C$2:$C$630,0)))</f>
        <v/>
      </c>
      <c r="D58" s="8">
        <f>IF(ISNA(MATCH(45,Engine!$C$2:$C$630,0)),"",INDEX('Compliance Database'!$D$2:$D$630,MATCH(45,Engine!$C$2:$C$630,0)))</f>
        <v/>
      </c>
      <c r="E58">
        <f>IF(ISNA(MATCH(45,Engine!$C$2:$C$630,0)),"",INDEX('Compliance Database'!$E$2:$E$630,MATCH(45,Engine!$C$2:$C$630,0)))</f>
        <v/>
      </c>
      <c r="F58">
        <f>IF(ISNA(MATCH(45,Engine!$C$2:$C$630,0)),"",INDEX('Compliance Database'!$F$2:$F$630,MATCH(45,Engine!$C$2:$C$630,0)))</f>
        <v/>
      </c>
      <c r="G58">
        <f>IF(ISNA(MATCH(45,Engine!$C$2:$C$630,0)),"",INDEX('Compliance Database'!$G$2:$G$630,MATCH(45,Engine!$C$2:$C$630,0)))</f>
        <v/>
      </c>
      <c r="H58">
        <f>IF(ISNA(MATCH(45,Engine!$C$2:$C$630,0)),"",INDEX('Compliance Database'!$H$2:$H$630,MATCH(45,Engine!$C$2:$C$630,0)))</f>
        <v/>
      </c>
      <c r="I58" s="8">
        <f>IF(ISNA(MATCH(45,Engine!$C$2:$C$630,0)),"",INDEX('Compliance Database'!$I$2:$I$630,MATCH(45,Engine!$C$2:$C$630,0)))</f>
        <v/>
      </c>
      <c r="J58" s="8">
        <f>IF(ISNA(MATCH(45,Engine!$C$2:$C$630,0)),"",INDEX('Compliance Database'!$J$2:$J$630,MATCH(45,Engine!$C$2:$C$630,0)))</f>
        <v/>
      </c>
      <c r="K58">
        <f>IF(ISNA(MATCH(45,Engine!$C$2:$C$630,0)),"",INDEX('Compliance Database'!$K$2:$K$630,MATCH(45,Engine!$C$2:$C$630,0)))</f>
        <v/>
      </c>
      <c r="L58" s="8">
        <f>IF(ISNA(MATCH(45,Engine!$C$2:$C$630,0)),"",INDEX('Compliance Database'!$L$2:$L$630,MATCH(45,Engine!$C$2:$C$630,0)))</f>
        <v/>
      </c>
      <c r="M58" s="8">
        <f>IF(ISNA(MATCH(45,Engine!$C$2:$C$630,0)),"",INDEX('Compliance Database'!$M$2:$M$630,MATCH(45,Engine!$C$2:$C$630,0)))</f>
        <v/>
      </c>
      <c r="N58" s="8">
        <f>IF(ISNA(MATCH(45,Engine!$C$2:$C$630,0)),"",INDEX('Compliance Database'!$N$2:$N$630,MATCH(45,Engine!$C$2:$C$630,0)))</f>
        <v/>
      </c>
      <c r="O58" s="8">
        <f>IF(ISNA(MATCH(45,Engine!$C$2:$C$630,0)),"",INDEX('Compliance Database'!$O$2:$O$630,MATCH(45,Engine!$C$2:$C$630,0)))</f>
        <v/>
      </c>
    </row>
    <row r="59">
      <c r="A59">
        <f>IF(ISNA(MATCH(46,Engine!$C$2:$C$630,0)),"",INDEX('Compliance Database'!$A$2:$A$630,MATCH(46,Engine!$C$2:$C$630,0)))</f>
        <v/>
      </c>
      <c r="B59">
        <f>IF(ISNA(MATCH(46,Engine!$C$2:$C$630,0)),"",INDEX('Compliance Database'!$B$2:$B$630,MATCH(46,Engine!$C$2:$C$630,0)))</f>
        <v/>
      </c>
      <c r="C59">
        <f>IF(ISNA(MATCH(46,Engine!$C$2:$C$630,0)),"",INDEX('Compliance Database'!$C$2:$C$630,MATCH(46,Engine!$C$2:$C$630,0)))</f>
        <v/>
      </c>
      <c r="D59" s="8">
        <f>IF(ISNA(MATCH(46,Engine!$C$2:$C$630,0)),"",INDEX('Compliance Database'!$D$2:$D$630,MATCH(46,Engine!$C$2:$C$630,0)))</f>
        <v/>
      </c>
      <c r="E59">
        <f>IF(ISNA(MATCH(46,Engine!$C$2:$C$630,0)),"",INDEX('Compliance Database'!$E$2:$E$630,MATCH(46,Engine!$C$2:$C$630,0)))</f>
        <v/>
      </c>
      <c r="F59">
        <f>IF(ISNA(MATCH(46,Engine!$C$2:$C$630,0)),"",INDEX('Compliance Database'!$F$2:$F$630,MATCH(46,Engine!$C$2:$C$630,0)))</f>
        <v/>
      </c>
      <c r="G59">
        <f>IF(ISNA(MATCH(46,Engine!$C$2:$C$630,0)),"",INDEX('Compliance Database'!$G$2:$G$630,MATCH(46,Engine!$C$2:$C$630,0)))</f>
        <v/>
      </c>
      <c r="H59">
        <f>IF(ISNA(MATCH(46,Engine!$C$2:$C$630,0)),"",INDEX('Compliance Database'!$H$2:$H$630,MATCH(46,Engine!$C$2:$C$630,0)))</f>
        <v/>
      </c>
      <c r="I59" s="8">
        <f>IF(ISNA(MATCH(46,Engine!$C$2:$C$630,0)),"",INDEX('Compliance Database'!$I$2:$I$630,MATCH(46,Engine!$C$2:$C$630,0)))</f>
        <v/>
      </c>
      <c r="J59" s="8">
        <f>IF(ISNA(MATCH(46,Engine!$C$2:$C$630,0)),"",INDEX('Compliance Database'!$J$2:$J$630,MATCH(46,Engine!$C$2:$C$630,0)))</f>
        <v/>
      </c>
      <c r="K59">
        <f>IF(ISNA(MATCH(46,Engine!$C$2:$C$630,0)),"",INDEX('Compliance Database'!$K$2:$K$630,MATCH(46,Engine!$C$2:$C$630,0)))</f>
        <v/>
      </c>
      <c r="L59" s="8">
        <f>IF(ISNA(MATCH(46,Engine!$C$2:$C$630,0)),"",INDEX('Compliance Database'!$L$2:$L$630,MATCH(46,Engine!$C$2:$C$630,0)))</f>
        <v/>
      </c>
      <c r="M59" s="8">
        <f>IF(ISNA(MATCH(46,Engine!$C$2:$C$630,0)),"",INDEX('Compliance Database'!$M$2:$M$630,MATCH(46,Engine!$C$2:$C$630,0)))</f>
        <v/>
      </c>
      <c r="N59" s="8">
        <f>IF(ISNA(MATCH(46,Engine!$C$2:$C$630,0)),"",INDEX('Compliance Database'!$N$2:$N$630,MATCH(46,Engine!$C$2:$C$630,0)))</f>
        <v/>
      </c>
      <c r="O59" s="8">
        <f>IF(ISNA(MATCH(46,Engine!$C$2:$C$630,0)),"",INDEX('Compliance Database'!$O$2:$O$630,MATCH(46,Engine!$C$2:$C$630,0)))</f>
        <v/>
      </c>
    </row>
    <row r="60">
      <c r="A60">
        <f>IF(ISNA(MATCH(47,Engine!$C$2:$C$630,0)),"",INDEX('Compliance Database'!$A$2:$A$630,MATCH(47,Engine!$C$2:$C$630,0)))</f>
        <v/>
      </c>
      <c r="B60">
        <f>IF(ISNA(MATCH(47,Engine!$C$2:$C$630,0)),"",INDEX('Compliance Database'!$B$2:$B$630,MATCH(47,Engine!$C$2:$C$630,0)))</f>
        <v/>
      </c>
      <c r="C60">
        <f>IF(ISNA(MATCH(47,Engine!$C$2:$C$630,0)),"",INDEX('Compliance Database'!$C$2:$C$630,MATCH(47,Engine!$C$2:$C$630,0)))</f>
        <v/>
      </c>
      <c r="D60" s="8">
        <f>IF(ISNA(MATCH(47,Engine!$C$2:$C$630,0)),"",INDEX('Compliance Database'!$D$2:$D$630,MATCH(47,Engine!$C$2:$C$630,0)))</f>
        <v/>
      </c>
      <c r="E60">
        <f>IF(ISNA(MATCH(47,Engine!$C$2:$C$630,0)),"",INDEX('Compliance Database'!$E$2:$E$630,MATCH(47,Engine!$C$2:$C$630,0)))</f>
        <v/>
      </c>
      <c r="F60">
        <f>IF(ISNA(MATCH(47,Engine!$C$2:$C$630,0)),"",INDEX('Compliance Database'!$F$2:$F$630,MATCH(47,Engine!$C$2:$C$630,0)))</f>
        <v/>
      </c>
      <c r="G60">
        <f>IF(ISNA(MATCH(47,Engine!$C$2:$C$630,0)),"",INDEX('Compliance Database'!$G$2:$G$630,MATCH(47,Engine!$C$2:$C$630,0)))</f>
        <v/>
      </c>
      <c r="H60">
        <f>IF(ISNA(MATCH(47,Engine!$C$2:$C$630,0)),"",INDEX('Compliance Database'!$H$2:$H$630,MATCH(47,Engine!$C$2:$C$630,0)))</f>
        <v/>
      </c>
      <c r="I60" s="8">
        <f>IF(ISNA(MATCH(47,Engine!$C$2:$C$630,0)),"",INDEX('Compliance Database'!$I$2:$I$630,MATCH(47,Engine!$C$2:$C$630,0)))</f>
        <v/>
      </c>
      <c r="J60" s="8">
        <f>IF(ISNA(MATCH(47,Engine!$C$2:$C$630,0)),"",INDEX('Compliance Database'!$J$2:$J$630,MATCH(47,Engine!$C$2:$C$630,0)))</f>
        <v/>
      </c>
      <c r="K60">
        <f>IF(ISNA(MATCH(47,Engine!$C$2:$C$630,0)),"",INDEX('Compliance Database'!$K$2:$K$630,MATCH(47,Engine!$C$2:$C$630,0)))</f>
        <v/>
      </c>
      <c r="L60" s="8">
        <f>IF(ISNA(MATCH(47,Engine!$C$2:$C$630,0)),"",INDEX('Compliance Database'!$L$2:$L$630,MATCH(47,Engine!$C$2:$C$630,0)))</f>
        <v/>
      </c>
      <c r="M60" s="8">
        <f>IF(ISNA(MATCH(47,Engine!$C$2:$C$630,0)),"",INDEX('Compliance Database'!$M$2:$M$630,MATCH(47,Engine!$C$2:$C$630,0)))</f>
        <v/>
      </c>
      <c r="N60" s="8">
        <f>IF(ISNA(MATCH(47,Engine!$C$2:$C$630,0)),"",INDEX('Compliance Database'!$N$2:$N$630,MATCH(47,Engine!$C$2:$C$630,0)))</f>
        <v/>
      </c>
      <c r="O60" s="8">
        <f>IF(ISNA(MATCH(47,Engine!$C$2:$C$630,0)),"",INDEX('Compliance Database'!$O$2:$O$630,MATCH(47,Engine!$C$2:$C$630,0)))</f>
        <v/>
      </c>
    </row>
    <row r="61">
      <c r="A61">
        <f>IF(ISNA(MATCH(48,Engine!$C$2:$C$630,0)),"",INDEX('Compliance Database'!$A$2:$A$630,MATCH(48,Engine!$C$2:$C$630,0)))</f>
        <v/>
      </c>
      <c r="B61">
        <f>IF(ISNA(MATCH(48,Engine!$C$2:$C$630,0)),"",INDEX('Compliance Database'!$B$2:$B$630,MATCH(48,Engine!$C$2:$C$630,0)))</f>
        <v/>
      </c>
      <c r="C61">
        <f>IF(ISNA(MATCH(48,Engine!$C$2:$C$630,0)),"",INDEX('Compliance Database'!$C$2:$C$630,MATCH(48,Engine!$C$2:$C$630,0)))</f>
        <v/>
      </c>
      <c r="D61" s="8">
        <f>IF(ISNA(MATCH(48,Engine!$C$2:$C$630,0)),"",INDEX('Compliance Database'!$D$2:$D$630,MATCH(48,Engine!$C$2:$C$630,0)))</f>
        <v/>
      </c>
      <c r="E61">
        <f>IF(ISNA(MATCH(48,Engine!$C$2:$C$630,0)),"",INDEX('Compliance Database'!$E$2:$E$630,MATCH(48,Engine!$C$2:$C$630,0)))</f>
        <v/>
      </c>
      <c r="F61">
        <f>IF(ISNA(MATCH(48,Engine!$C$2:$C$630,0)),"",INDEX('Compliance Database'!$F$2:$F$630,MATCH(48,Engine!$C$2:$C$630,0)))</f>
        <v/>
      </c>
      <c r="G61">
        <f>IF(ISNA(MATCH(48,Engine!$C$2:$C$630,0)),"",INDEX('Compliance Database'!$G$2:$G$630,MATCH(48,Engine!$C$2:$C$630,0)))</f>
        <v/>
      </c>
      <c r="H61">
        <f>IF(ISNA(MATCH(48,Engine!$C$2:$C$630,0)),"",INDEX('Compliance Database'!$H$2:$H$630,MATCH(48,Engine!$C$2:$C$630,0)))</f>
        <v/>
      </c>
      <c r="I61" s="8">
        <f>IF(ISNA(MATCH(48,Engine!$C$2:$C$630,0)),"",INDEX('Compliance Database'!$I$2:$I$630,MATCH(48,Engine!$C$2:$C$630,0)))</f>
        <v/>
      </c>
      <c r="J61" s="8">
        <f>IF(ISNA(MATCH(48,Engine!$C$2:$C$630,0)),"",INDEX('Compliance Database'!$J$2:$J$630,MATCH(48,Engine!$C$2:$C$630,0)))</f>
        <v/>
      </c>
      <c r="K61">
        <f>IF(ISNA(MATCH(48,Engine!$C$2:$C$630,0)),"",INDEX('Compliance Database'!$K$2:$K$630,MATCH(48,Engine!$C$2:$C$630,0)))</f>
        <v/>
      </c>
      <c r="L61" s="8">
        <f>IF(ISNA(MATCH(48,Engine!$C$2:$C$630,0)),"",INDEX('Compliance Database'!$L$2:$L$630,MATCH(48,Engine!$C$2:$C$630,0)))</f>
        <v/>
      </c>
      <c r="M61" s="8">
        <f>IF(ISNA(MATCH(48,Engine!$C$2:$C$630,0)),"",INDEX('Compliance Database'!$M$2:$M$630,MATCH(48,Engine!$C$2:$C$630,0)))</f>
        <v/>
      </c>
      <c r="N61" s="8">
        <f>IF(ISNA(MATCH(48,Engine!$C$2:$C$630,0)),"",INDEX('Compliance Database'!$N$2:$N$630,MATCH(48,Engine!$C$2:$C$630,0)))</f>
        <v/>
      </c>
      <c r="O61" s="8">
        <f>IF(ISNA(MATCH(48,Engine!$C$2:$C$630,0)),"",INDEX('Compliance Database'!$O$2:$O$630,MATCH(48,Engine!$C$2:$C$630,0)))</f>
        <v/>
      </c>
    </row>
    <row r="62">
      <c r="A62">
        <f>IF(ISNA(MATCH(49,Engine!$C$2:$C$630,0)),"",INDEX('Compliance Database'!$A$2:$A$630,MATCH(49,Engine!$C$2:$C$630,0)))</f>
        <v/>
      </c>
      <c r="B62">
        <f>IF(ISNA(MATCH(49,Engine!$C$2:$C$630,0)),"",INDEX('Compliance Database'!$B$2:$B$630,MATCH(49,Engine!$C$2:$C$630,0)))</f>
        <v/>
      </c>
      <c r="C62">
        <f>IF(ISNA(MATCH(49,Engine!$C$2:$C$630,0)),"",INDEX('Compliance Database'!$C$2:$C$630,MATCH(49,Engine!$C$2:$C$630,0)))</f>
        <v/>
      </c>
      <c r="D62" s="8">
        <f>IF(ISNA(MATCH(49,Engine!$C$2:$C$630,0)),"",INDEX('Compliance Database'!$D$2:$D$630,MATCH(49,Engine!$C$2:$C$630,0)))</f>
        <v/>
      </c>
      <c r="E62">
        <f>IF(ISNA(MATCH(49,Engine!$C$2:$C$630,0)),"",INDEX('Compliance Database'!$E$2:$E$630,MATCH(49,Engine!$C$2:$C$630,0)))</f>
        <v/>
      </c>
      <c r="F62">
        <f>IF(ISNA(MATCH(49,Engine!$C$2:$C$630,0)),"",INDEX('Compliance Database'!$F$2:$F$630,MATCH(49,Engine!$C$2:$C$630,0)))</f>
        <v/>
      </c>
      <c r="G62">
        <f>IF(ISNA(MATCH(49,Engine!$C$2:$C$630,0)),"",INDEX('Compliance Database'!$G$2:$G$630,MATCH(49,Engine!$C$2:$C$630,0)))</f>
        <v/>
      </c>
      <c r="H62">
        <f>IF(ISNA(MATCH(49,Engine!$C$2:$C$630,0)),"",INDEX('Compliance Database'!$H$2:$H$630,MATCH(49,Engine!$C$2:$C$630,0)))</f>
        <v/>
      </c>
      <c r="I62" s="8">
        <f>IF(ISNA(MATCH(49,Engine!$C$2:$C$630,0)),"",INDEX('Compliance Database'!$I$2:$I$630,MATCH(49,Engine!$C$2:$C$630,0)))</f>
        <v/>
      </c>
      <c r="J62" s="8">
        <f>IF(ISNA(MATCH(49,Engine!$C$2:$C$630,0)),"",INDEX('Compliance Database'!$J$2:$J$630,MATCH(49,Engine!$C$2:$C$630,0)))</f>
        <v/>
      </c>
      <c r="K62">
        <f>IF(ISNA(MATCH(49,Engine!$C$2:$C$630,0)),"",INDEX('Compliance Database'!$K$2:$K$630,MATCH(49,Engine!$C$2:$C$630,0)))</f>
        <v/>
      </c>
      <c r="L62" s="8">
        <f>IF(ISNA(MATCH(49,Engine!$C$2:$C$630,0)),"",INDEX('Compliance Database'!$L$2:$L$630,MATCH(49,Engine!$C$2:$C$630,0)))</f>
        <v/>
      </c>
      <c r="M62" s="8">
        <f>IF(ISNA(MATCH(49,Engine!$C$2:$C$630,0)),"",INDEX('Compliance Database'!$M$2:$M$630,MATCH(49,Engine!$C$2:$C$630,0)))</f>
        <v/>
      </c>
      <c r="N62" s="8">
        <f>IF(ISNA(MATCH(49,Engine!$C$2:$C$630,0)),"",INDEX('Compliance Database'!$N$2:$N$630,MATCH(49,Engine!$C$2:$C$630,0)))</f>
        <v/>
      </c>
      <c r="O62" s="8">
        <f>IF(ISNA(MATCH(49,Engine!$C$2:$C$630,0)),"",INDEX('Compliance Database'!$O$2:$O$630,MATCH(49,Engine!$C$2:$C$630,0)))</f>
        <v/>
      </c>
    </row>
    <row r="63">
      <c r="A63">
        <f>IF(ISNA(MATCH(50,Engine!$C$2:$C$630,0)),"",INDEX('Compliance Database'!$A$2:$A$630,MATCH(50,Engine!$C$2:$C$630,0)))</f>
        <v/>
      </c>
      <c r="B63">
        <f>IF(ISNA(MATCH(50,Engine!$C$2:$C$630,0)),"",INDEX('Compliance Database'!$B$2:$B$630,MATCH(50,Engine!$C$2:$C$630,0)))</f>
        <v/>
      </c>
      <c r="C63">
        <f>IF(ISNA(MATCH(50,Engine!$C$2:$C$630,0)),"",INDEX('Compliance Database'!$C$2:$C$630,MATCH(50,Engine!$C$2:$C$630,0)))</f>
        <v/>
      </c>
      <c r="D63" s="8">
        <f>IF(ISNA(MATCH(50,Engine!$C$2:$C$630,0)),"",INDEX('Compliance Database'!$D$2:$D$630,MATCH(50,Engine!$C$2:$C$630,0)))</f>
        <v/>
      </c>
      <c r="E63">
        <f>IF(ISNA(MATCH(50,Engine!$C$2:$C$630,0)),"",INDEX('Compliance Database'!$E$2:$E$630,MATCH(50,Engine!$C$2:$C$630,0)))</f>
        <v/>
      </c>
      <c r="F63">
        <f>IF(ISNA(MATCH(50,Engine!$C$2:$C$630,0)),"",INDEX('Compliance Database'!$F$2:$F$630,MATCH(50,Engine!$C$2:$C$630,0)))</f>
        <v/>
      </c>
      <c r="G63">
        <f>IF(ISNA(MATCH(50,Engine!$C$2:$C$630,0)),"",INDEX('Compliance Database'!$G$2:$G$630,MATCH(50,Engine!$C$2:$C$630,0)))</f>
        <v/>
      </c>
      <c r="H63">
        <f>IF(ISNA(MATCH(50,Engine!$C$2:$C$630,0)),"",INDEX('Compliance Database'!$H$2:$H$630,MATCH(50,Engine!$C$2:$C$630,0)))</f>
        <v/>
      </c>
      <c r="I63" s="8">
        <f>IF(ISNA(MATCH(50,Engine!$C$2:$C$630,0)),"",INDEX('Compliance Database'!$I$2:$I$630,MATCH(50,Engine!$C$2:$C$630,0)))</f>
        <v/>
      </c>
      <c r="J63" s="8">
        <f>IF(ISNA(MATCH(50,Engine!$C$2:$C$630,0)),"",INDEX('Compliance Database'!$J$2:$J$630,MATCH(50,Engine!$C$2:$C$630,0)))</f>
        <v/>
      </c>
      <c r="K63">
        <f>IF(ISNA(MATCH(50,Engine!$C$2:$C$630,0)),"",INDEX('Compliance Database'!$K$2:$K$630,MATCH(50,Engine!$C$2:$C$630,0)))</f>
        <v/>
      </c>
      <c r="L63" s="8">
        <f>IF(ISNA(MATCH(50,Engine!$C$2:$C$630,0)),"",INDEX('Compliance Database'!$L$2:$L$630,MATCH(50,Engine!$C$2:$C$630,0)))</f>
        <v/>
      </c>
      <c r="M63" s="8">
        <f>IF(ISNA(MATCH(50,Engine!$C$2:$C$630,0)),"",INDEX('Compliance Database'!$M$2:$M$630,MATCH(50,Engine!$C$2:$C$630,0)))</f>
        <v/>
      </c>
      <c r="N63" s="8">
        <f>IF(ISNA(MATCH(50,Engine!$C$2:$C$630,0)),"",INDEX('Compliance Database'!$N$2:$N$630,MATCH(50,Engine!$C$2:$C$630,0)))</f>
        <v/>
      </c>
      <c r="O63" s="8">
        <f>IF(ISNA(MATCH(50,Engine!$C$2:$C$630,0)),"",INDEX('Compliance Database'!$O$2:$O$630,MATCH(50,Engine!$C$2:$C$630,0)))</f>
        <v/>
      </c>
    </row>
    <row r="64">
      <c r="A64">
        <f>IF(ISNA(MATCH(51,Engine!$C$2:$C$630,0)),"",INDEX('Compliance Database'!$A$2:$A$630,MATCH(51,Engine!$C$2:$C$630,0)))</f>
        <v/>
      </c>
      <c r="B64">
        <f>IF(ISNA(MATCH(51,Engine!$C$2:$C$630,0)),"",INDEX('Compliance Database'!$B$2:$B$630,MATCH(51,Engine!$C$2:$C$630,0)))</f>
        <v/>
      </c>
      <c r="C64">
        <f>IF(ISNA(MATCH(51,Engine!$C$2:$C$630,0)),"",INDEX('Compliance Database'!$C$2:$C$630,MATCH(51,Engine!$C$2:$C$630,0)))</f>
        <v/>
      </c>
      <c r="D64" s="8">
        <f>IF(ISNA(MATCH(51,Engine!$C$2:$C$630,0)),"",INDEX('Compliance Database'!$D$2:$D$630,MATCH(51,Engine!$C$2:$C$630,0)))</f>
        <v/>
      </c>
      <c r="E64">
        <f>IF(ISNA(MATCH(51,Engine!$C$2:$C$630,0)),"",INDEX('Compliance Database'!$E$2:$E$630,MATCH(51,Engine!$C$2:$C$630,0)))</f>
        <v/>
      </c>
      <c r="F64">
        <f>IF(ISNA(MATCH(51,Engine!$C$2:$C$630,0)),"",INDEX('Compliance Database'!$F$2:$F$630,MATCH(51,Engine!$C$2:$C$630,0)))</f>
        <v/>
      </c>
      <c r="G64">
        <f>IF(ISNA(MATCH(51,Engine!$C$2:$C$630,0)),"",INDEX('Compliance Database'!$G$2:$G$630,MATCH(51,Engine!$C$2:$C$630,0)))</f>
        <v/>
      </c>
      <c r="H64">
        <f>IF(ISNA(MATCH(51,Engine!$C$2:$C$630,0)),"",INDEX('Compliance Database'!$H$2:$H$630,MATCH(51,Engine!$C$2:$C$630,0)))</f>
        <v/>
      </c>
      <c r="I64" s="8">
        <f>IF(ISNA(MATCH(51,Engine!$C$2:$C$630,0)),"",INDEX('Compliance Database'!$I$2:$I$630,MATCH(51,Engine!$C$2:$C$630,0)))</f>
        <v/>
      </c>
      <c r="J64" s="8">
        <f>IF(ISNA(MATCH(51,Engine!$C$2:$C$630,0)),"",INDEX('Compliance Database'!$J$2:$J$630,MATCH(51,Engine!$C$2:$C$630,0)))</f>
        <v/>
      </c>
      <c r="K64">
        <f>IF(ISNA(MATCH(51,Engine!$C$2:$C$630,0)),"",INDEX('Compliance Database'!$K$2:$K$630,MATCH(51,Engine!$C$2:$C$630,0)))</f>
        <v/>
      </c>
      <c r="L64" s="8">
        <f>IF(ISNA(MATCH(51,Engine!$C$2:$C$630,0)),"",INDEX('Compliance Database'!$L$2:$L$630,MATCH(51,Engine!$C$2:$C$630,0)))</f>
        <v/>
      </c>
      <c r="M64" s="8">
        <f>IF(ISNA(MATCH(51,Engine!$C$2:$C$630,0)),"",INDEX('Compliance Database'!$M$2:$M$630,MATCH(51,Engine!$C$2:$C$630,0)))</f>
        <v/>
      </c>
      <c r="N64" s="8">
        <f>IF(ISNA(MATCH(51,Engine!$C$2:$C$630,0)),"",INDEX('Compliance Database'!$N$2:$N$630,MATCH(51,Engine!$C$2:$C$630,0)))</f>
        <v/>
      </c>
      <c r="O64" s="8">
        <f>IF(ISNA(MATCH(51,Engine!$C$2:$C$630,0)),"",INDEX('Compliance Database'!$O$2:$O$630,MATCH(51,Engine!$C$2:$C$630,0)))</f>
        <v/>
      </c>
    </row>
    <row r="65">
      <c r="A65">
        <f>IF(ISNA(MATCH(52,Engine!$C$2:$C$630,0)),"",INDEX('Compliance Database'!$A$2:$A$630,MATCH(52,Engine!$C$2:$C$630,0)))</f>
        <v/>
      </c>
      <c r="B65">
        <f>IF(ISNA(MATCH(52,Engine!$C$2:$C$630,0)),"",INDEX('Compliance Database'!$B$2:$B$630,MATCH(52,Engine!$C$2:$C$630,0)))</f>
        <v/>
      </c>
      <c r="C65">
        <f>IF(ISNA(MATCH(52,Engine!$C$2:$C$630,0)),"",INDEX('Compliance Database'!$C$2:$C$630,MATCH(52,Engine!$C$2:$C$630,0)))</f>
        <v/>
      </c>
      <c r="D65" s="8">
        <f>IF(ISNA(MATCH(52,Engine!$C$2:$C$630,0)),"",INDEX('Compliance Database'!$D$2:$D$630,MATCH(52,Engine!$C$2:$C$630,0)))</f>
        <v/>
      </c>
      <c r="E65">
        <f>IF(ISNA(MATCH(52,Engine!$C$2:$C$630,0)),"",INDEX('Compliance Database'!$E$2:$E$630,MATCH(52,Engine!$C$2:$C$630,0)))</f>
        <v/>
      </c>
      <c r="F65">
        <f>IF(ISNA(MATCH(52,Engine!$C$2:$C$630,0)),"",INDEX('Compliance Database'!$F$2:$F$630,MATCH(52,Engine!$C$2:$C$630,0)))</f>
        <v/>
      </c>
      <c r="G65">
        <f>IF(ISNA(MATCH(52,Engine!$C$2:$C$630,0)),"",INDEX('Compliance Database'!$G$2:$G$630,MATCH(52,Engine!$C$2:$C$630,0)))</f>
        <v/>
      </c>
      <c r="H65">
        <f>IF(ISNA(MATCH(52,Engine!$C$2:$C$630,0)),"",INDEX('Compliance Database'!$H$2:$H$630,MATCH(52,Engine!$C$2:$C$630,0)))</f>
        <v/>
      </c>
      <c r="I65" s="8">
        <f>IF(ISNA(MATCH(52,Engine!$C$2:$C$630,0)),"",INDEX('Compliance Database'!$I$2:$I$630,MATCH(52,Engine!$C$2:$C$630,0)))</f>
        <v/>
      </c>
      <c r="J65" s="8">
        <f>IF(ISNA(MATCH(52,Engine!$C$2:$C$630,0)),"",INDEX('Compliance Database'!$J$2:$J$630,MATCH(52,Engine!$C$2:$C$630,0)))</f>
        <v/>
      </c>
      <c r="K65">
        <f>IF(ISNA(MATCH(52,Engine!$C$2:$C$630,0)),"",INDEX('Compliance Database'!$K$2:$K$630,MATCH(52,Engine!$C$2:$C$630,0)))</f>
        <v/>
      </c>
      <c r="L65" s="8">
        <f>IF(ISNA(MATCH(52,Engine!$C$2:$C$630,0)),"",INDEX('Compliance Database'!$L$2:$L$630,MATCH(52,Engine!$C$2:$C$630,0)))</f>
        <v/>
      </c>
      <c r="M65" s="8">
        <f>IF(ISNA(MATCH(52,Engine!$C$2:$C$630,0)),"",INDEX('Compliance Database'!$M$2:$M$630,MATCH(52,Engine!$C$2:$C$630,0)))</f>
        <v/>
      </c>
      <c r="N65" s="8">
        <f>IF(ISNA(MATCH(52,Engine!$C$2:$C$630,0)),"",INDEX('Compliance Database'!$N$2:$N$630,MATCH(52,Engine!$C$2:$C$630,0)))</f>
        <v/>
      </c>
      <c r="O65" s="8">
        <f>IF(ISNA(MATCH(52,Engine!$C$2:$C$630,0)),"",INDEX('Compliance Database'!$O$2:$O$630,MATCH(52,Engine!$C$2:$C$630,0)))</f>
        <v/>
      </c>
    </row>
    <row r="66">
      <c r="A66">
        <f>IF(ISNA(MATCH(53,Engine!$C$2:$C$630,0)),"",INDEX('Compliance Database'!$A$2:$A$630,MATCH(53,Engine!$C$2:$C$630,0)))</f>
        <v/>
      </c>
      <c r="B66">
        <f>IF(ISNA(MATCH(53,Engine!$C$2:$C$630,0)),"",INDEX('Compliance Database'!$B$2:$B$630,MATCH(53,Engine!$C$2:$C$630,0)))</f>
        <v/>
      </c>
      <c r="C66">
        <f>IF(ISNA(MATCH(53,Engine!$C$2:$C$630,0)),"",INDEX('Compliance Database'!$C$2:$C$630,MATCH(53,Engine!$C$2:$C$630,0)))</f>
        <v/>
      </c>
      <c r="D66" s="8">
        <f>IF(ISNA(MATCH(53,Engine!$C$2:$C$630,0)),"",INDEX('Compliance Database'!$D$2:$D$630,MATCH(53,Engine!$C$2:$C$630,0)))</f>
        <v/>
      </c>
      <c r="E66">
        <f>IF(ISNA(MATCH(53,Engine!$C$2:$C$630,0)),"",INDEX('Compliance Database'!$E$2:$E$630,MATCH(53,Engine!$C$2:$C$630,0)))</f>
        <v/>
      </c>
      <c r="F66">
        <f>IF(ISNA(MATCH(53,Engine!$C$2:$C$630,0)),"",INDEX('Compliance Database'!$F$2:$F$630,MATCH(53,Engine!$C$2:$C$630,0)))</f>
        <v/>
      </c>
      <c r="G66">
        <f>IF(ISNA(MATCH(53,Engine!$C$2:$C$630,0)),"",INDEX('Compliance Database'!$G$2:$G$630,MATCH(53,Engine!$C$2:$C$630,0)))</f>
        <v/>
      </c>
      <c r="H66">
        <f>IF(ISNA(MATCH(53,Engine!$C$2:$C$630,0)),"",INDEX('Compliance Database'!$H$2:$H$630,MATCH(53,Engine!$C$2:$C$630,0)))</f>
        <v/>
      </c>
      <c r="I66" s="8">
        <f>IF(ISNA(MATCH(53,Engine!$C$2:$C$630,0)),"",INDEX('Compliance Database'!$I$2:$I$630,MATCH(53,Engine!$C$2:$C$630,0)))</f>
        <v/>
      </c>
      <c r="J66" s="8">
        <f>IF(ISNA(MATCH(53,Engine!$C$2:$C$630,0)),"",INDEX('Compliance Database'!$J$2:$J$630,MATCH(53,Engine!$C$2:$C$630,0)))</f>
        <v/>
      </c>
      <c r="K66">
        <f>IF(ISNA(MATCH(53,Engine!$C$2:$C$630,0)),"",INDEX('Compliance Database'!$K$2:$K$630,MATCH(53,Engine!$C$2:$C$630,0)))</f>
        <v/>
      </c>
      <c r="L66" s="8">
        <f>IF(ISNA(MATCH(53,Engine!$C$2:$C$630,0)),"",INDEX('Compliance Database'!$L$2:$L$630,MATCH(53,Engine!$C$2:$C$630,0)))</f>
        <v/>
      </c>
      <c r="M66" s="8">
        <f>IF(ISNA(MATCH(53,Engine!$C$2:$C$630,0)),"",INDEX('Compliance Database'!$M$2:$M$630,MATCH(53,Engine!$C$2:$C$630,0)))</f>
        <v/>
      </c>
      <c r="N66" s="8">
        <f>IF(ISNA(MATCH(53,Engine!$C$2:$C$630,0)),"",INDEX('Compliance Database'!$N$2:$N$630,MATCH(53,Engine!$C$2:$C$630,0)))</f>
        <v/>
      </c>
      <c r="O66" s="8">
        <f>IF(ISNA(MATCH(53,Engine!$C$2:$C$630,0)),"",INDEX('Compliance Database'!$O$2:$O$630,MATCH(53,Engine!$C$2:$C$630,0)))</f>
        <v/>
      </c>
    </row>
    <row r="67">
      <c r="A67">
        <f>IF(ISNA(MATCH(54,Engine!$C$2:$C$630,0)),"",INDEX('Compliance Database'!$A$2:$A$630,MATCH(54,Engine!$C$2:$C$630,0)))</f>
        <v/>
      </c>
      <c r="B67">
        <f>IF(ISNA(MATCH(54,Engine!$C$2:$C$630,0)),"",INDEX('Compliance Database'!$B$2:$B$630,MATCH(54,Engine!$C$2:$C$630,0)))</f>
        <v/>
      </c>
      <c r="C67">
        <f>IF(ISNA(MATCH(54,Engine!$C$2:$C$630,0)),"",INDEX('Compliance Database'!$C$2:$C$630,MATCH(54,Engine!$C$2:$C$630,0)))</f>
        <v/>
      </c>
      <c r="D67" s="8">
        <f>IF(ISNA(MATCH(54,Engine!$C$2:$C$630,0)),"",INDEX('Compliance Database'!$D$2:$D$630,MATCH(54,Engine!$C$2:$C$630,0)))</f>
        <v/>
      </c>
      <c r="E67">
        <f>IF(ISNA(MATCH(54,Engine!$C$2:$C$630,0)),"",INDEX('Compliance Database'!$E$2:$E$630,MATCH(54,Engine!$C$2:$C$630,0)))</f>
        <v/>
      </c>
      <c r="F67">
        <f>IF(ISNA(MATCH(54,Engine!$C$2:$C$630,0)),"",INDEX('Compliance Database'!$F$2:$F$630,MATCH(54,Engine!$C$2:$C$630,0)))</f>
        <v/>
      </c>
      <c r="G67">
        <f>IF(ISNA(MATCH(54,Engine!$C$2:$C$630,0)),"",INDEX('Compliance Database'!$G$2:$G$630,MATCH(54,Engine!$C$2:$C$630,0)))</f>
        <v/>
      </c>
      <c r="H67">
        <f>IF(ISNA(MATCH(54,Engine!$C$2:$C$630,0)),"",INDEX('Compliance Database'!$H$2:$H$630,MATCH(54,Engine!$C$2:$C$630,0)))</f>
        <v/>
      </c>
      <c r="I67" s="8">
        <f>IF(ISNA(MATCH(54,Engine!$C$2:$C$630,0)),"",INDEX('Compliance Database'!$I$2:$I$630,MATCH(54,Engine!$C$2:$C$630,0)))</f>
        <v/>
      </c>
      <c r="J67" s="8">
        <f>IF(ISNA(MATCH(54,Engine!$C$2:$C$630,0)),"",INDEX('Compliance Database'!$J$2:$J$630,MATCH(54,Engine!$C$2:$C$630,0)))</f>
        <v/>
      </c>
      <c r="K67">
        <f>IF(ISNA(MATCH(54,Engine!$C$2:$C$630,0)),"",INDEX('Compliance Database'!$K$2:$K$630,MATCH(54,Engine!$C$2:$C$630,0)))</f>
        <v/>
      </c>
      <c r="L67" s="8">
        <f>IF(ISNA(MATCH(54,Engine!$C$2:$C$630,0)),"",INDEX('Compliance Database'!$L$2:$L$630,MATCH(54,Engine!$C$2:$C$630,0)))</f>
        <v/>
      </c>
      <c r="M67" s="8">
        <f>IF(ISNA(MATCH(54,Engine!$C$2:$C$630,0)),"",INDEX('Compliance Database'!$M$2:$M$630,MATCH(54,Engine!$C$2:$C$630,0)))</f>
        <v/>
      </c>
      <c r="N67" s="8">
        <f>IF(ISNA(MATCH(54,Engine!$C$2:$C$630,0)),"",INDEX('Compliance Database'!$N$2:$N$630,MATCH(54,Engine!$C$2:$C$630,0)))</f>
        <v/>
      </c>
      <c r="O67" s="8">
        <f>IF(ISNA(MATCH(54,Engine!$C$2:$C$630,0)),"",INDEX('Compliance Database'!$O$2:$O$630,MATCH(54,Engine!$C$2:$C$630,0)))</f>
        <v/>
      </c>
    </row>
    <row r="68">
      <c r="A68">
        <f>IF(ISNA(MATCH(55,Engine!$C$2:$C$630,0)),"",INDEX('Compliance Database'!$A$2:$A$630,MATCH(55,Engine!$C$2:$C$630,0)))</f>
        <v/>
      </c>
      <c r="B68">
        <f>IF(ISNA(MATCH(55,Engine!$C$2:$C$630,0)),"",INDEX('Compliance Database'!$B$2:$B$630,MATCH(55,Engine!$C$2:$C$630,0)))</f>
        <v/>
      </c>
      <c r="C68">
        <f>IF(ISNA(MATCH(55,Engine!$C$2:$C$630,0)),"",INDEX('Compliance Database'!$C$2:$C$630,MATCH(55,Engine!$C$2:$C$630,0)))</f>
        <v/>
      </c>
      <c r="D68" s="8">
        <f>IF(ISNA(MATCH(55,Engine!$C$2:$C$630,0)),"",INDEX('Compliance Database'!$D$2:$D$630,MATCH(55,Engine!$C$2:$C$630,0)))</f>
        <v/>
      </c>
      <c r="E68">
        <f>IF(ISNA(MATCH(55,Engine!$C$2:$C$630,0)),"",INDEX('Compliance Database'!$E$2:$E$630,MATCH(55,Engine!$C$2:$C$630,0)))</f>
        <v/>
      </c>
      <c r="F68">
        <f>IF(ISNA(MATCH(55,Engine!$C$2:$C$630,0)),"",INDEX('Compliance Database'!$F$2:$F$630,MATCH(55,Engine!$C$2:$C$630,0)))</f>
        <v/>
      </c>
      <c r="G68">
        <f>IF(ISNA(MATCH(55,Engine!$C$2:$C$630,0)),"",INDEX('Compliance Database'!$G$2:$G$630,MATCH(55,Engine!$C$2:$C$630,0)))</f>
        <v/>
      </c>
      <c r="H68">
        <f>IF(ISNA(MATCH(55,Engine!$C$2:$C$630,0)),"",INDEX('Compliance Database'!$H$2:$H$630,MATCH(55,Engine!$C$2:$C$630,0)))</f>
        <v/>
      </c>
      <c r="I68" s="8">
        <f>IF(ISNA(MATCH(55,Engine!$C$2:$C$630,0)),"",INDEX('Compliance Database'!$I$2:$I$630,MATCH(55,Engine!$C$2:$C$630,0)))</f>
        <v/>
      </c>
      <c r="J68" s="8">
        <f>IF(ISNA(MATCH(55,Engine!$C$2:$C$630,0)),"",INDEX('Compliance Database'!$J$2:$J$630,MATCH(55,Engine!$C$2:$C$630,0)))</f>
        <v/>
      </c>
      <c r="K68">
        <f>IF(ISNA(MATCH(55,Engine!$C$2:$C$630,0)),"",INDEX('Compliance Database'!$K$2:$K$630,MATCH(55,Engine!$C$2:$C$630,0)))</f>
        <v/>
      </c>
      <c r="L68" s="8">
        <f>IF(ISNA(MATCH(55,Engine!$C$2:$C$630,0)),"",INDEX('Compliance Database'!$L$2:$L$630,MATCH(55,Engine!$C$2:$C$630,0)))</f>
        <v/>
      </c>
      <c r="M68" s="8">
        <f>IF(ISNA(MATCH(55,Engine!$C$2:$C$630,0)),"",INDEX('Compliance Database'!$M$2:$M$630,MATCH(55,Engine!$C$2:$C$630,0)))</f>
        <v/>
      </c>
      <c r="N68" s="8">
        <f>IF(ISNA(MATCH(55,Engine!$C$2:$C$630,0)),"",INDEX('Compliance Database'!$N$2:$N$630,MATCH(55,Engine!$C$2:$C$630,0)))</f>
        <v/>
      </c>
      <c r="O68" s="8">
        <f>IF(ISNA(MATCH(55,Engine!$C$2:$C$630,0)),"",INDEX('Compliance Database'!$O$2:$O$630,MATCH(55,Engine!$C$2:$C$630,0)))</f>
        <v/>
      </c>
    </row>
    <row r="69">
      <c r="A69">
        <f>IF(ISNA(MATCH(56,Engine!$C$2:$C$630,0)),"",INDEX('Compliance Database'!$A$2:$A$630,MATCH(56,Engine!$C$2:$C$630,0)))</f>
        <v/>
      </c>
      <c r="B69">
        <f>IF(ISNA(MATCH(56,Engine!$C$2:$C$630,0)),"",INDEX('Compliance Database'!$B$2:$B$630,MATCH(56,Engine!$C$2:$C$630,0)))</f>
        <v/>
      </c>
      <c r="C69">
        <f>IF(ISNA(MATCH(56,Engine!$C$2:$C$630,0)),"",INDEX('Compliance Database'!$C$2:$C$630,MATCH(56,Engine!$C$2:$C$630,0)))</f>
        <v/>
      </c>
      <c r="D69" s="8">
        <f>IF(ISNA(MATCH(56,Engine!$C$2:$C$630,0)),"",INDEX('Compliance Database'!$D$2:$D$630,MATCH(56,Engine!$C$2:$C$630,0)))</f>
        <v/>
      </c>
      <c r="E69">
        <f>IF(ISNA(MATCH(56,Engine!$C$2:$C$630,0)),"",INDEX('Compliance Database'!$E$2:$E$630,MATCH(56,Engine!$C$2:$C$630,0)))</f>
        <v/>
      </c>
      <c r="F69">
        <f>IF(ISNA(MATCH(56,Engine!$C$2:$C$630,0)),"",INDEX('Compliance Database'!$F$2:$F$630,MATCH(56,Engine!$C$2:$C$630,0)))</f>
        <v/>
      </c>
      <c r="G69">
        <f>IF(ISNA(MATCH(56,Engine!$C$2:$C$630,0)),"",INDEX('Compliance Database'!$G$2:$G$630,MATCH(56,Engine!$C$2:$C$630,0)))</f>
        <v/>
      </c>
      <c r="H69">
        <f>IF(ISNA(MATCH(56,Engine!$C$2:$C$630,0)),"",INDEX('Compliance Database'!$H$2:$H$630,MATCH(56,Engine!$C$2:$C$630,0)))</f>
        <v/>
      </c>
      <c r="I69" s="8">
        <f>IF(ISNA(MATCH(56,Engine!$C$2:$C$630,0)),"",INDEX('Compliance Database'!$I$2:$I$630,MATCH(56,Engine!$C$2:$C$630,0)))</f>
        <v/>
      </c>
      <c r="J69" s="8">
        <f>IF(ISNA(MATCH(56,Engine!$C$2:$C$630,0)),"",INDEX('Compliance Database'!$J$2:$J$630,MATCH(56,Engine!$C$2:$C$630,0)))</f>
        <v/>
      </c>
      <c r="K69">
        <f>IF(ISNA(MATCH(56,Engine!$C$2:$C$630,0)),"",INDEX('Compliance Database'!$K$2:$K$630,MATCH(56,Engine!$C$2:$C$630,0)))</f>
        <v/>
      </c>
      <c r="L69" s="8">
        <f>IF(ISNA(MATCH(56,Engine!$C$2:$C$630,0)),"",INDEX('Compliance Database'!$L$2:$L$630,MATCH(56,Engine!$C$2:$C$630,0)))</f>
        <v/>
      </c>
      <c r="M69" s="8">
        <f>IF(ISNA(MATCH(56,Engine!$C$2:$C$630,0)),"",INDEX('Compliance Database'!$M$2:$M$630,MATCH(56,Engine!$C$2:$C$630,0)))</f>
        <v/>
      </c>
      <c r="N69" s="8">
        <f>IF(ISNA(MATCH(56,Engine!$C$2:$C$630,0)),"",INDEX('Compliance Database'!$N$2:$N$630,MATCH(56,Engine!$C$2:$C$630,0)))</f>
        <v/>
      </c>
      <c r="O69" s="8">
        <f>IF(ISNA(MATCH(56,Engine!$C$2:$C$630,0)),"",INDEX('Compliance Database'!$O$2:$O$630,MATCH(56,Engine!$C$2:$C$630,0)))</f>
        <v/>
      </c>
    </row>
    <row r="70">
      <c r="A70">
        <f>IF(ISNA(MATCH(57,Engine!$C$2:$C$630,0)),"",INDEX('Compliance Database'!$A$2:$A$630,MATCH(57,Engine!$C$2:$C$630,0)))</f>
        <v/>
      </c>
      <c r="B70">
        <f>IF(ISNA(MATCH(57,Engine!$C$2:$C$630,0)),"",INDEX('Compliance Database'!$B$2:$B$630,MATCH(57,Engine!$C$2:$C$630,0)))</f>
        <v/>
      </c>
      <c r="C70">
        <f>IF(ISNA(MATCH(57,Engine!$C$2:$C$630,0)),"",INDEX('Compliance Database'!$C$2:$C$630,MATCH(57,Engine!$C$2:$C$630,0)))</f>
        <v/>
      </c>
      <c r="D70" s="8">
        <f>IF(ISNA(MATCH(57,Engine!$C$2:$C$630,0)),"",INDEX('Compliance Database'!$D$2:$D$630,MATCH(57,Engine!$C$2:$C$630,0)))</f>
        <v/>
      </c>
      <c r="E70">
        <f>IF(ISNA(MATCH(57,Engine!$C$2:$C$630,0)),"",INDEX('Compliance Database'!$E$2:$E$630,MATCH(57,Engine!$C$2:$C$630,0)))</f>
        <v/>
      </c>
      <c r="F70">
        <f>IF(ISNA(MATCH(57,Engine!$C$2:$C$630,0)),"",INDEX('Compliance Database'!$F$2:$F$630,MATCH(57,Engine!$C$2:$C$630,0)))</f>
        <v/>
      </c>
      <c r="G70">
        <f>IF(ISNA(MATCH(57,Engine!$C$2:$C$630,0)),"",INDEX('Compliance Database'!$G$2:$G$630,MATCH(57,Engine!$C$2:$C$630,0)))</f>
        <v/>
      </c>
      <c r="H70">
        <f>IF(ISNA(MATCH(57,Engine!$C$2:$C$630,0)),"",INDEX('Compliance Database'!$H$2:$H$630,MATCH(57,Engine!$C$2:$C$630,0)))</f>
        <v/>
      </c>
      <c r="I70" s="8">
        <f>IF(ISNA(MATCH(57,Engine!$C$2:$C$630,0)),"",INDEX('Compliance Database'!$I$2:$I$630,MATCH(57,Engine!$C$2:$C$630,0)))</f>
        <v/>
      </c>
      <c r="J70" s="8">
        <f>IF(ISNA(MATCH(57,Engine!$C$2:$C$630,0)),"",INDEX('Compliance Database'!$J$2:$J$630,MATCH(57,Engine!$C$2:$C$630,0)))</f>
        <v/>
      </c>
      <c r="K70">
        <f>IF(ISNA(MATCH(57,Engine!$C$2:$C$630,0)),"",INDEX('Compliance Database'!$K$2:$K$630,MATCH(57,Engine!$C$2:$C$630,0)))</f>
        <v/>
      </c>
      <c r="L70" s="8">
        <f>IF(ISNA(MATCH(57,Engine!$C$2:$C$630,0)),"",INDEX('Compliance Database'!$L$2:$L$630,MATCH(57,Engine!$C$2:$C$630,0)))</f>
        <v/>
      </c>
      <c r="M70" s="8">
        <f>IF(ISNA(MATCH(57,Engine!$C$2:$C$630,0)),"",INDEX('Compliance Database'!$M$2:$M$630,MATCH(57,Engine!$C$2:$C$630,0)))</f>
        <v/>
      </c>
      <c r="N70" s="8">
        <f>IF(ISNA(MATCH(57,Engine!$C$2:$C$630,0)),"",INDEX('Compliance Database'!$N$2:$N$630,MATCH(57,Engine!$C$2:$C$630,0)))</f>
        <v/>
      </c>
      <c r="O70" s="8">
        <f>IF(ISNA(MATCH(57,Engine!$C$2:$C$630,0)),"",INDEX('Compliance Database'!$O$2:$O$630,MATCH(57,Engine!$C$2:$C$630,0)))</f>
        <v/>
      </c>
    </row>
    <row r="71">
      <c r="A71">
        <f>IF(ISNA(MATCH(58,Engine!$C$2:$C$630,0)),"",INDEX('Compliance Database'!$A$2:$A$630,MATCH(58,Engine!$C$2:$C$630,0)))</f>
        <v/>
      </c>
      <c r="B71">
        <f>IF(ISNA(MATCH(58,Engine!$C$2:$C$630,0)),"",INDEX('Compliance Database'!$B$2:$B$630,MATCH(58,Engine!$C$2:$C$630,0)))</f>
        <v/>
      </c>
      <c r="C71">
        <f>IF(ISNA(MATCH(58,Engine!$C$2:$C$630,0)),"",INDEX('Compliance Database'!$C$2:$C$630,MATCH(58,Engine!$C$2:$C$630,0)))</f>
        <v/>
      </c>
      <c r="D71" s="8">
        <f>IF(ISNA(MATCH(58,Engine!$C$2:$C$630,0)),"",INDEX('Compliance Database'!$D$2:$D$630,MATCH(58,Engine!$C$2:$C$630,0)))</f>
        <v/>
      </c>
      <c r="E71">
        <f>IF(ISNA(MATCH(58,Engine!$C$2:$C$630,0)),"",INDEX('Compliance Database'!$E$2:$E$630,MATCH(58,Engine!$C$2:$C$630,0)))</f>
        <v/>
      </c>
      <c r="F71">
        <f>IF(ISNA(MATCH(58,Engine!$C$2:$C$630,0)),"",INDEX('Compliance Database'!$F$2:$F$630,MATCH(58,Engine!$C$2:$C$630,0)))</f>
        <v/>
      </c>
      <c r="G71">
        <f>IF(ISNA(MATCH(58,Engine!$C$2:$C$630,0)),"",INDEX('Compliance Database'!$G$2:$G$630,MATCH(58,Engine!$C$2:$C$630,0)))</f>
        <v/>
      </c>
      <c r="H71">
        <f>IF(ISNA(MATCH(58,Engine!$C$2:$C$630,0)),"",INDEX('Compliance Database'!$H$2:$H$630,MATCH(58,Engine!$C$2:$C$630,0)))</f>
        <v/>
      </c>
      <c r="I71" s="8">
        <f>IF(ISNA(MATCH(58,Engine!$C$2:$C$630,0)),"",INDEX('Compliance Database'!$I$2:$I$630,MATCH(58,Engine!$C$2:$C$630,0)))</f>
        <v/>
      </c>
      <c r="J71" s="8">
        <f>IF(ISNA(MATCH(58,Engine!$C$2:$C$630,0)),"",INDEX('Compliance Database'!$J$2:$J$630,MATCH(58,Engine!$C$2:$C$630,0)))</f>
        <v/>
      </c>
      <c r="K71">
        <f>IF(ISNA(MATCH(58,Engine!$C$2:$C$630,0)),"",INDEX('Compliance Database'!$K$2:$K$630,MATCH(58,Engine!$C$2:$C$630,0)))</f>
        <v/>
      </c>
      <c r="L71" s="8">
        <f>IF(ISNA(MATCH(58,Engine!$C$2:$C$630,0)),"",INDEX('Compliance Database'!$L$2:$L$630,MATCH(58,Engine!$C$2:$C$630,0)))</f>
        <v/>
      </c>
      <c r="M71" s="8">
        <f>IF(ISNA(MATCH(58,Engine!$C$2:$C$630,0)),"",INDEX('Compliance Database'!$M$2:$M$630,MATCH(58,Engine!$C$2:$C$630,0)))</f>
        <v/>
      </c>
      <c r="N71" s="8">
        <f>IF(ISNA(MATCH(58,Engine!$C$2:$C$630,0)),"",INDEX('Compliance Database'!$N$2:$N$630,MATCH(58,Engine!$C$2:$C$630,0)))</f>
        <v/>
      </c>
      <c r="O71" s="8">
        <f>IF(ISNA(MATCH(58,Engine!$C$2:$C$630,0)),"",INDEX('Compliance Database'!$O$2:$O$630,MATCH(58,Engine!$C$2:$C$630,0)))</f>
        <v/>
      </c>
    </row>
    <row r="72">
      <c r="A72">
        <f>IF(ISNA(MATCH(59,Engine!$C$2:$C$630,0)),"",INDEX('Compliance Database'!$A$2:$A$630,MATCH(59,Engine!$C$2:$C$630,0)))</f>
        <v/>
      </c>
      <c r="B72">
        <f>IF(ISNA(MATCH(59,Engine!$C$2:$C$630,0)),"",INDEX('Compliance Database'!$B$2:$B$630,MATCH(59,Engine!$C$2:$C$630,0)))</f>
        <v/>
      </c>
      <c r="C72">
        <f>IF(ISNA(MATCH(59,Engine!$C$2:$C$630,0)),"",INDEX('Compliance Database'!$C$2:$C$630,MATCH(59,Engine!$C$2:$C$630,0)))</f>
        <v/>
      </c>
      <c r="D72" s="8">
        <f>IF(ISNA(MATCH(59,Engine!$C$2:$C$630,0)),"",INDEX('Compliance Database'!$D$2:$D$630,MATCH(59,Engine!$C$2:$C$630,0)))</f>
        <v/>
      </c>
      <c r="E72">
        <f>IF(ISNA(MATCH(59,Engine!$C$2:$C$630,0)),"",INDEX('Compliance Database'!$E$2:$E$630,MATCH(59,Engine!$C$2:$C$630,0)))</f>
        <v/>
      </c>
      <c r="F72">
        <f>IF(ISNA(MATCH(59,Engine!$C$2:$C$630,0)),"",INDEX('Compliance Database'!$F$2:$F$630,MATCH(59,Engine!$C$2:$C$630,0)))</f>
        <v/>
      </c>
      <c r="G72">
        <f>IF(ISNA(MATCH(59,Engine!$C$2:$C$630,0)),"",INDEX('Compliance Database'!$G$2:$G$630,MATCH(59,Engine!$C$2:$C$630,0)))</f>
        <v/>
      </c>
      <c r="H72">
        <f>IF(ISNA(MATCH(59,Engine!$C$2:$C$630,0)),"",INDEX('Compliance Database'!$H$2:$H$630,MATCH(59,Engine!$C$2:$C$630,0)))</f>
        <v/>
      </c>
      <c r="I72" s="8">
        <f>IF(ISNA(MATCH(59,Engine!$C$2:$C$630,0)),"",INDEX('Compliance Database'!$I$2:$I$630,MATCH(59,Engine!$C$2:$C$630,0)))</f>
        <v/>
      </c>
      <c r="J72" s="8">
        <f>IF(ISNA(MATCH(59,Engine!$C$2:$C$630,0)),"",INDEX('Compliance Database'!$J$2:$J$630,MATCH(59,Engine!$C$2:$C$630,0)))</f>
        <v/>
      </c>
      <c r="K72">
        <f>IF(ISNA(MATCH(59,Engine!$C$2:$C$630,0)),"",INDEX('Compliance Database'!$K$2:$K$630,MATCH(59,Engine!$C$2:$C$630,0)))</f>
        <v/>
      </c>
      <c r="L72" s="8">
        <f>IF(ISNA(MATCH(59,Engine!$C$2:$C$630,0)),"",INDEX('Compliance Database'!$L$2:$L$630,MATCH(59,Engine!$C$2:$C$630,0)))</f>
        <v/>
      </c>
      <c r="M72" s="8">
        <f>IF(ISNA(MATCH(59,Engine!$C$2:$C$630,0)),"",INDEX('Compliance Database'!$M$2:$M$630,MATCH(59,Engine!$C$2:$C$630,0)))</f>
        <v/>
      </c>
      <c r="N72" s="8">
        <f>IF(ISNA(MATCH(59,Engine!$C$2:$C$630,0)),"",INDEX('Compliance Database'!$N$2:$N$630,MATCH(59,Engine!$C$2:$C$630,0)))</f>
        <v/>
      </c>
      <c r="O72" s="8">
        <f>IF(ISNA(MATCH(59,Engine!$C$2:$C$630,0)),"",INDEX('Compliance Database'!$O$2:$O$630,MATCH(59,Engine!$C$2:$C$630,0)))</f>
        <v/>
      </c>
    </row>
    <row r="73">
      <c r="A73">
        <f>IF(ISNA(MATCH(60,Engine!$C$2:$C$630,0)),"",INDEX('Compliance Database'!$A$2:$A$630,MATCH(60,Engine!$C$2:$C$630,0)))</f>
        <v/>
      </c>
      <c r="B73">
        <f>IF(ISNA(MATCH(60,Engine!$C$2:$C$630,0)),"",INDEX('Compliance Database'!$B$2:$B$630,MATCH(60,Engine!$C$2:$C$630,0)))</f>
        <v/>
      </c>
      <c r="C73">
        <f>IF(ISNA(MATCH(60,Engine!$C$2:$C$630,0)),"",INDEX('Compliance Database'!$C$2:$C$630,MATCH(60,Engine!$C$2:$C$630,0)))</f>
        <v/>
      </c>
      <c r="D73" s="8">
        <f>IF(ISNA(MATCH(60,Engine!$C$2:$C$630,0)),"",INDEX('Compliance Database'!$D$2:$D$630,MATCH(60,Engine!$C$2:$C$630,0)))</f>
        <v/>
      </c>
      <c r="E73">
        <f>IF(ISNA(MATCH(60,Engine!$C$2:$C$630,0)),"",INDEX('Compliance Database'!$E$2:$E$630,MATCH(60,Engine!$C$2:$C$630,0)))</f>
        <v/>
      </c>
      <c r="F73">
        <f>IF(ISNA(MATCH(60,Engine!$C$2:$C$630,0)),"",INDEX('Compliance Database'!$F$2:$F$630,MATCH(60,Engine!$C$2:$C$630,0)))</f>
        <v/>
      </c>
      <c r="G73">
        <f>IF(ISNA(MATCH(60,Engine!$C$2:$C$630,0)),"",INDEX('Compliance Database'!$G$2:$G$630,MATCH(60,Engine!$C$2:$C$630,0)))</f>
        <v/>
      </c>
      <c r="H73">
        <f>IF(ISNA(MATCH(60,Engine!$C$2:$C$630,0)),"",INDEX('Compliance Database'!$H$2:$H$630,MATCH(60,Engine!$C$2:$C$630,0)))</f>
        <v/>
      </c>
      <c r="I73" s="8">
        <f>IF(ISNA(MATCH(60,Engine!$C$2:$C$630,0)),"",INDEX('Compliance Database'!$I$2:$I$630,MATCH(60,Engine!$C$2:$C$630,0)))</f>
        <v/>
      </c>
      <c r="J73" s="8">
        <f>IF(ISNA(MATCH(60,Engine!$C$2:$C$630,0)),"",INDEX('Compliance Database'!$J$2:$J$630,MATCH(60,Engine!$C$2:$C$630,0)))</f>
        <v/>
      </c>
      <c r="K73">
        <f>IF(ISNA(MATCH(60,Engine!$C$2:$C$630,0)),"",INDEX('Compliance Database'!$K$2:$K$630,MATCH(60,Engine!$C$2:$C$630,0)))</f>
        <v/>
      </c>
      <c r="L73" s="8">
        <f>IF(ISNA(MATCH(60,Engine!$C$2:$C$630,0)),"",INDEX('Compliance Database'!$L$2:$L$630,MATCH(60,Engine!$C$2:$C$630,0)))</f>
        <v/>
      </c>
      <c r="M73" s="8">
        <f>IF(ISNA(MATCH(60,Engine!$C$2:$C$630,0)),"",INDEX('Compliance Database'!$M$2:$M$630,MATCH(60,Engine!$C$2:$C$630,0)))</f>
        <v/>
      </c>
      <c r="N73" s="8">
        <f>IF(ISNA(MATCH(60,Engine!$C$2:$C$630,0)),"",INDEX('Compliance Database'!$N$2:$N$630,MATCH(60,Engine!$C$2:$C$630,0)))</f>
        <v/>
      </c>
      <c r="O73" s="8">
        <f>IF(ISNA(MATCH(60,Engine!$C$2:$C$630,0)),"",INDEX('Compliance Database'!$O$2:$O$630,MATCH(60,Engine!$C$2:$C$630,0)))</f>
        <v/>
      </c>
    </row>
    <row r="74">
      <c r="A74">
        <f>IF(ISNA(MATCH(61,Engine!$C$2:$C$630,0)),"",INDEX('Compliance Database'!$A$2:$A$630,MATCH(61,Engine!$C$2:$C$630,0)))</f>
        <v/>
      </c>
      <c r="B74">
        <f>IF(ISNA(MATCH(61,Engine!$C$2:$C$630,0)),"",INDEX('Compliance Database'!$B$2:$B$630,MATCH(61,Engine!$C$2:$C$630,0)))</f>
        <v/>
      </c>
      <c r="C74">
        <f>IF(ISNA(MATCH(61,Engine!$C$2:$C$630,0)),"",INDEX('Compliance Database'!$C$2:$C$630,MATCH(61,Engine!$C$2:$C$630,0)))</f>
        <v/>
      </c>
      <c r="D74" s="8">
        <f>IF(ISNA(MATCH(61,Engine!$C$2:$C$630,0)),"",INDEX('Compliance Database'!$D$2:$D$630,MATCH(61,Engine!$C$2:$C$630,0)))</f>
        <v/>
      </c>
      <c r="E74">
        <f>IF(ISNA(MATCH(61,Engine!$C$2:$C$630,0)),"",INDEX('Compliance Database'!$E$2:$E$630,MATCH(61,Engine!$C$2:$C$630,0)))</f>
        <v/>
      </c>
      <c r="F74">
        <f>IF(ISNA(MATCH(61,Engine!$C$2:$C$630,0)),"",INDEX('Compliance Database'!$F$2:$F$630,MATCH(61,Engine!$C$2:$C$630,0)))</f>
        <v/>
      </c>
      <c r="G74">
        <f>IF(ISNA(MATCH(61,Engine!$C$2:$C$630,0)),"",INDEX('Compliance Database'!$G$2:$G$630,MATCH(61,Engine!$C$2:$C$630,0)))</f>
        <v/>
      </c>
      <c r="H74">
        <f>IF(ISNA(MATCH(61,Engine!$C$2:$C$630,0)),"",INDEX('Compliance Database'!$H$2:$H$630,MATCH(61,Engine!$C$2:$C$630,0)))</f>
        <v/>
      </c>
      <c r="I74" s="8">
        <f>IF(ISNA(MATCH(61,Engine!$C$2:$C$630,0)),"",INDEX('Compliance Database'!$I$2:$I$630,MATCH(61,Engine!$C$2:$C$630,0)))</f>
        <v/>
      </c>
      <c r="J74" s="8">
        <f>IF(ISNA(MATCH(61,Engine!$C$2:$C$630,0)),"",INDEX('Compliance Database'!$J$2:$J$630,MATCH(61,Engine!$C$2:$C$630,0)))</f>
        <v/>
      </c>
      <c r="K74">
        <f>IF(ISNA(MATCH(61,Engine!$C$2:$C$630,0)),"",INDEX('Compliance Database'!$K$2:$K$630,MATCH(61,Engine!$C$2:$C$630,0)))</f>
        <v/>
      </c>
      <c r="L74" s="8">
        <f>IF(ISNA(MATCH(61,Engine!$C$2:$C$630,0)),"",INDEX('Compliance Database'!$L$2:$L$630,MATCH(61,Engine!$C$2:$C$630,0)))</f>
        <v/>
      </c>
      <c r="M74" s="8">
        <f>IF(ISNA(MATCH(61,Engine!$C$2:$C$630,0)),"",INDEX('Compliance Database'!$M$2:$M$630,MATCH(61,Engine!$C$2:$C$630,0)))</f>
        <v/>
      </c>
      <c r="N74" s="8">
        <f>IF(ISNA(MATCH(61,Engine!$C$2:$C$630,0)),"",INDEX('Compliance Database'!$N$2:$N$630,MATCH(61,Engine!$C$2:$C$630,0)))</f>
        <v/>
      </c>
      <c r="O74" s="8">
        <f>IF(ISNA(MATCH(61,Engine!$C$2:$C$630,0)),"",INDEX('Compliance Database'!$O$2:$O$630,MATCH(61,Engine!$C$2:$C$630,0)))</f>
        <v/>
      </c>
    </row>
    <row r="75">
      <c r="A75">
        <f>IF(ISNA(MATCH(62,Engine!$C$2:$C$630,0)),"",INDEX('Compliance Database'!$A$2:$A$630,MATCH(62,Engine!$C$2:$C$630,0)))</f>
        <v/>
      </c>
      <c r="B75">
        <f>IF(ISNA(MATCH(62,Engine!$C$2:$C$630,0)),"",INDEX('Compliance Database'!$B$2:$B$630,MATCH(62,Engine!$C$2:$C$630,0)))</f>
        <v/>
      </c>
      <c r="C75">
        <f>IF(ISNA(MATCH(62,Engine!$C$2:$C$630,0)),"",INDEX('Compliance Database'!$C$2:$C$630,MATCH(62,Engine!$C$2:$C$630,0)))</f>
        <v/>
      </c>
      <c r="D75" s="8">
        <f>IF(ISNA(MATCH(62,Engine!$C$2:$C$630,0)),"",INDEX('Compliance Database'!$D$2:$D$630,MATCH(62,Engine!$C$2:$C$630,0)))</f>
        <v/>
      </c>
      <c r="E75">
        <f>IF(ISNA(MATCH(62,Engine!$C$2:$C$630,0)),"",INDEX('Compliance Database'!$E$2:$E$630,MATCH(62,Engine!$C$2:$C$630,0)))</f>
        <v/>
      </c>
      <c r="F75">
        <f>IF(ISNA(MATCH(62,Engine!$C$2:$C$630,0)),"",INDEX('Compliance Database'!$F$2:$F$630,MATCH(62,Engine!$C$2:$C$630,0)))</f>
        <v/>
      </c>
      <c r="G75">
        <f>IF(ISNA(MATCH(62,Engine!$C$2:$C$630,0)),"",INDEX('Compliance Database'!$G$2:$G$630,MATCH(62,Engine!$C$2:$C$630,0)))</f>
        <v/>
      </c>
      <c r="H75">
        <f>IF(ISNA(MATCH(62,Engine!$C$2:$C$630,0)),"",INDEX('Compliance Database'!$H$2:$H$630,MATCH(62,Engine!$C$2:$C$630,0)))</f>
        <v/>
      </c>
      <c r="I75" s="8">
        <f>IF(ISNA(MATCH(62,Engine!$C$2:$C$630,0)),"",INDEX('Compliance Database'!$I$2:$I$630,MATCH(62,Engine!$C$2:$C$630,0)))</f>
        <v/>
      </c>
      <c r="J75" s="8">
        <f>IF(ISNA(MATCH(62,Engine!$C$2:$C$630,0)),"",INDEX('Compliance Database'!$J$2:$J$630,MATCH(62,Engine!$C$2:$C$630,0)))</f>
        <v/>
      </c>
      <c r="K75">
        <f>IF(ISNA(MATCH(62,Engine!$C$2:$C$630,0)),"",INDEX('Compliance Database'!$K$2:$K$630,MATCH(62,Engine!$C$2:$C$630,0)))</f>
        <v/>
      </c>
      <c r="L75" s="8">
        <f>IF(ISNA(MATCH(62,Engine!$C$2:$C$630,0)),"",INDEX('Compliance Database'!$L$2:$L$630,MATCH(62,Engine!$C$2:$C$630,0)))</f>
        <v/>
      </c>
      <c r="M75" s="8">
        <f>IF(ISNA(MATCH(62,Engine!$C$2:$C$630,0)),"",INDEX('Compliance Database'!$M$2:$M$630,MATCH(62,Engine!$C$2:$C$630,0)))</f>
        <v/>
      </c>
      <c r="N75" s="8">
        <f>IF(ISNA(MATCH(62,Engine!$C$2:$C$630,0)),"",INDEX('Compliance Database'!$N$2:$N$630,MATCH(62,Engine!$C$2:$C$630,0)))</f>
        <v/>
      </c>
      <c r="O75" s="8">
        <f>IF(ISNA(MATCH(62,Engine!$C$2:$C$630,0)),"",INDEX('Compliance Database'!$O$2:$O$630,MATCH(62,Engine!$C$2:$C$630,0)))</f>
        <v/>
      </c>
    </row>
    <row r="76">
      <c r="A76">
        <f>IF(ISNA(MATCH(63,Engine!$C$2:$C$630,0)),"",INDEX('Compliance Database'!$A$2:$A$630,MATCH(63,Engine!$C$2:$C$630,0)))</f>
        <v/>
      </c>
      <c r="B76">
        <f>IF(ISNA(MATCH(63,Engine!$C$2:$C$630,0)),"",INDEX('Compliance Database'!$B$2:$B$630,MATCH(63,Engine!$C$2:$C$630,0)))</f>
        <v/>
      </c>
      <c r="C76">
        <f>IF(ISNA(MATCH(63,Engine!$C$2:$C$630,0)),"",INDEX('Compliance Database'!$C$2:$C$630,MATCH(63,Engine!$C$2:$C$630,0)))</f>
        <v/>
      </c>
      <c r="D76" s="8">
        <f>IF(ISNA(MATCH(63,Engine!$C$2:$C$630,0)),"",INDEX('Compliance Database'!$D$2:$D$630,MATCH(63,Engine!$C$2:$C$630,0)))</f>
        <v/>
      </c>
      <c r="E76">
        <f>IF(ISNA(MATCH(63,Engine!$C$2:$C$630,0)),"",INDEX('Compliance Database'!$E$2:$E$630,MATCH(63,Engine!$C$2:$C$630,0)))</f>
        <v/>
      </c>
      <c r="F76">
        <f>IF(ISNA(MATCH(63,Engine!$C$2:$C$630,0)),"",INDEX('Compliance Database'!$F$2:$F$630,MATCH(63,Engine!$C$2:$C$630,0)))</f>
        <v/>
      </c>
      <c r="G76">
        <f>IF(ISNA(MATCH(63,Engine!$C$2:$C$630,0)),"",INDEX('Compliance Database'!$G$2:$G$630,MATCH(63,Engine!$C$2:$C$630,0)))</f>
        <v/>
      </c>
      <c r="H76">
        <f>IF(ISNA(MATCH(63,Engine!$C$2:$C$630,0)),"",INDEX('Compliance Database'!$H$2:$H$630,MATCH(63,Engine!$C$2:$C$630,0)))</f>
        <v/>
      </c>
      <c r="I76" s="8">
        <f>IF(ISNA(MATCH(63,Engine!$C$2:$C$630,0)),"",INDEX('Compliance Database'!$I$2:$I$630,MATCH(63,Engine!$C$2:$C$630,0)))</f>
        <v/>
      </c>
      <c r="J76" s="8">
        <f>IF(ISNA(MATCH(63,Engine!$C$2:$C$630,0)),"",INDEX('Compliance Database'!$J$2:$J$630,MATCH(63,Engine!$C$2:$C$630,0)))</f>
        <v/>
      </c>
      <c r="K76">
        <f>IF(ISNA(MATCH(63,Engine!$C$2:$C$630,0)),"",INDEX('Compliance Database'!$K$2:$K$630,MATCH(63,Engine!$C$2:$C$630,0)))</f>
        <v/>
      </c>
      <c r="L76" s="8">
        <f>IF(ISNA(MATCH(63,Engine!$C$2:$C$630,0)),"",INDEX('Compliance Database'!$L$2:$L$630,MATCH(63,Engine!$C$2:$C$630,0)))</f>
        <v/>
      </c>
      <c r="M76" s="8">
        <f>IF(ISNA(MATCH(63,Engine!$C$2:$C$630,0)),"",INDEX('Compliance Database'!$M$2:$M$630,MATCH(63,Engine!$C$2:$C$630,0)))</f>
        <v/>
      </c>
      <c r="N76" s="8">
        <f>IF(ISNA(MATCH(63,Engine!$C$2:$C$630,0)),"",INDEX('Compliance Database'!$N$2:$N$630,MATCH(63,Engine!$C$2:$C$630,0)))</f>
        <v/>
      </c>
      <c r="O76" s="8">
        <f>IF(ISNA(MATCH(63,Engine!$C$2:$C$630,0)),"",INDEX('Compliance Database'!$O$2:$O$630,MATCH(63,Engine!$C$2:$C$630,0)))</f>
        <v/>
      </c>
    </row>
    <row r="77">
      <c r="A77">
        <f>IF(ISNA(MATCH(64,Engine!$C$2:$C$630,0)),"",INDEX('Compliance Database'!$A$2:$A$630,MATCH(64,Engine!$C$2:$C$630,0)))</f>
        <v/>
      </c>
      <c r="B77">
        <f>IF(ISNA(MATCH(64,Engine!$C$2:$C$630,0)),"",INDEX('Compliance Database'!$B$2:$B$630,MATCH(64,Engine!$C$2:$C$630,0)))</f>
        <v/>
      </c>
      <c r="C77">
        <f>IF(ISNA(MATCH(64,Engine!$C$2:$C$630,0)),"",INDEX('Compliance Database'!$C$2:$C$630,MATCH(64,Engine!$C$2:$C$630,0)))</f>
        <v/>
      </c>
      <c r="D77" s="8">
        <f>IF(ISNA(MATCH(64,Engine!$C$2:$C$630,0)),"",INDEX('Compliance Database'!$D$2:$D$630,MATCH(64,Engine!$C$2:$C$630,0)))</f>
        <v/>
      </c>
      <c r="E77">
        <f>IF(ISNA(MATCH(64,Engine!$C$2:$C$630,0)),"",INDEX('Compliance Database'!$E$2:$E$630,MATCH(64,Engine!$C$2:$C$630,0)))</f>
        <v/>
      </c>
      <c r="F77">
        <f>IF(ISNA(MATCH(64,Engine!$C$2:$C$630,0)),"",INDEX('Compliance Database'!$F$2:$F$630,MATCH(64,Engine!$C$2:$C$630,0)))</f>
        <v/>
      </c>
      <c r="G77">
        <f>IF(ISNA(MATCH(64,Engine!$C$2:$C$630,0)),"",INDEX('Compliance Database'!$G$2:$G$630,MATCH(64,Engine!$C$2:$C$630,0)))</f>
        <v/>
      </c>
      <c r="H77">
        <f>IF(ISNA(MATCH(64,Engine!$C$2:$C$630,0)),"",INDEX('Compliance Database'!$H$2:$H$630,MATCH(64,Engine!$C$2:$C$630,0)))</f>
        <v/>
      </c>
      <c r="I77" s="8">
        <f>IF(ISNA(MATCH(64,Engine!$C$2:$C$630,0)),"",INDEX('Compliance Database'!$I$2:$I$630,MATCH(64,Engine!$C$2:$C$630,0)))</f>
        <v/>
      </c>
      <c r="J77" s="8">
        <f>IF(ISNA(MATCH(64,Engine!$C$2:$C$630,0)),"",INDEX('Compliance Database'!$J$2:$J$630,MATCH(64,Engine!$C$2:$C$630,0)))</f>
        <v/>
      </c>
      <c r="K77">
        <f>IF(ISNA(MATCH(64,Engine!$C$2:$C$630,0)),"",INDEX('Compliance Database'!$K$2:$K$630,MATCH(64,Engine!$C$2:$C$630,0)))</f>
        <v/>
      </c>
      <c r="L77" s="8">
        <f>IF(ISNA(MATCH(64,Engine!$C$2:$C$630,0)),"",INDEX('Compliance Database'!$L$2:$L$630,MATCH(64,Engine!$C$2:$C$630,0)))</f>
        <v/>
      </c>
      <c r="M77" s="8">
        <f>IF(ISNA(MATCH(64,Engine!$C$2:$C$630,0)),"",INDEX('Compliance Database'!$M$2:$M$630,MATCH(64,Engine!$C$2:$C$630,0)))</f>
        <v/>
      </c>
      <c r="N77" s="8">
        <f>IF(ISNA(MATCH(64,Engine!$C$2:$C$630,0)),"",INDEX('Compliance Database'!$N$2:$N$630,MATCH(64,Engine!$C$2:$C$630,0)))</f>
        <v/>
      </c>
      <c r="O77" s="8">
        <f>IF(ISNA(MATCH(64,Engine!$C$2:$C$630,0)),"",INDEX('Compliance Database'!$O$2:$O$630,MATCH(64,Engine!$C$2:$C$630,0)))</f>
        <v/>
      </c>
    </row>
    <row r="78">
      <c r="A78">
        <f>IF(ISNA(MATCH(65,Engine!$C$2:$C$630,0)),"",INDEX('Compliance Database'!$A$2:$A$630,MATCH(65,Engine!$C$2:$C$630,0)))</f>
        <v/>
      </c>
      <c r="B78">
        <f>IF(ISNA(MATCH(65,Engine!$C$2:$C$630,0)),"",INDEX('Compliance Database'!$B$2:$B$630,MATCH(65,Engine!$C$2:$C$630,0)))</f>
        <v/>
      </c>
      <c r="C78">
        <f>IF(ISNA(MATCH(65,Engine!$C$2:$C$630,0)),"",INDEX('Compliance Database'!$C$2:$C$630,MATCH(65,Engine!$C$2:$C$630,0)))</f>
        <v/>
      </c>
      <c r="D78" s="8">
        <f>IF(ISNA(MATCH(65,Engine!$C$2:$C$630,0)),"",INDEX('Compliance Database'!$D$2:$D$630,MATCH(65,Engine!$C$2:$C$630,0)))</f>
        <v/>
      </c>
      <c r="E78">
        <f>IF(ISNA(MATCH(65,Engine!$C$2:$C$630,0)),"",INDEX('Compliance Database'!$E$2:$E$630,MATCH(65,Engine!$C$2:$C$630,0)))</f>
        <v/>
      </c>
      <c r="F78">
        <f>IF(ISNA(MATCH(65,Engine!$C$2:$C$630,0)),"",INDEX('Compliance Database'!$F$2:$F$630,MATCH(65,Engine!$C$2:$C$630,0)))</f>
        <v/>
      </c>
      <c r="G78">
        <f>IF(ISNA(MATCH(65,Engine!$C$2:$C$630,0)),"",INDEX('Compliance Database'!$G$2:$G$630,MATCH(65,Engine!$C$2:$C$630,0)))</f>
        <v/>
      </c>
      <c r="H78">
        <f>IF(ISNA(MATCH(65,Engine!$C$2:$C$630,0)),"",INDEX('Compliance Database'!$H$2:$H$630,MATCH(65,Engine!$C$2:$C$630,0)))</f>
        <v/>
      </c>
      <c r="I78" s="8">
        <f>IF(ISNA(MATCH(65,Engine!$C$2:$C$630,0)),"",INDEX('Compliance Database'!$I$2:$I$630,MATCH(65,Engine!$C$2:$C$630,0)))</f>
        <v/>
      </c>
      <c r="J78" s="8">
        <f>IF(ISNA(MATCH(65,Engine!$C$2:$C$630,0)),"",INDEX('Compliance Database'!$J$2:$J$630,MATCH(65,Engine!$C$2:$C$630,0)))</f>
        <v/>
      </c>
      <c r="K78">
        <f>IF(ISNA(MATCH(65,Engine!$C$2:$C$630,0)),"",INDEX('Compliance Database'!$K$2:$K$630,MATCH(65,Engine!$C$2:$C$630,0)))</f>
        <v/>
      </c>
      <c r="L78" s="8">
        <f>IF(ISNA(MATCH(65,Engine!$C$2:$C$630,0)),"",INDEX('Compliance Database'!$L$2:$L$630,MATCH(65,Engine!$C$2:$C$630,0)))</f>
        <v/>
      </c>
      <c r="M78" s="8">
        <f>IF(ISNA(MATCH(65,Engine!$C$2:$C$630,0)),"",INDEX('Compliance Database'!$M$2:$M$630,MATCH(65,Engine!$C$2:$C$630,0)))</f>
        <v/>
      </c>
      <c r="N78" s="8">
        <f>IF(ISNA(MATCH(65,Engine!$C$2:$C$630,0)),"",INDEX('Compliance Database'!$N$2:$N$630,MATCH(65,Engine!$C$2:$C$630,0)))</f>
        <v/>
      </c>
      <c r="O78" s="8">
        <f>IF(ISNA(MATCH(65,Engine!$C$2:$C$630,0)),"",INDEX('Compliance Database'!$O$2:$O$630,MATCH(65,Engine!$C$2:$C$630,0)))</f>
        <v/>
      </c>
    </row>
    <row r="79">
      <c r="A79">
        <f>IF(ISNA(MATCH(66,Engine!$C$2:$C$630,0)),"",INDEX('Compliance Database'!$A$2:$A$630,MATCH(66,Engine!$C$2:$C$630,0)))</f>
        <v/>
      </c>
      <c r="B79">
        <f>IF(ISNA(MATCH(66,Engine!$C$2:$C$630,0)),"",INDEX('Compliance Database'!$B$2:$B$630,MATCH(66,Engine!$C$2:$C$630,0)))</f>
        <v/>
      </c>
      <c r="C79">
        <f>IF(ISNA(MATCH(66,Engine!$C$2:$C$630,0)),"",INDEX('Compliance Database'!$C$2:$C$630,MATCH(66,Engine!$C$2:$C$630,0)))</f>
        <v/>
      </c>
      <c r="D79" s="8">
        <f>IF(ISNA(MATCH(66,Engine!$C$2:$C$630,0)),"",INDEX('Compliance Database'!$D$2:$D$630,MATCH(66,Engine!$C$2:$C$630,0)))</f>
        <v/>
      </c>
      <c r="E79">
        <f>IF(ISNA(MATCH(66,Engine!$C$2:$C$630,0)),"",INDEX('Compliance Database'!$E$2:$E$630,MATCH(66,Engine!$C$2:$C$630,0)))</f>
        <v/>
      </c>
      <c r="F79">
        <f>IF(ISNA(MATCH(66,Engine!$C$2:$C$630,0)),"",INDEX('Compliance Database'!$F$2:$F$630,MATCH(66,Engine!$C$2:$C$630,0)))</f>
        <v/>
      </c>
      <c r="G79">
        <f>IF(ISNA(MATCH(66,Engine!$C$2:$C$630,0)),"",INDEX('Compliance Database'!$G$2:$G$630,MATCH(66,Engine!$C$2:$C$630,0)))</f>
        <v/>
      </c>
      <c r="H79">
        <f>IF(ISNA(MATCH(66,Engine!$C$2:$C$630,0)),"",INDEX('Compliance Database'!$H$2:$H$630,MATCH(66,Engine!$C$2:$C$630,0)))</f>
        <v/>
      </c>
      <c r="I79" s="8">
        <f>IF(ISNA(MATCH(66,Engine!$C$2:$C$630,0)),"",INDEX('Compliance Database'!$I$2:$I$630,MATCH(66,Engine!$C$2:$C$630,0)))</f>
        <v/>
      </c>
      <c r="J79" s="8">
        <f>IF(ISNA(MATCH(66,Engine!$C$2:$C$630,0)),"",INDEX('Compliance Database'!$J$2:$J$630,MATCH(66,Engine!$C$2:$C$630,0)))</f>
        <v/>
      </c>
      <c r="K79">
        <f>IF(ISNA(MATCH(66,Engine!$C$2:$C$630,0)),"",INDEX('Compliance Database'!$K$2:$K$630,MATCH(66,Engine!$C$2:$C$630,0)))</f>
        <v/>
      </c>
      <c r="L79" s="8">
        <f>IF(ISNA(MATCH(66,Engine!$C$2:$C$630,0)),"",INDEX('Compliance Database'!$L$2:$L$630,MATCH(66,Engine!$C$2:$C$630,0)))</f>
        <v/>
      </c>
      <c r="M79" s="8">
        <f>IF(ISNA(MATCH(66,Engine!$C$2:$C$630,0)),"",INDEX('Compliance Database'!$M$2:$M$630,MATCH(66,Engine!$C$2:$C$630,0)))</f>
        <v/>
      </c>
      <c r="N79" s="8">
        <f>IF(ISNA(MATCH(66,Engine!$C$2:$C$630,0)),"",INDEX('Compliance Database'!$N$2:$N$630,MATCH(66,Engine!$C$2:$C$630,0)))</f>
        <v/>
      </c>
      <c r="O79" s="8">
        <f>IF(ISNA(MATCH(66,Engine!$C$2:$C$630,0)),"",INDEX('Compliance Database'!$O$2:$O$630,MATCH(66,Engine!$C$2:$C$630,0)))</f>
        <v/>
      </c>
    </row>
    <row r="80">
      <c r="A80">
        <f>IF(ISNA(MATCH(67,Engine!$C$2:$C$630,0)),"",INDEX('Compliance Database'!$A$2:$A$630,MATCH(67,Engine!$C$2:$C$630,0)))</f>
        <v/>
      </c>
      <c r="B80">
        <f>IF(ISNA(MATCH(67,Engine!$C$2:$C$630,0)),"",INDEX('Compliance Database'!$B$2:$B$630,MATCH(67,Engine!$C$2:$C$630,0)))</f>
        <v/>
      </c>
      <c r="C80">
        <f>IF(ISNA(MATCH(67,Engine!$C$2:$C$630,0)),"",INDEX('Compliance Database'!$C$2:$C$630,MATCH(67,Engine!$C$2:$C$630,0)))</f>
        <v/>
      </c>
      <c r="D80" s="8">
        <f>IF(ISNA(MATCH(67,Engine!$C$2:$C$630,0)),"",INDEX('Compliance Database'!$D$2:$D$630,MATCH(67,Engine!$C$2:$C$630,0)))</f>
        <v/>
      </c>
      <c r="E80">
        <f>IF(ISNA(MATCH(67,Engine!$C$2:$C$630,0)),"",INDEX('Compliance Database'!$E$2:$E$630,MATCH(67,Engine!$C$2:$C$630,0)))</f>
        <v/>
      </c>
      <c r="F80">
        <f>IF(ISNA(MATCH(67,Engine!$C$2:$C$630,0)),"",INDEX('Compliance Database'!$F$2:$F$630,MATCH(67,Engine!$C$2:$C$630,0)))</f>
        <v/>
      </c>
      <c r="G80">
        <f>IF(ISNA(MATCH(67,Engine!$C$2:$C$630,0)),"",INDEX('Compliance Database'!$G$2:$G$630,MATCH(67,Engine!$C$2:$C$630,0)))</f>
        <v/>
      </c>
      <c r="H80">
        <f>IF(ISNA(MATCH(67,Engine!$C$2:$C$630,0)),"",INDEX('Compliance Database'!$H$2:$H$630,MATCH(67,Engine!$C$2:$C$630,0)))</f>
        <v/>
      </c>
      <c r="I80" s="8">
        <f>IF(ISNA(MATCH(67,Engine!$C$2:$C$630,0)),"",INDEX('Compliance Database'!$I$2:$I$630,MATCH(67,Engine!$C$2:$C$630,0)))</f>
        <v/>
      </c>
      <c r="J80" s="8">
        <f>IF(ISNA(MATCH(67,Engine!$C$2:$C$630,0)),"",INDEX('Compliance Database'!$J$2:$J$630,MATCH(67,Engine!$C$2:$C$630,0)))</f>
        <v/>
      </c>
      <c r="K80">
        <f>IF(ISNA(MATCH(67,Engine!$C$2:$C$630,0)),"",INDEX('Compliance Database'!$K$2:$K$630,MATCH(67,Engine!$C$2:$C$630,0)))</f>
        <v/>
      </c>
      <c r="L80" s="8">
        <f>IF(ISNA(MATCH(67,Engine!$C$2:$C$630,0)),"",INDEX('Compliance Database'!$L$2:$L$630,MATCH(67,Engine!$C$2:$C$630,0)))</f>
        <v/>
      </c>
      <c r="M80" s="8">
        <f>IF(ISNA(MATCH(67,Engine!$C$2:$C$630,0)),"",INDEX('Compliance Database'!$M$2:$M$630,MATCH(67,Engine!$C$2:$C$630,0)))</f>
        <v/>
      </c>
      <c r="N80" s="8">
        <f>IF(ISNA(MATCH(67,Engine!$C$2:$C$630,0)),"",INDEX('Compliance Database'!$N$2:$N$630,MATCH(67,Engine!$C$2:$C$630,0)))</f>
        <v/>
      </c>
      <c r="O80" s="8">
        <f>IF(ISNA(MATCH(67,Engine!$C$2:$C$630,0)),"",INDEX('Compliance Database'!$O$2:$O$630,MATCH(67,Engine!$C$2:$C$630,0)))</f>
        <v/>
      </c>
    </row>
    <row r="81">
      <c r="A81">
        <f>IF(ISNA(MATCH(68,Engine!$C$2:$C$630,0)),"",INDEX('Compliance Database'!$A$2:$A$630,MATCH(68,Engine!$C$2:$C$630,0)))</f>
        <v/>
      </c>
      <c r="B81">
        <f>IF(ISNA(MATCH(68,Engine!$C$2:$C$630,0)),"",INDEX('Compliance Database'!$B$2:$B$630,MATCH(68,Engine!$C$2:$C$630,0)))</f>
        <v/>
      </c>
      <c r="C81">
        <f>IF(ISNA(MATCH(68,Engine!$C$2:$C$630,0)),"",INDEX('Compliance Database'!$C$2:$C$630,MATCH(68,Engine!$C$2:$C$630,0)))</f>
        <v/>
      </c>
      <c r="D81" s="8">
        <f>IF(ISNA(MATCH(68,Engine!$C$2:$C$630,0)),"",INDEX('Compliance Database'!$D$2:$D$630,MATCH(68,Engine!$C$2:$C$630,0)))</f>
        <v/>
      </c>
      <c r="E81">
        <f>IF(ISNA(MATCH(68,Engine!$C$2:$C$630,0)),"",INDEX('Compliance Database'!$E$2:$E$630,MATCH(68,Engine!$C$2:$C$630,0)))</f>
        <v/>
      </c>
      <c r="F81">
        <f>IF(ISNA(MATCH(68,Engine!$C$2:$C$630,0)),"",INDEX('Compliance Database'!$F$2:$F$630,MATCH(68,Engine!$C$2:$C$630,0)))</f>
        <v/>
      </c>
      <c r="G81">
        <f>IF(ISNA(MATCH(68,Engine!$C$2:$C$630,0)),"",INDEX('Compliance Database'!$G$2:$G$630,MATCH(68,Engine!$C$2:$C$630,0)))</f>
        <v/>
      </c>
      <c r="H81">
        <f>IF(ISNA(MATCH(68,Engine!$C$2:$C$630,0)),"",INDEX('Compliance Database'!$H$2:$H$630,MATCH(68,Engine!$C$2:$C$630,0)))</f>
        <v/>
      </c>
      <c r="I81" s="8">
        <f>IF(ISNA(MATCH(68,Engine!$C$2:$C$630,0)),"",INDEX('Compliance Database'!$I$2:$I$630,MATCH(68,Engine!$C$2:$C$630,0)))</f>
        <v/>
      </c>
      <c r="J81" s="8">
        <f>IF(ISNA(MATCH(68,Engine!$C$2:$C$630,0)),"",INDEX('Compliance Database'!$J$2:$J$630,MATCH(68,Engine!$C$2:$C$630,0)))</f>
        <v/>
      </c>
      <c r="K81">
        <f>IF(ISNA(MATCH(68,Engine!$C$2:$C$630,0)),"",INDEX('Compliance Database'!$K$2:$K$630,MATCH(68,Engine!$C$2:$C$630,0)))</f>
        <v/>
      </c>
      <c r="L81" s="8">
        <f>IF(ISNA(MATCH(68,Engine!$C$2:$C$630,0)),"",INDEX('Compliance Database'!$L$2:$L$630,MATCH(68,Engine!$C$2:$C$630,0)))</f>
        <v/>
      </c>
      <c r="M81" s="8">
        <f>IF(ISNA(MATCH(68,Engine!$C$2:$C$630,0)),"",INDEX('Compliance Database'!$M$2:$M$630,MATCH(68,Engine!$C$2:$C$630,0)))</f>
        <v/>
      </c>
      <c r="N81" s="8">
        <f>IF(ISNA(MATCH(68,Engine!$C$2:$C$630,0)),"",INDEX('Compliance Database'!$N$2:$N$630,MATCH(68,Engine!$C$2:$C$630,0)))</f>
        <v/>
      </c>
      <c r="O81" s="8">
        <f>IF(ISNA(MATCH(68,Engine!$C$2:$C$630,0)),"",INDEX('Compliance Database'!$O$2:$O$630,MATCH(68,Engine!$C$2:$C$630,0)))</f>
        <v/>
      </c>
    </row>
    <row r="82">
      <c r="A82">
        <f>IF(ISNA(MATCH(69,Engine!$C$2:$C$630,0)),"",INDEX('Compliance Database'!$A$2:$A$630,MATCH(69,Engine!$C$2:$C$630,0)))</f>
        <v/>
      </c>
      <c r="B82">
        <f>IF(ISNA(MATCH(69,Engine!$C$2:$C$630,0)),"",INDEX('Compliance Database'!$B$2:$B$630,MATCH(69,Engine!$C$2:$C$630,0)))</f>
        <v/>
      </c>
      <c r="C82">
        <f>IF(ISNA(MATCH(69,Engine!$C$2:$C$630,0)),"",INDEX('Compliance Database'!$C$2:$C$630,MATCH(69,Engine!$C$2:$C$630,0)))</f>
        <v/>
      </c>
      <c r="D82" s="8">
        <f>IF(ISNA(MATCH(69,Engine!$C$2:$C$630,0)),"",INDEX('Compliance Database'!$D$2:$D$630,MATCH(69,Engine!$C$2:$C$630,0)))</f>
        <v/>
      </c>
      <c r="E82">
        <f>IF(ISNA(MATCH(69,Engine!$C$2:$C$630,0)),"",INDEX('Compliance Database'!$E$2:$E$630,MATCH(69,Engine!$C$2:$C$630,0)))</f>
        <v/>
      </c>
      <c r="F82">
        <f>IF(ISNA(MATCH(69,Engine!$C$2:$C$630,0)),"",INDEX('Compliance Database'!$F$2:$F$630,MATCH(69,Engine!$C$2:$C$630,0)))</f>
        <v/>
      </c>
      <c r="G82">
        <f>IF(ISNA(MATCH(69,Engine!$C$2:$C$630,0)),"",INDEX('Compliance Database'!$G$2:$G$630,MATCH(69,Engine!$C$2:$C$630,0)))</f>
        <v/>
      </c>
      <c r="H82">
        <f>IF(ISNA(MATCH(69,Engine!$C$2:$C$630,0)),"",INDEX('Compliance Database'!$H$2:$H$630,MATCH(69,Engine!$C$2:$C$630,0)))</f>
        <v/>
      </c>
      <c r="I82" s="8">
        <f>IF(ISNA(MATCH(69,Engine!$C$2:$C$630,0)),"",INDEX('Compliance Database'!$I$2:$I$630,MATCH(69,Engine!$C$2:$C$630,0)))</f>
        <v/>
      </c>
      <c r="J82" s="8">
        <f>IF(ISNA(MATCH(69,Engine!$C$2:$C$630,0)),"",INDEX('Compliance Database'!$J$2:$J$630,MATCH(69,Engine!$C$2:$C$630,0)))</f>
        <v/>
      </c>
      <c r="K82">
        <f>IF(ISNA(MATCH(69,Engine!$C$2:$C$630,0)),"",INDEX('Compliance Database'!$K$2:$K$630,MATCH(69,Engine!$C$2:$C$630,0)))</f>
        <v/>
      </c>
      <c r="L82" s="8">
        <f>IF(ISNA(MATCH(69,Engine!$C$2:$C$630,0)),"",INDEX('Compliance Database'!$L$2:$L$630,MATCH(69,Engine!$C$2:$C$630,0)))</f>
        <v/>
      </c>
      <c r="M82" s="8">
        <f>IF(ISNA(MATCH(69,Engine!$C$2:$C$630,0)),"",INDEX('Compliance Database'!$M$2:$M$630,MATCH(69,Engine!$C$2:$C$630,0)))</f>
        <v/>
      </c>
      <c r="N82" s="8">
        <f>IF(ISNA(MATCH(69,Engine!$C$2:$C$630,0)),"",INDEX('Compliance Database'!$N$2:$N$630,MATCH(69,Engine!$C$2:$C$630,0)))</f>
        <v/>
      </c>
      <c r="O82" s="8">
        <f>IF(ISNA(MATCH(69,Engine!$C$2:$C$630,0)),"",INDEX('Compliance Database'!$O$2:$O$630,MATCH(69,Engine!$C$2:$C$630,0)))</f>
        <v/>
      </c>
    </row>
    <row r="83">
      <c r="A83">
        <f>IF(ISNA(MATCH(70,Engine!$C$2:$C$630,0)),"",INDEX('Compliance Database'!$A$2:$A$630,MATCH(70,Engine!$C$2:$C$630,0)))</f>
        <v/>
      </c>
      <c r="B83">
        <f>IF(ISNA(MATCH(70,Engine!$C$2:$C$630,0)),"",INDEX('Compliance Database'!$B$2:$B$630,MATCH(70,Engine!$C$2:$C$630,0)))</f>
        <v/>
      </c>
      <c r="C83">
        <f>IF(ISNA(MATCH(70,Engine!$C$2:$C$630,0)),"",INDEX('Compliance Database'!$C$2:$C$630,MATCH(70,Engine!$C$2:$C$630,0)))</f>
        <v/>
      </c>
      <c r="D83" s="8">
        <f>IF(ISNA(MATCH(70,Engine!$C$2:$C$630,0)),"",INDEX('Compliance Database'!$D$2:$D$630,MATCH(70,Engine!$C$2:$C$630,0)))</f>
        <v/>
      </c>
      <c r="E83">
        <f>IF(ISNA(MATCH(70,Engine!$C$2:$C$630,0)),"",INDEX('Compliance Database'!$E$2:$E$630,MATCH(70,Engine!$C$2:$C$630,0)))</f>
        <v/>
      </c>
      <c r="F83">
        <f>IF(ISNA(MATCH(70,Engine!$C$2:$C$630,0)),"",INDEX('Compliance Database'!$F$2:$F$630,MATCH(70,Engine!$C$2:$C$630,0)))</f>
        <v/>
      </c>
      <c r="G83">
        <f>IF(ISNA(MATCH(70,Engine!$C$2:$C$630,0)),"",INDEX('Compliance Database'!$G$2:$G$630,MATCH(70,Engine!$C$2:$C$630,0)))</f>
        <v/>
      </c>
      <c r="H83">
        <f>IF(ISNA(MATCH(70,Engine!$C$2:$C$630,0)),"",INDEX('Compliance Database'!$H$2:$H$630,MATCH(70,Engine!$C$2:$C$630,0)))</f>
        <v/>
      </c>
      <c r="I83" s="8">
        <f>IF(ISNA(MATCH(70,Engine!$C$2:$C$630,0)),"",INDEX('Compliance Database'!$I$2:$I$630,MATCH(70,Engine!$C$2:$C$630,0)))</f>
        <v/>
      </c>
      <c r="J83" s="8">
        <f>IF(ISNA(MATCH(70,Engine!$C$2:$C$630,0)),"",INDEX('Compliance Database'!$J$2:$J$630,MATCH(70,Engine!$C$2:$C$630,0)))</f>
        <v/>
      </c>
      <c r="K83">
        <f>IF(ISNA(MATCH(70,Engine!$C$2:$C$630,0)),"",INDEX('Compliance Database'!$K$2:$K$630,MATCH(70,Engine!$C$2:$C$630,0)))</f>
        <v/>
      </c>
      <c r="L83" s="8">
        <f>IF(ISNA(MATCH(70,Engine!$C$2:$C$630,0)),"",INDEX('Compliance Database'!$L$2:$L$630,MATCH(70,Engine!$C$2:$C$630,0)))</f>
        <v/>
      </c>
      <c r="M83" s="8">
        <f>IF(ISNA(MATCH(70,Engine!$C$2:$C$630,0)),"",INDEX('Compliance Database'!$M$2:$M$630,MATCH(70,Engine!$C$2:$C$630,0)))</f>
        <v/>
      </c>
      <c r="N83" s="8">
        <f>IF(ISNA(MATCH(70,Engine!$C$2:$C$630,0)),"",INDEX('Compliance Database'!$N$2:$N$630,MATCH(70,Engine!$C$2:$C$630,0)))</f>
        <v/>
      </c>
      <c r="O83" s="8">
        <f>IF(ISNA(MATCH(70,Engine!$C$2:$C$630,0)),"",INDEX('Compliance Database'!$O$2:$O$630,MATCH(70,Engine!$C$2:$C$630,0)))</f>
        <v/>
      </c>
    </row>
    <row r="84">
      <c r="A84">
        <f>IF(ISNA(MATCH(71,Engine!$C$2:$C$630,0)),"",INDEX('Compliance Database'!$A$2:$A$630,MATCH(71,Engine!$C$2:$C$630,0)))</f>
        <v/>
      </c>
      <c r="B84">
        <f>IF(ISNA(MATCH(71,Engine!$C$2:$C$630,0)),"",INDEX('Compliance Database'!$B$2:$B$630,MATCH(71,Engine!$C$2:$C$630,0)))</f>
        <v/>
      </c>
      <c r="C84">
        <f>IF(ISNA(MATCH(71,Engine!$C$2:$C$630,0)),"",INDEX('Compliance Database'!$C$2:$C$630,MATCH(71,Engine!$C$2:$C$630,0)))</f>
        <v/>
      </c>
      <c r="D84" s="8">
        <f>IF(ISNA(MATCH(71,Engine!$C$2:$C$630,0)),"",INDEX('Compliance Database'!$D$2:$D$630,MATCH(71,Engine!$C$2:$C$630,0)))</f>
        <v/>
      </c>
      <c r="E84">
        <f>IF(ISNA(MATCH(71,Engine!$C$2:$C$630,0)),"",INDEX('Compliance Database'!$E$2:$E$630,MATCH(71,Engine!$C$2:$C$630,0)))</f>
        <v/>
      </c>
      <c r="F84">
        <f>IF(ISNA(MATCH(71,Engine!$C$2:$C$630,0)),"",INDEX('Compliance Database'!$F$2:$F$630,MATCH(71,Engine!$C$2:$C$630,0)))</f>
        <v/>
      </c>
      <c r="G84">
        <f>IF(ISNA(MATCH(71,Engine!$C$2:$C$630,0)),"",INDEX('Compliance Database'!$G$2:$G$630,MATCH(71,Engine!$C$2:$C$630,0)))</f>
        <v/>
      </c>
      <c r="H84">
        <f>IF(ISNA(MATCH(71,Engine!$C$2:$C$630,0)),"",INDEX('Compliance Database'!$H$2:$H$630,MATCH(71,Engine!$C$2:$C$630,0)))</f>
        <v/>
      </c>
      <c r="I84" s="8">
        <f>IF(ISNA(MATCH(71,Engine!$C$2:$C$630,0)),"",INDEX('Compliance Database'!$I$2:$I$630,MATCH(71,Engine!$C$2:$C$630,0)))</f>
        <v/>
      </c>
      <c r="J84" s="8">
        <f>IF(ISNA(MATCH(71,Engine!$C$2:$C$630,0)),"",INDEX('Compliance Database'!$J$2:$J$630,MATCH(71,Engine!$C$2:$C$630,0)))</f>
        <v/>
      </c>
      <c r="K84">
        <f>IF(ISNA(MATCH(71,Engine!$C$2:$C$630,0)),"",INDEX('Compliance Database'!$K$2:$K$630,MATCH(71,Engine!$C$2:$C$630,0)))</f>
        <v/>
      </c>
      <c r="L84" s="8">
        <f>IF(ISNA(MATCH(71,Engine!$C$2:$C$630,0)),"",INDEX('Compliance Database'!$L$2:$L$630,MATCH(71,Engine!$C$2:$C$630,0)))</f>
        <v/>
      </c>
      <c r="M84" s="8">
        <f>IF(ISNA(MATCH(71,Engine!$C$2:$C$630,0)),"",INDEX('Compliance Database'!$M$2:$M$630,MATCH(71,Engine!$C$2:$C$630,0)))</f>
        <v/>
      </c>
      <c r="N84" s="8">
        <f>IF(ISNA(MATCH(71,Engine!$C$2:$C$630,0)),"",INDEX('Compliance Database'!$N$2:$N$630,MATCH(71,Engine!$C$2:$C$630,0)))</f>
        <v/>
      </c>
      <c r="O84" s="8">
        <f>IF(ISNA(MATCH(71,Engine!$C$2:$C$630,0)),"",INDEX('Compliance Database'!$O$2:$O$630,MATCH(71,Engine!$C$2:$C$630,0)))</f>
        <v/>
      </c>
    </row>
    <row r="85">
      <c r="A85">
        <f>IF(ISNA(MATCH(72,Engine!$C$2:$C$630,0)),"",INDEX('Compliance Database'!$A$2:$A$630,MATCH(72,Engine!$C$2:$C$630,0)))</f>
        <v/>
      </c>
      <c r="B85">
        <f>IF(ISNA(MATCH(72,Engine!$C$2:$C$630,0)),"",INDEX('Compliance Database'!$B$2:$B$630,MATCH(72,Engine!$C$2:$C$630,0)))</f>
        <v/>
      </c>
      <c r="C85">
        <f>IF(ISNA(MATCH(72,Engine!$C$2:$C$630,0)),"",INDEX('Compliance Database'!$C$2:$C$630,MATCH(72,Engine!$C$2:$C$630,0)))</f>
        <v/>
      </c>
      <c r="D85" s="8">
        <f>IF(ISNA(MATCH(72,Engine!$C$2:$C$630,0)),"",INDEX('Compliance Database'!$D$2:$D$630,MATCH(72,Engine!$C$2:$C$630,0)))</f>
        <v/>
      </c>
      <c r="E85">
        <f>IF(ISNA(MATCH(72,Engine!$C$2:$C$630,0)),"",INDEX('Compliance Database'!$E$2:$E$630,MATCH(72,Engine!$C$2:$C$630,0)))</f>
        <v/>
      </c>
      <c r="F85">
        <f>IF(ISNA(MATCH(72,Engine!$C$2:$C$630,0)),"",INDEX('Compliance Database'!$F$2:$F$630,MATCH(72,Engine!$C$2:$C$630,0)))</f>
        <v/>
      </c>
      <c r="G85">
        <f>IF(ISNA(MATCH(72,Engine!$C$2:$C$630,0)),"",INDEX('Compliance Database'!$G$2:$G$630,MATCH(72,Engine!$C$2:$C$630,0)))</f>
        <v/>
      </c>
      <c r="H85">
        <f>IF(ISNA(MATCH(72,Engine!$C$2:$C$630,0)),"",INDEX('Compliance Database'!$H$2:$H$630,MATCH(72,Engine!$C$2:$C$630,0)))</f>
        <v/>
      </c>
      <c r="I85" s="8">
        <f>IF(ISNA(MATCH(72,Engine!$C$2:$C$630,0)),"",INDEX('Compliance Database'!$I$2:$I$630,MATCH(72,Engine!$C$2:$C$630,0)))</f>
        <v/>
      </c>
      <c r="J85" s="8">
        <f>IF(ISNA(MATCH(72,Engine!$C$2:$C$630,0)),"",INDEX('Compliance Database'!$J$2:$J$630,MATCH(72,Engine!$C$2:$C$630,0)))</f>
        <v/>
      </c>
      <c r="K85">
        <f>IF(ISNA(MATCH(72,Engine!$C$2:$C$630,0)),"",INDEX('Compliance Database'!$K$2:$K$630,MATCH(72,Engine!$C$2:$C$630,0)))</f>
        <v/>
      </c>
      <c r="L85" s="8">
        <f>IF(ISNA(MATCH(72,Engine!$C$2:$C$630,0)),"",INDEX('Compliance Database'!$L$2:$L$630,MATCH(72,Engine!$C$2:$C$630,0)))</f>
        <v/>
      </c>
      <c r="M85" s="8">
        <f>IF(ISNA(MATCH(72,Engine!$C$2:$C$630,0)),"",INDEX('Compliance Database'!$M$2:$M$630,MATCH(72,Engine!$C$2:$C$630,0)))</f>
        <v/>
      </c>
      <c r="N85" s="8">
        <f>IF(ISNA(MATCH(72,Engine!$C$2:$C$630,0)),"",INDEX('Compliance Database'!$N$2:$N$630,MATCH(72,Engine!$C$2:$C$630,0)))</f>
        <v/>
      </c>
      <c r="O85" s="8">
        <f>IF(ISNA(MATCH(72,Engine!$C$2:$C$630,0)),"",INDEX('Compliance Database'!$O$2:$O$630,MATCH(72,Engine!$C$2:$C$630,0)))</f>
        <v/>
      </c>
    </row>
    <row r="86">
      <c r="A86">
        <f>IF(ISNA(MATCH(73,Engine!$C$2:$C$630,0)),"",INDEX('Compliance Database'!$A$2:$A$630,MATCH(73,Engine!$C$2:$C$630,0)))</f>
        <v/>
      </c>
      <c r="B86">
        <f>IF(ISNA(MATCH(73,Engine!$C$2:$C$630,0)),"",INDEX('Compliance Database'!$B$2:$B$630,MATCH(73,Engine!$C$2:$C$630,0)))</f>
        <v/>
      </c>
      <c r="C86">
        <f>IF(ISNA(MATCH(73,Engine!$C$2:$C$630,0)),"",INDEX('Compliance Database'!$C$2:$C$630,MATCH(73,Engine!$C$2:$C$630,0)))</f>
        <v/>
      </c>
      <c r="D86" s="8">
        <f>IF(ISNA(MATCH(73,Engine!$C$2:$C$630,0)),"",INDEX('Compliance Database'!$D$2:$D$630,MATCH(73,Engine!$C$2:$C$630,0)))</f>
        <v/>
      </c>
      <c r="E86">
        <f>IF(ISNA(MATCH(73,Engine!$C$2:$C$630,0)),"",INDEX('Compliance Database'!$E$2:$E$630,MATCH(73,Engine!$C$2:$C$630,0)))</f>
        <v/>
      </c>
      <c r="F86">
        <f>IF(ISNA(MATCH(73,Engine!$C$2:$C$630,0)),"",INDEX('Compliance Database'!$F$2:$F$630,MATCH(73,Engine!$C$2:$C$630,0)))</f>
        <v/>
      </c>
      <c r="G86">
        <f>IF(ISNA(MATCH(73,Engine!$C$2:$C$630,0)),"",INDEX('Compliance Database'!$G$2:$G$630,MATCH(73,Engine!$C$2:$C$630,0)))</f>
        <v/>
      </c>
      <c r="H86">
        <f>IF(ISNA(MATCH(73,Engine!$C$2:$C$630,0)),"",INDEX('Compliance Database'!$H$2:$H$630,MATCH(73,Engine!$C$2:$C$630,0)))</f>
        <v/>
      </c>
      <c r="I86" s="8">
        <f>IF(ISNA(MATCH(73,Engine!$C$2:$C$630,0)),"",INDEX('Compliance Database'!$I$2:$I$630,MATCH(73,Engine!$C$2:$C$630,0)))</f>
        <v/>
      </c>
      <c r="J86" s="8">
        <f>IF(ISNA(MATCH(73,Engine!$C$2:$C$630,0)),"",INDEX('Compliance Database'!$J$2:$J$630,MATCH(73,Engine!$C$2:$C$630,0)))</f>
        <v/>
      </c>
      <c r="K86">
        <f>IF(ISNA(MATCH(73,Engine!$C$2:$C$630,0)),"",INDEX('Compliance Database'!$K$2:$K$630,MATCH(73,Engine!$C$2:$C$630,0)))</f>
        <v/>
      </c>
      <c r="L86" s="8">
        <f>IF(ISNA(MATCH(73,Engine!$C$2:$C$630,0)),"",INDEX('Compliance Database'!$L$2:$L$630,MATCH(73,Engine!$C$2:$C$630,0)))</f>
        <v/>
      </c>
      <c r="M86" s="8">
        <f>IF(ISNA(MATCH(73,Engine!$C$2:$C$630,0)),"",INDEX('Compliance Database'!$M$2:$M$630,MATCH(73,Engine!$C$2:$C$630,0)))</f>
        <v/>
      </c>
      <c r="N86" s="8">
        <f>IF(ISNA(MATCH(73,Engine!$C$2:$C$630,0)),"",INDEX('Compliance Database'!$N$2:$N$630,MATCH(73,Engine!$C$2:$C$630,0)))</f>
        <v/>
      </c>
      <c r="O86" s="8">
        <f>IF(ISNA(MATCH(73,Engine!$C$2:$C$630,0)),"",INDEX('Compliance Database'!$O$2:$O$630,MATCH(73,Engine!$C$2:$C$630,0)))</f>
        <v/>
      </c>
    </row>
    <row r="87">
      <c r="A87">
        <f>IF(ISNA(MATCH(74,Engine!$C$2:$C$630,0)),"",INDEX('Compliance Database'!$A$2:$A$630,MATCH(74,Engine!$C$2:$C$630,0)))</f>
        <v/>
      </c>
      <c r="B87">
        <f>IF(ISNA(MATCH(74,Engine!$C$2:$C$630,0)),"",INDEX('Compliance Database'!$B$2:$B$630,MATCH(74,Engine!$C$2:$C$630,0)))</f>
        <v/>
      </c>
      <c r="C87">
        <f>IF(ISNA(MATCH(74,Engine!$C$2:$C$630,0)),"",INDEX('Compliance Database'!$C$2:$C$630,MATCH(74,Engine!$C$2:$C$630,0)))</f>
        <v/>
      </c>
      <c r="D87" s="8">
        <f>IF(ISNA(MATCH(74,Engine!$C$2:$C$630,0)),"",INDEX('Compliance Database'!$D$2:$D$630,MATCH(74,Engine!$C$2:$C$630,0)))</f>
        <v/>
      </c>
      <c r="E87">
        <f>IF(ISNA(MATCH(74,Engine!$C$2:$C$630,0)),"",INDEX('Compliance Database'!$E$2:$E$630,MATCH(74,Engine!$C$2:$C$630,0)))</f>
        <v/>
      </c>
      <c r="F87">
        <f>IF(ISNA(MATCH(74,Engine!$C$2:$C$630,0)),"",INDEX('Compliance Database'!$F$2:$F$630,MATCH(74,Engine!$C$2:$C$630,0)))</f>
        <v/>
      </c>
      <c r="G87">
        <f>IF(ISNA(MATCH(74,Engine!$C$2:$C$630,0)),"",INDEX('Compliance Database'!$G$2:$G$630,MATCH(74,Engine!$C$2:$C$630,0)))</f>
        <v/>
      </c>
      <c r="H87">
        <f>IF(ISNA(MATCH(74,Engine!$C$2:$C$630,0)),"",INDEX('Compliance Database'!$H$2:$H$630,MATCH(74,Engine!$C$2:$C$630,0)))</f>
        <v/>
      </c>
      <c r="I87" s="8">
        <f>IF(ISNA(MATCH(74,Engine!$C$2:$C$630,0)),"",INDEX('Compliance Database'!$I$2:$I$630,MATCH(74,Engine!$C$2:$C$630,0)))</f>
        <v/>
      </c>
      <c r="J87" s="8">
        <f>IF(ISNA(MATCH(74,Engine!$C$2:$C$630,0)),"",INDEX('Compliance Database'!$J$2:$J$630,MATCH(74,Engine!$C$2:$C$630,0)))</f>
        <v/>
      </c>
      <c r="K87">
        <f>IF(ISNA(MATCH(74,Engine!$C$2:$C$630,0)),"",INDEX('Compliance Database'!$K$2:$K$630,MATCH(74,Engine!$C$2:$C$630,0)))</f>
        <v/>
      </c>
      <c r="L87" s="8">
        <f>IF(ISNA(MATCH(74,Engine!$C$2:$C$630,0)),"",INDEX('Compliance Database'!$L$2:$L$630,MATCH(74,Engine!$C$2:$C$630,0)))</f>
        <v/>
      </c>
      <c r="M87" s="8">
        <f>IF(ISNA(MATCH(74,Engine!$C$2:$C$630,0)),"",INDEX('Compliance Database'!$M$2:$M$630,MATCH(74,Engine!$C$2:$C$630,0)))</f>
        <v/>
      </c>
      <c r="N87" s="8">
        <f>IF(ISNA(MATCH(74,Engine!$C$2:$C$630,0)),"",INDEX('Compliance Database'!$N$2:$N$630,MATCH(74,Engine!$C$2:$C$630,0)))</f>
        <v/>
      </c>
      <c r="O87" s="8">
        <f>IF(ISNA(MATCH(74,Engine!$C$2:$C$630,0)),"",INDEX('Compliance Database'!$O$2:$O$630,MATCH(74,Engine!$C$2:$C$630,0)))</f>
        <v/>
      </c>
    </row>
    <row r="88">
      <c r="A88">
        <f>IF(ISNA(MATCH(75,Engine!$C$2:$C$630,0)),"",INDEX('Compliance Database'!$A$2:$A$630,MATCH(75,Engine!$C$2:$C$630,0)))</f>
        <v/>
      </c>
      <c r="B88">
        <f>IF(ISNA(MATCH(75,Engine!$C$2:$C$630,0)),"",INDEX('Compliance Database'!$B$2:$B$630,MATCH(75,Engine!$C$2:$C$630,0)))</f>
        <v/>
      </c>
      <c r="C88">
        <f>IF(ISNA(MATCH(75,Engine!$C$2:$C$630,0)),"",INDEX('Compliance Database'!$C$2:$C$630,MATCH(75,Engine!$C$2:$C$630,0)))</f>
        <v/>
      </c>
      <c r="D88" s="8">
        <f>IF(ISNA(MATCH(75,Engine!$C$2:$C$630,0)),"",INDEX('Compliance Database'!$D$2:$D$630,MATCH(75,Engine!$C$2:$C$630,0)))</f>
        <v/>
      </c>
      <c r="E88">
        <f>IF(ISNA(MATCH(75,Engine!$C$2:$C$630,0)),"",INDEX('Compliance Database'!$E$2:$E$630,MATCH(75,Engine!$C$2:$C$630,0)))</f>
        <v/>
      </c>
      <c r="F88">
        <f>IF(ISNA(MATCH(75,Engine!$C$2:$C$630,0)),"",INDEX('Compliance Database'!$F$2:$F$630,MATCH(75,Engine!$C$2:$C$630,0)))</f>
        <v/>
      </c>
      <c r="G88">
        <f>IF(ISNA(MATCH(75,Engine!$C$2:$C$630,0)),"",INDEX('Compliance Database'!$G$2:$G$630,MATCH(75,Engine!$C$2:$C$630,0)))</f>
        <v/>
      </c>
      <c r="H88">
        <f>IF(ISNA(MATCH(75,Engine!$C$2:$C$630,0)),"",INDEX('Compliance Database'!$H$2:$H$630,MATCH(75,Engine!$C$2:$C$630,0)))</f>
        <v/>
      </c>
      <c r="I88" s="8">
        <f>IF(ISNA(MATCH(75,Engine!$C$2:$C$630,0)),"",INDEX('Compliance Database'!$I$2:$I$630,MATCH(75,Engine!$C$2:$C$630,0)))</f>
        <v/>
      </c>
      <c r="J88" s="8">
        <f>IF(ISNA(MATCH(75,Engine!$C$2:$C$630,0)),"",INDEX('Compliance Database'!$J$2:$J$630,MATCH(75,Engine!$C$2:$C$630,0)))</f>
        <v/>
      </c>
      <c r="K88">
        <f>IF(ISNA(MATCH(75,Engine!$C$2:$C$630,0)),"",INDEX('Compliance Database'!$K$2:$K$630,MATCH(75,Engine!$C$2:$C$630,0)))</f>
        <v/>
      </c>
      <c r="L88" s="8">
        <f>IF(ISNA(MATCH(75,Engine!$C$2:$C$630,0)),"",INDEX('Compliance Database'!$L$2:$L$630,MATCH(75,Engine!$C$2:$C$630,0)))</f>
        <v/>
      </c>
      <c r="M88" s="8">
        <f>IF(ISNA(MATCH(75,Engine!$C$2:$C$630,0)),"",INDEX('Compliance Database'!$M$2:$M$630,MATCH(75,Engine!$C$2:$C$630,0)))</f>
        <v/>
      </c>
      <c r="N88" s="8">
        <f>IF(ISNA(MATCH(75,Engine!$C$2:$C$630,0)),"",INDEX('Compliance Database'!$N$2:$N$630,MATCH(75,Engine!$C$2:$C$630,0)))</f>
        <v/>
      </c>
      <c r="O88" s="8">
        <f>IF(ISNA(MATCH(75,Engine!$C$2:$C$630,0)),"",INDEX('Compliance Database'!$O$2:$O$630,MATCH(75,Engine!$C$2:$C$630,0)))</f>
        <v/>
      </c>
    </row>
    <row r="89">
      <c r="A89">
        <f>IF(ISNA(MATCH(76,Engine!$C$2:$C$630,0)),"",INDEX('Compliance Database'!$A$2:$A$630,MATCH(76,Engine!$C$2:$C$630,0)))</f>
        <v/>
      </c>
      <c r="B89">
        <f>IF(ISNA(MATCH(76,Engine!$C$2:$C$630,0)),"",INDEX('Compliance Database'!$B$2:$B$630,MATCH(76,Engine!$C$2:$C$630,0)))</f>
        <v/>
      </c>
      <c r="C89">
        <f>IF(ISNA(MATCH(76,Engine!$C$2:$C$630,0)),"",INDEX('Compliance Database'!$C$2:$C$630,MATCH(76,Engine!$C$2:$C$630,0)))</f>
        <v/>
      </c>
      <c r="D89" s="8">
        <f>IF(ISNA(MATCH(76,Engine!$C$2:$C$630,0)),"",INDEX('Compliance Database'!$D$2:$D$630,MATCH(76,Engine!$C$2:$C$630,0)))</f>
        <v/>
      </c>
      <c r="E89">
        <f>IF(ISNA(MATCH(76,Engine!$C$2:$C$630,0)),"",INDEX('Compliance Database'!$E$2:$E$630,MATCH(76,Engine!$C$2:$C$630,0)))</f>
        <v/>
      </c>
      <c r="F89">
        <f>IF(ISNA(MATCH(76,Engine!$C$2:$C$630,0)),"",INDEX('Compliance Database'!$F$2:$F$630,MATCH(76,Engine!$C$2:$C$630,0)))</f>
        <v/>
      </c>
      <c r="G89">
        <f>IF(ISNA(MATCH(76,Engine!$C$2:$C$630,0)),"",INDEX('Compliance Database'!$G$2:$G$630,MATCH(76,Engine!$C$2:$C$630,0)))</f>
        <v/>
      </c>
      <c r="H89">
        <f>IF(ISNA(MATCH(76,Engine!$C$2:$C$630,0)),"",INDEX('Compliance Database'!$H$2:$H$630,MATCH(76,Engine!$C$2:$C$630,0)))</f>
        <v/>
      </c>
      <c r="I89" s="8">
        <f>IF(ISNA(MATCH(76,Engine!$C$2:$C$630,0)),"",INDEX('Compliance Database'!$I$2:$I$630,MATCH(76,Engine!$C$2:$C$630,0)))</f>
        <v/>
      </c>
      <c r="J89" s="8">
        <f>IF(ISNA(MATCH(76,Engine!$C$2:$C$630,0)),"",INDEX('Compliance Database'!$J$2:$J$630,MATCH(76,Engine!$C$2:$C$630,0)))</f>
        <v/>
      </c>
      <c r="K89">
        <f>IF(ISNA(MATCH(76,Engine!$C$2:$C$630,0)),"",INDEX('Compliance Database'!$K$2:$K$630,MATCH(76,Engine!$C$2:$C$630,0)))</f>
        <v/>
      </c>
      <c r="L89" s="8">
        <f>IF(ISNA(MATCH(76,Engine!$C$2:$C$630,0)),"",INDEX('Compliance Database'!$L$2:$L$630,MATCH(76,Engine!$C$2:$C$630,0)))</f>
        <v/>
      </c>
      <c r="M89" s="8">
        <f>IF(ISNA(MATCH(76,Engine!$C$2:$C$630,0)),"",INDEX('Compliance Database'!$M$2:$M$630,MATCH(76,Engine!$C$2:$C$630,0)))</f>
        <v/>
      </c>
      <c r="N89" s="8">
        <f>IF(ISNA(MATCH(76,Engine!$C$2:$C$630,0)),"",INDEX('Compliance Database'!$N$2:$N$630,MATCH(76,Engine!$C$2:$C$630,0)))</f>
        <v/>
      </c>
      <c r="O89" s="8">
        <f>IF(ISNA(MATCH(76,Engine!$C$2:$C$630,0)),"",INDEX('Compliance Database'!$O$2:$O$630,MATCH(76,Engine!$C$2:$C$630,0)))</f>
        <v/>
      </c>
    </row>
    <row r="90">
      <c r="A90">
        <f>IF(ISNA(MATCH(77,Engine!$C$2:$C$630,0)),"",INDEX('Compliance Database'!$A$2:$A$630,MATCH(77,Engine!$C$2:$C$630,0)))</f>
        <v/>
      </c>
      <c r="B90">
        <f>IF(ISNA(MATCH(77,Engine!$C$2:$C$630,0)),"",INDEX('Compliance Database'!$B$2:$B$630,MATCH(77,Engine!$C$2:$C$630,0)))</f>
        <v/>
      </c>
      <c r="C90">
        <f>IF(ISNA(MATCH(77,Engine!$C$2:$C$630,0)),"",INDEX('Compliance Database'!$C$2:$C$630,MATCH(77,Engine!$C$2:$C$630,0)))</f>
        <v/>
      </c>
      <c r="D90" s="8">
        <f>IF(ISNA(MATCH(77,Engine!$C$2:$C$630,0)),"",INDEX('Compliance Database'!$D$2:$D$630,MATCH(77,Engine!$C$2:$C$630,0)))</f>
        <v/>
      </c>
      <c r="E90">
        <f>IF(ISNA(MATCH(77,Engine!$C$2:$C$630,0)),"",INDEX('Compliance Database'!$E$2:$E$630,MATCH(77,Engine!$C$2:$C$630,0)))</f>
        <v/>
      </c>
      <c r="F90">
        <f>IF(ISNA(MATCH(77,Engine!$C$2:$C$630,0)),"",INDEX('Compliance Database'!$F$2:$F$630,MATCH(77,Engine!$C$2:$C$630,0)))</f>
        <v/>
      </c>
      <c r="G90">
        <f>IF(ISNA(MATCH(77,Engine!$C$2:$C$630,0)),"",INDEX('Compliance Database'!$G$2:$G$630,MATCH(77,Engine!$C$2:$C$630,0)))</f>
        <v/>
      </c>
      <c r="H90">
        <f>IF(ISNA(MATCH(77,Engine!$C$2:$C$630,0)),"",INDEX('Compliance Database'!$H$2:$H$630,MATCH(77,Engine!$C$2:$C$630,0)))</f>
        <v/>
      </c>
      <c r="I90" s="8">
        <f>IF(ISNA(MATCH(77,Engine!$C$2:$C$630,0)),"",INDEX('Compliance Database'!$I$2:$I$630,MATCH(77,Engine!$C$2:$C$630,0)))</f>
        <v/>
      </c>
      <c r="J90" s="8">
        <f>IF(ISNA(MATCH(77,Engine!$C$2:$C$630,0)),"",INDEX('Compliance Database'!$J$2:$J$630,MATCH(77,Engine!$C$2:$C$630,0)))</f>
        <v/>
      </c>
      <c r="K90">
        <f>IF(ISNA(MATCH(77,Engine!$C$2:$C$630,0)),"",INDEX('Compliance Database'!$K$2:$K$630,MATCH(77,Engine!$C$2:$C$630,0)))</f>
        <v/>
      </c>
      <c r="L90" s="8">
        <f>IF(ISNA(MATCH(77,Engine!$C$2:$C$630,0)),"",INDEX('Compliance Database'!$L$2:$L$630,MATCH(77,Engine!$C$2:$C$630,0)))</f>
        <v/>
      </c>
      <c r="M90" s="8">
        <f>IF(ISNA(MATCH(77,Engine!$C$2:$C$630,0)),"",INDEX('Compliance Database'!$M$2:$M$630,MATCH(77,Engine!$C$2:$C$630,0)))</f>
        <v/>
      </c>
      <c r="N90" s="8">
        <f>IF(ISNA(MATCH(77,Engine!$C$2:$C$630,0)),"",INDEX('Compliance Database'!$N$2:$N$630,MATCH(77,Engine!$C$2:$C$630,0)))</f>
        <v/>
      </c>
      <c r="O90" s="8">
        <f>IF(ISNA(MATCH(77,Engine!$C$2:$C$630,0)),"",INDEX('Compliance Database'!$O$2:$O$630,MATCH(77,Engine!$C$2:$C$630,0)))</f>
        <v/>
      </c>
    </row>
    <row r="91">
      <c r="A91">
        <f>IF(ISNA(MATCH(78,Engine!$C$2:$C$630,0)),"",INDEX('Compliance Database'!$A$2:$A$630,MATCH(78,Engine!$C$2:$C$630,0)))</f>
        <v/>
      </c>
      <c r="B91">
        <f>IF(ISNA(MATCH(78,Engine!$C$2:$C$630,0)),"",INDEX('Compliance Database'!$B$2:$B$630,MATCH(78,Engine!$C$2:$C$630,0)))</f>
        <v/>
      </c>
      <c r="C91">
        <f>IF(ISNA(MATCH(78,Engine!$C$2:$C$630,0)),"",INDEX('Compliance Database'!$C$2:$C$630,MATCH(78,Engine!$C$2:$C$630,0)))</f>
        <v/>
      </c>
      <c r="D91" s="8">
        <f>IF(ISNA(MATCH(78,Engine!$C$2:$C$630,0)),"",INDEX('Compliance Database'!$D$2:$D$630,MATCH(78,Engine!$C$2:$C$630,0)))</f>
        <v/>
      </c>
      <c r="E91">
        <f>IF(ISNA(MATCH(78,Engine!$C$2:$C$630,0)),"",INDEX('Compliance Database'!$E$2:$E$630,MATCH(78,Engine!$C$2:$C$630,0)))</f>
        <v/>
      </c>
      <c r="F91">
        <f>IF(ISNA(MATCH(78,Engine!$C$2:$C$630,0)),"",INDEX('Compliance Database'!$F$2:$F$630,MATCH(78,Engine!$C$2:$C$630,0)))</f>
        <v/>
      </c>
      <c r="G91">
        <f>IF(ISNA(MATCH(78,Engine!$C$2:$C$630,0)),"",INDEX('Compliance Database'!$G$2:$G$630,MATCH(78,Engine!$C$2:$C$630,0)))</f>
        <v/>
      </c>
      <c r="H91">
        <f>IF(ISNA(MATCH(78,Engine!$C$2:$C$630,0)),"",INDEX('Compliance Database'!$H$2:$H$630,MATCH(78,Engine!$C$2:$C$630,0)))</f>
        <v/>
      </c>
      <c r="I91" s="8">
        <f>IF(ISNA(MATCH(78,Engine!$C$2:$C$630,0)),"",INDEX('Compliance Database'!$I$2:$I$630,MATCH(78,Engine!$C$2:$C$630,0)))</f>
        <v/>
      </c>
      <c r="J91" s="8">
        <f>IF(ISNA(MATCH(78,Engine!$C$2:$C$630,0)),"",INDEX('Compliance Database'!$J$2:$J$630,MATCH(78,Engine!$C$2:$C$630,0)))</f>
        <v/>
      </c>
      <c r="K91">
        <f>IF(ISNA(MATCH(78,Engine!$C$2:$C$630,0)),"",INDEX('Compliance Database'!$K$2:$K$630,MATCH(78,Engine!$C$2:$C$630,0)))</f>
        <v/>
      </c>
      <c r="L91" s="8">
        <f>IF(ISNA(MATCH(78,Engine!$C$2:$C$630,0)),"",INDEX('Compliance Database'!$L$2:$L$630,MATCH(78,Engine!$C$2:$C$630,0)))</f>
        <v/>
      </c>
      <c r="M91" s="8">
        <f>IF(ISNA(MATCH(78,Engine!$C$2:$C$630,0)),"",INDEX('Compliance Database'!$M$2:$M$630,MATCH(78,Engine!$C$2:$C$630,0)))</f>
        <v/>
      </c>
      <c r="N91" s="8">
        <f>IF(ISNA(MATCH(78,Engine!$C$2:$C$630,0)),"",INDEX('Compliance Database'!$N$2:$N$630,MATCH(78,Engine!$C$2:$C$630,0)))</f>
        <v/>
      </c>
      <c r="O91" s="8">
        <f>IF(ISNA(MATCH(78,Engine!$C$2:$C$630,0)),"",INDEX('Compliance Database'!$O$2:$O$630,MATCH(78,Engine!$C$2:$C$630,0)))</f>
        <v/>
      </c>
    </row>
    <row r="92">
      <c r="A92">
        <f>IF(ISNA(MATCH(79,Engine!$C$2:$C$630,0)),"",INDEX('Compliance Database'!$A$2:$A$630,MATCH(79,Engine!$C$2:$C$630,0)))</f>
        <v/>
      </c>
      <c r="B92">
        <f>IF(ISNA(MATCH(79,Engine!$C$2:$C$630,0)),"",INDEX('Compliance Database'!$B$2:$B$630,MATCH(79,Engine!$C$2:$C$630,0)))</f>
        <v/>
      </c>
      <c r="C92">
        <f>IF(ISNA(MATCH(79,Engine!$C$2:$C$630,0)),"",INDEX('Compliance Database'!$C$2:$C$630,MATCH(79,Engine!$C$2:$C$630,0)))</f>
        <v/>
      </c>
      <c r="D92" s="8">
        <f>IF(ISNA(MATCH(79,Engine!$C$2:$C$630,0)),"",INDEX('Compliance Database'!$D$2:$D$630,MATCH(79,Engine!$C$2:$C$630,0)))</f>
        <v/>
      </c>
      <c r="E92">
        <f>IF(ISNA(MATCH(79,Engine!$C$2:$C$630,0)),"",INDEX('Compliance Database'!$E$2:$E$630,MATCH(79,Engine!$C$2:$C$630,0)))</f>
        <v/>
      </c>
      <c r="F92">
        <f>IF(ISNA(MATCH(79,Engine!$C$2:$C$630,0)),"",INDEX('Compliance Database'!$F$2:$F$630,MATCH(79,Engine!$C$2:$C$630,0)))</f>
        <v/>
      </c>
      <c r="G92">
        <f>IF(ISNA(MATCH(79,Engine!$C$2:$C$630,0)),"",INDEX('Compliance Database'!$G$2:$G$630,MATCH(79,Engine!$C$2:$C$630,0)))</f>
        <v/>
      </c>
      <c r="H92">
        <f>IF(ISNA(MATCH(79,Engine!$C$2:$C$630,0)),"",INDEX('Compliance Database'!$H$2:$H$630,MATCH(79,Engine!$C$2:$C$630,0)))</f>
        <v/>
      </c>
      <c r="I92" s="8">
        <f>IF(ISNA(MATCH(79,Engine!$C$2:$C$630,0)),"",INDEX('Compliance Database'!$I$2:$I$630,MATCH(79,Engine!$C$2:$C$630,0)))</f>
        <v/>
      </c>
      <c r="J92" s="8">
        <f>IF(ISNA(MATCH(79,Engine!$C$2:$C$630,0)),"",INDEX('Compliance Database'!$J$2:$J$630,MATCH(79,Engine!$C$2:$C$630,0)))</f>
        <v/>
      </c>
      <c r="K92">
        <f>IF(ISNA(MATCH(79,Engine!$C$2:$C$630,0)),"",INDEX('Compliance Database'!$K$2:$K$630,MATCH(79,Engine!$C$2:$C$630,0)))</f>
        <v/>
      </c>
      <c r="L92" s="8">
        <f>IF(ISNA(MATCH(79,Engine!$C$2:$C$630,0)),"",INDEX('Compliance Database'!$L$2:$L$630,MATCH(79,Engine!$C$2:$C$630,0)))</f>
        <v/>
      </c>
      <c r="M92" s="8">
        <f>IF(ISNA(MATCH(79,Engine!$C$2:$C$630,0)),"",INDEX('Compliance Database'!$M$2:$M$630,MATCH(79,Engine!$C$2:$C$630,0)))</f>
        <v/>
      </c>
      <c r="N92" s="8">
        <f>IF(ISNA(MATCH(79,Engine!$C$2:$C$630,0)),"",INDEX('Compliance Database'!$N$2:$N$630,MATCH(79,Engine!$C$2:$C$630,0)))</f>
        <v/>
      </c>
      <c r="O92" s="8">
        <f>IF(ISNA(MATCH(79,Engine!$C$2:$C$630,0)),"",INDEX('Compliance Database'!$O$2:$O$630,MATCH(79,Engine!$C$2:$C$630,0)))</f>
        <v/>
      </c>
    </row>
    <row r="93">
      <c r="A93">
        <f>IF(ISNA(MATCH(80,Engine!$C$2:$C$630,0)),"",INDEX('Compliance Database'!$A$2:$A$630,MATCH(80,Engine!$C$2:$C$630,0)))</f>
        <v/>
      </c>
      <c r="B93">
        <f>IF(ISNA(MATCH(80,Engine!$C$2:$C$630,0)),"",INDEX('Compliance Database'!$B$2:$B$630,MATCH(80,Engine!$C$2:$C$630,0)))</f>
        <v/>
      </c>
      <c r="C93">
        <f>IF(ISNA(MATCH(80,Engine!$C$2:$C$630,0)),"",INDEX('Compliance Database'!$C$2:$C$630,MATCH(80,Engine!$C$2:$C$630,0)))</f>
        <v/>
      </c>
      <c r="D93" s="8">
        <f>IF(ISNA(MATCH(80,Engine!$C$2:$C$630,0)),"",INDEX('Compliance Database'!$D$2:$D$630,MATCH(80,Engine!$C$2:$C$630,0)))</f>
        <v/>
      </c>
      <c r="E93">
        <f>IF(ISNA(MATCH(80,Engine!$C$2:$C$630,0)),"",INDEX('Compliance Database'!$E$2:$E$630,MATCH(80,Engine!$C$2:$C$630,0)))</f>
        <v/>
      </c>
      <c r="F93">
        <f>IF(ISNA(MATCH(80,Engine!$C$2:$C$630,0)),"",INDEX('Compliance Database'!$F$2:$F$630,MATCH(80,Engine!$C$2:$C$630,0)))</f>
        <v/>
      </c>
      <c r="G93">
        <f>IF(ISNA(MATCH(80,Engine!$C$2:$C$630,0)),"",INDEX('Compliance Database'!$G$2:$G$630,MATCH(80,Engine!$C$2:$C$630,0)))</f>
        <v/>
      </c>
      <c r="H93">
        <f>IF(ISNA(MATCH(80,Engine!$C$2:$C$630,0)),"",INDEX('Compliance Database'!$H$2:$H$630,MATCH(80,Engine!$C$2:$C$630,0)))</f>
        <v/>
      </c>
      <c r="I93" s="8">
        <f>IF(ISNA(MATCH(80,Engine!$C$2:$C$630,0)),"",INDEX('Compliance Database'!$I$2:$I$630,MATCH(80,Engine!$C$2:$C$630,0)))</f>
        <v/>
      </c>
      <c r="J93" s="8">
        <f>IF(ISNA(MATCH(80,Engine!$C$2:$C$630,0)),"",INDEX('Compliance Database'!$J$2:$J$630,MATCH(80,Engine!$C$2:$C$630,0)))</f>
        <v/>
      </c>
      <c r="K93">
        <f>IF(ISNA(MATCH(80,Engine!$C$2:$C$630,0)),"",INDEX('Compliance Database'!$K$2:$K$630,MATCH(80,Engine!$C$2:$C$630,0)))</f>
        <v/>
      </c>
      <c r="L93" s="8">
        <f>IF(ISNA(MATCH(80,Engine!$C$2:$C$630,0)),"",INDEX('Compliance Database'!$L$2:$L$630,MATCH(80,Engine!$C$2:$C$630,0)))</f>
        <v/>
      </c>
      <c r="M93" s="8">
        <f>IF(ISNA(MATCH(80,Engine!$C$2:$C$630,0)),"",INDEX('Compliance Database'!$M$2:$M$630,MATCH(80,Engine!$C$2:$C$630,0)))</f>
        <v/>
      </c>
      <c r="N93" s="8">
        <f>IF(ISNA(MATCH(80,Engine!$C$2:$C$630,0)),"",INDEX('Compliance Database'!$N$2:$N$630,MATCH(80,Engine!$C$2:$C$630,0)))</f>
        <v/>
      </c>
      <c r="O93" s="8">
        <f>IF(ISNA(MATCH(80,Engine!$C$2:$C$630,0)),"",INDEX('Compliance Database'!$O$2:$O$630,MATCH(80,Engine!$C$2:$C$630,0)))</f>
        <v/>
      </c>
    </row>
    <row r="94">
      <c r="A94">
        <f>IF(ISNA(MATCH(81,Engine!$C$2:$C$630,0)),"",INDEX('Compliance Database'!$A$2:$A$630,MATCH(81,Engine!$C$2:$C$630,0)))</f>
        <v/>
      </c>
      <c r="B94">
        <f>IF(ISNA(MATCH(81,Engine!$C$2:$C$630,0)),"",INDEX('Compliance Database'!$B$2:$B$630,MATCH(81,Engine!$C$2:$C$630,0)))</f>
        <v/>
      </c>
      <c r="C94">
        <f>IF(ISNA(MATCH(81,Engine!$C$2:$C$630,0)),"",INDEX('Compliance Database'!$C$2:$C$630,MATCH(81,Engine!$C$2:$C$630,0)))</f>
        <v/>
      </c>
      <c r="D94" s="8">
        <f>IF(ISNA(MATCH(81,Engine!$C$2:$C$630,0)),"",INDEX('Compliance Database'!$D$2:$D$630,MATCH(81,Engine!$C$2:$C$630,0)))</f>
        <v/>
      </c>
      <c r="E94">
        <f>IF(ISNA(MATCH(81,Engine!$C$2:$C$630,0)),"",INDEX('Compliance Database'!$E$2:$E$630,MATCH(81,Engine!$C$2:$C$630,0)))</f>
        <v/>
      </c>
      <c r="F94">
        <f>IF(ISNA(MATCH(81,Engine!$C$2:$C$630,0)),"",INDEX('Compliance Database'!$F$2:$F$630,MATCH(81,Engine!$C$2:$C$630,0)))</f>
        <v/>
      </c>
      <c r="G94">
        <f>IF(ISNA(MATCH(81,Engine!$C$2:$C$630,0)),"",INDEX('Compliance Database'!$G$2:$G$630,MATCH(81,Engine!$C$2:$C$630,0)))</f>
        <v/>
      </c>
      <c r="H94">
        <f>IF(ISNA(MATCH(81,Engine!$C$2:$C$630,0)),"",INDEX('Compliance Database'!$H$2:$H$630,MATCH(81,Engine!$C$2:$C$630,0)))</f>
        <v/>
      </c>
      <c r="I94" s="8">
        <f>IF(ISNA(MATCH(81,Engine!$C$2:$C$630,0)),"",INDEX('Compliance Database'!$I$2:$I$630,MATCH(81,Engine!$C$2:$C$630,0)))</f>
        <v/>
      </c>
      <c r="J94" s="8">
        <f>IF(ISNA(MATCH(81,Engine!$C$2:$C$630,0)),"",INDEX('Compliance Database'!$J$2:$J$630,MATCH(81,Engine!$C$2:$C$630,0)))</f>
        <v/>
      </c>
      <c r="K94">
        <f>IF(ISNA(MATCH(81,Engine!$C$2:$C$630,0)),"",INDEX('Compliance Database'!$K$2:$K$630,MATCH(81,Engine!$C$2:$C$630,0)))</f>
        <v/>
      </c>
      <c r="L94" s="8">
        <f>IF(ISNA(MATCH(81,Engine!$C$2:$C$630,0)),"",INDEX('Compliance Database'!$L$2:$L$630,MATCH(81,Engine!$C$2:$C$630,0)))</f>
        <v/>
      </c>
      <c r="M94" s="8">
        <f>IF(ISNA(MATCH(81,Engine!$C$2:$C$630,0)),"",INDEX('Compliance Database'!$M$2:$M$630,MATCH(81,Engine!$C$2:$C$630,0)))</f>
        <v/>
      </c>
      <c r="N94" s="8">
        <f>IF(ISNA(MATCH(81,Engine!$C$2:$C$630,0)),"",INDEX('Compliance Database'!$N$2:$N$630,MATCH(81,Engine!$C$2:$C$630,0)))</f>
        <v/>
      </c>
      <c r="O94" s="8">
        <f>IF(ISNA(MATCH(81,Engine!$C$2:$C$630,0)),"",INDEX('Compliance Database'!$O$2:$O$630,MATCH(81,Engine!$C$2:$C$630,0)))</f>
        <v/>
      </c>
    </row>
    <row r="95">
      <c r="A95">
        <f>IF(ISNA(MATCH(82,Engine!$C$2:$C$630,0)),"",INDEX('Compliance Database'!$A$2:$A$630,MATCH(82,Engine!$C$2:$C$630,0)))</f>
        <v/>
      </c>
      <c r="B95">
        <f>IF(ISNA(MATCH(82,Engine!$C$2:$C$630,0)),"",INDEX('Compliance Database'!$B$2:$B$630,MATCH(82,Engine!$C$2:$C$630,0)))</f>
        <v/>
      </c>
      <c r="C95">
        <f>IF(ISNA(MATCH(82,Engine!$C$2:$C$630,0)),"",INDEX('Compliance Database'!$C$2:$C$630,MATCH(82,Engine!$C$2:$C$630,0)))</f>
        <v/>
      </c>
      <c r="D95" s="8">
        <f>IF(ISNA(MATCH(82,Engine!$C$2:$C$630,0)),"",INDEX('Compliance Database'!$D$2:$D$630,MATCH(82,Engine!$C$2:$C$630,0)))</f>
        <v/>
      </c>
      <c r="E95">
        <f>IF(ISNA(MATCH(82,Engine!$C$2:$C$630,0)),"",INDEX('Compliance Database'!$E$2:$E$630,MATCH(82,Engine!$C$2:$C$630,0)))</f>
        <v/>
      </c>
      <c r="F95">
        <f>IF(ISNA(MATCH(82,Engine!$C$2:$C$630,0)),"",INDEX('Compliance Database'!$F$2:$F$630,MATCH(82,Engine!$C$2:$C$630,0)))</f>
        <v/>
      </c>
      <c r="G95">
        <f>IF(ISNA(MATCH(82,Engine!$C$2:$C$630,0)),"",INDEX('Compliance Database'!$G$2:$G$630,MATCH(82,Engine!$C$2:$C$630,0)))</f>
        <v/>
      </c>
      <c r="H95">
        <f>IF(ISNA(MATCH(82,Engine!$C$2:$C$630,0)),"",INDEX('Compliance Database'!$H$2:$H$630,MATCH(82,Engine!$C$2:$C$630,0)))</f>
        <v/>
      </c>
      <c r="I95" s="8">
        <f>IF(ISNA(MATCH(82,Engine!$C$2:$C$630,0)),"",INDEX('Compliance Database'!$I$2:$I$630,MATCH(82,Engine!$C$2:$C$630,0)))</f>
        <v/>
      </c>
      <c r="J95" s="8">
        <f>IF(ISNA(MATCH(82,Engine!$C$2:$C$630,0)),"",INDEX('Compliance Database'!$J$2:$J$630,MATCH(82,Engine!$C$2:$C$630,0)))</f>
        <v/>
      </c>
      <c r="K95">
        <f>IF(ISNA(MATCH(82,Engine!$C$2:$C$630,0)),"",INDEX('Compliance Database'!$K$2:$K$630,MATCH(82,Engine!$C$2:$C$630,0)))</f>
        <v/>
      </c>
      <c r="L95" s="8">
        <f>IF(ISNA(MATCH(82,Engine!$C$2:$C$630,0)),"",INDEX('Compliance Database'!$L$2:$L$630,MATCH(82,Engine!$C$2:$C$630,0)))</f>
        <v/>
      </c>
      <c r="M95" s="8">
        <f>IF(ISNA(MATCH(82,Engine!$C$2:$C$630,0)),"",INDEX('Compliance Database'!$M$2:$M$630,MATCH(82,Engine!$C$2:$C$630,0)))</f>
        <v/>
      </c>
      <c r="N95" s="8">
        <f>IF(ISNA(MATCH(82,Engine!$C$2:$C$630,0)),"",INDEX('Compliance Database'!$N$2:$N$630,MATCH(82,Engine!$C$2:$C$630,0)))</f>
        <v/>
      </c>
      <c r="O95" s="8">
        <f>IF(ISNA(MATCH(82,Engine!$C$2:$C$630,0)),"",INDEX('Compliance Database'!$O$2:$O$630,MATCH(82,Engine!$C$2:$C$630,0)))</f>
        <v/>
      </c>
    </row>
    <row r="96">
      <c r="A96">
        <f>IF(ISNA(MATCH(83,Engine!$C$2:$C$630,0)),"",INDEX('Compliance Database'!$A$2:$A$630,MATCH(83,Engine!$C$2:$C$630,0)))</f>
        <v/>
      </c>
      <c r="B96">
        <f>IF(ISNA(MATCH(83,Engine!$C$2:$C$630,0)),"",INDEX('Compliance Database'!$B$2:$B$630,MATCH(83,Engine!$C$2:$C$630,0)))</f>
        <v/>
      </c>
      <c r="C96">
        <f>IF(ISNA(MATCH(83,Engine!$C$2:$C$630,0)),"",INDEX('Compliance Database'!$C$2:$C$630,MATCH(83,Engine!$C$2:$C$630,0)))</f>
        <v/>
      </c>
      <c r="D96" s="8">
        <f>IF(ISNA(MATCH(83,Engine!$C$2:$C$630,0)),"",INDEX('Compliance Database'!$D$2:$D$630,MATCH(83,Engine!$C$2:$C$630,0)))</f>
        <v/>
      </c>
      <c r="E96">
        <f>IF(ISNA(MATCH(83,Engine!$C$2:$C$630,0)),"",INDEX('Compliance Database'!$E$2:$E$630,MATCH(83,Engine!$C$2:$C$630,0)))</f>
        <v/>
      </c>
      <c r="F96">
        <f>IF(ISNA(MATCH(83,Engine!$C$2:$C$630,0)),"",INDEX('Compliance Database'!$F$2:$F$630,MATCH(83,Engine!$C$2:$C$630,0)))</f>
        <v/>
      </c>
      <c r="G96">
        <f>IF(ISNA(MATCH(83,Engine!$C$2:$C$630,0)),"",INDEX('Compliance Database'!$G$2:$G$630,MATCH(83,Engine!$C$2:$C$630,0)))</f>
        <v/>
      </c>
      <c r="H96">
        <f>IF(ISNA(MATCH(83,Engine!$C$2:$C$630,0)),"",INDEX('Compliance Database'!$H$2:$H$630,MATCH(83,Engine!$C$2:$C$630,0)))</f>
        <v/>
      </c>
      <c r="I96" s="8">
        <f>IF(ISNA(MATCH(83,Engine!$C$2:$C$630,0)),"",INDEX('Compliance Database'!$I$2:$I$630,MATCH(83,Engine!$C$2:$C$630,0)))</f>
        <v/>
      </c>
      <c r="J96" s="8">
        <f>IF(ISNA(MATCH(83,Engine!$C$2:$C$630,0)),"",INDEX('Compliance Database'!$J$2:$J$630,MATCH(83,Engine!$C$2:$C$630,0)))</f>
        <v/>
      </c>
      <c r="K96">
        <f>IF(ISNA(MATCH(83,Engine!$C$2:$C$630,0)),"",INDEX('Compliance Database'!$K$2:$K$630,MATCH(83,Engine!$C$2:$C$630,0)))</f>
        <v/>
      </c>
      <c r="L96" s="8">
        <f>IF(ISNA(MATCH(83,Engine!$C$2:$C$630,0)),"",INDEX('Compliance Database'!$L$2:$L$630,MATCH(83,Engine!$C$2:$C$630,0)))</f>
        <v/>
      </c>
      <c r="M96" s="8">
        <f>IF(ISNA(MATCH(83,Engine!$C$2:$C$630,0)),"",INDEX('Compliance Database'!$M$2:$M$630,MATCH(83,Engine!$C$2:$C$630,0)))</f>
        <v/>
      </c>
      <c r="N96" s="8">
        <f>IF(ISNA(MATCH(83,Engine!$C$2:$C$630,0)),"",INDEX('Compliance Database'!$N$2:$N$630,MATCH(83,Engine!$C$2:$C$630,0)))</f>
        <v/>
      </c>
      <c r="O96" s="8">
        <f>IF(ISNA(MATCH(83,Engine!$C$2:$C$630,0)),"",INDEX('Compliance Database'!$O$2:$O$630,MATCH(83,Engine!$C$2:$C$630,0)))</f>
        <v/>
      </c>
    </row>
    <row r="97">
      <c r="A97">
        <f>IF(ISNA(MATCH(84,Engine!$C$2:$C$630,0)),"",INDEX('Compliance Database'!$A$2:$A$630,MATCH(84,Engine!$C$2:$C$630,0)))</f>
        <v/>
      </c>
      <c r="B97">
        <f>IF(ISNA(MATCH(84,Engine!$C$2:$C$630,0)),"",INDEX('Compliance Database'!$B$2:$B$630,MATCH(84,Engine!$C$2:$C$630,0)))</f>
        <v/>
      </c>
      <c r="C97">
        <f>IF(ISNA(MATCH(84,Engine!$C$2:$C$630,0)),"",INDEX('Compliance Database'!$C$2:$C$630,MATCH(84,Engine!$C$2:$C$630,0)))</f>
        <v/>
      </c>
      <c r="D97" s="8">
        <f>IF(ISNA(MATCH(84,Engine!$C$2:$C$630,0)),"",INDEX('Compliance Database'!$D$2:$D$630,MATCH(84,Engine!$C$2:$C$630,0)))</f>
        <v/>
      </c>
      <c r="E97">
        <f>IF(ISNA(MATCH(84,Engine!$C$2:$C$630,0)),"",INDEX('Compliance Database'!$E$2:$E$630,MATCH(84,Engine!$C$2:$C$630,0)))</f>
        <v/>
      </c>
      <c r="F97">
        <f>IF(ISNA(MATCH(84,Engine!$C$2:$C$630,0)),"",INDEX('Compliance Database'!$F$2:$F$630,MATCH(84,Engine!$C$2:$C$630,0)))</f>
        <v/>
      </c>
      <c r="G97">
        <f>IF(ISNA(MATCH(84,Engine!$C$2:$C$630,0)),"",INDEX('Compliance Database'!$G$2:$G$630,MATCH(84,Engine!$C$2:$C$630,0)))</f>
        <v/>
      </c>
      <c r="H97">
        <f>IF(ISNA(MATCH(84,Engine!$C$2:$C$630,0)),"",INDEX('Compliance Database'!$H$2:$H$630,MATCH(84,Engine!$C$2:$C$630,0)))</f>
        <v/>
      </c>
      <c r="I97" s="8">
        <f>IF(ISNA(MATCH(84,Engine!$C$2:$C$630,0)),"",INDEX('Compliance Database'!$I$2:$I$630,MATCH(84,Engine!$C$2:$C$630,0)))</f>
        <v/>
      </c>
      <c r="J97" s="8">
        <f>IF(ISNA(MATCH(84,Engine!$C$2:$C$630,0)),"",INDEX('Compliance Database'!$J$2:$J$630,MATCH(84,Engine!$C$2:$C$630,0)))</f>
        <v/>
      </c>
      <c r="K97">
        <f>IF(ISNA(MATCH(84,Engine!$C$2:$C$630,0)),"",INDEX('Compliance Database'!$K$2:$K$630,MATCH(84,Engine!$C$2:$C$630,0)))</f>
        <v/>
      </c>
      <c r="L97" s="8">
        <f>IF(ISNA(MATCH(84,Engine!$C$2:$C$630,0)),"",INDEX('Compliance Database'!$L$2:$L$630,MATCH(84,Engine!$C$2:$C$630,0)))</f>
        <v/>
      </c>
      <c r="M97" s="8">
        <f>IF(ISNA(MATCH(84,Engine!$C$2:$C$630,0)),"",INDEX('Compliance Database'!$M$2:$M$630,MATCH(84,Engine!$C$2:$C$630,0)))</f>
        <v/>
      </c>
      <c r="N97" s="8">
        <f>IF(ISNA(MATCH(84,Engine!$C$2:$C$630,0)),"",INDEX('Compliance Database'!$N$2:$N$630,MATCH(84,Engine!$C$2:$C$630,0)))</f>
        <v/>
      </c>
      <c r="O97" s="8">
        <f>IF(ISNA(MATCH(84,Engine!$C$2:$C$630,0)),"",INDEX('Compliance Database'!$O$2:$O$630,MATCH(84,Engine!$C$2:$C$630,0)))</f>
        <v/>
      </c>
    </row>
    <row r="98">
      <c r="A98">
        <f>IF(ISNA(MATCH(85,Engine!$C$2:$C$630,0)),"",INDEX('Compliance Database'!$A$2:$A$630,MATCH(85,Engine!$C$2:$C$630,0)))</f>
        <v/>
      </c>
      <c r="B98">
        <f>IF(ISNA(MATCH(85,Engine!$C$2:$C$630,0)),"",INDEX('Compliance Database'!$B$2:$B$630,MATCH(85,Engine!$C$2:$C$630,0)))</f>
        <v/>
      </c>
      <c r="C98">
        <f>IF(ISNA(MATCH(85,Engine!$C$2:$C$630,0)),"",INDEX('Compliance Database'!$C$2:$C$630,MATCH(85,Engine!$C$2:$C$630,0)))</f>
        <v/>
      </c>
      <c r="D98" s="8">
        <f>IF(ISNA(MATCH(85,Engine!$C$2:$C$630,0)),"",INDEX('Compliance Database'!$D$2:$D$630,MATCH(85,Engine!$C$2:$C$630,0)))</f>
        <v/>
      </c>
      <c r="E98">
        <f>IF(ISNA(MATCH(85,Engine!$C$2:$C$630,0)),"",INDEX('Compliance Database'!$E$2:$E$630,MATCH(85,Engine!$C$2:$C$630,0)))</f>
        <v/>
      </c>
      <c r="F98">
        <f>IF(ISNA(MATCH(85,Engine!$C$2:$C$630,0)),"",INDEX('Compliance Database'!$F$2:$F$630,MATCH(85,Engine!$C$2:$C$630,0)))</f>
        <v/>
      </c>
      <c r="G98">
        <f>IF(ISNA(MATCH(85,Engine!$C$2:$C$630,0)),"",INDEX('Compliance Database'!$G$2:$G$630,MATCH(85,Engine!$C$2:$C$630,0)))</f>
        <v/>
      </c>
      <c r="H98">
        <f>IF(ISNA(MATCH(85,Engine!$C$2:$C$630,0)),"",INDEX('Compliance Database'!$H$2:$H$630,MATCH(85,Engine!$C$2:$C$630,0)))</f>
        <v/>
      </c>
      <c r="I98" s="8">
        <f>IF(ISNA(MATCH(85,Engine!$C$2:$C$630,0)),"",INDEX('Compliance Database'!$I$2:$I$630,MATCH(85,Engine!$C$2:$C$630,0)))</f>
        <v/>
      </c>
      <c r="J98" s="8">
        <f>IF(ISNA(MATCH(85,Engine!$C$2:$C$630,0)),"",INDEX('Compliance Database'!$J$2:$J$630,MATCH(85,Engine!$C$2:$C$630,0)))</f>
        <v/>
      </c>
      <c r="K98">
        <f>IF(ISNA(MATCH(85,Engine!$C$2:$C$630,0)),"",INDEX('Compliance Database'!$K$2:$K$630,MATCH(85,Engine!$C$2:$C$630,0)))</f>
        <v/>
      </c>
      <c r="L98" s="8">
        <f>IF(ISNA(MATCH(85,Engine!$C$2:$C$630,0)),"",INDEX('Compliance Database'!$L$2:$L$630,MATCH(85,Engine!$C$2:$C$630,0)))</f>
        <v/>
      </c>
      <c r="M98" s="8">
        <f>IF(ISNA(MATCH(85,Engine!$C$2:$C$630,0)),"",INDEX('Compliance Database'!$M$2:$M$630,MATCH(85,Engine!$C$2:$C$630,0)))</f>
        <v/>
      </c>
      <c r="N98" s="8">
        <f>IF(ISNA(MATCH(85,Engine!$C$2:$C$630,0)),"",INDEX('Compliance Database'!$N$2:$N$630,MATCH(85,Engine!$C$2:$C$630,0)))</f>
        <v/>
      </c>
      <c r="O98" s="8">
        <f>IF(ISNA(MATCH(85,Engine!$C$2:$C$630,0)),"",INDEX('Compliance Database'!$O$2:$O$630,MATCH(85,Engine!$C$2:$C$630,0)))</f>
        <v/>
      </c>
    </row>
    <row r="99">
      <c r="A99">
        <f>IF(ISNA(MATCH(86,Engine!$C$2:$C$630,0)),"",INDEX('Compliance Database'!$A$2:$A$630,MATCH(86,Engine!$C$2:$C$630,0)))</f>
        <v/>
      </c>
      <c r="B99">
        <f>IF(ISNA(MATCH(86,Engine!$C$2:$C$630,0)),"",INDEX('Compliance Database'!$B$2:$B$630,MATCH(86,Engine!$C$2:$C$630,0)))</f>
        <v/>
      </c>
      <c r="C99">
        <f>IF(ISNA(MATCH(86,Engine!$C$2:$C$630,0)),"",INDEX('Compliance Database'!$C$2:$C$630,MATCH(86,Engine!$C$2:$C$630,0)))</f>
        <v/>
      </c>
      <c r="D99" s="8">
        <f>IF(ISNA(MATCH(86,Engine!$C$2:$C$630,0)),"",INDEX('Compliance Database'!$D$2:$D$630,MATCH(86,Engine!$C$2:$C$630,0)))</f>
        <v/>
      </c>
      <c r="E99">
        <f>IF(ISNA(MATCH(86,Engine!$C$2:$C$630,0)),"",INDEX('Compliance Database'!$E$2:$E$630,MATCH(86,Engine!$C$2:$C$630,0)))</f>
        <v/>
      </c>
      <c r="F99">
        <f>IF(ISNA(MATCH(86,Engine!$C$2:$C$630,0)),"",INDEX('Compliance Database'!$F$2:$F$630,MATCH(86,Engine!$C$2:$C$630,0)))</f>
        <v/>
      </c>
      <c r="G99">
        <f>IF(ISNA(MATCH(86,Engine!$C$2:$C$630,0)),"",INDEX('Compliance Database'!$G$2:$G$630,MATCH(86,Engine!$C$2:$C$630,0)))</f>
        <v/>
      </c>
      <c r="H99">
        <f>IF(ISNA(MATCH(86,Engine!$C$2:$C$630,0)),"",INDEX('Compliance Database'!$H$2:$H$630,MATCH(86,Engine!$C$2:$C$630,0)))</f>
        <v/>
      </c>
      <c r="I99" s="8">
        <f>IF(ISNA(MATCH(86,Engine!$C$2:$C$630,0)),"",INDEX('Compliance Database'!$I$2:$I$630,MATCH(86,Engine!$C$2:$C$630,0)))</f>
        <v/>
      </c>
      <c r="J99" s="8">
        <f>IF(ISNA(MATCH(86,Engine!$C$2:$C$630,0)),"",INDEX('Compliance Database'!$J$2:$J$630,MATCH(86,Engine!$C$2:$C$630,0)))</f>
        <v/>
      </c>
      <c r="K99">
        <f>IF(ISNA(MATCH(86,Engine!$C$2:$C$630,0)),"",INDEX('Compliance Database'!$K$2:$K$630,MATCH(86,Engine!$C$2:$C$630,0)))</f>
        <v/>
      </c>
      <c r="L99" s="8">
        <f>IF(ISNA(MATCH(86,Engine!$C$2:$C$630,0)),"",INDEX('Compliance Database'!$L$2:$L$630,MATCH(86,Engine!$C$2:$C$630,0)))</f>
        <v/>
      </c>
      <c r="M99" s="8">
        <f>IF(ISNA(MATCH(86,Engine!$C$2:$C$630,0)),"",INDEX('Compliance Database'!$M$2:$M$630,MATCH(86,Engine!$C$2:$C$630,0)))</f>
        <v/>
      </c>
      <c r="N99" s="8">
        <f>IF(ISNA(MATCH(86,Engine!$C$2:$C$630,0)),"",INDEX('Compliance Database'!$N$2:$N$630,MATCH(86,Engine!$C$2:$C$630,0)))</f>
        <v/>
      </c>
      <c r="O99" s="8">
        <f>IF(ISNA(MATCH(86,Engine!$C$2:$C$630,0)),"",INDEX('Compliance Database'!$O$2:$O$630,MATCH(86,Engine!$C$2:$C$630,0)))</f>
        <v/>
      </c>
    </row>
    <row r="100">
      <c r="A100">
        <f>IF(ISNA(MATCH(87,Engine!$C$2:$C$630,0)),"",INDEX('Compliance Database'!$A$2:$A$630,MATCH(87,Engine!$C$2:$C$630,0)))</f>
        <v/>
      </c>
      <c r="B100">
        <f>IF(ISNA(MATCH(87,Engine!$C$2:$C$630,0)),"",INDEX('Compliance Database'!$B$2:$B$630,MATCH(87,Engine!$C$2:$C$630,0)))</f>
        <v/>
      </c>
      <c r="C100">
        <f>IF(ISNA(MATCH(87,Engine!$C$2:$C$630,0)),"",INDEX('Compliance Database'!$C$2:$C$630,MATCH(87,Engine!$C$2:$C$630,0)))</f>
        <v/>
      </c>
      <c r="D100" s="8">
        <f>IF(ISNA(MATCH(87,Engine!$C$2:$C$630,0)),"",INDEX('Compliance Database'!$D$2:$D$630,MATCH(87,Engine!$C$2:$C$630,0)))</f>
        <v/>
      </c>
      <c r="E100">
        <f>IF(ISNA(MATCH(87,Engine!$C$2:$C$630,0)),"",INDEX('Compliance Database'!$E$2:$E$630,MATCH(87,Engine!$C$2:$C$630,0)))</f>
        <v/>
      </c>
      <c r="F100">
        <f>IF(ISNA(MATCH(87,Engine!$C$2:$C$630,0)),"",INDEX('Compliance Database'!$F$2:$F$630,MATCH(87,Engine!$C$2:$C$630,0)))</f>
        <v/>
      </c>
      <c r="G100">
        <f>IF(ISNA(MATCH(87,Engine!$C$2:$C$630,0)),"",INDEX('Compliance Database'!$G$2:$G$630,MATCH(87,Engine!$C$2:$C$630,0)))</f>
        <v/>
      </c>
      <c r="H100">
        <f>IF(ISNA(MATCH(87,Engine!$C$2:$C$630,0)),"",INDEX('Compliance Database'!$H$2:$H$630,MATCH(87,Engine!$C$2:$C$630,0)))</f>
        <v/>
      </c>
      <c r="I100" s="8">
        <f>IF(ISNA(MATCH(87,Engine!$C$2:$C$630,0)),"",INDEX('Compliance Database'!$I$2:$I$630,MATCH(87,Engine!$C$2:$C$630,0)))</f>
        <v/>
      </c>
      <c r="J100" s="8">
        <f>IF(ISNA(MATCH(87,Engine!$C$2:$C$630,0)),"",INDEX('Compliance Database'!$J$2:$J$630,MATCH(87,Engine!$C$2:$C$630,0)))</f>
        <v/>
      </c>
      <c r="K100">
        <f>IF(ISNA(MATCH(87,Engine!$C$2:$C$630,0)),"",INDEX('Compliance Database'!$K$2:$K$630,MATCH(87,Engine!$C$2:$C$630,0)))</f>
        <v/>
      </c>
      <c r="L100" s="8">
        <f>IF(ISNA(MATCH(87,Engine!$C$2:$C$630,0)),"",INDEX('Compliance Database'!$L$2:$L$630,MATCH(87,Engine!$C$2:$C$630,0)))</f>
        <v/>
      </c>
      <c r="M100" s="8">
        <f>IF(ISNA(MATCH(87,Engine!$C$2:$C$630,0)),"",INDEX('Compliance Database'!$M$2:$M$630,MATCH(87,Engine!$C$2:$C$630,0)))</f>
        <v/>
      </c>
      <c r="N100" s="8">
        <f>IF(ISNA(MATCH(87,Engine!$C$2:$C$630,0)),"",INDEX('Compliance Database'!$N$2:$N$630,MATCH(87,Engine!$C$2:$C$630,0)))</f>
        <v/>
      </c>
      <c r="O100" s="8">
        <f>IF(ISNA(MATCH(87,Engine!$C$2:$C$630,0)),"",INDEX('Compliance Database'!$O$2:$O$630,MATCH(87,Engine!$C$2:$C$630,0)))</f>
        <v/>
      </c>
    </row>
    <row r="101">
      <c r="A101">
        <f>IF(ISNA(MATCH(88,Engine!$C$2:$C$630,0)),"",INDEX('Compliance Database'!$A$2:$A$630,MATCH(88,Engine!$C$2:$C$630,0)))</f>
        <v/>
      </c>
      <c r="B101">
        <f>IF(ISNA(MATCH(88,Engine!$C$2:$C$630,0)),"",INDEX('Compliance Database'!$B$2:$B$630,MATCH(88,Engine!$C$2:$C$630,0)))</f>
        <v/>
      </c>
      <c r="C101">
        <f>IF(ISNA(MATCH(88,Engine!$C$2:$C$630,0)),"",INDEX('Compliance Database'!$C$2:$C$630,MATCH(88,Engine!$C$2:$C$630,0)))</f>
        <v/>
      </c>
      <c r="D101" s="8">
        <f>IF(ISNA(MATCH(88,Engine!$C$2:$C$630,0)),"",INDEX('Compliance Database'!$D$2:$D$630,MATCH(88,Engine!$C$2:$C$630,0)))</f>
        <v/>
      </c>
      <c r="E101">
        <f>IF(ISNA(MATCH(88,Engine!$C$2:$C$630,0)),"",INDEX('Compliance Database'!$E$2:$E$630,MATCH(88,Engine!$C$2:$C$630,0)))</f>
        <v/>
      </c>
      <c r="F101">
        <f>IF(ISNA(MATCH(88,Engine!$C$2:$C$630,0)),"",INDEX('Compliance Database'!$F$2:$F$630,MATCH(88,Engine!$C$2:$C$630,0)))</f>
        <v/>
      </c>
      <c r="G101">
        <f>IF(ISNA(MATCH(88,Engine!$C$2:$C$630,0)),"",INDEX('Compliance Database'!$G$2:$G$630,MATCH(88,Engine!$C$2:$C$630,0)))</f>
        <v/>
      </c>
      <c r="H101">
        <f>IF(ISNA(MATCH(88,Engine!$C$2:$C$630,0)),"",INDEX('Compliance Database'!$H$2:$H$630,MATCH(88,Engine!$C$2:$C$630,0)))</f>
        <v/>
      </c>
      <c r="I101" s="8">
        <f>IF(ISNA(MATCH(88,Engine!$C$2:$C$630,0)),"",INDEX('Compliance Database'!$I$2:$I$630,MATCH(88,Engine!$C$2:$C$630,0)))</f>
        <v/>
      </c>
      <c r="J101" s="8">
        <f>IF(ISNA(MATCH(88,Engine!$C$2:$C$630,0)),"",INDEX('Compliance Database'!$J$2:$J$630,MATCH(88,Engine!$C$2:$C$630,0)))</f>
        <v/>
      </c>
      <c r="K101">
        <f>IF(ISNA(MATCH(88,Engine!$C$2:$C$630,0)),"",INDEX('Compliance Database'!$K$2:$K$630,MATCH(88,Engine!$C$2:$C$630,0)))</f>
        <v/>
      </c>
      <c r="L101" s="8">
        <f>IF(ISNA(MATCH(88,Engine!$C$2:$C$630,0)),"",INDEX('Compliance Database'!$L$2:$L$630,MATCH(88,Engine!$C$2:$C$630,0)))</f>
        <v/>
      </c>
      <c r="M101" s="8">
        <f>IF(ISNA(MATCH(88,Engine!$C$2:$C$630,0)),"",INDEX('Compliance Database'!$M$2:$M$630,MATCH(88,Engine!$C$2:$C$630,0)))</f>
        <v/>
      </c>
      <c r="N101" s="8">
        <f>IF(ISNA(MATCH(88,Engine!$C$2:$C$630,0)),"",INDEX('Compliance Database'!$N$2:$N$630,MATCH(88,Engine!$C$2:$C$630,0)))</f>
        <v/>
      </c>
      <c r="O101" s="8">
        <f>IF(ISNA(MATCH(88,Engine!$C$2:$C$630,0)),"",INDEX('Compliance Database'!$O$2:$O$630,MATCH(88,Engine!$C$2:$C$630,0)))</f>
        <v/>
      </c>
    </row>
    <row r="102">
      <c r="A102">
        <f>IF(ISNA(MATCH(89,Engine!$C$2:$C$630,0)),"",INDEX('Compliance Database'!$A$2:$A$630,MATCH(89,Engine!$C$2:$C$630,0)))</f>
        <v/>
      </c>
      <c r="B102">
        <f>IF(ISNA(MATCH(89,Engine!$C$2:$C$630,0)),"",INDEX('Compliance Database'!$B$2:$B$630,MATCH(89,Engine!$C$2:$C$630,0)))</f>
        <v/>
      </c>
      <c r="C102">
        <f>IF(ISNA(MATCH(89,Engine!$C$2:$C$630,0)),"",INDEX('Compliance Database'!$C$2:$C$630,MATCH(89,Engine!$C$2:$C$630,0)))</f>
        <v/>
      </c>
      <c r="D102" s="8">
        <f>IF(ISNA(MATCH(89,Engine!$C$2:$C$630,0)),"",INDEX('Compliance Database'!$D$2:$D$630,MATCH(89,Engine!$C$2:$C$630,0)))</f>
        <v/>
      </c>
      <c r="E102">
        <f>IF(ISNA(MATCH(89,Engine!$C$2:$C$630,0)),"",INDEX('Compliance Database'!$E$2:$E$630,MATCH(89,Engine!$C$2:$C$630,0)))</f>
        <v/>
      </c>
      <c r="F102">
        <f>IF(ISNA(MATCH(89,Engine!$C$2:$C$630,0)),"",INDEX('Compliance Database'!$F$2:$F$630,MATCH(89,Engine!$C$2:$C$630,0)))</f>
        <v/>
      </c>
      <c r="G102">
        <f>IF(ISNA(MATCH(89,Engine!$C$2:$C$630,0)),"",INDEX('Compliance Database'!$G$2:$G$630,MATCH(89,Engine!$C$2:$C$630,0)))</f>
        <v/>
      </c>
      <c r="H102">
        <f>IF(ISNA(MATCH(89,Engine!$C$2:$C$630,0)),"",INDEX('Compliance Database'!$H$2:$H$630,MATCH(89,Engine!$C$2:$C$630,0)))</f>
        <v/>
      </c>
      <c r="I102" s="8">
        <f>IF(ISNA(MATCH(89,Engine!$C$2:$C$630,0)),"",INDEX('Compliance Database'!$I$2:$I$630,MATCH(89,Engine!$C$2:$C$630,0)))</f>
        <v/>
      </c>
      <c r="J102" s="8">
        <f>IF(ISNA(MATCH(89,Engine!$C$2:$C$630,0)),"",INDEX('Compliance Database'!$J$2:$J$630,MATCH(89,Engine!$C$2:$C$630,0)))</f>
        <v/>
      </c>
      <c r="K102">
        <f>IF(ISNA(MATCH(89,Engine!$C$2:$C$630,0)),"",INDEX('Compliance Database'!$K$2:$K$630,MATCH(89,Engine!$C$2:$C$630,0)))</f>
        <v/>
      </c>
      <c r="L102" s="8">
        <f>IF(ISNA(MATCH(89,Engine!$C$2:$C$630,0)),"",INDEX('Compliance Database'!$L$2:$L$630,MATCH(89,Engine!$C$2:$C$630,0)))</f>
        <v/>
      </c>
      <c r="M102" s="8">
        <f>IF(ISNA(MATCH(89,Engine!$C$2:$C$630,0)),"",INDEX('Compliance Database'!$M$2:$M$630,MATCH(89,Engine!$C$2:$C$630,0)))</f>
        <v/>
      </c>
      <c r="N102" s="8">
        <f>IF(ISNA(MATCH(89,Engine!$C$2:$C$630,0)),"",INDEX('Compliance Database'!$N$2:$N$630,MATCH(89,Engine!$C$2:$C$630,0)))</f>
        <v/>
      </c>
      <c r="O102" s="8">
        <f>IF(ISNA(MATCH(89,Engine!$C$2:$C$630,0)),"",INDEX('Compliance Database'!$O$2:$O$630,MATCH(89,Engine!$C$2:$C$630,0)))</f>
        <v/>
      </c>
    </row>
    <row r="103">
      <c r="A103">
        <f>IF(ISNA(MATCH(90,Engine!$C$2:$C$630,0)),"",INDEX('Compliance Database'!$A$2:$A$630,MATCH(90,Engine!$C$2:$C$630,0)))</f>
        <v/>
      </c>
      <c r="B103">
        <f>IF(ISNA(MATCH(90,Engine!$C$2:$C$630,0)),"",INDEX('Compliance Database'!$B$2:$B$630,MATCH(90,Engine!$C$2:$C$630,0)))</f>
        <v/>
      </c>
      <c r="C103">
        <f>IF(ISNA(MATCH(90,Engine!$C$2:$C$630,0)),"",INDEX('Compliance Database'!$C$2:$C$630,MATCH(90,Engine!$C$2:$C$630,0)))</f>
        <v/>
      </c>
      <c r="D103" s="8">
        <f>IF(ISNA(MATCH(90,Engine!$C$2:$C$630,0)),"",INDEX('Compliance Database'!$D$2:$D$630,MATCH(90,Engine!$C$2:$C$630,0)))</f>
        <v/>
      </c>
      <c r="E103">
        <f>IF(ISNA(MATCH(90,Engine!$C$2:$C$630,0)),"",INDEX('Compliance Database'!$E$2:$E$630,MATCH(90,Engine!$C$2:$C$630,0)))</f>
        <v/>
      </c>
      <c r="F103">
        <f>IF(ISNA(MATCH(90,Engine!$C$2:$C$630,0)),"",INDEX('Compliance Database'!$F$2:$F$630,MATCH(90,Engine!$C$2:$C$630,0)))</f>
        <v/>
      </c>
      <c r="G103">
        <f>IF(ISNA(MATCH(90,Engine!$C$2:$C$630,0)),"",INDEX('Compliance Database'!$G$2:$G$630,MATCH(90,Engine!$C$2:$C$630,0)))</f>
        <v/>
      </c>
      <c r="H103">
        <f>IF(ISNA(MATCH(90,Engine!$C$2:$C$630,0)),"",INDEX('Compliance Database'!$H$2:$H$630,MATCH(90,Engine!$C$2:$C$630,0)))</f>
        <v/>
      </c>
      <c r="I103" s="8">
        <f>IF(ISNA(MATCH(90,Engine!$C$2:$C$630,0)),"",INDEX('Compliance Database'!$I$2:$I$630,MATCH(90,Engine!$C$2:$C$630,0)))</f>
        <v/>
      </c>
      <c r="J103" s="8">
        <f>IF(ISNA(MATCH(90,Engine!$C$2:$C$630,0)),"",INDEX('Compliance Database'!$J$2:$J$630,MATCH(90,Engine!$C$2:$C$630,0)))</f>
        <v/>
      </c>
      <c r="K103">
        <f>IF(ISNA(MATCH(90,Engine!$C$2:$C$630,0)),"",INDEX('Compliance Database'!$K$2:$K$630,MATCH(90,Engine!$C$2:$C$630,0)))</f>
        <v/>
      </c>
      <c r="L103" s="8">
        <f>IF(ISNA(MATCH(90,Engine!$C$2:$C$630,0)),"",INDEX('Compliance Database'!$L$2:$L$630,MATCH(90,Engine!$C$2:$C$630,0)))</f>
        <v/>
      </c>
      <c r="M103" s="8">
        <f>IF(ISNA(MATCH(90,Engine!$C$2:$C$630,0)),"",INDEX('Compliance Database'!$M$2:$M$630,MATCH(90,Engine!$C$2:$C$630,0)))</f>
        <v/>
      </c>
      <c r="N103" s="8">
        <f>IF(ISNA(MATCH(90,Engine!$C$2:$C$630,0)),"",INDEX('Compliance Database'!$N$2:$N$630,MATCH(90,Engine!$C$2:$C$630,0)))</f>
        <v/>
      </c>
      <c r="O103" s="8">
        <f>IF(ISNA(MATCH(90,Engine!$C$2:$C$630,0)),"",INDEX('Compliance Database'!$O$2:$O$630,MATCH(90,Engine!$C$2:$C$630,0)))</f>
        <v/>
      </c>
    </row>
    <row r="104">
      <c r="A104">
        <f>IF(ISNA(MATCH(91,Engine!$C$2:$C$630,0)),"",INDEX('Compliance Database'!$A$2:$A$630,MATCH(91,Engine!$C$2:$C$630,0)))</f>
        <v/>
      </c>
      <c r="B104">
        <f>IF(ISNA(MATCH(91,Engine!$C$2:$C$630,0)),"",INDEX('Compliance Database'!$B$2:$B$630,MATCH(91,Engine!$C$2:$C$630,0)))</f>
        <v/>
      </c>
      <c r="C104">
        <f>IF(ISNA(MATCH(91,Engine!$C$2:$C$630,0)),"",INDEX('Compliance Database'!$C$2:$C$630,MATCH(91,Engine!$C$2:$C$630,0)))</f>
        <v/>
      </c>
      <c r="D104" s="8">
        <f>IF(ISNA(MATCH(91,Engine!$C$2:$C$630,0)),"",INDEX('Compliance Database'!$D$2:$D$630,MATCH(91,Engine!$C$2:$C$630,0)))</f>
        <v/>
      </c>
      <c r="E104">
        <f>IF(ISNA(MATCH(91,Engine!$C$2:$C$630,0)),"",INDEX('Compliance Database'!$E$2:$E$630,MATCH(91,Engine!$C$2:$C$630,0)))</f>
        <v/>
      </c>
      <c r="F104">
        <f>IF(ISNA(MATCH(91,Engine!$C$2:$C$630,0)),"",INDEX('Compliance Database'!$F$2:$F$630,MATCH(91,Engine!$C$2:$C$630,0)))</f>
        <v/>
      </c>
      <c r="G104">
        <f>IF(ISNA(MATCH(91,Engine!$C$2:$C$630,0)),"",INDEX('Compliance Database'!$G$2:$G$630,MATCH(91,Engine!$C$2:$C$630,0)))</f>
        <v/>
      </c>
      <c r="H104">
        <f>IF(ISNA(MATCH(91,Engine!$C$2:$C$630,0)),"",INDEX('Compliance Database'!$H$2:$H$630,MATCH(91,Engine!$C$2:$C$630,0)))</f>
        <v/>
      </c>
      <c r="I104" s="8">
        <f>IF(ISNA(MATCH(91,Engine!$C$2:$C$630,0)),"",INDEX('Compliance Database'!$I$2:$I$630,MATCH(91,Engine!$C$2:$C$630,0)))</f>
        <v/>
      </c>
      <c r="J104" s="8">
        <f>IF(ISNA(MATCH(91,Engine!$C$2:$C$630,0)),"",INDEX('Compliance Database'!$J$2:$J$630,MATCH(91,Engine!$C$2:$C$630,0)))</f>
        <v/>
      </c>
      <c r="K104">
        <f>IF(ISNA(MATCH(91,Engine!$C$2:$C$630,0)),"",INDEX('Compliance Database'!$K$2:$K$630,MATCH(91,Engine!$C$2:$C$630,0)))</f>
        <v/>
      </c>
      <c r="L104" s="8">
        <f>IF(ISNA(MATCH(91,Engine!$C$2:$C$630,0)),"",INDEX('Compliance Database'!$L$2:$L$630,MATCH(91,Engine!$C$2:$C$630,0)))</f>
        <v/>
      </c>
      <c r="M104" s="8">
        <f>IF(ISNA(MATCH(91,Engine!$C$2:$C$630,0)),"",INDEX('Compliance Database'!$M$2:$M$630,MATCH(91,Engine!$C$2:$C$630,0)))</f>
        <v/>
      </c>
      <c r="N104" s="8">
        <f>IF(ISNA(MATCH(91,Engine!$C$2:$C$630,0)),"",INDEX('Compliance Database'!$N$2:$N$630,MATCH(91,Engine!$C$2:$C$630,0)))</f>
        <v/>
      </c>
      <c r="O104" s="8">
        <f>IF(ISNA(MATCH(91,Engine!$C$2:$C$630,0)),"",INDEX('Compliance Database'!$O$2:$O$630,MATCH(91,Engine!$C$2:$C$630,0)))</f>
        <v/>
      </c>
    </row>
    <row r="105">
      <c r="A105">
        <f>IF(ISNA(MATCH(92,Engine!$C$2:$C$630,0)),"",INDEX('Compliance Database'!$A$2:$A$630,MATCH(92,Engine!$C$2:$C$630,0)))</f>
        <v/>
      </c>
      <c r="B105">
        <f>IF(ISNA(MATCH(92,Engine!$C$2:$C$630,0)),"",INDEX('Compliance Database'!$B$2:$B$630,MATCH(92,Engine!$C$2:$C$630,0)))</f>
        <v/>
      </c>
      <c r="C105">
        <f>IF(ISNA(MATCH(92,Engine!$C$2:$C$630,0)),"",INDEX('Compliance Database'!$C$2:$C$630,MATCH(92,Engine!$C$2:$C$630,0)))</f>
        <v/>
      </c>
      <c r="D105" s="8">
        <f>IF(ISNA(MATCH(92,Engine!$C$2:$C$630,0)),"",INDEX('Compliance Database'!$D$2:$D$630,MATCH(92,Engine!$C$2:$C$630,0)))</f>
        <v/>
      </c>
      <c r="E105">
        <f>IF(ISNA(MATCH(92,Engine!$C$2:$C$630,0)),"",INDEX('Compliance Database'!$E$2:$E$630,MATCH(92,Engine!$C$2:$C$630,0)))</f>
        <v/>
      </c>
      <c r="F105">
        <f>IF(ISNA(MATCH(92,Engine!$C$2:$C$630,0)),"",INDEX('Compliance Database'!$F$2:$F$630,MATCH(92,Engine!$C$2:$C$630,0)))</f>
        <v/>
      </c>
      <c r="G105">
        <f>IF(ISNA(MATCH(92,Engine!$C$2:$C$630,0)),"",INDEX('Compliance Database'!$G$2:$G$630,MATCH(92,Engine!$C$2:$C$630,0)))</f>
        <v/>
      </c>
      <c r="H105">
        <f>IF(ISNA(MATCH(92,Engine!$C$2:$C$630,0)),"",INDEX('Compliance Database'!$H$2:$H$630,MATCH(92,Engine!$C$2:$C$630,0)))</f>
        <v/>
      </c>
      <c r="I105" s="8">
        <f>IF(ISNA(MATCH(92,Engine!$C$2:$C$630,0)),"",INDEX('Compliance Database'!$I$2:$I$630,MATCH(92,Engine!$C$2:$C$630,0)))</f>
        <v/>
      </c>
      <c r="J105" s="8">
        <f>IF(ISNA(MATCH(92,Engine!$C$2:$C$630,0)),"",INDEX('Compliance Database'!$J$2:$J$630,MATCH(92,Engine!$C$2:$C$630,0)))</f>
        <v/>
      </c>
      <c r="K105">
        <f>IF(ISNA(MATCH(92,Engine!$C$2:$C$630,0)),"",INDEX('Compliance Database'!$K$2:$K$630,MATCH(92,Engine!$C$2:$C$630,0)))</f>
        <v/>
      </c>
      <c r="L105" s="8">
        <f>IF(ISNA(MATCH(92,Engine!$C$2:$C$630,0)),"",INDEX('Compliance Database'!$L$2:$L$630,MATCH(92,Engine!$C$2:$C$630,0)))</f>
        <v/>
      </c>
      <c r="M105" s="8">
        <f>IF(ISNA(MATCH(92,Engine!$C$2:$C$630,0)),"",INDEX('Compliance Database'!$M$2:$M$630,MATCH(92,Engine!$C$2:$C$630,0)))</f>
        <v/>
      </c>
      <c r="N105" s="8">
        <f>IF(ISNA(MATCH(92,Engine!$C$2:$C$630,0)),"",INDEX('Compliance Database'!$N$2:$N$630,MATCH(92,Engine!$C$2:$C$630,0)))</f>
        <v/>
      </c>
      <c r="O105" s="8">
        <f>IF(ISNA(MATCH(92,Engine!$C$2:$C$630,0)),"",INDEX('Compliance Database'!$O$2:$O$630,MATCH(92,Engine!$C$2:$C$630,0)))</f>
        <v/>
      </c>
    </row>
    <row r="106">
      <c r="A106">
        <f>IF(ISNA(MATCH(93,Engine!$C$2:$C$630,0)),"",INDEX('Compliance Database'!$A$2:$A$630,MATCH(93,Engine!$C$2:$C$630,0)))</f>
        <v/>
      </c>
      <c r="B106">
        <f>IF(ISNA(MATCH(93,Engine!$C$2:$C$630,0)),"",INDEX('Compliance Database'!$B$2:$B$630,MATCH(93,Engine!$C$2:$C$630,0)))</f>
        <v/>
      </c>
      <c r="C106">
        <f>IF(ISNA(MATCH(93,Engine!$C$2:$C$630,0)),"",INDEX('Compliance Database'!$C$2:$C$630,MATCH(93,Engine!$C$2:$C$630,0)))</f>
        <v/>
      </c>
      <c r="D106" s="8">
        <f>IF(ISNA(MATCH(93,Engine!$C$2:$C$630,0)),"",INDEX('Compliance Database'!$D$2:$D$630,MATCH(93,Engine!$C$2:$C$630,0)))</f>
        <v/>
      </c>
      <c r="E106">
        <f>IF(ISNA(MATCH(93,Engine!$C$2:$C$630,0)),"",INDEX('Compliance Database'!$E$2:$E$630,MATCH(93,Engine!$C$2:$C$630,0)))</f>
        <v/>
      </c>
      <c r="F106">
        <f>IF(ISNA(MATCH(93,Engine!$C$2:$C$630,0)),"",INDEX('Compliance Database'!$F$2:$F$630,MATCH(93,Engine!$C$2:$C$630,0)))</f>
        <v/>
      </c>
      <c r="G106">
        <f>IF(ISNA(MATCH(93,Engine!$C$2:$C$630,0)),"",INDEX('Compliance Database'!$G$2:$G$630,MATCH(93,Engine!$C$2:$C$630,0)))</f>
        <v/>
      </c>
      <c r="H106">
        <f>IF(ISNA(MATCH(93,Engine!$C$2:$C$630,0)),"",INDEX('Compliance Database'!$H$2:$H$630,MATCH(93,Engine!$C$2:$C$630,0)))</f>
        <v/>
      </c>
      <c r="I106" s="8">
        <f>IF(ISNA(MATCH(93,Engine!$C$2:$C$630,0)),"",INDEX('Compliance Database'!$I$2:$I$630,MATCH(93,Engine!$C$2:$C$630,0)))</f>
        <v/>
      </c>
      <c r="J106" s="8">
        <f>IF(ISNA(MATCH(93,Engine!$C$2:$C$630,0)),"",INDEX('Compliance Database'!$J$2:$J$630,MATCH(93,Engine!$C$2:$C$630,0)))</f>
        <v/>
      </c>
      <c r="K106">
        <f>IF(ISNA(MATCH(93,Engine!$C$2:$C$630,0)),"",INDEX('Compliance Database'!$K$2:$K$630,MATCH(93,Engine!$C$2:$C$630,0)))</f>
        <v/>
      </c>
      <c r="L106" s="8">
        <f>IF(ISNA(MATCH(93,Engine!$C$2:$C$630,0)),"",INDEX('Compliance Database'!$L$2:$L$630,MATCH(93,Engine!$C$2:$C$630,0)))</f>
        <v/>
      </c>
      <c r="M106" s="8">
        <f>IF(ISNA(MATCH(93,Engine!$C$2:$C$630,0)),"",INDEX('Compliance Database'!$M$2:$M$630,MATCH(93,Engine!$C$2:$C$630,0)))</f>
        <v/>
      </c>
      <c r="N106" s="8">
        <f>IF(ISNA(MATCH(93,Engine!$C$2:$C$630,0)),"",INDEX('Compliance Database'!$N$2:$N$630,MATCH(93,Engine!$C$2:$C$630,0)))</f>
        <v/>
      </c>
      <c r="O106" s="8">
        <f>IF(ISNA(MATCH(93,Engine!$C$2:$C$630,0)),"",INDEX('Compliance Database'!$O$2:$O$630,MATCH(93,Engine!$C$2:$C$630,0)))</f>
        <v/>
      </c>
    </row>
    <row r="107">
      <c r="A107">
        <f>IF(ISNA(MATCH(94,Engine!$C$2:$C$630,0)),"",INDEX('Compliance Database'!$A$2:$A$630,MATCH(94,Engine!$C$2:$C$630,0)))</f>
        <v/>
      </c>
      <c r="B107">
        <f>IF(ISNA(MATCH(94,Engine!$C$2:$C$630,0)),"",INDEX('Compliance Database'!$B$2:$B$630,MATCH(94,Engine!$C$2:$C$630,0)))</f>
        <v/>
      </c>
      <c r="C107">
        <f>IF(ISNA(MATCH(94,Engine!$C$2:$C$630,0)),"",INDEX('Compliance Database'!$C$2:$C$630,MATCH(94,Engine!$C$2:$C$630,0)))</f>
        <v/>
      </c>
      <c r="D107" s="8">
        <f>IF(ISNA(MATCH(94,Engine!$C$2:$C$630,0)),"",INDEX('Compliance Database'!$D$2:$D$630,MATCH(94,Engine!$C$2:$C$630,0)))</f>
        <v/>
      </c>
      <c r="E107">
        <f>IF(ISNA(MATCH(94,Engine!$C$2:$C$630,0)),"",INDEX('Compliance Database'!$E$2:$E$630,MATCH(94,Engine!$C$2:$C$630,0)))</f>
        <v/>
      </c>
      <c r="F107">
        <f>IF(ISNA(MATCH(94,Engine!$C$2:$C$630,0)),"",INDEX('Compliance Database'!$F$2:$F$630,MATCH(94,Engine!$C$2:$C$630,0)))</f>
        <v/>
      </c>
      <c r="G107">
        <f>IF(ISNA(MATCH(94,Engine!$C$2:$C$630,0)),"",INDEX('Compliance Database'!$G$2:$G$630,MATCH(94,Engine!$C$2:$C$630,0)))</f>
        <v/>
      </c>
      <c r="H107">
        <f>IF(ISNA(MATCH(94,Engine!$C$2:$C$630,0)),"",INDEX('Compliance Database'!$H$2:$H$630,MATCH(94,Engine!$C$2:$C$630,0)))</f>
        <v/>
      </c>
      <c r="I107" s="8">
        <f>IF(ISNA(MATCH(94,Engine!$C$2:$C$630,0)),"",INDEX('Compliance Database'!$I$2:$I$630,MATCH(94,Engine!$C$2:$C$630,0)))</f>
        <v/>
      </c>
      <c r="J107" s="8">
        <f>IF(ISNA(MATCH(94,Engine!$C$2:$C$630,0)),"",INDEX('Compliance Database'!$J$2:$J$630,MATCH(94,Engine!$C$2:$C$630,0)))</f>
        <v/>
      </c>
      <c r="K107">
        <f>IF(ISNA(MATCH(94,Engine!$C$2:$C$630,0)),"",INDEX('Compliance Database'!$K$2:$K$630,MATCH(94,Engine!$C$2:$C$630,0)))</f>
        <v/>
      </c>
      <c r="L107" s="8">
        <f>IF(ISNA(MATCH(94,Engine!$C$2:$C$630,0)),"",INDEX('Compliance Database'!$L$2:$L$630,MATCH(94,Engine!$C$2:$C$630,0)))</f>
        <v/>
      </c>
      <c r="M107" s="8">
        <f>IF(ISNA(MATCH(94,Engine!$C$2:$C$630,0)),"",INDEX('Compliance Database'!$M$2:$M$630,MATCH(94,Engine!$C$2:$C$630,0)))</f>
        <v/>
      </c>
      <c r="N107" s="8">
        <f>IF(ISNA(MATCH(94,Engine!$C$2:$C$630,0)),"",INDEX('Compliance Database'!$N$2:$N$630,MATCH(94,Engine!$C$2:$C$630,0)))</f>
        <v/>
      </c>
      <c r="O107" s="8">
        <f>IF(ISNA(MATCH(94,Engine!$C$2:$C$630,0)),"",INDEX('Compliance Database'!$O$2:$O$630,MATCH(94,Engine!$C$2:$C$630,0)))</f>
        <v/>
      </c>
    </row>
    <row r="108">
      <c r="A108">
        <f>IF(ISNA(MATCH(95,Engine!$C$2:$C$630,0)),"",INDEX('Compliance Database'!$A$2:$A$630,MATCH(95,Engine!$C$2:$C$630,0)))</f>
        <v/>
      </c>
      <c r="B108">
        <f>IF(ISNA(MATCH(95,Engine!$C$2:$C$630,0)),"",INDEX('Compliance Database'!$B$2:$B$630,MATCH(95,Engine!$C$2:$C$630,0)))</f>
        <v/>
      </c>
      <c r="C108">
        <f>IF(ISNA(MATCH(95,Engine!$C$2:$C$630,0)),"",INDEX('Compliance Database'!$C$2:$C$630,MATCH(95,Engine!$C$2:$C$630,0)))</f>
        <v/>
      </c>
      <c r="D108" s="8">
        <f>IF(ISNA(MATCH(95,Engine!$C$2:$C$630,0)),"",INDEX('Compliance Database'!$D$2:$D$630,MATCH(95,Engine!$C$2:$C$630,0)))</f>
        <v/>
      </c>
      <c r="E108">
        <f>IF(ISNA(MATCH(95,Engine!$C$2:$C$630,0)),"",INDEX('Compliance Database'!$E$2:$E$630,MATCH(95,Engine!$C$2:$C$630,0)))</f>
        <v/>
      </c>
      <c r="F108">
        <f>IF(ISNA(MATCH(95,Engine!$C$2:$C$630,0)),"",INDEX('Compliance Database'!$F$2:$F$630,MATCH(95,Engine!$C$2:$C$630,0)))</f>
        <v/>
      </c>
      <c r="G108">
        <f>IF(ISNA(MATCH(95,Engine!$C$2:$C$630,0)),"",INDEX('Compliance Database'!$G$2:$G$630,MATCH(95,Engine!$C$2:$C$630,0)))</f>
        <v/>
      </c>
      <c r="H108">
        <f>IF(ISNA(MATCH(95,Engine!$C$2:$C$630,0)),"",INDEX('Compliance Database'!$H$2:$H$630,MATCH(95,Engine!$C$2:$C$630,0)))</f>
        <v/>
      </c>
      <c r="I108" s="8">
        <f>IF(ISNA(MATCH(95,Engine!$C$2:$C$630,0)),"",INDEX('Compliance Database'!$I$2:$I$630,MATCH(95,Engine!$C$2:$C$630,0)))</f>
        <v/>
      </c>
      <c r="J108" s="8">
        <f>IF(ISNA(MATCH(95,Engine!$C$2:$C$630,0)),"",INDEX('Compliance Database'!$J$2:$J$630,MATCH(95,Engine!$C$2:$C$630,0)))</f>
        <v/>
      </c>
      <c r="K108">
        <f>IF(ISNA(MATCH(95,Engine!$C$2:$C$630,0)),"",INDEX('Compliance Database'!$K$2:$K$630,MATCH(95,Engine!$C$2:$C$630,0)))</f>
        <v/>
      </c>
      <c r="L108" s="8">
        <f>IF(ISNA(MATCH(95,Engine!$C$2:$C$630,0)),"",INDEX('Compliance Database'!$L$2:$L$630,MATCH(95,Engine!$C$2:$C$630,0)))</f>
        <v/>
      </c>
      <c r="M108" s="8">
        <f>IF(ISNA(MATCH(95,Engine!$C$2:$C$630,0)),"",INDEX('Compliance Database'!$M$2:$M$630,MATCH(95,Engine!$C$2:$C$630,0)))</f>
        <v/>
      </c>
      <c r="N108" s="8">
        <f>IF(ISNA(MATCH(95,Engine!$C$2:$C$630,0)),"",INDEX('Compliance Database'!$N$2:$N$630,MATCH(95,Engine!$C$2:$C$630,0)))</f>
        <v/>
      </c>
      <c r="O108" s="8">
        <f>IF(ISNA(MATCH(95,Engine!$C$2:$C$630,0)),"",INDEX('Compliance Database'!$O$2:$O$630,MATCH(95,Engine!$C$2:$C$630,0)))</f>
        <v/>
      </c>
    </row>
    <row r="109">
      <c r="A109">
        <f>IF(ISNA(MATCH(96,Engine!$C$2:$C$630,0)),"",INDEX('Compliance Database'!$A$2:$A$630,MATCH(96,Engine!$C$2:$C$630,0)))</f>
        <v/>
      </c>
      <c r="B109">
        <f>IF(ISNA(MATCH(96,Engine!$C$2:$C$630,0)),"",INDEX('Compliance Database'!$B$2:$B$630,MATCH(96,Engine!$C$2:$C$630,0)))</f>
        <v/>
      </c>
      <c r="C109">
        <f>IF(ISNA(MATCH(96,Engine!$C$2:$C$630,0)),"",INDEX('Compliance Database'!$C$2:$C$630,MATCH(96,Engine!$C$2:$C$630,0)))</f>
        <v/>
      </c>
      <c r="D109" s="8">
        <f>IF(ISNA(MATCH(96,Engine!$C$2:$C$630,0)),"",INDEX('Compliance Database'!$D$2:$D$630,MATCH(96,Engine!$C$2:$C$630,0)))</f>
        <v/>
      </c>
      <c r="E109">
        <f>IF(ISNA(MATCH(96,Engine!$C$2:$C$630,0)),"",INDEX('Compliance Database'!$E$2:$E$630,MATCH(96,Engine!$C$2:$C$630,0)))</f>
        <v/>
      </c>
      <c r="F109">
        <f>IF(ISNA(MATCH(96,Engine!$C$2:$C$630,0)),"",INDEX('Compliance Database'!$F$2:$F$630,MATCH(96,Engine!$C$2:$C$630,0)))</f>
        <v/>
      </c>
      <c r="G109">
        <f>IF(ISNA(MATCH(96,Engine!$C$2:$C$630,0)),"",INDEX('Compliance Database'!$G$2:$G$630,MATCH(96,Engine!$C$2:$C$630,0)))</f>
        <v/>
      </c>
      <c r="H109">
        <f>IF(ISNA(MATCH(96,Engine!$C$2:$C$630,0)),"",INDEX('Compliance Database'!$H$2:$H$630,MATCH(96,Engine!$C$2:$C$630,0)))</f>
        <v/>
      </c>
      <c r="I109" s="8">
        <f>IF(ISNA(MATCH(96,Engine!$C$2:$C$630,0)),"",INDEX('Compliance Database'!$I$2:$I$630,MATCH(96,Engine!$C$2:$C$630,0)))</f>
        <v/>
      </c>
      <c r="J109" s="8">
        <f>IF(ISNA(MATCH(96,Engine!$C$2:$C$630,0)),"",INDEX('Compliance Database'!$J$2:$J$630,MATCH(96,Engine!$C$2:$C$630,0)))</f>
        <v/>
      </c>
      <c r="K109">
        <f>IF(ISNA(MATCH(96,Engine!$C$2:$C$630,0)),"",INDEX('Compliance Database'!$K$2:$K$630,MATCH(96,Engine!$C$2:$C$630,0)))</f>
        <v/>
      </c>
      <c r="L109" s="8">
        <f>IF(ISNA(MATCH(96,Engine!$C$2:$C$630,0)),"",INDEX('Compliance Database'!$L$2:$L$630,MATCH(96,Engine!$C$2:$C$630,0)))</f>
        <v/>
      </c>
      <c r="M109" s="8">
        <f>IF(ISNA(MATCH(96,Engine!$C$2:$C$630,0)),"",INDEX('Compliance Database'!$M$2:$M$630,MATCH(96,Engine!$C$2:$C$630,0)))</f>
        <v/>
      </c>
      <c r="N109" s="8">
        <f>IF(ISNA(MATCH(96,Engine!$C$2:$C$630,0)),"",INDEX('Compliance Database'!$N$2:$N$630,MATCH(96,Engine!$C$2:$C$630,0)))</f>
        <v/>
      </c>
      <c r="O109" s="8">
        <f>IF(ISNA(MATCH(96,Engine!$C$2:$C$630,0)),"",INDEX('Compliance Database'!$O$2:$O$630,MATCH(96,Engine!$C$2:$C$630,0)))</f>
        <v/>
      </c>
    </row>
    <row r="110">
      <c r="A110">
        <f>IF(ISNA(MATCH(97,Engine!$C$2:$C$630,0)),"",INDEX('Compliance Database'!$A$2:$A$630,MATCH(97,Engine!$C$2:$C$630,0)))</f>
        <v/>
      </c>
      <c r="B110">
        <f>IF(ISNA(MATCH(97,Engine!$C$2:$C$630,0)),"",INDEX('Compliance Database'!$B$2:$B$630,MATCH(97,Engine!$C$2:$C$630,0)))</f>
        <v/>
      </c>
      <c r="C110">
        <f>IF(ISNA(MATCH(97,Engine!$C$2:$C$630,0)),"",INDEX('Compliance Database'!$C$2:$C$630,MATCH(97,Engine!$C$2:$C$630,0)))</f>
        <v/>
      </c>
      <c r="D110" s="8">
        <f>IF(ISNA(MATCH(97,Engine!$C$2:$C$630,0)),"",INDEX('Compliance Database'!$D$2:$D$630,MATCH(97,Engine!$C$2:$C$630,0)))</f>
        <v/>
      </c>
      <c r="E110">
        <f>IF(ISNA(MATCH(97,Engine!$C$2:$C$630,0)),"",INDEX('Compliance Database'!$E$2:$E$630,MATCH(97,Engine!$C$2:$C$630,0)))</f>
        <v/>
      </c>
      <c r="F110">
        <f>IF(ISNA(MATCH(97,Engine!$C$2:$C$630,0)),"",INDEX('Compliance Database'!$F$2:$F$630,MATCH(97,Engine!$C$2:$C$630,0)))</f>
        <v/>
      </c>
      <c r="G110">
        <f>IF(ISNA(MATCH(97,Engine!$C$2:$C$630,0)),"",INDEX('Compliance Database'!$G$2:$G$630,MATCH(97,Engine!$C$2:$C$630,0)))</f>
        <v/>
      </c>
      <c r="H110">
        <f>IF(ISNA(MATCH(97,Engine!$C$2:$C$630,0)),"",INDEX('Compliance Database'!$H$2:$H$630,MATCH(97,Engine!$C$2:$C$630,0)))</f>
        <v/>
      </c>
      <c r="I110" s="8">
        <f>IF(ISNA(MATCH(97,Engine!$C$2:$C$630,0)),"",INDEX('Compliance Database'!$I$2:$I$630,MATCH(97,Engine!$C$2:$C$630,0)))</f>
        <v/>
      </c>
      <c r="J110" s="8">
        <f>IF(ISNA(MATCH(97,Engine!$C$2:$C$630,0)),"",INDEX('Compliance Database'!$J$2:$J$630,MATCH(97,Engine!$C$2:$C$630,0)))</f>
        <v/>
      </c>
      <c r="K110">
        <f>IF(ISNA(MATCH(97,Engine!$C$2:$C$630,0)),"",INDEX('Compliance Database'!$K$2:$K$630,MATCH(97,Engine!$C$2:$C$630,0)))</f>
        <v/>
      </c>
      <c r="L110" s="8">
        <f>IF(ISNA(MATCH(97,Engine!$C$2:$C$630,0)),"",INDEX('Compliance Database'!$L$2:$L$630,MATCH(97,Engine!$C$2:$C$630,0)))</f>
        <v/>
      </c>
      <c r="M110" s="8">
        <f>IF(ISNA(MATCH(97,Engine!$C$2:$C$630,0)),"",INDEX('Compliance Database'!$M$2:$M$630,MATCH(97,Engine!$C$2:$C$630,0)))</f>
        <v/>
      </c>
      <c r="N110" s="8">
        <f>IF(ISNA(MATCH(97,Engine!$C$2:$C$630,0)),"",INDEX('Compliance Database'!$N$2:$N$630,MATCH(97,Engine!$C$2:$C$630,0)))</f>
        <v/>
      </c>
      <c r="O110" s="8">
        <f>IF(ISNA(MATCH(97,Engine!$C$2:$C$630,0)),"",INDEX('Compliance Database'!$O$2:$O$630,MATCH(97,Engine!$C$2:$C$630,0)))</f>
        <v/>
      </c>
    </row>
    <row r="111">
      <c r="A111">
        <f>IF(ISNA(MATCH(98,Engine!$C$2:$C$630,0)),"",INDEX('Compliance Database'!$A$2:$A$630,MATCH(98,Engine!$C$2:$C$630,0)))</f>
        <v/>
      </c>
      <c r="B111">
        <f>IF(ISNA(MATCH(98,Engine!$C$2:$C$630,0)),"",INDEX('Compliance Database'!$B$2:$B$630,MATCH(98,Engine!$C$2:$C$630,0)))</f>
        <v/>
      </c>
      <c r="C111">
        <f>IF(ISNA(MATCH(98,Engine!$C$2:$C$630,0)),"",INDEX('Compliance Database'!$C$2:$C$630,MATCH(98,Engine!$C$2:$C$630,0)))</f>
        <v/>
      </c>
      <c r="D111" s="8">
        <f>IF(ISNA(MATCH(98,Engine!$C$2:$C$630,0)),"",INDEX('Compliance Database'!$D$2:$D$630,MATCH(98,Engine!$C$2:$C$630,0)))</f>
        <v/>
      </c>
      <c r="E111">
        <f>IF(ISNA(MATCH(98,Engine!$C$2:$C$630,0)),"",INDEX('Compliance Database'!$E$2:$E$630,MATCH(98,Engine!$C$2:$C$630,0)))</f>
        <v/>
      </c>
      <c r="F111">
        <f>IF(ISNA(MATCH(98,Engine!$C$2:$C$630,0)),"",INDEX('Compliance Database'!$F$2:$F$630,MATCH(98,Engine!$C$2:$C$630,0)))</f>
        <v/>
      </c>
      <c r="G111">
        <f>IF(ISNA(MATCH(98,Engine!$C$2:$C$630,0)),"",INDEX('Compliance Database'!$G$2:$G$630,MATCH(98,Engine!$C$2:$C$630,0)))</f>
        <v/>
      </c>
      <c r="H111">
        <f>IF(ISNA(MATCH(98,Engine!$C$2:$C$630,0)),"",INDEX('Compliance Database'!$H$2:$H$630,MATCH(98,Engine!$C$2:$C$630,0)))</f>
        <v/>
      </c>
      <c r="I111" s="8">
        <f>IF(ISNA(MATCH(98,Engine!$C$2:$C$630,0)),"",INDEX('Compliance Database'!$I$2:$I$630,MATCH(98,Engine!$C$2:$C$630,0)))</f>
        <v/>
      </c>
      <c r="J111" s="8">
        <f>IF(ISNA(MATCH(98,Engine!$C$2:$C$630,0)),"",INDEX('Compliance Database'!$J$2:$J$630,MATCH(98,Engine!$C$2:$C$630,0)))</f>
        <v/>
      </c>
      <c r="K111">
        <f>IF(ISNA(MATCH(98,Engine!$C$2:$C$630,0)),"",INDEX('Compliance Database'!$K$2:$K$630,MATCH(98,Engine!$C$2:$C$630,0)))</f>
        <v/>
      </c>
      <c r="L111" s="8">
        <f>IF(ISNA(MATCH(98,Engine!$C$2:$C$630,0)),"",INDEX('Compliance Database'!$L$2:$L$630,MATCH(98,Engine!$C$2:$C$630,0)))</f>
        <v/>
      </c>
      <c r="M111" s="8">
        <f>IF(ISNA(MATCH(98,Engine!$C$2:$C$630,0)),"",INDEX('Compliance Database'!$M$2:$M$630,MATCH(98,Engine!$C$2:$C$630,0)))</f>
        <v/>
      </c>
      <c r="N111" s="8">
        <f>IF(ISNA(MATCH(98,Engine!$C$2:$C$630,0)),"",INDEX('Compliance Database'!$N$2:$N$630,MATCH(98,Engine!$C$2:$C$630,0)))</f>
        <v/>
      </c>
      <c r="O111" s="8">
        <f>IF(ISNA(MATCH(98,Engine!$C$2:$C$630,0)),"",INDEX('Compliance Database'!$O$2:$O$630,MATCH(98,Engine!$C$2:$C$630,0)))</f>
        <v/>
      </c>
    </row>
    <row r="112">
      <c r="A112">
        <f>IF(ISNA(MATCH(99,Engine!$C$2:$C$630,0)),"",INDEX('Compliance Database'!$A$2:$A$630,MATCH(99,Engine!$C$2:$C$630,0)))</f>
        <v/>
      </c>
      <c r="B112">
        <f>IF(ISNA(MATCH(99,Engine!$C$2:$C$630,0)),"",INDEX('Compliance Database'!$B$2:$B$630,MATCH(99,Engine!$C$2:$C$630,0)))</f>
        <v/>
      </c>
      <c r="C112">
        <f>IF(ISNA(MATCH(99,Engine!$C$2:$C$630,0)),"",INDEX('Compliance Database'!$C$2:$C$630,MATCH(99,Engine!$C$2:$C$630,0)))</f>
        <v/>
      </c>
      <c r="D112" s="8">
        <f>IF(ISNA(MATCH(99,Engine!$C$2:$C$630,0)),"",INDEX('Compliance Database'!$D$2:$D$630,MATCH(99,Engine!$C$2:$C$630,0)))</f>
        <v/>
      </c>
      <c r="E112">
        <f>IF(ISNA(MATCH(99,Engine!$C$2:$C$630,0)),"",INDEX('Compliance Database'!$E$2:$E$630,MATCH(99,Engine!$C$2:$C$630,0)))</f>
        <v/>
      </c>
      <c r="F112">
        <f>IF(ISNA(MATCH(99,Engine!$C$2:$C$630,0)),"",INDEX('Compliance Database'!$F$2:$F$630,MATCH(99,Engine!$C$2:$C$630,0)))</f>
        <v/>
      </c>
      <c r="G112">
        <f>IF(ISNA(MATCH(99,Engine!$C$2:$C$630,0)),"",INDEX('Compliance Database'!$G$2:$G$630,MATCH(99,Engine!$C$2:$C$630,0)))</f>
        <v/>
      </c>
      <c r="H112">
        <f>IF(ISNA(MATCH(99,Engine!$C$2:$C$630,0)),"",INDEX('Compliance Database'!$H$2:$H$630,MATCH(99,Engine!$C$2:$C$630,0)))</f>
        <v/>
      </c>
      <c r="I112" s="8">
        <f>IF(ISNA(MATCH(99,Engine!$C$2:$C$630,0)),"",INDEX('Compliance Database'!$I$2:$I$630,MATCH(99,Engine!$C$2:$C$630,0)))</f>
        <v/>
      </c>
      <c r="J112" s="8">
        <f>IF(ISNA(MATCH(99,Engine!$C$2:$C$630,0)),"",INDEX('Compliance Database'!$J$2:$J$630,MATCH(99,Engine!$C$2:$C$630,0)))</f>
        <v/>
      </c>
      <c r="K112">
        <f>IF(ISNA(MATCH(99,Engine!$C$2:$C$630,0)),"",INDEX('Compliance Database'!$K$2:$K$630,MATCH(99,Engine!$C$2:$C$630,0)))</f>
        <v/>
      </c>
      <c r="L112" s="8">
        <f>IF(ISNA(MATCH(99,Engine!$C$2:$C$630,0)),"",INDEX('Compliance Database'!$L$2:$L$630,MATCH(99,Engine!$C$2:$C$630,0)))</f>
        <v/>
      </c>
      <c r="M112" s="8">
        <f>IF(ISNA(MATCH(99,Engine!$C$2:$C$630,0)),"",INDEX('Compliance Database'!$M$2:$M$630,MATCH(99,Engine!$C$2:$C$630,0)))</f>
        <v/>
      </c>
      <c r="N112" s="8">
        <f>IF(ISNA(MATCH(99,Engine!$C$2:$C$630,0)),"",INDEX('Compliance Database'!$N$2:$N$630,MATCH(99,Engine!$C$2:$C$630,0)))</f>
        <v/>
      </c>
      <c r="O112" s="8">
        <f>IF(ISNA(MATCH(99,Engine!$C$2:$C$630,0)),"",INDEX('Compliance Database'!$O$2:$O$630,MATCH(99,Engine!$C$2:$C$630,0)))</f>
        <v/>
      </c>
    </row>
    <row r="113">
      <c r="A113">
        <f>IF(ISNA(MATCH(100,Engine!$C$2:$C$630,0)),"",INDEX('Compliance Database'!$A$2:$A$630,MATCH(100,Engine!$C$2:$C$630,0)))</f>
        <v/>
      </c>
      <c r="B113">
        <f>IF(ISNA(MATCH(100,Engine!$C$2:$C$630,0)),"",INDEX('Compliance Database'!$B$2:$B$630,MATCH(100,Engine!$C$2:$C$630,0)))</f>
        <v/>
      </c>
      <c r="C113">
        <f>IF(ISNA(MATCH(100,Engine!$C$2:$C$630,0)),"",INDEX('Compliance Database'!$C$2:$C$630,MATCH(100,Engine!$C$2:$C$630,0)))</f>
        <v/>
      </c>
      <c r="D113" s="8">
        <f>IF(ISNA(MATCH(100,Engine!$C$2:$C$630,0)),"",INDEX('Compliance Database'!$D$2:$D$630,MATCH(100,Engine!$C$2:$C$630,0)))</f>
        <v/>
      </c>
      <c r="E113">
        <f>IF(ISNA(MATCH(100,Engine!$C$2:$C$630,0)),"",INDEX('Compliance Database'!$E$2:$E$630,MATCH(100,Engine!$C$2:$C$630,0)))</f>
        <v/>
      </c>
      <c r="F113">
        <f>IF(ISNA(MATCH(100,Engine!$C$2:$C$630,0)),"",INDEX('Compliance Database'!$F$2:$F$630,MATCH(100,Engine!$C$2:$C$630,0)))</f>
        <v/>
      </c>
      <c r="G113">
        <f>IF(ISNA(MATCH(100,Engine!$C$2:$C$630,0)),"",INDEX('Compliance Database'!$G$2:$G$630,MATCH(100,Engine!$C$2:$C$630,0)))</f>
        <v/>
      </c>
      <c r="H113">
        <f>IF(ISNA(MATCH(100,Engine!$C$2:$C$630,0)),"",INDEX('Compliance Database'!$H$2:$H$630,MATCH(100,Engine!$C$2:$C$630,0)))</f>
        <v/>
      </c>
      <c r="I113" s="8">
        <f>IF(ISNA(MATCH(100,Engine!$C$2:$C$630,0)),"",INDEX('Compliance Database'!$I$2:$I$630,MATCH(100,Engine!$C$2:$C$630,0)))</f>
        <v/>
      </c>
      <c r="J113" s="8">
        <f>IF(ISNA(MATCH(100,Engine!$C$2:$C$630,0)),"",INDEX('Compliance Database'!$J$2:$J$630,MATCH(100,Engine!$C$2:$C$630,0)))</f>
        <v/>
      </c>
      <c r="K113">
        <f>IF(ISNA(MATCH(100,Engine!$C$2:$C$630,0)),"",INDEX('Compliance Database'!$K$2:$K$630,MATCH(100,Engine!$C$2:$C$630,0)))</f>
        <v/>
      </c>
      <c r="L113" s="8">
        <f>IF(ISNA(MATCH(100,Engine!$C$2:$C$630,0)),"",INDEX('Compliance Database'!$L$2:$L$630,MATCH(100,Engine!$C$2:$C$630,0)))</f>
        <v/>
      </c>
      <c r="M113" s="8">
        <f>IF(ISNA(MATCH(100,Engine!$C$2:$C$630,0)),"",INDEX('Compliance Database'!$M$2:$M$630,MATCH(100,Engine!$C$2:$C$630,0)))</f>
        <v/>
      </c>
      <c r="N113" s="8">
        <f>IF(ISNA(MATCH(100,Engine!$C$2:$C$630,0)),"",INDEX('Compliance Database'!$N$2:$N$630,MATCH(100,Engine!$C$2:$C$630,0)))</f>
        <v/>
      </c>
      <c r="O113" s="8">
        <f>IF(ISNA(MATCH(100,Engine!$C$2:$C$630,0)),"",INDEX('Compliance Database'!$O$2:$O$630,MATCH(100,Engine!$C$2:$C$630,0)))</f>
        <v/>
      </c>
    </row>
    <row r="114">
      <c r="A114">
        <f>IF(ISNA(MATCH(101,Engine!$C$2:$C$630,0)),"",INDEX('Compliance Database'!$A$2:$A$630,MATCH(101,Engine!$C$2:$C$630,0)))</f>
        <v/>
      </c>
      <c r="B114">
        <f>IF(ISNA(MATCH(101,Engine!$C$2:$C$630,0)),"",INDEX('Compliance Database'!$B$2:$B$630,MATCH(101,Engine!$C$2:$C$630,0)))</f>
        <v/>
      </c>
      <c r="C114">
        <f>IF(ISNA(MATCH(101,Engine!$C$2:$C$630,0)),"",INDEX('Compliance Database'!$C$2:$C$630,MATCH(101,Engine!$C$2:$C$630,0)))</f>
        <v/>
      </c>
      <c r="D114" s="8">
        <f>IF(ISNA(MATCH(101,Engine!$C$2:$C$630,0)),"",INDEX('Compliance Database'!$D$2:$D$630,MATCH(101,Engine!$C$2:$C$630,0)))</f>
        <v/>
      </c>
      <c r="E114">
        <f>IF(ISNA(MATCH(101,Engine!$C$2:$C$630,0)),"",INDEX('Compliance Database'!$E$2:$E$630,MATCH(101,Engine!$C$2:$C$630,0)))</f>
        <v/>
      </c>
      <c r="F114">
        <f>IF(ISNA(MATCH(101,Engine!$C$2:$C$630,0)),"",INDEX('Compliance Database'!$F$2:$F$630,MATCH(101,Engine!$C$2:$C$630,0)))</f>
        <v/>
      </c>
      <c r="G114">
        <f>IF(ISNA(MATCH(101,Engine!$C$2:$C$630,0)),"",INDEX('Compliance Database'!$G$2:$G$630,MATCH(101,Engine!$C$2:$C$630,0)))</f>
        <v/>
      </c>
      <c r="H114">
        <f>IF(ISNA(MATCH(101,Engine!$C$2:$C$630,0)),"",INDEX('Compliance Database'!$H$2:$H$630,MATCH(101,Engine!$C$2:$C$630,0)))</f>
        <v/>
      </c>
      <c r="I114" s="8">
        <f>IF(ISNA(MATCH(101,Engine!$C$2:$C$630,0)),"",INDEX('Compliance Database'!$I$2:$I$630,MATCH(101,Engine!$C$2:$C$630,0)))</f>
        <v/>
      </c>
      <c r="J114" s="8">
        <f>IF(ISNA(MATCH(101,Engine!$C$2:$C$630,0)),"",INDEX('Compliance Database'!$J$2:$J$630,MATCH(101,Engine!$C$2:$C$630,0)))</f>
        <v/>
      </c>
      <c r="K114">
        <f>IF(ISNA(MATCH(101,Engine!$C$2:$C$630,0)),"",INDEX('Compliance Database'!$K$2:$K$630,MATCH(101,Engine!$C$2:$C$630,0)))</f>
        <v/>
      </c>
      <c r="L114" s="8">
        <f>IF(ISNA(MATCH(101,Engine!$C$2:$C$630,0)),"",INDEX('Compliance Database'!$L$2:$L$630,MATCH(101,Engine!$C$2:$C$630,0)))</f>
        <v/>
      </c>
      <c r="M114" s="8">
        <f>IF(ISNA(MATCH(101,Engine!$C$2:$C$630,0)),"",INDEX('Compliance Database'!$M$2:$M$630,MATCH(101,Engine!$C$2:$C$630,0)))</f>
        <v/>
      </c>
      <c r="N114" s="8">
        <f>IF(ISNA(MATCH(101,Engine!$C$2:$C$630,0)),"",INDEX('Compliance Database'!$N$2:$N$630,MATCH(101,Engine!$C$2:$C$630,0)))</f>
        <v/>
      </c>
      <c r="O114" s="8">
        <f>IF(ISNA(MATCH(101,Engine!$C$2:$C$630,0)),"",INDEX('Compliance Database'!$O$2:$O$630,MATCH(101,Engine!$C$2:$C$630,0)))</f>
        <v/>
      </c>
    </row>
    <row r="115">
      <c r="A115">
        <f>IF(ISNA(MATCH(102,Engine!$C$2:$C$630,0)),"",INDEX('Compliance Database'!$A$2:$A$630,MATCH(102,Engine!$C$2:$C$630,0)))</f>
        <v/>
      </c>
      <c r="B115">
        <f>IF(ISNA(MATCH(102,Engine!$C$2:$C$630,0)),"",INDEX('Compliance Database'!$B$2:$B$630,MATCH(102,Engine!$C$2:$C$630,0)))</f>
        <v/>
      </c>
      <c r="C115">
        <f>IF(ISNA(MATCH(102,Engine!$C$2:$C$630,0)),"",INDEX('Compliance Database'!$C$2:$C$630,MATCH(102,Engine!$C$2:$C$630,0)))</f>
        <v/>
      </c>
      <c r="D115" s="8">
        <f>IF(ISNA(MATCH(102,Engine!$C$2:$C$630,0)),"",INDEX('Compliance Database'!$D$2:$D$630,MATCH(102,Engine!$C$2:$C$630,0)))</f>
        <v/>
      </c>
      <c r="E115">
        <f>IF(ISNA(MATCH(102,Engine!$C$2:$C$630,0)),"",INDEX('Compliance Database'!$E$2:$E$630,MATCH(102,Engine!$C$2:$C$630,0)))</f>
        <v/>
      </c>
      <c r="F115">
        <f>IF(ISNA(MATCH(102,Engine!$C$2:$C$630,0)),"",INDEX('Compliance Database'!$F$2:$F$630,MATCH(102,Engine!$C$2:$C$630,0)))</f>
        <v/>
      </c>
      <c r="G115">
        <f>IF(ISNA(MATCH(102,Engine!$C$2:$C$630,0)),"",INDEX('Compliance Database'!$G$2:$G$630,MATCH(102,Engine!$C$2:$C$630,0)))</f>
        <v/>
      </c>
      <c r="H115">
        <f>IF(ISNA(MATCH(102,Engine!$C$2:$C$630,0)),"",INDEX('Compliance Database'!$H$2:$H$630,MATCH(102,Engine!$C$2:$C$630,0)))</f>
        <v/>
      </c>
      <c r="I115" s="8">
        <f>IF(ISNA(MATCH(102,Engine!$C$2:$C$630,0)),"",INDEX('Compliance Database'!$I$2:$I$630,MATCH(102,Engine!$C$2:$C$630,0)))</f>
        <v/>
      </c>
      <c r="J115" s="8">
        <f>IF(ISNA(MATCH(102,Engine!$C$2:$C$630,0)),"",INDEX('Compliance Database'!$J$2:$J$630,MATCH(102,Engine!$C$2:$C$630,0)))</f>
        <v/>
      </c>
      <c r="K115">
        <f>IF(ISNA(MATCH(102,Engine!$C$2:$C$630,0)),"",INDEX('Compliance Database'!$K$2:$K$630,MATCH(102,Engine!$C$2:$C$630,0)))</f>
        <v/>
      </c>
      <c r="L115" s="8">
        <f>IF(ISNA(MATCH(102,Engine!$C$2:$C$630,0)),"",INDEX('Compliance Database'!$L$2:$L$630,MATCH(102,Engine!$C$2:$C$630,0)))</f>
        <v/>
      </c>
      <c r="M115" s="8">
        <f>IF(ISNA(MATCH(102,Engine!$C$2:$C$630,0)),"",INDEX('Compliance Database'!$M$2:$M$630,MATCH(102,Engine!$C$2:$C$630,0)))</f>
        <v/>
      </c>
      <c r="N115" s="8">
        <f>IF(ISNA(MATCH(102,Engine!$C$2:$C$630,0)),"",INDEX('Compliance Database'!$N$2:$N$630,MATCH(102,Engine!$C$2:$C$630,0)))</f>
        <v/>
      </c>
      <c r="O115" s="8">
        <f>IF(ISNA(MATCH(102,Engine!$C$2:$C$630,0)),"",INDEX('Compliance Database'!$O$2:$O$630,MATCH(102,Engine!$C$2:$C$630,0)))</f>
        <v/>
      </c>
    </row>
    <row r="116">
      <c r="A116">
        <f>IF(ISNA(MATCH(103,Engine!$C$2:$C$630,0)),"",INDEX('Compliance Database'!$A$2:$A$630,MATCH(103,Engine!$C$2:$C$630,0)))</f>
        <v/>
      </c>
      <c r="B116">
        <f>IF(ISNA(MATCH(103,Engine!$C$2:$C$630,0)),"",INDEX('Compliance Database'!$B$2:$B$630,MATCH(103,Engine!$C$2:$C$630,0)))</f>
        <v/>
      </c>
      <c r="C116">
        <f>IF(ISNA(MATCH(103,Engine!$C$2:$C$630,0)),"",INDEX('Compliance Database'!$C$2:$C$630,MATCH(103,Engine!$C$2:$C$630,0)))</f>
        <v/>
      </c>
      <c r="D116" s="8">
        <f>IF(ISNA(MATCH(103,Engine!$C$2:$C$630,0)),"",INDEX('Compliance Database'!$D$2:$D$630,MATCH(103,Engine!$C$2:$C$630,0)))</f>
        <v/>
      </c>
      <c r="E116">
        <f>IF(ISNA(MATCH(103,Engine!$C$2:$C$630,0)),"",INDEX('Compliance Database'!$E$2:$E$630,MATCH(103,Engine!$C$2:$C$630,0)))</f>
        <v/>
      </c>
      <c r="F116">
        <f>IF(ISNA(MATCH(103,Engine!$C$2:$C$630,0)),"",INDEX('Compliance Database'!$F$2:$F$630,MATCH(103,Engine!$C$2:$C$630,0)))</f>
        <v/>
      </c>
      <c r="G116">
        <f>IF(ISNA(MATCH(103,Engine!$C$2:$C$630,0)),"",INDEX('Compliance Database'!$G$2:$G$630,MATCH(103,Engine!$C$2:$C$630,0)))</f>
        <v/>
      </c>
      <c r="H116">
        <f>IF(ISNA(MATCH(103,Engine!$C$2:$C$630,0)),"",INDEX('Compliance Database'!$H$2:$H$630,MATCH(103,Engine!$C$2:$C$630,0)))</f>
        <v/>
      </c>
      <c r="I116" s="8">
        <f>IF(ISNA(MATCH(103,Engine!$C$2:$C$630,0)),"",INDEX('Compliance Database'!$I$2:$I$630,MATCH(103,Engine!$C$2:$C$630,0)))</f>
        <v/>
      </c>
      <c r="J116" s="8">
        <f>IF(ISNA(MATCH(103,Engine!$C$2:$C$630,0)),"",INDEX('Compliance Database'!$J$2:$J$630,MATCH(103,Engine!$C$2:$C$630,0)))</f>
        <v/>
      </c>
      <c r="K116">
        <f>IF(ISNA(MATCH(103,Engine!$C$2:$C$630,0)),"",INDEX('Compliance Database'!$K$2:$K$630,MATCH(103,Engine!$C$2:$C$630,0)))</f>
        <v/>
      </c>
      <c r="L116" s="8">
        <f>IF(ISNA(MATCH(103,Engine!$C$2:$C$630,0)),"",INDEX('Compliance Database'!$L$2:$L$630,MATCH(103,Engine!$C$2:$C$630,0)))</f>
        <v/>
      </c>
      <c r="M116" s="8">
        <f>IF(ISNA(MATCH(103,Engine!$C$2:$C$630,0)),"",INDEX('Compliance Database'!$M$2:$M$630,MATCH(103,Engine!$C$2:$C$630,0)))</f>
        <v/>
      </c>
      <c r="N116" s="8">
        <f>IF(ISNA(MATCH(103,Engine!$C$2:$C$630,0)),"",INDEX('Compliance Database'!$N$2:$N$630,MATCH(103,Engine!$C$2:$C$630,0)))</f>
        <v/>
      </c>
      <c r="O116" s="8">
        <f>IF(ISNA(MATCH(103,Engine!$C$2:$C$630,0)),"",INDEX('Compliance Database'!$O$2:$O$630,MATCH(103,Engine!$C$2:$C$630,0)))</f>
        <v/>
      </c>
    </row>
    <row r="117">
      <c r="A117">
        <f>IF(ISNA(MATCH(104,Engine!$C$2:$C$630,0)),"",INDEX('Compliance Database'!$A$2:$A$630,MATCH(104,Engine!$C$2:$C$630,0)))</f>
        <v/>
      </c>
      <c r="B117">
        <f>IF(ISNA(MATCH(104,Engine!$C$2:$C$630,0)),"",INDEX('Compliance Database'!$B$2:$B$630,MATCH(104,Engine!$C$2:$C$630,0)))</f>
        <v/>
      </c>
      <c r="C117">
        <f>IF(ISNA(MATCH(104,Engine!$C$2:$C$630,0)),"",INDEX('Compliance Database'!$C$2:$C$630,MATCH(104,Engine!$C$2:$C$630,0)))</f>
        <v/>
      </c>
      <c r="D117" s="8">
        <f>IF(ISNA(MATCH(104,Engine!$C$2:$C$630,0)),"",INDEX('Compliance Database'!$D$2:$D$630,MATCH(104,Engine!$C$2:$C$630,0)))</f>
        <v/>
      </c>
      <c r="E117">
        <f>IF(ISNA(MATCH(104,Engine!$C$2:$C$630,0)),"",INDEX('Compliance Database'!$E$2:$E$630,MATCH(104,Engine!$C$2:$C$630,0)))</f>
        <v/>
      </c>
      <c r="F117">
        <f>IF(ISNA(MATCH(104,Engine!$C$2:$C$630,0)),"",INDEX('Compliance Database'!$F$2:$F$630,MATCH(104,Engine!$C$2:$C$630,0)))</f>
        <v/>
      </c>
      <c r="G117">
        <f>IF(ISNA(MATCH(104,Engine!$C$2:$C$630,0)),"",INDEX('Compliance Database'!$G$2:$G$630,MATCH(104,Engine!$C$2:$C$630,0)))</f>
        <v/>
      </c>
      <c r="H117">
        <f>IF(ISNA(MATCH(104,Engine!$C$2:$C$630,0)),"",INDEX('Compliance Database'!$H$2:$H$630,MATCH(104,Engine!$C$2:$C$630,0)))</f>
        <v/>
      </c>
      <c r="I117" s="8">
        <f>IF(ISNA(MATCH(104,Engine!$C$2:$C$630,0)),"",INDEX('Compliance Database'!$I$2:$I$630,MATCH(104,Engine!$C$2:$C$630,0)))</f>
        <v/>
      </c>
      <c r="J117" s="8">
        <f>IF(ISNA(MATCH(104,Engine!$C$2:$C$630,0)),"",INDEX('Compliance Database'!$J$2:$J$630,MATCH(104,Engine!$C$2:$C$630,0)))</f>
        <v/>
      </c>
      <c r="K117">
        <f>IF(ISNA(MATCH(104,Engine!$C$2:$C$630,0)),"",INDEX('Compliance Database'!$K$2:$K$630,MATCH(104,Engine!$C$2:$C$630,0)))</f>
        <v/>
      </c>
      <c r="L117" s="8">
        <f>IF(ISNA(MATCH(104,Engine!$C$2:$C$630,0)),"",INDEX('Compliance Database'!$L$2:$L$630,MATCH(104,Engine!$C$2:$C$630,0)))</f>
        <v/>
      </c>
      <c r="M117" s="8">
        <f>IF(ISNA(MATCH(104,Engine!$C$2:$C$630,0)),"",INDEX('Compliance Database'!$M$2:$M$630,MATCH(104,Engine!$C$2:$C$630,0)))</f>
        <v/>
      </c>
      <c r="N117" s="8">
        <f>IF(ISNA(MATCH(104,Engine!$C$2:$C$630,0)),"",INDEX('Compliance Database'!$N$2:$N$630,MATCH(104,Engine!$C$2:$C$630,0)))</f>
        <v/>
      </c>
      <c r="O117" s="8">
        <f>IF(ISNA(MATCH(104,Engine!$C$2:$C$630,0)),"",INDEX('Compliance Database'!$O$2:$O$630,MATCH(104,Engine!$C$2:$C$630,0)))</f>
        <v/>
      </c>
    </row>
    <row r="118">
      <c r="A118">
        <f>IF(ISNA(MATCH(105,Engine!$C$2:$C$630,0)),"",INDEX('Compliance Database'!$A$2:$A$630,MATCH(105,Engine!$C$2:$C$630,0)))</f>
        <v/>
      </c>
      <c r="B118">
        <f>IF(ISNA(MATCH(105,Engine!$C$2:$C$630,0)),"",INDEX('Compliance Database'!$B$2:$B$630,MATCH(105,Engine!$C$2:$C$630,0)))</f>
        <v/>
      </c>
      <c r="C118">
        <f>IF(ISNA(MATCH(105,Engine!$C$2:$C$630,0)),"",INDEX('Compliance Database'!$C$2:$C$630,MATCH(105,Engine!$C$2:$C$630,0)))</f>
        <v/>
      </c>
      <c r="D118" s="8">
        <f>IF(ISNA(MATCH(105,Engine!$C$2:$C$630,0)),"",INDEX('Compliance Database'!$D$2:$D$630,MATCH(105,Engine!$C$2:$C$630,0)))</f>
        <v/>
      </c>
      <c r="E118">
        <f>IF(ISNA(MATCH(105,Engine!$C$2:$C$630,0)),"",INDEX('Compliance Database'!$E$2:$E$630,MATCH(105,Engine!$C$2:$C$630,0)))</f>
        <v/>
      </c>
      <c r="F118">
        <f>IF(ISNA(MATCH(105,Engine!$C$2:$C$630,0)),"",INDEX('Compliance Database'!$F$2:$F$630,MATCH(105,Engine!$C$2:$C$630,0)))</f>
        <v/>
      </c>
      <c r="G118">
        <f>IF(ISNA(MATCH(105,Engine!$C$2:$C$630,0)),"",INDEX('Compliance Database'!$G$2:$G$630,MATCH(105,Engine!$C$2:$C$630,0)))</f>
        <v/>
      </c>
      <c r="H118">
        <f>IF(ISNA(MATCH(105,Engine!$C$2:$C$630,0)),"",INDEX('Compliance Database'!$H$2:$H$630,MATCH(105,Engine!$C$2:$C$630,0)))</f>
        <v/>
      </c>
      <c r="I118" s="8">
        <f>IF(ISNA(MATCH(105,Engine!$C$2:$C$630,0)),"",INDEX('Compliance Database'!$I$2:$I$630,MATCH(105,Engine!$C$2:$C$630,0)))</f>
        <v/>
      </c>
      <c r="J118" s="8">
        <f>IF(ISNA(MATCH(105,Engine!$C$2:$C$630,0)),"",INDEX('Compliance Database'!$J$2:$J$630,MATCH(105,Engine!$C$2:$C$630,0)))</f>
        <v/>
      </c>
      <c r="K118">
        <f>IF(ISNA(MATCH(105,Engine!$C$2:$C$630,0)),"",INDEX('Compliance Database'!$K$2:$K$630,MATCH(105,Engine!$C$2:$C$630,0)))</f>
        <v/>
      </c>
      <c r="L118" s="8">
        <f>IF(ISNA(MATCH(105,Engine!$C$2:$C$630,0)),"",INDEX('Compliance Database'!$L$2:$L$630,MATCH(105,Engine!$C$2:$C$630,0)))</f>
        <v/>
      </c>
      <c r="M118" s="8">
        <f>IF(ISNA(MATCH(105,Engine!$C$2:$C$630,0)),"",INDEX('Compliance Database'!$M$2:$M$630,MATCH(105,Engine!$C$2:$C$630,0)))</f>
        <v/>
      </c>
      <c r="N118" s="8">
        <f>IF(ISNA(MATCH(105,Engine!$C$2:$C$630,0)),"",INDEX('Compliance Database'!$N$2:$N$630,MATCH(105,Engine!$C$2:$C$630,0)))</f>
        <v/>
      </c>
      <c r="O118" s="8">
        <f>IF(ISNA(MATCH(105,Engine!$C$2:$C$630,0)),"",INDEX('Compliance Database'!$O$2:$O$630,MATCH(105,Engine!$C$2:$C$630,0)))</f>
        <v/>
      </c>
    </row>
    <row r="119">
      <c r="A119">
        <f>IF(ISNA(MATCH(106,Engine!$C$2:$C$630,0)),"",INDEX('Compliance Database'!$A$2:$A$630,MATCH(106,Engine!$C$2:$C$630,0)))</f>
        <v/>
      </c>
      <c r="B119">
        <f>IF(ISNA(MATCH(106,Engine!$C$2:$C$630,0)),"",INDEX('Compliance Database'!$B$2:$B$630,MATCH(106,Engine!$C$2:$C$630,0)))</f>
        <v/>
      </c>
      <c r="C119">
        <f>IF(ISNA(MATCH(106,Engine!$C$2:$C$630,0)),"",INDEX('Compliance Database'!$C$2:$C$630,MATCH(106,Engine!$C$2:$C$630,0)))</f>
        <v/>
      </c>
      <c r="D119" s="8">
        <f>IF(ISNA(MATCH(106,Engine!$C$2:$C$630,0)),"",INDEX('Compliance Database'!$D$2:$D$630,MATCH(106,Engine!$C$2:$C$630,0)))</f>
        <v/>
      </c>
      <c r="E119">
        <f>IF(ISNA(MATCH(106,Engine!$C$2:$C$630,0)),"",INDEX('Compliance Database'!$E$2:$E$630,MATCH(106,Engine!$C$2:$C$630,0)))</f>
        <v/>
      </c>
      <c r="F119">
        <f>IF(ISNA(MATCH(106,Engine!$C$2:$C$630,0)),"",INDEX('Compliance Database'!$F$2:$F$630,MATCH(106,Engine!$C$2:$C$630,0)))</f>
        <v/>
      </c>
      <c r="G119">
        <f>IF(ISNA(MATCH(106,Engine!$C$2:$C$630,0)),"",INDEX('Compliance Database'!$G$2:$G$630,MATCH(106,Engine!$C$2:$C$630,0)))</f>
        <v/>
      </c>
      <c r="H119">
        <f>IF(ISNA(MATCH(106,Engine!$C$2:$C$630,0)),"",INDEX('Compliance Database'!$H$2:$H$630,MATCH(106,Engine!$C$2:$C$630,0)))</f>
        <v/>
      </c>
      <c r="I119" s="8">
        <f>IF(ISNA(MATCH(106,Engine!$C$2:$C$630,0)),"",INDEX('Compliance Database'!$I$2:$I$630,MATCH(106,Engine!$C$2:$C$630,0)))</f>
        <v/>
      </c>
      <c r="J119" s="8">
        <f>IF(ISNA(MATCH(106,Engine!$C$2:$C$630,0)),"",INDEX('Compliance Database'!$J$2:$J$630,MATCH(106,Engine!$C$2:$C$630,0)))</f>
        <v/>
      </c>
      <c r="K119">
        <f>IF(ISNA(MATCH(106,Engine!$C$2:$C$630,0)),"",INDEX('Compliance Database'!$K$2:$K$630,MATCH(106,Engine!$C$2:$C$630,0)))</f>
        <v/>
      </c>
      <c r="L119" s="8">
        <f>IF(ISNA(MATCH(106,Engine!$C$2:$C$630,0)),"",INDEX('Compliance Database'!$L$2:$L$630,MATCH(106,Engine!$C$2:$C$630,0)))</f>
        <v/>
      </c>
      <c r="M119" s="8">
        <f>IF(ISNA(MATCH(106,Engine!$C$2:$C$630,0)),"",INDEX('Compliance Database'!$M$2:$M$630,MATCH(106,Engine!$C$2:$C$630,0)))</f>
        <v/>
      </c>
      <c r="N119" s="8">
        <f>IF(ISNA(MATCH(106,Engine!$C$2:$C$630,0)),"",INDEX('Compliance Database'!$N$2:$N$630,MATCH(106,Engine!$C$2:$C$630,0)))</f>
        <v/>
      </c>
      <c r="O119" s="8">
        <f>IF(ISNA(MATCH(106,Engine!$C$2:$C$630,0)),"",INDEX('Compliance Database'!$O$2:$O$630,MATCH(106,Engine!$C$2:$C$630,0)))</f>
        <v/>
      </c>
    </row>
    <row r="120">
      <c r="A120">
        <f>IF(ISNA(MATCH(107,Engine!$C$2:$C$630,0)),"",INDEX('Compliance Database'!$A$2:$A$630,MATCH(107,Engine!$C$2:$C$630,0)))</f>
        <v/>
      </c>
      <c r="B120">
        <f>IF(ISNA(MATCH(107,Engine!$C$2:$C$630,0)),"",INDEX('Compliance Database'!$B$2:$B$630,MATCH(107,Engine!$C$2:$C$630,0)))</f>
        <v/>
      </c>
      <c r="C120">
        <f>IF(ISNA(MATCH(107,Engine!$C$2:$C$630,0)),"",INDEX('Compliance Database'!$C$2:$C$630,MATCH(107,Engine!$C$2:$C$630,0)))</f>
        <v/>
      </c>
      <c r="D120" s="8">
        <f>IF(ISNA(MATCH(107,Engine!$C$2:$C$630,0)),"",INDEX('Compliance Database'!$D$2:$D$630,MATCH(107,Engine!$C$2:$C$630,0)))</f>
        <v/>
      </c>
      <c r="E120">
        <f>IF(ISNA(MATCH(107,Engine!$C$2:$C$630,0)),"",INDEX('Compliance Database'!$E$2:$E$630,MATCH(107,Engine!$C$2:$C$630,0)))</f>
        <v/>
      </c>
      <c r="F120">
        <f>IF(ISNA(MATCH(107,Engine!$C$2:$C$630,0)),"",INDEX('Compliance Database'!$F$2:$F$630,MATCH(107,Engine!$C$2:$C$630,0)))</f>
        <v/>
      </c>
      <c r="G120">
        <f>IF(ISNA(MATCH(107,Engine!$C$2:$C$630,0)),"",INDEX('Compliance Database'!$G$2:$G$630,MATCH(107,Engine!$C$2:$C$630,0)))</f>
        <v/>
      </c>
      <c r="H120">
        <f>IF(ISNA(MATCH(107,Engine!$C$2:$C$630,0)),"",INDEX('Compliance Database'!$H$2:$H$630,MATCH(107,Engine!$C$2:$C$630,0)))</f>
        <v/>
      </c>
      <c r="I120" s="8">
        <f>IF(ISNA(MATCH(107,Engine!$C$2:$C$630,0)),"",INDEX('Compliance Database'!$I$2:$I$630,MATCH(107,Engine!$C$2:$C$630,0)))</f>
        <v/>
      </c>
      <c r="J120" s="8">
        <f>IF(ISNA(MATCH(107,Engine!$C$2:$C$630,0)),"",INDEX('Compliance Database'!$J$2:$J$630,MATCH(107,Engine!$C$2:$C$630,0)))</f>
        <v/>
      </c>
      <c r="K120">
        <f>IF(ISNA(MATCH(107,Engine!$C$2:$C$630,0)),"",INDEX('Compliance Database'!$K$2:$K$630,MATCH(107,Engine!$C$2:$C$630,0)))</f>
        <v/>
      </c>
      <c r="L120" s="8">
        <f>IF(ISNA(MATCH(107,Engine!$C$2:$C$630,0)),"",INDEX('Compliance Database'!$L$2:$L$630,MATCH(107,Engine!$C$2:$C$630,0)))</f>
        <v/>
      </c>
      <c r="M120" s="8">
        <f>IF(ISNA(MATCH(107,Engine!$C$2:$C$630,0)),"",INDEX('Compliance Database'!$M$2:$M$630,MATCH(107,Engine!$C$2:$C$630,0)))</f>
        <v/>
      </c>
      <c r="N120" s="8">
        <f>IF(ISNA(MATCH(107,Engine!$C$2:$C$630,0)),"",INDEX('Compliance Database'!$N$2:$N$630,MATCH(107,Engine!$C$2:$C$630,0)))</f>
        <v/>
      </c>
      <c r="O120" s="8">
        <f>IF(ISNA(MATCH(107,Engine!$C$2:$C$630,0)),"",INDEX('Compliance Database'!$O$2:$O$630,MATCH(107,Engine!$C$2:$C$630,0)))</f>
        <v/>
      </c>
    </row>
    <row r="121">
      <c r="A121">
        <f>IF(ISNA(MATCH(108,Engine!$C$2:$C$630,0)),"",INDEX('Compliance Database'!$A$2:$A$630,MATCH(108,Engine!$C$2:$C$630,0)))</f>
        <v/>
      </c>
      <c r="B121">
        <f>IF(ISNA(MATCH(108,Engine!$C$2:$C$630,0)),"",INDEX('Compliance Database'!$B$2:$B$630,MATCH(108,Engine!$C$2:$C$630,0)))</f>
        <v/>
      </c>
      <c r="C121">
        <f>IF(ISNA(MATCH(108,Engine!$C$2:$C$630,0)),"",INDEX('Compliance Database'!$C$2:$C$630,MATCH(108,Engine!$C$2:$C$630,0)))</f>
        <v/>
      </c>
      <c r="D121" s="8">
        <f>IF(ISNA(MATCH(108,Engine!$C$2:$C$630,0)),"",INDEX('Compliance Database'!$D$2:$D$630,MATCH(108,Engine!$C$2:$C$630,0)))</f>
        <v/>
      </c>
      <c r="E121">
        <f>IF(ISNA(MATCH(108,Engine!$C$2:$C$630,0)),"",INDEX('Compliance Database'!$E$2:$E$630,MATCH(108,Engine!$C$2:$C$630,0)))</f>
        <v/>
      </c>
      <c r="F121">
        <f>IF(ISNA(MATCH(108,Engine!$C$2:$C$630,0)),"",INDEX('Compliance Database'!$F$2:$F$630,MATCH(108,Engine!$C$2:$C$630,0)))</f>
        <v/>
      </c>
      <c r="G121">
        <f>IF(ISNA(MATCH(108,Engine!$C$2:$C$630,0)),"",INDEX('Compliance Database'!$G$2:$G$630,MATCH(108,Engine!$C$2:$C$630,0)))</f>
        <v/>
      </c>
      <c r="H121">
        <f>IF(ISNA(MATCH(108,Engine!$C$2:$C$630,0)),"",INDEX('Compliance Database'!$H$2:$H$630,MATCH(108,Engine!$C$2:$C$630,0)))</f>
        <v/>
      </c>
      <c r="I121" s="8">
        <f>IF(ISNA(MATCH(108,Engine!$C$2:$C$630,0)),"",INDEX('Compliance Database'!$I$2:$I$630,MATCH(108,Engine!$C$2:$C$630,0)))</f>
        <v/>
      </c>
      <c r="J121" s="8">
        <f>IF(ISNA(MATCH(108,Engine!$C$2:$C$630,0)),"",INDEX('Compliance Database'!$J$2:$J$630,MATCH(108,Engine!$C$2:$C$630,0)))</f>
        <v/>
      </c>
      <c r="K121">
        <f>IF(ISNA(MATCH(108,Engine!$C$2:$C$630,0)),"",INDEX('Compliance Database'!$K$2:$K$630,MATCH(108,Engine!$C$2:$C$630,0)))</f>
        <v/>
      </c>
      <c r="L121" s="8">
        <f>IF(ISNA(MATCH(108,Engine!$C$2:$C$630,0)),"",INDEX('Compliance Database'!$L$2:$L$630,MATCH(108,Engine!$C$2:$C$630,0)))</f>
        <v/>
      </c>
      <c r="M121" s="8">
        <f>IF(ISNA(MATCH(108,Engine!$C$2:$C$630,0)),"",INDEX('Compliance Database'!$M$2:$M$630,MATCH(108,Engine!$C$2:$C$630,0)))</f>
        <v/>
      </c>
      <c r="N121" s="8">
        <f>IF(ISNA(MATCH(108,Engine!$C$2:$C$630,0)),"",INDEX('Compliance Database'!$N$2:$N$630,MATCH(108,Engine!$C$2:$C$630,0)))</f>
        <v/>
      </c>
      <c r="O121" s="8">
        <f>IF(ISNA(MATCH(108,Engine!$C$2:$C$630,0)),"",INDEX('Compliance Database'!$O$2:$O$630,MATCH(108,Engine!$C$2:$C$630,0)))</f>
        <v/>
      </c>
    </row>
    <row r="122">
      <c r="A122">
        <f>IF(ISNA(MATCH(109,Engine!$C$2:$C$630,0)),"",INDEX('Compliance Database'!$A$2:$A$630,MATCH(109,Engine!$C$2:$C$630,0)))</f>
        <v/>
      </c>
      <c r="B122">
        <f>IF(ISNA(MATCH(109,Engine!$C$2:$C$630,0)),"",INDEX('Compliance Database'!$B$2:$B$630,MATCH(109,Engine!$C$2:$C$630,0)))</f>
        <v/>
      </c>
      <c r="C122">
        <f>IF(ISNA(MATCH(109,Engine!$C$2:$C$630,0)),"",INDEX('Compliance Database'!$C$2:$C$630,MATCH(109,Engine!$C$2:$C$630,0)))</f>
        <v/>
      </c>
      <c r="D122" s="8">
        <f>IF(ISNA(MATCH(109,Engine!$C$2:$C$630,0)),"",INDEX('Compliance Database'!$D$2:$D$630,MATCH(109,Engine!$C$2:$C$630,0)))</f>
        <v/>
      </c>
      <c r="E122">
        <f>IF(ISNA(MATCH(109,Engine!$C$2:$C$630,0)),"",INDEX('Compliance Database'!$E$2:$E$630,MATCH(109,Engine!$C$2:$C$630,0)))</f>
        <v/>
      </c>
      <c r="F122">
        <f>IF(ISNA(MATCH(109,Engine!$C$2:$C$630,0)),"",INDEX('Compliance Database'!$F$2:$F$630,MATCH(109,Engine!$C$2:$C$630,0)))</f>
        <v/>
      </c>
      <c r="G122">
        <f>IF(ISNA(MATCH(109,Engine!$C$2:$C$630,0)),"",INDEX('Compliance Database'!$G$2:$G$630,MATCH(109,Engine!$C$2:$C$630,0)))</f>
        <v/>
      </c>
      <c r="H122">
        <f>IF(ISNA(MATCH(109,Engine!$C$2:$C$630,0)),"",INDEX('Compliance Database'!$H$2:$H$630,MATCH(109,Engine!$C$2:$C$630,0)))</f>
        <v/>
      </c>
      <c r="I122" s="8">
        <f>IF(ISNA(MATCH(109,Engine!$C$2:$C$630,0)),"",INDEX('Compliance Database'!$I$2:$I$630,MATCH(109,Engine!$C$2:$C$630,0)))</f>
        <v/>
      </c>
      <c r="J122" s="8">
        <f>IF(ISNA(MATCH(109,Engine!$C$2:$C$630,0)),"",INDEX('Compliance Database'!$J$2:$J$630,MATCH(109,Engine!$C$2:$C$630,0)))</f>
        <v/>
      </c>
      <c r="K122">
        <f>IF(ISNA(MATCH(109,Engine!$C$2:$C$630,0)),"",INDEX('Compliance Database'!$K$2:$K$630,MATCH(109,Engine!$C$2:$C$630,0)))</f>
        <v/>
      </c>
      <c r="L122" s="8">
        <f>IF(ISNA(MATCH(109,Engine!$C$2:$C$630,0)),"",INDEX('Compliance Database'!$L$2:$L$630,MATCH(109,Engine!$C$2:$C$630,0)))</f>
        <v/>
      </c>
      <c r="M122" s="8">
        <f>IF(ISNA(MATCH(109,Engine!$C$2:$C$630,0)),"",INDEX('Compliance Database'!$M$2:$M$630,MATCH(109,Engine!$C$2:$C$630,0)))</f>
        <v/>
      </c>
      <c r="N122" s="8">
        <f>IF(ISNA(MATCH(109,Engine!$C$2:$C$630,0)),"",INDEX('Compliance Database'!$N$2:$N$630,MATCH(109,Engine!$C$2:$C$630,0)))</f>
        <v/>
      </c>
      <c r="O122" s="8">
        <f>IF(ISNA(MATCH(109,Engine!$C$2:$C$630,0)),"",INDEX('Compliance Database'!$O$2:$O$630,MATCH(109,Engine!$C$2:$C$630,0)))</f>
        <v/>
      </c>
    </row>
    <row r="123">
      <c r="A123">
        <f>IF(ISNA(MATCH(110,Engine!$C$2:$C$630,0)),"",INDEX('Compliance Database'!$A$2:$A$630,MATCH(110,Engine!$C$2:$C$630,0)))</f>
        <v/>
      </c>
      <c r="B123">
        <f>IF(ISNA(MATCH(110,Engine!$C$2:$C$630,0)),"",INDEX('Compliance Database'!$B$2:$B$630,MATCH(110,Engine!$C$2:$C$630,0)))</f>
        <v/>
      </c>
      <c r="C123">
        <f>IF(ISNA(MATCH(110,Engine!$C$2:$C$630,0)),"",INDEX('Compliance Database'!$C$2:$C$630,MATCH(110,Engine!$C$2:$C$630,0)))</f>
        <v/>
      </c>
      <c r="D123" s="8">
        <f>IF(ISNA(MATCH(110,Engine!$C$2:$C$630,0)),"",INDEX('Compliance Database'!$D$2:$D$630,MATCH(110,Engine!$C$2:$C$630,0)))</f>
        <v/>
      </c>
      <c r="E123">
        <f>IF(ISNA(MATCH(110,Engine!$C$2:$C$630,0)),"",INDEX('Compliance Database'!$E$2:$E$630,MATCH(110,Engine!$C$2:$C$630,0)))</f>
        <v/>
      </c>
      <c r="F123">
        <f>IF(ISNA(MATCH(110,Engine!$C$2:$C$630,0)),"",INDEX('Compliance Database'!$F$2:$F$630,MATCH(110,Engine!$C$2:$C$630,0)))</f>
        <v/>
      </c>
      <c r="G123">
        <f>IF(ISNA(MATCH(110,Engine!$C$2:$C$630,0)),"",INDEX('Compliance Database'!$G$2:$G$630,MATCH(110,Engine!$C$2:$C$630,0)))</f>
        <v/>
      </c>
      <c r="H123">
        <f>IF(ISNA(MATCH(110,Engine!$C$2:$C$630,0)),"",INDEX('Compliance Database'!$H$2:$H$630,MATCH(110,Engine!$C$2:$C$630,0)))</f>
        <v/>
      </c>
      <c r="I123" s="8">
        <f>IF(ISNA(MATCH(110,Engine!$C$2:$C$630,0)),"",INDEX('Compliance Database'!$I$2:$I$630,MATCH(110,Engine!$C$2:$C$630,0)))</f>
        <v/>
      </c>
      <c r="J123" s="8">
        <f>IF(ISNA(MATCH(110,Engine!$C$2:$C$630,0)),"",INDEX('Compliance Database'!$J$2:$J$630,MATCH(110,Engine!$C$2:$C$630,0)))</f>
        <v/>
      </c>
      <c r="K123">
        <f>IF(ISNA(MATCH(110,Engine!$C$2:$C$630,0)),"",INDEX('Compliance Database'!$K$2:$K$630,MATCH(110,Engine!$C$2:$C$630,0)))</f>
        <v/>
      </c>
      <c r="L123" s="8">
        <f>IF(ISNA(MATCH(110,Engine!$C$2:$C$630,0)),"",INDEX('Compliance Database'!$L$2:$L$630,MATCH(110,Engine!$C$2:$C$630,0)))</f>
        <v/>
      </c>
      <c r="M123" s="8">
        <f>IF(ISNA(MATCH(110,Engine!$C$2:$C$630,0)),"",INDEX('Compliance Database'!$M$2:$M$630,MATCH(110,Engine!$C$2:$C$630,0)))</f>
        <v/>
      </c>
      <c r="N123" s="8">
        <f>IF(ISNA(MATCH(110,Engine!$C$2:$C$630,0)),"",INDEX('Compliance Database'!$N$2:$N$630,MATCH(110,Engine!$C$2:$C$630,0)))</f>
        <v/>
      </c>
      <c r="O123" s="8">
        <f>IF(ISNA(MATCH(110,Engine!$C$2:$C$630,0)),"",INDEX('Compliance Database'!$O$2:$O$630,MATCH(110,Engine!$C$2:$C$630,0)))</f>
        <v/>
      </c>
    </row>
    <row r="124">
      <c r="A124">
        <f>IF(ISNA(MATCH(111,Engine!$C$2:$C$630,0)),"",INDEX('Compliance Database'!$A$2:$A$630,MATCH(111,Engine!$C$2:$C$630,0)))</f>
        <v/>
      </c>
      <c r="B124">
        <f>IF(ISNA(MATCH(111,Engine!$C$2:$C$630,0)),"",INDEX('Compliance Database'!$B$2:$B$630,MATCH(111,Engine!$C$2:$C$630,0)))</f>
        <v/>
      </c>
      <c r="C124">
        <f>IF(ISNA(MATCH(111,Engine!$C$2:$C$630,0)),"",INDEX('Compliance Database'!$C$2:$C$630,MATCH(111,Engine!$C$2:$C$630,0)))</f>
        <v/>
      </c>
      <c r="D124" s="8">
        <f>IF(ISNA(MATCH(111,Engine!$C$2:$C$630,0)),"",INDEX('Compliance Database'!$D$2:$D$630,MATCH(111,Engine!$C$2:$C$630,0)))</f>
        <v/>
      </c>
      <c r="E124">
        <f>IF(ISNA(MATCH(111,Engine!$C$2:$C$630,0)),"",INDEX('Compliance Database'!$E$2:$E$630,MATCH(111,Engine!$C$2:$C$630,0)))</f>
        <v/>
      </c>
      <c r="F124">
        <f>IF(ISNA(MATCH(111,Engine!$C$2:$C$630,0)),"",INDEX('Compliance Database'!$F$2:$F$630,MATCH(111,Engine!$C$2:$C$630,0)))</f>
        <v/>
      </c>
      <c r="G124">
        <f>IF(ISNA(MATCH(111,Engine!$C$2:$C$630,0)),"",INDEX('Compliance Database'!$G$2:$G$630,MATCH(111,Engine!$C$2:$C$630,0)))</f>
        <v/>
      </c>
      <c r="H124">
        <f>IF(ISNA(MATCH(111,Engine!$C$2:$C$630,0)),"",INDEX('Compliance Database'!$H$2:$H$630,MATCH(111,Engine!$C$2:$C$630,0)))</f>
        <v/>
      </c>
      <c r="I124" s="8">
        <f>IF(ISNA(MATCH(111,Engine!$C$2:$C$630,0)),"",INDEX('Compliance Database'!$I$2:$I$630,MATCH(111,Engine!$C$2:$C$630,0)))</f>
        <v/>
      </c>
      <c r="J124" s="8">
        <f>IF(ISNA(MATCH(111,Engine!$C$2:$C$630,0)),"",INDEX('Compliance Database'!$J$2:$J$630,MATCH(111,Engine!$C$2:$C$630,0)))</f>
        <v/>
      </c>
      <c r="K124">
        <f>IF(ISNA(MATCH(111,Engine!$C$2:$C$630,0)),"",INDEX('Compliance Database'!$K$2:$K$630,MATCH(111,Engine!$C$2:$C$630,0)))</f>
        <v/>
      </c>
      <c r="L124" s="8">
        <f>IF(ISNA(MATCH(111,Engine!$C$2:$C$630,0)),"",INDEX('Compliance Database'!$L$2:$L$630,MATCH(111,Engine!$C$2:$C$630,0)))</f>
        <v/>
      </c>
      <c r="M124" s="8">
        <f>IF(ISNA(MATCH(111,Engine!$C$2:$C$630,0)),"",INDEX('Compliance Database'!$M$2:$M$630,MATCH(111,Engine!$C$2:$C$630,0)))</f>
        <v/>
      </c>
      <c r="N124" s="8">
        <f>IF(ISNA(MATCH(111,Engine!$C$2:$C$630,0)),"",INDEX('Compliance Database'!$N$2:$N$630,MATCH(111,Engine!$C$2:$C$630,0)))</f>
        <v/>
      </c>
      <c r="O124" s="8">
        <f>IF(ISNA(MATCH(111,Engine!$C$2:$C$630,0)),"",INDEX('Compliance Database'!$O$2:$O$630,MATCH(111,Engine!$C$2:$C$630,0)))</f>
        <v/>
      </c>
    </row>
    <row r="125">
      <c r="A125">
        <f>IF(ISNA(MATCH(112,Engine!$C$2:$C$630,0)),"",INDEX('Compliance Database'!$A$2:$A$630,MATCH(112,Engine!$C$2:$C$630,0)))</f>
        <v/>
      </c>
      <c r="B125">
        <f>IF(ISNA(MATCH(112,Engine!$C$2:$C$630,0)),"",INDEX('Compliance Database'!$B$2:$B$630,MATCH(112,Engine!$C$2:$C$630,0)))</f>
        <v/>
      </c>
      <c r="C125">
        <f>IF(ISNA(MATCH(112,Engine!$C$2:$C$630,0)),"",INDEX('Compliance Database'!$C$2:$C$630,MATCH(112,Engine!$C$2:$C$630,0)))</f>
        <v/>
      </c>
      <c r="D125" s="8">
        <f>IF(ISNA(MATCH(112,Engine!$C$2:$C$630,0)),"",INDEX('Compliance Database'!$D$2:$D$630,MATCH(112,Engine!$C$2:$C$630,0)))</f>
        <v/>
      </c>
      <c r="E125">
        <f>IF(ISNA(MATCH(112,Engine!$C$2:$C$630,0)),"",INDEX('Compliance Database'!$E$2:$E$630,MATCH(112,Engine!$C$2:$C$630,0)))</f>
        <v/>
      </c>
      <c r="F125">
        <f>IF(ISNA(MATCH(112,Engine!$C$2:$C$630,0)),"",INDEX('Compliance Database'!$F$2:$F$630,MATCH(112,Engine!$C$2:$C$630,0)))</f>
        <v/>
      </c>
      <c r="G125">
        <f>IF(ISNA(MATCH(112,Engine!$C$2:$C$630,0)),"",INDEX('Compliance Database'!$G$2:$G$630,MATCH(112,Engine!$C$2:$C$630,0)))</f>
        <v/>
      </c>
      <c r="H125">
        <f>IF(ISNA(MATCH(112,Engine!$C$2:$C$630,0)),"",INDEX('Compliance Database'!$H$2:$H$630,MATCH(112,Engine!$C$2:$C$630,0)))</f>
        <v/>
      </c>
      <c r="I125" s="8">
        <f>IF(ISNA(MATCH(112,Engine!$C$2:$C$630,0)),"",INDEX('Compliance Database'!$I$2:$I$630,MATCH(112,Engine!$C$2:$C$630,0)))</f>
        <v/>
      </c>
      <c r="J125" s="8">
        <f>IF(ISNA(MATCH(112,Engine!$C$2:$C$630,0)),"",INDEX('Compliance Database'!$J$2:$J$630,MATCH(112,Engine!$C$2:$C$630,0)))</f>
        <v/>
      </c>
      <c r="K125">
        <f>IF(ISNA(MATCH(112,Engine!$C$2:$C$630,0)),"",INDEX('Compliance Database'!$K$2:$K$630,MATCH(112,Engine!$C$2:$C$630,0)))</f>
        <v/>
      </c>
      <c r="L125" s="8">
        <f>IF(ISNA(MATCH(112,Engine!$C$2:$C$630,0)),"",INDEX('Compliance Database'!$L$2:$L$630,MATCH(112,Engine!$C$2:$C$630,0)))</f>
        <v/>
      </c>
      <c r="M125" s="8">
        <f>IF(ISNA(MATCH(112,Engine!$C$2:$C$630,0)),"",INDEX('Compliance Database'!$M$2:$M$630,MATCH(112,Engine!$C$2:$C$630,0)))</f>
        <v/>
      </c>
      <c r="N125" s="8">
        <f>IF(ISNA(MATCH(112,Engine!$C$2:$C$630,0)),"",INDEX('Compliance Database'!$N$2:$N$630,MATCH(112,Engine!$C$2:$C$630,0)))</f>
        <v/>
      </c>
      <c r="O125" s="8">
        <f>IF(ISNA(MATCH(112,Engine!$C$2:$C$630,0)),"",INDEX('Compliance Database'!$O$2:$O$630,MATCH(112,Engine!$C$2:$C$630,0)))</f>
        <v/>
      </c>
    </row>
    <row r="126">
      <c r="A126">
        <f>IF(ISNA(MATCH(113,Engine!$C$2:$C$630,0)),"",INDEX('Compliance Database'!$A$2:$A$630,MATCH(113,Engine!$C$2:$C$630,0)))</f>
        <v/>
      </c>
      <c r="B126">
        <f>IF(ISNA(MATCH(113,Engine!$C$2:$C$630,0)),"",INDEX('Compliance Database'!$B$2:$B$630,MATCH(113,Engine!$C$2:$C$630,0)))</f>
        <v/>
      </c>
      <c r="C126">
        <f>IF(ISNA(MATCH(113,Engine!$C$2:$C$630,0)),"",INDEX('Compliance Database'!$C$2:$C$630,MATCH(113,Engine!$C$2:$C$630,0)))</f>
        <v/>
      </c>
      <c r="D126" s="8">
        <f>IF(ISNA(MATCH(113,Engine!$C$2:$C$630,0)),"",INDEX('Compliance Database'!$D$2:$D$630,MATCH(113,Engine!$C$2:$C$630,0)))</f>
        <v/>
      </c>
      <c r="E126">
        <f>IF(ISNA(MATCH(113,Engine!$C$2:$C$630,0)),"",INDEX('Compliance Database'!$E$2:$E$630,MATCH(113,Engine!$C$2:$C$630,0)))</f>
        <v/>
      </c>
      <c r="F126">
        <f>IF(ISNA(MATCH(113,Engine!$C$2:$C$630,0)),"",INDEX('Compliance Database'!$F$2:$F$630,MATCH(113,Engine!$C$2:$C$630,0)))</f>
        <v/>
      </c>
      <c r="G126">
        <f>IF(ISNA(MATCH(113,Engine!$C$2:$C$630,0)),"",INDEX('Compliance Database'!$G$2:$G$630,MATCH(113,Engine!$C$2:$C$630,0)))</f>
        <v/>
      </c>
      <c r="H126">
        <f>IF(ISNA(MATCH(113,Engine!$C$2:$C$630,0)),"",INDEX('Compliance Database'!$H$2:$H$630,MATCH(113,Engine!$C$2:$C$630,0)))</f>
        <v/>
      </c>
      <c r="I126" s="8">
        <f>IF(ISNA(MATCH(113,Engine!$C$2:$C$630,0)),"",INDEX('Compliance Database'!$I$2:$I$630,MATCH(113,Engine!$C$2:$C$630,0)))</f>
        <v/>
      </c>
      <c r="J126" s="8">
        <f>IF(ISNA(MATCH(113,Engine!$C$2:$C$630,0)),"",INDEX('Compliance Database'!$J$2:$J$630,MATCH(113,Engine!$C$2:$C$630,0)))</f>
        <v/>
      </c>
      <c r="K126">
        <f>IF(ISNA(MATCH(113,Engine!$C$2:$C$630,0)),"",INDEX('Compliance Database'!$K$2:$K$630,MATCH(113,Engine!$C$2:$C$630,0)))</f>
        <v/>
      </c>
      <c r="L126" s="8">
        <f>IF(ISNA(MATCH(113,Engine!$C$2:$C$630,0)),"",INDEX('Compliance Database'!$L$2:$L$630,MATCH(113,Engine!$C$2:$C$630,0)))</f>
        <v/>
      </c>
      <c r="M126" s="8">
        <f>IF(ISNA(MATCH(113,Engine!$C$2:$C$630,0)),"",INDEX('Compliance Database'!$M$2:$M$630,MATCH(113,Engine!$C$2:$C$630,0)))</f>
        <v/>
      </c>
      <c r="N126" s="8">
        <f>IF(ISNA(MATCH(113,Engine!$C$2:$C$630,0)),"",INDEX('Compliance Database'!$N$2:$N$630,MATCH(113,Engine!$C$2:$C$630,0)))</f>
        <v/>
      </c>
      <c r="O126" s="8">
        <f>IF(ISNA(MATCH(113,Engine!$C$2:$C$630,0)),"",INDEX('Compliance Database'!$O$2:$O$630,MATCH(113,Engine!$C$2:$C$630,0)))</f>
        <v/>
      </c>
    </row>
    <row r="127">
      <c r="A127">
        <f>IF(ISNA(MATCH(114,Engine!$C$2:$C$630,0)),"",INDEX('Compliance Database'!$A$2:$A$630,MATCH(114,Engine!$C$2:$C$630,0)))</f>
        <v/>
      </c>
      <c r="B127">
        <f>IF(ISNA(MATCH(114,Engine!$C$2:$C$630,0)),"",INDEX('Compliance Database'!$B$2:$B$630,MATCH(114,Engine!$C$2:$C$630,0)))</f>
        <v/>
      </c>
      <c r="C127">
        <f>IF(ISNA(MATCH(114,Engine!$C$2:$C$630,0)),"",INDEX('Compliance Database'!$C$2:$C$630,MATCH(114,Engine!$C$2:$C$630,0)))</f>
        <v/>
      </c>
      <c r="D127" s="8">
        <f>IF(ISNA(MATCH(114,Engine!$C$2:$C$630,0)),"",INDEX('Compliance Database'!$D$2:$D$630,MATCH(114,Engine!$C$2:$C$630,0)))</f>
        <v/>
      </c>
      <c r="E127">
        <f>IF(ISNA(MATCH(114,Engine!$C$2:$C$630,0)),"",INDEX('Compliance Database'!$E$2:$E$630,MATCH(114,Engine!$C$2:$C$630,0)))</f>
        <v/>
      </c>
      <c r="F127">
        <f>IF(ISNA(MATCH(114,Engine!$C$2:$C$630,0)),"",INDEX('Compliance Database'!$F$2:$F$630,MATCH(114,Engine!$C$2:$C$630,0)))</f>
        <v/>
      </c>
      <c r="G127">
        <f>IF(ISNA(MATCH(114,Engine!$C$2:$C$630,0)),"",INDEX('Compliance Database'!$G$2:$G$630,MATCH(114,Engine!$C$2:$C$630,0)))</f>
        <v/>
      </c>
      <c r="H127">
        <f>IF(ISNA(MATCH(114,Engine!$C$2:$C$630,0)),"",INDEX('Compliance Database'!$H$2:$H$630,MATCH(114,Engine!$C$2:$C$630,0)))</f>
        <v/>
      </c>
      <c r="I127" s="8">
        <f>IF(ISNA(MATCH(114,Engine!$C$2:$C$630,0)),"",INDEX('Compliance Database'!$I$2:$I$630,MATCH(114,Engine!$C$2:$C$630,0)))</f>
        <v/>
      </c>
      <c r="J127" s="8">
        <f>IF(ISNA(MATCH(114,Engine!$C$2:$C$630,0)),"",INDEX('Compliance Database'!$J$2:$J$630,MATCH(114,Engine!$C$2:$C$630,0)))</f>
        <v/>
      </c>
      <c r="K127">
        <f>IF(ISNA(MATCH(114,Engine!$C$2:$C$630,0)),"",INDEX('Compliance Database'!$K$2:$K$630,MATCH(114,Engine!$C$2:$C$630,0)))</f>
        <v/>
      </c>
      <c r="L127" s="8">
        <f>IF(ISNA(MATCH(114,Engine!$C$2:$C$630,0)),"",INDEX('Compliance Database'!$L$2:$L$630,MATCH(114,Engine!$C$2:$C$630,0)))</f>
        <v/>
      </c>
      <c r="M127" s="8">
        <f>IF(ISNA(MATCH(114,Engine!$C$2:$C$630,0)),"",INDEX('Compliance Database'!$M$2:$M$630,MATCH(114,Engine!$C$2:$C$630,0)))</f>
        <v/>
      </c>
      <c r="N127" s="8">
        <f>IF(ISNA(MATCH(114,Engine!$C$2:$C$630,0)),"",INDEX('Compliance Database'!$N$2:$N$630,MATCH(114,Engine!$C$2:$C$630,0)))</f>
        <v/>
      </c>
      <c r="O127" s="8">
        <f>IF(ISNA(MATCH(114,Engine!$C$2:$C$630,0)),"",INDEX('Compliance Database'!$O$2:$O$630,MATCH(114,Engine!$C$2:$C$630,0)))</f>
        <v/>
      </c>
    </row>
    <row r="128">
      <c r="A128">
        <f>IF(ISNA(MATCH(115,Engine!$C$2:$C$630,0)),"",INDEX('Compliance Database'!$A$2:$A$630,MATCH(115,Engine!$C$2:$C$630,0)))</f>
        <v/>
      </c>
      <c r="B128">
        <f>IF(ISNA(MATCH(115,Engine!$C$2:$C$630,0)),"",INDEX('Compliance Database'!$B$2:$B$630,MATCH(115,Engine!$C$2:$C$630,0)))</f>
        <v/>
      </c>
      <c r="C128">
        <f>IF(ISNA(MATCH(115,Engine!$C$2:$C$630,0)),"",INDEX('Compliance Database'!$C$2:$C$630,MATCH(115,Engine!$C$2:$C$630,0)))</f>
        <v/>
      </c>
      <c r="D128" s="8">
        <f>IF(ISNA(MATCH(115,Engine!$C$2:$C$630,0)),"",INDEX('Compliance Database'!$D$2:$D$630,MATCH(115,Engine!$C$2:$C$630,0)))</f>
        <v/>
      </c>
      <c r="E128">
        <f>IF(ISNA(MATCH(115,Engine!$C$2:$C$630,0)),"",INDEX('Compliance Database'!$E$2:$E$630,MATCH(115,Engine!$C$2:$C$630,0)))</f>
        <v/>
      </c>
      <c r="F128">
        <f>IF(ISNA(MATCH(115,Engine!$C$2:$C$630,0)),"",INDEX('Compliance Database'!$F$2:$F$630,MATCH(115,Engine!$C$2:$C$630,0)))</f>
        <v/>
      </c>
      <c r="G128">
        <f>IF(ISNA(MATCH(115,Engine!$C$2:$C$630,0)),"",INDEX('Compliance Database'!$G$2:$G$630,MATCH(115,Engine!$C$2:$C$630,0)))</f>
        <v/>
      </c>
      <c r="H128">
        <f>IF(ISNA(MATCH(115,Engine!$C$2:$C$630,0)),"",INDEX('Compliance Database'!$H$2:$H$630,MATCH(115,Engine!$C$2:$C$630,0)))</f>
        <v/>
      </c>
      <c r="I128" s="8">
        <f>IF(ISNA(MATCH(115,Engine!$C$2:$C$630,0)),"",INDEX('Compliance Database'!$I$2:$I$630,MATCH(115,Engine!$C$2:$C$630,0)))</f>
        <v/>
      </c>
      <c r="J128" s="8">
        <f>IF(ISNA(MATCH(115,Engine!$C$2:$C$630,0)),"",INDEX('Compliance Database'!$J$2:$J$630,MATCH(115,Engine!$C$2:$C$630,0)))</f>
        <v/>
      </c>
      <c r="K128">
        <f>IF(ISNA(MATCH(115,Engine!$C$2:$C$630,0)),"",INDEX('Compliance Database'!$K$2:$K$630,MATCH(115,Engine!$C$2:$C$630,0)))</f>
        <v/>
      </c>
      <c r="L128" s="8">
        <f>IF(ISNA(MATCH(115,Engine!$C$2:$C$630,0)),"",INDEX('Compliance Database'!$L$2:$L$630,MATCH(115,Engine!$C$2:$C$630,0)))</f>
        <v/>
      </c>
      <c r="M128" s="8">
        <f>IF(ISNA(MATCH(115,Engine!$C$2:$C$630,0)),"",INDEX('Compliance Database'!$M$2:$M$630,MATCH(115,Engine!$C$2:$C$630,0)))</f>
        <v/>
      </c>
      <c r="N128" s="8">
        <f>IF(ISNA(MATCH(115,Engine!$C$2:$C$630,0)),"",INDEX('Compliance Database'!$N$2:$N$630,MATCH(115,Engine!$C$2:$C$630,0)))</f>
        <v/>
      </c>
      <c r="O128" s="8">
        <f>IF(ISNA(MATCH(115,Engine!$C$2:$C$630,0)),"",INDEX('Compliance Database'!$O$2:$O$630,MATCH(115,Engine!$C$2:$C$630,0)))</f>
        <v/>
      </c>
    </row>
    <row r="129">
      <c r="A129">
        <f>IF(ISNA(MATCH(116,Engine!$C$2:$C$630,0)),"",INDEX('Compliance Database'!$A$2:$A$630,MATCH(116,Engine!$C$2:$C$630,0)))</f>
        <v/>
      </c>
      <c r="B129">
        <f>IF(ISNA(MATCH(116,Engine!$C$2:$C$630,0)),"",INDEX('Compliance Database'!$B$2:$B$630,MATCH(116,Engine!$C$2:$C$630,0)))</f>
        <v/>
      </c>
      <c r="C129">
        <f>IF(ISNA(MATCH(116,Engine!$C$2:$C$630,0)),"",INDEX('Compliance Database'!$C$2:$C$630,MATCH(116,Engine!$C$2:$C$630,0)))</f>
        <v/>
      </c>
      <c r="D129" s="8">
        <f>IF(ISNA(MATCH(116,Engine!$C$2:$C$630,0)),"",INDEX('Compliance Database'!$D$2:$D$630,MATCH(116,Engine!$C$2:$C$630,0)))</f>
        <v/>
      </c>
      <c r="E129">
        <f>IF(ISNA(MATCH(116,Engine!$C$2:$C$630,0)),"",INDEX('Compliance Database'!$E$2:$E$630,MATCH(116,Engine!$C$2:$C$630,0)))</f>
        <v/>
      </c>
      <c r="F129">
        <f>IF(ISNA(MATCH(116,Engine!$C$2:$C$630,0)),"",INDEX('Compliance Database'!$F$2:$F$630,MATCH(116,Engine!$C$2:$C$630,0)))</f>
        <v/>
      </c>
      <c r="G129">
        <f>IF(ISNA(MATCH(116,Engine!$C$2:$C$630,0)),"",INDEX('Compliance Database'!$G$2:$G$630,MATCH(116,Engine!$C$2:$C$630,0)))</f>
        <v/>
      </c>
      <c r="H129">
        <f>IF(ISNA(MATCH(116,Engine!$C$2:$C$630,0)),"",INDEX('Compliance Database'!$H$2:$H$630,MATCH(116,Engine!$C$2:$C$630,0)))</f>
        <v/>
      </c>
      <c r="I129" s="8">
        <f>IF(ISNA(MATCH(116,Engine!$C$2:$C$630,0)),"",INDEX('Compliance Database'!$I$2:$I$630,MATCH(116,Engine!$C$2:$C$630,0)))</f>
        <v/>
      </c>
      <c r="J129" s="8">
        <f>IF(ISNA(MATCH(116,Engine!$C$2:$C$630,0)),"",INDEX('Compliance Database'!$J$2:$J$630,MATCH(116,Engine!$C$2:$C$630,0)))</f>
        <v/>
      </c>
      <c r="K129">
        <f>IF(ISNA(MATCH(116,Engine!$C$2:$C$630,0)),"",INDEX('Compliance Database'!$K$2:$K$630,MATCH(116,Engine!$C$2:$C$630,0)))</f>
        <v/>
      </c>
      <c r="L129" s="8">
        <f>IF(ISNA(MATCH(116,Engine!$C$2:$C$630,0)),"",INDEX('Compliance Database'!$L$2:$L$630,MATCH(116,Engine!$C$2:$C$630,0)))</f>
        <v/>
      </c>
      <c r="M129" s="8">
        <f>IF(ISNA(MATCH(116,Engine!$C$2:$C$630,0)),"",INDEX('Compliance Database'!$M$2:$M$630,MATCH(116,Engine!$C$2:$C$630,0)))</f>
        <v/>
      </c>
      <c r="N129" s="8">
        <f>IF(ISNA(MATCH(116,Engine!$C$2:$C$630,0)),"",INDEX('Compliance Database'!$N$2:$N$630,MATCH(116,Engine!$C$2:$C$630,0)))</f>
        <v/>
      </c>
      <c r="O129" s="8">
        <f>IF(ISNA(MATCH(116,Engine!$C$2:$C$630,0)),"",INDEX('Compliance Database'!$O$2:$O$630,MATCH(116,Engine!$C$2:$C$630,0)))</f>
        <v/>
      </c>
    </row>
    <row r="130">
      <c r="A130">
        <f>IF(ISNA(MATCH(117,Engine!$C$2:$C$630,0)),"",INDEX('Compliance Database'!$A$2:$A$630,MATCH(117,Engine!$C$2:$C$630,0)))</f>
        <v/>
      </c>
      <c r="B130">
        <f>IF(ISNA(MATCH(117,Engine!$C$2:$C$630,0)),"",INDEX('Compliance Database'!$B$2:$B$630,MATCH(117,Engine!$C$2:$C$630,0)))</f>
        <v/>
      </c>
      <c r="C130">
        <f>IF(ISNA(MATCH(117,Engine!$C$2:$C$630,0)),"",INDEX('Compliance Database'!$C$2:$C$630,MATCH(117,Engine!$C$2:$C$630,0)))</f>
        <v/>
      </c>
      <c r="D130" s="8">
        <f>IF(ISNA(MATCH(117,Engine!$C$2:$C$630,0)),"",INDEX('Compliance Database'!$D$2:$D$630,MATCH(117,Engine!$C$2:$C$630,0)))</f>
        <v/>
      </c>
      <c r="E130">
        <f>IF(ISNA(MATCH(117,Engine!$C$2:$C$630,0)),"",INDEX('Compliance Database'!$E$2:$E$630,MATCH(117,Engine!$C$2:$C$630,0)))</f>
        <v/>
      </c>
      <c r="F130">
        <f>IF(ISNA(MATCH(117,Engine!$C$2:$C$630,0)),"",INDEX('Compliance Database'!$F$2:$F$630,MATCH(117,Engine!$C$2:$C$630,0)))</f>
        <v/>
      </c>
      <c r="G130">
        <f>IF(ISNA(MATCH(117,Engine!$C$2:$C$630,0)),"",INDEX('Compliance Database'!$G$2:$G$630,MATCH(117,Engine!$C$2:$C$630,0)))</f>
        <v/>
      </c>
      <c r="H130">
        <f>IF(ISNA(MATCH(117,Engine!$C$2:$C$630,0)),"",INDEX('Compliance Database'!$H$2:$H$630,MATCH(117,Engine!$C$2:$C$630,0)))</f>
        <v/>
      </c>
      <c r="I130" s="8">
        <f>IF(ISNA(MATCH(117,Engine!$C$2:$C$630,0)),"",INDEX('Compliance Database'!$I$2:$I$630,MATCH(117,Engine!$C$2:$C$630,0)))</f>
        <v/>
      </c>
      <c r="J130" s="8">
        <f>IF(ISNA(MATCH(117,Engine!$C$2:$C$630,0)),"",INDEX('Compliance Database'!$J$2:$J$630,MATCH(117,Engine!$C$2:$C$630,0)))</f>
        <v/>
      </c>
      <c r="K130">
        <f>IF(ISNA(MATCH(117,Engine!$C$2:$C$630,0)),"",INDEX('Compliance Database'!$K$2:$K$630,MATCH(117,Engine!$C$2:$C$630,0)))</f>
        <v/>
      </c>
      <c r="L130" s="8">
        <f>IF(ISNA(MATCH(117,Engine!$C$2:$C$630,0)),"",INDEX('Compliance Database'!$L$2:$L$630,MATCH(117,Engine!$C$2:$C$630,0)))</f>
        <v/>
      </c>
      <c r="M130" s="8">
        <f>IF(ISNA(MATCH(117,Engine!$C$2:$C$630,0)),"",INDEX('Compliance Database'!$M$2:$M$630,MATCH(117,Engine!$C$2:$C$630,0)))</f>
        <v/>
      </c>
      <c r="N130" s="8">
        <f>IF(ISNA(MATCH(117,Engine!$C$2:$C$630,0)),"",INDEX('Compliance Database'!$N$2:$N$630,MATCH(117,Engine!$C$2:$C$630,0)))</f>
        <v/>
      </c>
      <c r="O130" s="8">
        <f>IF(ISNA(MATCH(117,Engine!$C$2:$C$630,0)),"",INDEX('Compliance Database'!$O$2:$O$630,MATCH(117,Engine!$C$2:$C$630,0)))</f>
        <v/>
      </c>
    </row>
    <row r="131">
      <c r="A131">
        <f>IF(ISNA(MATCH(118,Engine!$C$2:$C$630,0)),"",INDEX('Compliance Database'!$A$2:$A$630,MATCH(118,Engine!$C$2:$C$630,0)))</f>
        <v/>
      </c>
      <c r="B131">
        <f>IF(ISNA(MATCH(118,Engine!$C$2:$C$630,0)),"",INDEX('Compliance Database'!$B$2:$B$630,MATCH(118,Engine!$C$2:$C$630,0)))</f>
        <v/>
      </c>
      <c r="C131">
        <f>IF(ISNA(MATCH(118,Engine!$C$2:$C$630,0)),"",INDEX('Compliance Database'!$C$2:$C$630,MATCH(118,Engine!$C$2:$C$630,0)))</f>
        <v/>
      </c>
      <c r="D131" s="8">
        <f>IF(ISNA(MATCH(118,Engine!$C$2:$C$630,0)),"",INDEX('Compliance Database'!$D$2:$D$630,MATCH(118,Engine!$C$2:$C$630,0)))</f>
        <v/>
      </c>
      <c r="E131">
        <f>IF(ISNA(MATCH(118,Engine!$C$2:$C$630,0)),"",INDEX('Compliance Database'!$E$2:$E$630,MATCH(118,Engine!$C$2:$C$630,0)))</f>
        <v/>
      </c>
      <c r="F131">
        <f>IF(ISNA(MATCH(118,Engine!$C$2:$C$630,0)),"",INDEX('Compliance Database'!$F$2:$F$630,MATCH(118,Engine!$C$2:$C$630,0)))</f>
        <v/>
      </c>
      <c r="G131">
        <f>IF(ISNA(MATCH(118,Engine!$C$2:$C$630,0)),"",INDEX('Compliance Database'!$G$2:$G$630,MATCH(118,Engine!$C$2:$C$630,0)))</f>
        <v/>
      </c>
      <c r="H131">
        <f>IF(ISNA(MATCH(118,Engine!$C$2:$C$630,0)),"",INDEX('Compliance Database'!$H$2:$H$630,MATCH(118,Engine!$C$2:$C$630,0)))</f>
        <v/>
      </c>
      <c r="I131" s="8">
        <f>IF(ISNA(MATCH(118,Engine!$C$2:$C$630,0)),"",INDEX('Compliance Database'!$I$2:$I$630,MATCH(118,Engine!$C$2:$C$630,0)))</f>
        <v/>
      </c>
      <c r="J131" s="8">
        <f>IF(ISNA(MATCH(118,Engine!$C$2:$C$630,0)),"",INDEX('Compliance Database'!$J$2:$J$630,MATCH(118,Engine!$C$2:$C$630,0)))</f>
        <v/>
      </c>
      <c r="K131">
        <f>IF(ISNA(MATCH(118,Engine!$C$2:$C$630,0)),"",INDEX('Compliance Database'!$K$2:$K$630,MATCH(118,Engine!$C$2:$C$630,0)))</f>
        <v/>
      </c>
      <c r="L131" s="8">
        <f>IF(ISNA(MATCH(118,Engine!$C$2:$C$630,0)),"",INDEX('Compliance Database'!$L$2:$L$630,MATCH(118,Engine!$C$2:$C$630,0)))</f>
        <v/>
      </c>
      <c r="M131" s="8">
        <f>IF(ISNA(MATCH(118,Engine!$C$2:$C$630,0)),"",INDEX('Compliance Database'!$M$2:$M$630,MATCH(118,Engine!$C$2:$C$630,0)))</f>
        <v/>
      </c>
      <c r="N131" s="8">
        <f>IF(ISNA(MATCH(118,Engine!$C$2:$C$630,0)),"",INDEX('Compliance Database'!$N$2:$N$630,MATCH(118,Engine!$C$2:$C$630,0)))</f>
        <v/>
      </c>
      <c r="O131" s="8">
        <f>IF(ISNA(MATCH(118,Engine!$C$2:$C$630,0)),"",INDEX('Compliance Database'!$O$2:$O$630,MATCH(118,Engine!$C$2:$C$630,0)))</f>
        <v/>
      </c>
    </row>
    <row r="132">
      <c r="A132">
        <f>IF(ISNA(MATCH(119,Engine!$C$2:$C$630,0)),"",INDEX('Compliance Database'!$A$2:$A$630,MATCH(119,Engine!$C$2:$C$630,0)))</f>
        <v/>
      </c>
      <c r="B132">
        <f>IF(ISNA(MATCH(119,Engine!$C$2:$C$630,0)),"",INDEX('Compliance Database'!$B$2:$B$630,MATCH(119,Engine!$C$2:$C$630,0)))</f>
        <v/>
      </c>
      <c r="C132">
        <f>IF(ISNA(MATCH(119,Engine!$C$2:$C$630,0)),"",INDEX('Compliance Database'!$C$2:$C$630,MATCH(119,Engine!$C$2:$C$630,0)))</f>
        <v/>
      </c>
      <c r="D132" s="8">
        <f>IF(ISNA(MATCH(119,Engine!$C$2:$C$630,0)),"",INDEX('Compliance Database'!$D$2:$D$630,MATCH(119,Engine!$C$2:$C$630,0)))</f>
        <v/>
      </c>
      <c r="E132">
        <f>IF(ISNA(MATCH(119,Engine!$C$2:$C$630,0)),"",INDEX('Compliance Database'!$E$2:$E$630,MATCH(119,Engine!$C$2:$C$630,0)))</f>
        <v/>
      </c>
      <c r="F132">
        <f>IF(ISNA(MATCH(119,Engine!$C$2:$C$630,0)),"",INDEX('Compliance Database'!$F$2:$F$630,MATCH(119,Engine!$C$2:$C$630,0)))</f>
        <v/>
      </c>
      <c r="G132">
        <f>IF(ISNA(MATCH(119,Engine!$C$2:$C$630,0)),"",INDEX('Compliance Database'!$G$2:$G$630,MATCH(119,Engine!$C$2:$C$630,0)))</f>
        <v/>
      </c>
      <c r="H132">
        <f>IF(ISNA(MATCH(119,Engine!$C$2:$C$630,0)),"",INDEX('Compliance Database'!$H$2:$H$630,MATCH(119,Engine!$C$2:$C$630,0)))</f>
        <v/>
      </c>
      <c r="I132" s="8">
        <f>IF(ISNA(MATCH(119,Engine!$C$2:$C$630,0)),"",INDEX('Compliance Database'!$I$2:$I$630,MATCH(119,Engine!$C$2:$C$630,0)))</f>
        <v/>
      </c>
      <c r="J132" s="8">
        <f>IF(ISNA(MATCH(119,Engine!$C$2:$C$630,0)),"",INDEX('Compliance Database'!$J$2:$J$630,MATCH(119,Engine!$C$2:$C$630,0)))</f>
        <v/>
      </c>
      <c r="K132">
        <f>IF(ISNA(MATCH(119,Engine!$C$2:$C$630,0)),"",INDEX('Compliance Database'!$K$2:$K$630,MATCH(119,Engine!$C$2:$C$630,0)))</f>
        <v/>
      </c>
      <c r="L132" s="8">
        <f>IF(ISNA(MATCH(119,Engine!$C$2:$C$630,0)),"",INDEX('Compliance Database'!$L$2:$L$630,MATCH(119,Engine!$C$2:$C$630,0)))</f>
        <v/>
      </c>
      <c r="M132" s="8">
        <f>IF(ISNA(MATCH(119,Engine!$C$2:$C$630,0)),"",INDEX('Compliance Database'!$M$2:$M$630,MATCH(119,Engine!$C$2:$C$630,0)))</f>
        <v/>
      </c>
      <c r="N132" s="8">
        <f>IF(ISNA(MATCH(119,Engine!$C$2:$C$630,0)),"",INDEX('Compliance Database'!$N$2:$N$630,MATCH(119,Engine!$C$2:$C$630,0)))</f>
        <v/>
      </c>
      <c r="O132" s="8">
        <f>IF(ISNA(MATCH(119,Engine!$C$2:$C$630,0)),"",INDEX('Compliance Database'!$O$2:$O$630,MATCH(119,Engine!$C$2:$C$630,0)))</f>
        <v/>
      </c>
    </row>
    <row r="133">
      <c r="A133">
        <f>IF(ISNA(MATCH(120,Engine!$C$2:$C$630,0)),"",INDEX('Compliance Database'!$A$2:$A$630,MATCH(120,Engine!$C$2:$C$630,0)))</f>
        <v/>
      </c>
      <c r="B133">
        <f>IF(ISNA(MATCH(120,Engine!$C$2:$C$630,0)),"",INDEX('Compliance Database'!$B$2:$B$630,MATCH(120,Engine!$C$2:$C$630,0)))</f>
        <v/>
      </c>
      <c r="C133">
        <f>IF(ISNA(MATCH(120,Engine!$C$2:$C$630,0)),"",INDEX('Compliance Database'!$C$2:$C$630,MATCH(120,Engine!$C$2:$C$630,0)))</f>
        <v/>
      </c>
      <c r="D133" s="8">
        <f>IF(ISNA(MATCH(120,Engine!$C$2:$C$630,0)),"",INDEX('Compliance Database'!$D$2:$D$630,MATCH(120,Engine!$C$2:$C$630,0)))</f>
        <v/>
      </c>
      <c r="E133">
        <f>IF(ISNA(MATCH(120,Engine!$C$2:$C$630,0)),"",INDEX('Compliance Database'!$E$2:$E$630,MATCH(120,Engine!$C$2:$C$630,0)))</f>
        <v/>
      </c>
      <c r="F133">
        <f>IF(ISNA(MATCH(120,Engine!$C$2:$C$630,0)),"",INDEX('Compliance Database'!$F$2:$F$630,MATCH(120,Engine!$C$2:$C$630,0)))</f>
        <v/>
      </c>
      <c r="G133">
        <f>IF(ISNA(MATCH(120,Engine!$C$2:$C$630,0)),"",INDEX('Compliance Database'!$G$2:$G$630,MATCH(120,Engine!$C$2:$C$630,0)))</f>
        <v/>
      </c>
      <c r="H133">
        <f>IF(ISNA(MATCH(120,Engine!$C$2:$C$630,0)),"",INDEX('Compliance Database'!$H$2:$H$630,MATCH(120,Engine!$C$2:$C$630,0)))</f>
        <v/>
      </c>
      <c r="I133" s="8">
        <f>IF(ISNA(MATCH(120,Engine!$C$2:$C$630,0)),"",INDEX('Compliance Database'!$I$2:$I$630,MATCH(120,Engine!$C$2:$C$630,0)))</f>
        <v/>
      </c>
      <c r="J133" s="8">
        <f>IF(ISNA(MATCH(120,Engine!$C$2:$C$630,0)),"",INDEX('Compliance Database'!$J$2:$J$630,MATCH(120,Engine!$C$2:$C$630,0)))</f>
        <v/>
      </c>
      <c r="K133">
        <f>IF(ISNA(MATCH(120,Engine!$C$2:$C$630,0)),"",INDEX('Compliance Database'!$K$2:$K$630,MATCH(120,Engine!$C$2:$C$630,0)))</f>
        <v/>
      </c>
      <c r="L133" s="8">
        <f>IF(ISNA(MATCH(120,Engine!$C$2:$C$630,0)),"",INDEX('Compliance Database'!$L$2:$L$630,MATCH(120,Engine!$C$2:$C$630,0)))</f>
        <v/>
      </c>
      <c r="M133" s="8">
        <f>IF(ISNA(MATCH(120,Engine!$C$2:$C$630,0)),"",INDEX('Compliance Database'!$M$2:$M$630,MATCH(120,Engine!$C$2:$C$630,0)))</f>
        <v/>
      </c>
      <c r="N133" s="8">
        <f>IF(ISNA(MATCH(120,Engine!$C$2:$C$630,0)),"",INDEX('Compliance Database'!$N$2:$N$630,MATCH(120,Engine!$C$2:$C$630,0)))</f>
        <v/>
      </c>
      <c r="O133" s="8">
        <f>IF(ISNA(MATCH(120,Engine!$C$2:$C$630,0)),"",INDEX('Compliance Database'!$O$2:$O$630,MATCH(120,Engine!$C$2:$C$630,0)))</f>
        <v/>
      </c>
    </row>
    <row r="134">
      <c r="A134">
        <f>IF(ISNA(MATCH(121,Engine!$C$2:$C$630,0)),"",INDEX('Compliance Database'!$A$2:$A$630,MATCH(121,Engine!$C$2:$C$630,0)))</f>
        <v/>
      </c>
      <c r="B134">
        <f>IF(ISNA(MATCH(121,Engine!$C$2:$C$630,0)),"",INDEX('Compliance Database'!$B$2:$B$630,MATCH(121,Engine!$C$2:$C$630,0)))</f>
        <v/>
      </c>
      <c r="C134">
        <f>IF(ISNA(MATCH(121,Engine!$C$2:$C$630,0)),"",INDEX('Compliance Database'!$C$2:$C$630,MATCH(121,Engine!$C$2:$C$630,0)))</f>
        <v/>
      </c>
      <c r="D134" s="8">
        <f>IF(ISNA(MATCH(121,Engine!$C$2:$C$630,0)),"",INDEX('Compliance Database'!$D$2:$D$630,MATCH(121,Engine!$C$2:$C$630,0)))</f>
        <v/>
      </c>
      <c r="E134">
        <f>IF(ISNA(MATCH(121,Engine!$C$2:$C$630,0)),"",INDEX('Compliance Database'!$E$2:$E$630,MATCH(121,Engine!$C$2:$C$630,0)))</f>
        <v/>
      </c>
      <c r="F134">
        <f>IF(ISNA(MATCH(121,Engine!$C$2:$C$630,0)),"",INDEX('Compliance Database'!$F$2:$F$630,MATCH(121,Engine!$C$2:$C$630,0)))</f>
        <v/>
      </c>
      <c r="G134">
        <f>IF(ISNA(MATCH(121,Engine!$C$2:$C$630,0)),"",INDEX('Compliance Database'!$G$2:$G$630,MATCH(121,Engine!$C$2:$C$630,0)))</f>
        <v/>
      </c>
      <c r="H134">
        <f>IF(ISNA(MATCH(121,Engine!$C$2:$C$630,0)),"",INDEX('Compliance Database'!$H$2:$H$630,MATCH(121,Engine!$C$2:$C$630,0)))</f>
        <v/>
      </c>
      <c r="I134" s="8">
        <f>IF(ISNA(MATCH(121,Engine!$C$2:$C$630,0)),"",INDEX('Compliance Database'!$I$2:$I$630,MATCH(121,Engine!$C$2:$C$630,0)))</f>
        <v/>
      </c>
      <c r="J134" s="8">
        <f>IF(ISNA(MATCH(121,Engine!$C$2:$C$630,0)),"",INDEX('Compliance Database'!$J$2:$J$630,MATCH(121,Engine!$C$2:$C$630,0)))</f>
        <v/>
      </c>
      <c r="K134">
        <f>IF(ISNA(MATCH(121,Engine!$C$2:$C$630,0)),"",INDEX('Compliance Database'!$K$2:$K$630,MATCH(121,Engine!$C$2:$C$630,0)))</f>
        <v/>
      </c>
      <c r="L134" s="8">
        <f>IF(ISNA(MATCH(121,Engine!$C$2:$C$630,0)),"",INDEX('Compliance Database'!$L$2:$L$630,MATCH(121,Engine!$C$2:$C$630,0)))</f>
        <v/>
      </c>
      <c r="M134" s="8">
        <f>IF(ISNA(MATCH(121,Engine!$C$2:$C$630,0)),"",INDEX('Compliance Database'!$M$2:$M$630,MATCH(121,Engine!$C$2:$C$630,0)))</f>
        <v/>
      </c>
      <c r="N134" s="8">
        <f>IF(ISNA(MATCH(121,Engine!$C$2:$C$630,0)),"",INDEX('Compliance Database'!$N$2:$N$630,MATCH(121,Engine!$C$2:$C$630,0)))</f>
        <v/>
      </c>
      <c r="O134" s="8">
        <f>IF(ISNA(MATCH(121,Engine!$C$2:$C$630,0)),"",INDEX('Compliance Database'!$O$2:$O$630,MATCH(121,Engine!$C$2:$C$630,0)))</f>
        <v/>
      </c>
    </row>
    <row r="135">
      <c r="A135">
        <f>IF(ISNA(MATCH(122,Engine!$C$2:$C$630,0)),"",INDEX('Compliance Database'!$A$2:$A$630,MATCH(122,Engine!$C$2:$C$630,0)))</f>
        <v/>
      </c>
      <c r="B135">
        <f>IF(ISNA(MATCH(122,Engine!$C$2:$C$630,0)),"",INDEX('Compliance Database'!$B$2:$B$630,MATCH(122,Engine!$C$2:$C$630,0)))</f>
        <v/>
      </c>
      <c r="C135">
        <f>IF(ISNA(MATCH(122,Engine!$C$2:$C$630,0)),"",INDEX('Compliance Database'!$C$2:$C$630,MATCH(122,Engine!$C$2:$C$630,0)))</f>
        <v/>
      </c>
      <c r="D135" s="8">
        <f>IF(ISNA(MATCH(122,Engine!$C$2:$C$630,0)),"",INDEX('Compliance Database'!$D$2:$D$630,MATCH(122,Engine!$C$2:$C$630,0)))</f>
        <v/>
      </c>
      <c r="E135">
        <f>IF(ISNA(MATCH(122,Engine!$C$2:$C$630,0)),"",INDEX('Compliance Database'!$E$2:$E$630,MATCH(122,Engine!$C$2:$C$630,0)))</f>
        <v/>
      </c>
      <c r="F135">
        <f>IF(ISNA(MATCH(122,Engine!$C$2:$C$630,0)),"",INDEX('Compliance Database'!$F$2:$F$630,MATCH(122,Engine!$C$2:$C$630,0)))</f>
        <v/>
      </c>
      <c r="G135">
        <f>IF(ISNA(MATCH(122,Engine!$C$2:$C$630,0)),"",INDEX('Compliance Database'!$G$2:$G$630,MATCH(122,Engine!$C$2:$C$630,0)))</f>
        <v/>
      </c>
      <c r="H135">
        <f>IF(ISNA(MATCH(122,Engine!$C$2:$C$630,0)),"",INDEX('Compliance Database'!$H$2:$H$630,MATCH(122,Engine!$C$2:$C$630,0)))</f>
        <v/>
      </c>
      <c r="I135" s="8">
        <f>IF(ISNA(MATCH(122,Engine!$C$2:$C$630,0)),"",INDEX('Compliance Database'!$I$2:$I$630,MATCH(122,Engine!$C$2:$C$630,0)))</f>
        <v/>
      </c>
      <c r="J135" s="8">
        <f>IF(ISNA(MATCH(122,Engine!$C$2:$C$630,0)),"",INDEX('Compliance Database'!$J$2:$J$630,MATCH(122,Engine!$C$2:$C$630,0)))</f>
        <v/>
      </c>
      <c r="K135">
        <f>IF(ISNA(MATCH(122,Engine!$C$2:$C$630,0)),"",INDEX('Compliance Database'!$K$2:$K$630,MATCH(122,Engine!$C$2:$C$630,0)))</f>
        <v/>
      </c>
      <c r="L135" s="8">
        <f>IF(ISNA(MATCH(122,Engine!$C$2:$C$630,0)),"",INDEX('Compliance Database'!$L$2:$L$630,MATCH(122,Engine!$C$2:$C$630,0)))</f>
        <v/>
      </c>
      <c r="M135" s="8">
        <f>IF(ISNA(MATCH(122,Engine!$C$2:$C$630,0)),"",INDEX('Compliance Database'!$M$2:$M$630,MATCH(122,Engine!$C$2:$C$630,0)))</f>
        <v/>
      </c>
      <c r="N135" s="8">
        <f>IF(ISNA(MATCH(122,Engine!$C$2:$C$630,0)),"",INDEX('Compliance Database'!$N$2:$N$630,MATCH(122,Engine!$C$2:$C$630,0)))</f>
        <v/>
      </c>
      <c r="O135" s="8">
        <f>IF(ISNA(MATCH(122,Engine!$C$2:$C$630,0)),"",INDEX('Compliance Database'!$O$2:$O$630,MATCH(122,Engine!$C$2:$C$630,0)))</f>
        <v/>
      </c>
    </row>
    <row r="136">
      <c r="A136">
        <f>IF(ISNA(MATCH(123,Engine!$C$2:$C$630,0)),"",INDEX('Compliance Database'!$A$2:$A$630,MATCH(123,Engine!$C$2:$C$630,0)))</f>
        <v/>
      </c>
      <c r="B136">
        <f>IF(ISNA(MATCH(123,Engine!$C$2:$C$630,0)),"",INDEX('Compliance Database'!$B$2:$B$630,MATCH(123,Engine!$C$2:$C$630,0)))</f>
        <v/>
      </c>
      <c r="C136">
        <f>IF(ISNA(MATCH(123,Engine!$C$2:$C$630,0)),"",INDEX('Compliance Database'!$C$2:$C$630,MATCH(123,Engine!$C$2:$C$630,0)))</f>
        <v/>
      </c>
      <c r="D136" s="8">
        <f>IF(ISNA(MATCH(123,Engine!$C$2:$C$630,0)),"",INDEX('Compliance Database'!$D$2:$D$630,MATCH(123,Engine!$C$2:$C$630,0)))</f>
        <v/>
      </c>
      <c r="E136">
        <f>IF(ISNA(MATCH(123,Engine!$C$2:$C$630,0)),"",INDEX('Compliance Database'!$E$2:$E$630,MATCH(123,Engine!$C$2:$C$630,0)))</f>
        <v/>
      </c>
      <c r="F136">
        <f>IF(ISNA(MATCH(123,Engine!$C$2:$C$630,0)),"",INDEX('Compliance Database'!$F$2:$F$630,MATCH(123,Engine!$C$2:$C$630,0)))</f>
        <v/>
      </c>
      <c r="G136">
        <f>IF(ISNA(MATCH(123,Engine!$C$2:$C$630,0)),"",INDEX('Compliance Database'!$G$2:$G$630,MATCH(123,Engine!$C$2:$C$630,0)))</f>
        <v/>
      </c>
      <c r="H136">
        <f>IF(ISNA(MATCH(123,Engine!$C$2:$C$630,0)),"",INDEX('Compliance Database'!$H$2:$H$630,MATCH(123,Engine!$C$2:$C$630,0)))</f>
        <v/>
      </c>
      <c r="I136" s="8">
        <f>IF(ISNA(MATCH(123,Engine!$C$2:$C$630,0)),"",INDEX('Compliance Database'!$I$2:$I$630,MATCH(123,Engine!$C$2:$C$630,0)))</f>
        <v/>
      </c>
      <c r="J136" s="8">
        <f>IF(ISNA(MATCH(123,Engine!$C$2:$C$630,0)),"",INDEX('Compliance Database'!$J$2:$J$630,MATCH(123,Engine!$C$2:$C$630,0)))</f>
        <v/>
      </c>
      <c r="K136">
        <f>IF(ISNA(MATCH(123,Engine!$C$2:$C$630,0)),"",INDEX('Compliance Database'!$K$2:$K$630,MATCH(123,Engine!$C$2:$C$630,0)))</f>
        <v/>
      </c>
      <c r="L136" s="8">
        <f>IF(ISNA(MATCH(123,Engine!$C$2:$C$630,0)),"",INDEX('Compliance Database'!$L$2:$L$630,MATCH(123,Engine!$C$2:$C$630,0)))</f>
        <v/>
      </c>
      <c r="M136" s="8">
        <f>IF(ISNA(MATCH(123,Engine!$C$2:$C$630,0)),"",INDEX('Compliance Database'!$M$2:$M$630,MATCH(123,Engine!$C$2:$C$630,0)))</f>
        <v/>
      </c>
      <c r="N136" s="8">
        <f>IF(ISNA(MATCH(123,Engine!$C$2:$C$630,0)),"",INDEX('Compliance Database'!$N$2:$N$630,MATCH(123,Engine!$C$2:$C$630,0)))</f>
        <v/>
      </c>
      <c r="O136" s="8">
        <f>IF(ISNA(MATCH(123,Engine!$C$2:$C$630,0)),"",INDEX('Compliance Database'!$O$2:$O$630,MATCH(123,Engine!$C$2:$C$630,0)))</f>
        <v/>
      </c>
    </row>
    <row r="137">
      <c r="A137">
        <f>IF(ISNA(MATCH(124,Engine!$C$2:$C$630,0)),"",INDEX('Compliance Database'!$A$2:$A$630,MATCH(124,Engine!$C$2:$C$630,0)))</f>
        <v/>
      </c>
      <c r="B137">
        <f>IF(ISNA(MATCH(124,Engine!$C$2:$C$630,0)),"",INDEX('Compliance Database'!$B$2:$B$630,MATCH(124,Engine!$C$2:$C$630,0)))</f>
        <v/>
      </c>
      <c r="C137">
        <f>IF(ISNA(MATCH(124,Engine!$C$2:$C$630,0)),"",INDEX('Compliance Database'!$C$2:$C$630,MATCH(124,Engine!$C$2:$C$630,0)))</f>
        <v/>
      </c>
      <c r="D137" s="8">
        <f>IF(ISNA(MATCH(124,Engine!$C$2:$C$630,0)),"",INDEX('Compliance Database'!$D$2:$D$630,MATCH(124,Engine!$C$2:$C$630,0)))</f>
        <v/>
      </c>
      <c r="E137">
        <f>IF(ISNA(MATCH(124,Engine!$C$2:$C$630,0)),"",INDEX('Compliance Database'!$E$2:$E$630,MATCH(124,Engine!$C$2:$C$630,0)))</f>
        <v/>
      </c>
      <c r="F137">
        <f>IF(ISNA(MATCH(124,Engine!$C$2:$C$630,0)),"",INDEX('Compliance Database'!$F$2:$F$630,MATCH(124,Engine!$C$2:$C$630,0)))</f>
        <v/>
      </c>
      <c r="G137">
        <f>IF(ISNA(MATCH(124,Engine!$C$2:$C$630,0)),"",INDEX('Compliance Database'!$G$2:$G$630,MATCH(124,Engine!$C$2:$C$630,0)))</f>
        <v/>
      </c>
      <c r="H137">
        <f>IF(ISNA(MATCH(124,Engine!$C$2:$C$630,0)),"",INDEX('Compliance Database'!$H$2:$H$630,MATCH(124,Engine!$C$2:$C$630,0)))</f>
        <v/>
      </c>
      <c r="I137" s="8">
        <f>IF(ISNA(MATCH(124,Engine!$C$2:$C$630,0)),"",INDEX('Compliance Database'!$I$2:$I$630,MATCH(124,Engine!$C$2:$C$630,0)))</f>
        <v/>
      </c>
      <c r="J137" s="8">
        <f>IF(ISNA(MATCH(124,Engine!$C$2:$C$630,0)),"",INDEX('Compliance Database'!$J$2:$J$630,MATCH(124,Engine!$C$2:$C$630,0)))</f>
        <v/>
      </c>
      <c r="K137">
        <f>IF(ISNA(MATCH(124,Engine!$C$2:$C$630,0)),"",INDEX('Compliance Database'!$K$2:$K$630,MATCH(124,Engine!$C$2:$C$630,0)))</f>
        <v/>
      </c>
      <c r="L137" s="8">
        <f>IF(ISNA(MATCH(124,Engine!$C$2:$C$630,0)),"",INDEX('Compliance Database'!$L$2:$L$630,MATCH(124,Engine!$C$2:$C$630,0)))</f>
        <v/>
      </c>
      <c r="M137" s="8">
        <f>IF(ISNA(MATCH(124,Engine!$C$2:$C$630,0)),"",INDEX('Compliance Database'!$M$2:$M$630,MATCH(124,Engine!$C$2:$C$630,0)))</f>
        <v/>
      </c>
      <c r="N137" s="8">
        <f>IF(ISNA(MATCH(124,Engine!$C$2:$C$630,0)),"",INDEX('Compliance Database'!$N$2:$N$630,MATCH(124,Engine!$C$2:$C$630,0)))</f>
        <v/>
      </c>
      <c r="O137" s="8">
        <f>IF(ISNA(MATCH(124,Engine!$C$2:$C$630,0)),"",INDEX('Compliance Database'!$O$2:$O$630,MATCH(124,Engine!$C$2:$C$630,0)))</f>
        <v/>
      </c>
    </row>
    <row r="138">
      <c r="A138">
        <f>IF(ISNA(MATCH(125,Engine!$C$2:$C$630,0)),"",INDEX('Compliance Database'!$A$2:$A$630,MATCH(125,Engine!$C$2:$C$630,0)))</f>
        <v/>
      </c>
      <c r="B138">
        <f>IF(ISNA(MATCH(125,Engine!$C$2:$C$630,0)),"",INDEX('Compliance Database'!$B$2:$B$630,MATCH(125,Engine!$C$2:$C$630,0)))</f>
        <v/>
      </c>
      <c r="C138">
        <f>IF(ISNA(MATCH(125,Engine!$C$2:$C$630,0)),"",INDEX('Compliance Database'!$C$2:$C$630,MATCH(125,Engine!$C$2:$C$630,0)))</f>
        <v/>
      </c>
      <c r="D138" s="8">
        <f>IF(ISNA(MATCH(125,Engine!$C$2:$C$630,0)),"",INDEX('Compliance Database'!$D$2:$D$630,MATCH(125,Engine!$C$2:$C$630,0)))</f>
        <v/>
      </c>
      <c r="E138">
        <f>IF(ISNA(MATCH(125,Engine!$C$2:$C$630,0)),"",INDEX('Compliance Database'!$E$2:$E$630,MATCH(125,Engine!$C$2:$C$630,0)))</f>
        <v/>
      </c>
      <c r="F138">
        <f>IF(ISNA(MATCH(125,Engine!$C$2:$C$630,0)),"",INDEX('Compliance Database'!$F$2:$F$630,MATCH(125,Engine!$C$2:$C$630,0)))</f>
        <v/>
      </c>
      <c r="G138">
        <f>IF(ISNA(MATCH(125,Engine!$C$2:$C$630,0)),"",INDEX('Compliance Database'!$G$2:$G$630,MATCH(125,Engine!$C$2:$C$630,0)))</f>
        <v/>
      </c>
      <c r="H138">
        <f>IF(ISNA(MATCH(125,Engine!$C$2:$C$630,0)),"",INDEX('Compliance Database'!$H$2:$H$630,MATCH(125,Engine!$C$2:$C$630,0)))</f>
        <v/>
      </c>
      <c r="I138" s="8">
        <f>IF(ISNA(MATCH(125,Engine!$C$2:$C$630,0)),"",INDEX('Compliance Database'!$I$2:$I$630,MATCH(125,Engine!$C$2:$C$630,0)))</f>
        <v/>
      </c>
      <c r="J138" s="8">
        <f>IF(ISNA(MATCH(125,Engine!$C$2:$C$630,0)),"",INDEX('Compliance Database'!$J$2:$J$630,MATCH(125,Engine!$C$2:$C$630,0)))</f>
        <v/>
      </c>
      <c r="K138">
        <f>IF(ISNA(MATCH(125,Engine!$C$2:$C$630,0)),"",INDEX('Compliance Database'!$K$2:$K$630,MATCH(125,Engine!$C$2:$C$630,0)))</f>
        <v/>
      </c>
      <c r="L138" s="8">
        <f>IF(ISNA(MATCH(125,Engine!$C$2:$C$630,0)),"",INDEX('Compliance Database'!$L$2:$L$630,MATCH(125,Engine!$C$2:$C$630,0)))</f>
        <v/>
      </c>
      <c r="M138" s="8">
        <f>IF(ISNA(MATCH(125,Engine!$C$2:$C$630,0)),"",INDEX('Compliance Database'!$M$2:$M$630,MATCH(125,Engine!$C$2:$C$630,0)))</f>
        <v/>
      </c>
      <c r="N138" s="8">
        <f>IF(ISNA(MATCH(125,Engine!$C$2:$C$630,0)),"",INDEX('Compliance Database'!$N$2:$N$630,MATCH(125,Engine!$C$2:$C$630,0)))</f>
        <v/>
      </c>
      <c r="O138" s="8">
        <f>IF(ISNA(MATCH(125,Engine!$C$2:$C$630,0)),"",INDEX('Compliance Database'!$O$2:$O$630,MATCH(125,Engine!$C$2:$C$630,0)))</f>
        <v/>
      </c>
    </row>
    <row r="139">
      <c r="A139">
        <f>IF(ISNA(MATCH(126,Engine!$C$2:$C$630,0)),"",INDEX('Compliance Database'!$A$2:$A$630,MATCH(126,Engine!$C$2:$C$630,0)))</f>
        <v/>
      </c>
      <c r="B139">
        <f>IF(ISNA(MATCH(126,Engine!$C$2:$C$630,0)),"",INDEX('Compliance Database'!$B$2:$B$630,MATCH(126,Engine!$C$2:$C$630,0)))</f>
        <v/>
      </c>
      <c r="C139">
        <f>IF(ISNA(MATCH(126,Engine!$C$2:$C$630,0)),"",INDEX('Compliance Database'!$C$2:$C$630,MATCH(126,Engine!$C$2:$C$630,0)))</f>
        <v/>
      </c>
      <c r="D139" s="8">
        <f>IF(ISNA(MATCH(126,Engine!$C$2:$C$630,0)),"",INDEX('Compliance Database'!$D$2:$D$630,MATCH(126,Engine!$C$2:$C$630,0)))</f>
        <v/>
      </c>
      <c r="E139">
        <f>IF(ISNA(MATCH(126,Engine!$C$2:$C$630,0)),"",INDEX('Compliance Database'!$E$2:$E$630,MATCH(126,Engine!$C$2:$C$630,0)))</f>
        <v/>
      </c>
      <c r="F139">
        <f>IF(ISNA(MATCH(126,Engine!$C$2:$C$630,0)),"",INDEX('Compliance Database'!$F$2:$F$630,MATCH(126,Engine!$C$2:$C$630,0)))</f>
        <v/>
      </c>
      <c r="G139">
        <f>IF(ISNA(MATCH(126,Engine!$C$2:$C$630,0)),"",INDEX('Compliance Database'!$G$2:$G$630,MATCH(126,Engine!$C$2:$C$630,0)))</f>
        <v/>
      </c>
      <c r="H139">
        <f>IF(ISNA(MATCH(126,Engine!$C$2:$C$630,0)),"",INDEX('Compliance Database'!$H$2:$H$630,MATCH(126,Engine!$C$2:$C$630,0)))</f>
        <v/>
      </c>
      <c r="I139" s="8">
        <f>IF(ISNA(MATCH(126,Engine!$C$2:$C$630,0)),"",INDEX('Compliance Database'!$I$2:$I$630,MATCH(126,Engine!$C$2:$C$630,0)))</f>
        <v/>
      </c>
      <c r="J139" s="8">
        <f>IF(ISNA(MATCH(126,Engine!$C$2:$C$630,0)),"",INDEX('Compliance Database'!$J$2:$J$630,MATCH(126,Engine!$C$2:$C$630,0)))</f>
        <v/>
      </c>
      <c r="K139">
        <f>IF(ISNA(MATCH(126,Engine!$C$2:$C$630,0)),"",INDEX('Compliance Database'!$K$2:$K$630,MATCH(126,Engine!$C$2:$C$630,0)))</f>
        <v/>
      </c>
      <c r="L139" s="8">
        <f>IF(ISNA(MATCH(126,Engine!$C$2:$C$630,0)),"",INDEX('Compliance Database'!$L$2:$L$630,MATCH(126,Engine!$C$2:$C$630,0)))</f>
        <v/>
      </c>
      <c r="M139" s="8">
        <f>IF(ISNA(MATCH(126,Engine!$C$2:$C$630,0)),"",INDEX('Compliance Database'!$M$2:$M$630,MATCH(126,Engine!$C$2:$C$630,0)))</f>
        <v/>
      </c>
      <c r="N139" s="8">
        <f>IF(ISNA(MATCH(126,Engine!$C$2:$C$630,0)),"",INDEX('Compliance Database'!$N$2:$N$630,MATCH(126,Engine!$C$2:$C$630,0)))</f>
        <v/>
      </c>
      <c r="O139" s="8">
        <f>IF(ISNA(MATCH(126,Engine!$C$2:$C$630,0)),"",INDEX('Compliance Database'!$O$2:$O$630,MATCH(126,Engine!$C$2:$C$630,0)))</f>
        <v/>
      </c>
    </row>
    <row r="140">
      <c r="A140">
        <f>IF(ISNA(MATCH(127,Engine!$C$2:$C$630,0)),"",INDEX('Compliance Database'!$A$2:$A$630,MATCH(127,Engine!$C$2:$C$630,0)))</f>
        <v/>
      </c>
      <c r="B140">
        <f>IF(ISNA(MATCH(127,Engine!$C$2:$C$630,0)),"",INDEX('Compliance Database'!$B$2:$B$630,MATCH(127,Engine!$C$2:$C$630,0)))</f>
        <v/>
      </c>
      <c r="C140">
        <f>IF(ISNA(MATCH(127,Engine!$C$2:$C$630,0)),"",INDEX('Compliance Database'!$C$2:$C$630,MATCH(127,Engine!$C$2:$C$630,0)))</f>
        <v/>
      </c>
      <c r="D140" s="8">
        <f>IF(ISNA(MATCH(127,Engine!$C$2:$C$630,0)),"",INDEX('Compliance Database'!$D$2:$D$630,MATCH(127,Engine!$C$2:$C$630,0)))</f>
        <v/>
      </c>
      <c r="E140">
        <f>IF(ISNA(MATCH(127,Engine!$C$2:$C$630,0)),"",INDEX('Compliance Database'!$E$2:$E$630,MATCH(127,Engine!$C$2:$C$630,0)))</f>
        <v/>
      </c>
      <c r="F140">
        <f>IF(ISNA(MATCH(127,Engine!$C$2:$C$630,0)),"",INDEX('Compliance Database'!$F$2:$F$630,MATCH(127,Engine!$C$2:$C$630,0)))</f>
        <v/>
      </c>
      <c r="G140">
        <f>IF(ISNA(MATCH(127,Engine!$C$2:$C$630,0)),"",INDEX('Compliance Database'!$G$2:$G$630,MATCH(127,Engine!$C$2:$C$630,0)))</f>
        <v/>
      </c>
      <c r="H140">
        <f>IF(ISNA(MATCH(127,Engine!$C$2:$C$630,0)),"",INDEX('Compliance Database'!$H$2:$H$630,MATCH(127,Engine!$C$2:$C$630,0)))</f>
        <v/>
      </c>
      <c r="I140" s="8">
        <f>IF(ISNA(MATCH(127,Engine!$C$2:$C$630,0)),"",INDEX('Compliance Database'!$I$2:$I$630,MATCH(127,Engine!$C$2:$C$630,0)))</f>
        <v/>
      </c>
      <c r="J140" s="8">
        <f>IF(ISNA(MATCH(127,Engine!$C$2:$C$630,0)),"",INDEX('Compliance Database'!$J$2:$J$630,MATCH(127,Engine!$C$2:$C$630,0)))</f>
        <v/>
      </c>
      <c r="K140">
        <f>IF(ISNA(MATCH(127,Engine!$C$2:$C$630,0)),"",INDEX('Compliance Database'!$K$2:$K$630,MATCH(127,Engine!$C$2:$C$630,0)))</f>
        <v/>
      </c>
      <c r="L140" s="8">
        <f>IF(ISNA(MATCH(127,Engine!$C$2:$C$630,0)),"",INDEX('Compliance Database'!$L$2:$L$630,MATCH(127,Engine!$C$2:$C$630,0)))</f>
        <v/>
      </c>
      <c r="M140" s="8">
        <f>IF(ISNA(MATCH(127,Engine!$C$2:$C$630,0)),"",INDEX('Compliance Database'!$M$2:$M$630,MATCH(127,Engine!$C$2:$C$630,0)))</f>
        <v/>
      </c>
      <c r="N140" s="8">
        <f>IF(ISNA(MATCH(127,Engine!$C$2:$C$630,0)),"",INDEX('Compliance Database'!$N$2:$N$630,MATCH(127,Engine!$C$2:$C$630,0)))</f>
        <v/>
      </c>
      <c r="O140" s="8">
        <f>IF(ISNA(MATCH(127,Engine!$C$2:$C$630,0)),"",INDEX('Compliance Database'!$O$2:$O$630,MATCH(127,Engine!$C$2:$C$630,0)))</f>
        <v/>
      </c>
    </row>
    <row r="141">
      <c r="A141">
        <f>IF(ISNA(MATCH(128,Engine!$C$2:$C$630,0)),"",INDEX('Compliance Database'!$A$2:$A$630,MATCH(128,Engine!$C$2:$C$630,0)))</f>
        <v/>
      </c>
      <c r="B141">
        <f>IF(ISNA(MATCH(128,Engine!$C$2:$C$630,0)),"",INDEX('Compliance Database'!$B$2:$B$630,MATCH(128,Engine!$C$2:$C$630,0)))</f>
        <v/>
      </c>
      <c r="C141">
        <f>IF(ISNA(MATCH(128,Engine!$C$2:$C$630,0)),"",INDEX('Compliance Database'!$C$2:$C$630,MATCH(128,Engine!$C$2:$C$630,0)))</f>
        <v/>
      </c>
      <c r="D141" s="8">
        <f>IF(ISNA(MATCH(128,Engine!$C$2:$C$630,0)),"",INDEX('Compliance Database'!$D$2:$D$630,MATCH(128,Engine!$C$2:$C$630,0)))</f>
        <v/>
      </c>
      <c r="E141">
        <f>IF(ISNA(MATCH(128,Engine!$C$2:$C$630,0)),"",INDEX('Compliance Database'!$E$2:$E$630,MATCH(128,Engine!$C$2:$C$630,0)))</f>
        <v/>
      </c>
      <c r="F141">
        <f>IF(ISNA(MATCH(128,Engine!$C$2:$C$630,0)),"",INDEX('Compliance Database'!$F$2:$F$630,MATCH(128,Engine!$C$2:$C$630,0)))</f>
        <v/>
      </c>
      <c r="G141">
        <f>IF(ISNA(MATCH(128,Engine!$C$2:$C$630,0)),"",INDEX('Compliance Database'!$G$2:$G$630,MATCH(128,Engine!$C$2:$C$630,0)))</f>
        <v/>
      </c>
      <c r="H141">
        <f>IF(ISNA(MATCH(128,Engine!$C$2:$C$630,0)),"",INDEX('Compliance Database'!$H$2:$H$630,MATCH(128,Engine!$C$2:$C$630,0)))</f>
        <v/>
      </c>
      <c r="I141" s="8">
        <f>IF(ISNA(MATCH(128,Engine!$C$2:$C$630,0)),"",INDEX('Compliance Database'!$I$2:$I$630,MATCH(128,Engine!$C$2:$C$630,0)))</f>
        <v/>
      </c>
      <c r="J141" s="8">
        <f>IF(ISNA(MATCH(128,Engine!$C$2:$C$630,0)),"",INDEX('Compliance Database'!$J$2:$J$630,MATCH(128,Engine!$C$2:$C$630,0)))</f>
        <v/>
      </c>
      <c r="K141">
        <f>IF(ISNA(MATCH(128,Engine!$C$2:$C$630,0)),"",INDEX('Compliance Database'!$K$2:$K$630,MATCH(128,Engine!$C$2:$C$630,0)))</f>
        <v/>
      </c>
      <c r="L141" s="8">
        <f>IF(ISNA(MATCH(128,Engine!$C$2:$C$630,0)),"",INDEX('Compliance Database'!$L$2:$L$630,MATCH(128,Engine!$C$2:$C$630,0)))</f>
        <v/>
      </c>
      <c r="M141" s="8">
        <f>IF(ISNA(MATCH(128,Engine!$C$2:$C$630,0)),"",INDEX('Compliance Database'!$M$2:$M$630,MATCH(128,Engine!$C$2:$C$630,0)))</f>
        <v/>
      </c>
      <c r="N141" s="8">
        <f>IF(ISNA(MATCH(128,Engine!$C$2:$C$630,0)),"",INDEX('Compliance Database'!$N$2:$N$630,MATCH(128,Engine!$C$2:$C$630,0)))</f>
        <v/>
      </c>
      <c r="O141" s="8">
        <f>IF(ISNA(MATCH(128,Engine!$C$2:$C$630,0)),"",INDEX('Compliance Database'!$O$2:$O$630,MATCH(128,Engine!$C$2:$C$630,0)))</f>
        <v/>
      </c>
    </row>
    <row r="142">
      <c r="A142">
        <f>IF(ISNA(MATCH(129,Engine!$C$2:$C$630,0)),"",INDEX('Compliance Database'!$A$2:$A$630,MATCH(129,Engine!$C$2:$C$630,0)))</f>
        <v/>
      </c>
      <c r="B142">
        <f>IF(ISNA(MATCH(129,Engine!$C$2:$C$630,0)),"",INDEX('Compliance Database'!$B$2:$B$630,MATCH(129,Engine!$C$2:$C$630,0)))</f>
        <v/>
      </c>
      <c r="C142">
        <f>IF(ISNA(MATCH(129,Engine!$C$2:$C$630,0)),"",INDEX('Compliance Database'!$C$2:$C$630,MATCH(129,Engine!$C$2:$C$630,0)))</f>
        <v/>
      </c>
      <c r="D142" s="8">
        <f>IF(ISNA(MATCH(129,Engine!$C$2:$C$630,0)),"",INDEX('Compliance Database'!$D$2:$D$630,MATCH(129,Engine!$C$2:$C$630,0)))</f>
        <v/>
      </c>
      <c r="E142">
        <f>IF(ISNA(MATCH(129,Engine!$C$2:$C$630,0)),"",INDEX('Compliance Database'!$E$2:$E$630,MATCH(129,Engine!$C$2:$C$630,0)))</f>
        <v/>
      </c>
      <c r="F142">
        <f>IF(ISNA(MATCH(129,Engine!$C$2:$C$630,0)),"",INDEX('Compliance Database'!$F$2:$F$630,MATCH(129,Engine!$C$2:$C$630,0)))</f>
        <v/>
      </c>
      <c r="G142">
        <f>IF(ISNA(MATCH(129,Engine!$C$2:$C$630,0)),"",INDEX('Compliance Database'!$G$2:$G$630,MATCH(129,Engine!$C$2:$C$630,0)))</f>
        <v/>
      </c>
      <c r="H142">
        <f>IF(ISNA(MATCH(129,Engine!$C$2:$C$630,0)),"",INDEX('Compliance Database'!$H$2:$H$630,MATCH(129,Engine!$C$2:$C$630,0)))</f>
        <v/>
      </c>
      <c r="I142" s="8">
        <f>IF(ISNA(MATCH(129,Engine!$C$2:$C$630,0)),"",INDEX('Compliance Database'!$I$2:$I$630,MATCH(129,Engine!$C$2:$C$630,0)))</f>
        <v/>
      </c>
      <c r="J142" s="8">
        <f>IF(ISNA(MATCH(129,Engine!$C$2:$C$630,0)),"",INDEX('Compliance Database'!$J$2:$J$630,MATCH(129,Engine!$C$2:$C$630,0)))</f>
        <v/>
      </c>
      <c r="K142">
        <f>IF(ISNA(MATCH(129,Engine!$C$2:$C$630,0)),"",INDEX('Compliance Database'!$K$2:$K$630,MATCH(129,Engine!$C$2:$C$630,0)))</f>
        <v/>
      </c>
      <c r="L142" s="8">
        <f>IF(ISNA(MATCH(129,Engine!$C$2:$C$630,0)),"",INDEX('Compliance Database'!$L$2:$L$630,MATCH(129,Engine!$C$2:$C$630,0)))</f>
        <v/>
      </c>
      <c r="M142" s="8">
        <f>IF(ISNA(MATCH(129,Engine!$C$2:$C$630,0)),"",INDEX('Compliance Database'!$M$2:$M$630,MATCH(129,Engine!$C$2:$C$630,0)))</f>
        <v/>
      </c>
      <c r="N142" s="8">
        <f>IF(ISNA(MATCH(129,Engine!$C$2:$C$630,0)),"",INDEX('Compliance Database'!$N$2:$N$630,MATCH(129,Engine!$C$2:$C$630,0)))</f>
        <v/>
      </c>
      <c r="O142" s="8">
        <f>IF(ISNA(MATCH(129,Engine!$C$2:$C$630,0)),"",INDEX('Compliance Database'!$O$2:$O$630,MATCH(129,Engine!$C$2:$C$630,0)))</f>
        <v/>
      </c>
    </row>
    <row r="143">
      <c r="A143">
        <f>IF(ISNA(MATCH(130,Engine!$C$2:$C$630,0)),"",INDEX('Compliance Database'!$A$2:$A$630,MATCH(130,Engine!$C$2:$C$630,0)))</f>
        <v/>
      </c>
      <c r="B143">
        <f>IF(ISNA(MATCH(130,Engine!$C$2:$C$630,0)),"",INDEX('Compliance Database'!$B$2:$B$630,MATCH(130,Engine!$C$2:$C$630,0)))</f>
        <v/>
      </c>
      <c r="C143">
        <f>IF(ISNA(MATCH(130,Engine!$C$2:$C$630,0)),"",INDEX('Compliance Database'!$C$2:$C$630,MATCH(130,Engine!$C$2:$C$630,0)))</f>
        <v/>
      </c>
      <c r="D143" s="8">
        <f>IF(ISNA(MATCH(130,Engine!$C$2:$C$630,0)),"",INDEX('Compliance Database'!$D$2:$D$630,MATCH(130,Engine!$C$2:$C$630,0)))</f>
        <v/>
      </c>
      <c r="E143">
        <f>IF(ISNA(MATCH(130,Engine!$C$2:$C$630,0)),"",INDEX('Compliance Database'!$E$2:$E$630,MATCH(130,Engine!$C$2:$C$630,0)))</f>
        <v/>
      </c>
      <c r="F143">
        <f>IF(ISNA(MATCH(130,Engine!$C$2:$C$630,0)),"",INDEX('Compliance Database'!$F$2:$F$630,MATCH(130,Engine!$C$2:$C$630,0)))</f>
        <v/>
      </c>
      <c r="G143">
        <f>IF(ISNA(MATCH(130,Engine!$C$2:$C$630,0)),"",INDEX('Compliance Database'!$G$2:$G$630,MATCH(130,Engine!$C$2:$C$630,0)))</f>
        <v/>
      </c>
      <c r="H143">
        <f>IF(ISNA(MATCH(130,Engine!$C$2:$C$630,0)),"",INDEX('Compliance Database'!$H$2:$H$630,MATCH(130,Engine!$C$2:$C$630,0)))</f>
        <v/>
      </c>
      <c r="I143" s="8">
        <f>IF(ISNA(MATCH(130,Engine!$C$2:$C$630,0)),"",INDEX('Compliance Database'!$I$2:$I$630,MATCH(130,Engine!$C$2:$C$630,0)))</f>
        <v/>
      </c>
      <c r="J143" s="8">
        <f>IF(ISNA(MATCH(130,Engine!$C$2:$C$630,0)),"",INDEX('Compliance Database'!$J$2:$J$630,MATCH(130,Engine!$C$2:$C$630,0)))</f>
        <v/>
      </c>
      <c r="K143">
        <f>IF(ISNA(MATCH(130,Engine!$C$2:$C$630,0)),"",INDEX('Compliance Database'!$K$2:$K$630,MATCH(130,Engine!$C$2:$C$630,0)))</f>
        <v/>
      </c>
      <c r="L143" s="8">
        <f>IF(ISNA(MATCH(130,Engine!$C$2:$C$630,0)),"",INDEX('Compliance Database'!$L$2:$L$630,MATCH(130,Engine!$C$2:$C$630,0)))</f>
        <v/>
      </c>
      <c r="M143" s="8">
        <f>IF(ISNA(MATCH(130,Engine!$C$2:$C$630,0)),"",INDEX('Compliance Database'!$M$2:$M$630,MATCH(130,Engine!$C$2:$C$630,0)))</f>
        <v/>
      </c>
      <c r="N143" s="8">
        <f>IF(ISNA(MATCH(130,Engine!$C$2:$C$630,0)),"",INDEX('Compliance Database'!$N$2:$N$630,MATCH(130,Engine!$C$2:$C$630,0)))</f>
        <v/>
      </c>
      <c r="O143" s="8">
        <f>IF(ISNA(MATCH(130,Engine!$C$2:$C$630,0)),"",INDEX('Compliance Database'!$O$2:$O$630,MATCH(130,Engine!$C$2:$C$630,0)))</f>
        <v/>
      </c>
    </row>
    <row r="144">
      <c r="A144">
        <f>IF(ISNA(MATCH(131,Engine!$C$2:$C$630,0)),"",INDEX('Compliance Database'!$A$2:$A$630,MATCH(131,Engine!$C$2:$C$630,0)))</f>
        <v/>
      </c>
      <c r="B144">
        <f>IF(ISNA(MATCH(131,Engine!$C$2:$C$630,0)),"",INDEX('Compliance Database'!$B$2:$B$630,MATCH(131,Engine!$C$2:$C$630,0)))</f>
        <v/>
      </c>
      <c r="C144">
        <f>IF(ISNA(MATCH(131,Engine!$C$2:$C$630,0)),"",INDEX('Compliance Database'!$C$2:$C$630,MATCH(131,Engine!$C$2:$C$630,0)))</f>
        <v/>
      </c>
      <c r="D144" s="8">
        <f>IF(ISNA(MATCH(131,Engine!$C$2:$C$630,0)),"",INDEX('Compliance Database'!$D$2:$D$630,MATCH(131,Engine!$C$2:$C$630,0)))</f>
        <v/>
      </c>
      <c r="E144">
        <f>IF(ISNA(MATCH(131,Engine!$C$2:$C$630,0)),"",INDEX('Compliance Database'!$E$2:$E$630,MATCH(131,Engine!$C$2:$C$630,0)))</f>
        <v/>
      </c>
      <c r="F144">
        <f>IF(ISNA(MATCH(131,Engine!$C$2:$C$630,0)),"",INDEX('Compliance Database'!$F$2:$F$630,MATCH(131,Engine!$C$2:$C$630,0)))</f>
        <v/>
      </c>
      <c r="G144">
        <f>IF(ISNA(MATCH(131,Engine!$C$2:$C$630,0)),"",INDEX('Compliance Database'!$G$2:$G$630,MATCH(131,Engine!$C$2:$C$630,0)))</f>
        <v/>
      </c>
      <c r="H144">
        <f>IF(ISNA(MATCH(131,Engine!$C$2:$C$630,0)),"",INDEX('Compliance Database'!$H$2:$H$630,MATCH(131,Engine!$C$2:$C$630,0)))</f>
        <v/>
      </c>
      <c r="I144" s="8">
        <f>IF(ISNA(MATCH(131,Engine!$C$2:$C$630,0)),"",INDEX('Compliance Database'!$I$2:$I$630,MATCH(131,Engine!$C$2:$C$630,0)))</f>
        <v/>
      </c>
      <c r="J144" s="8">
        <f>IF(ISNA(MATCH(131,Engine!$C$2:$C$630,0)),"",INDEX('Compliance Database'!$J$2:$J$630,MATCH(131,Engine!$C$2:$C$630,0)))</f>
        <v/>
      </c>
      <c r="K144">
        <f>IF(ISNA(MATCH(131,Engine!$C$2:$C$630,0)),"",INDEX('Compliance Database'!$K$2:$K$630,MATCH(131,Engine!$C$2:$C$630,0)))</f>
        <v/>
      </c>
      <c r="L144" s="8">
        <f>IF(ISNA(MATCH(131,Engine!$C$2:$C$630,0)),"",INDEX('Compliance Database'!$L$2:$L$630,MATCH(131,Engine!$C$2:$C$630,0)))</f>
        <v/>
      </c>
      <c r="M144" s="8">
        <f>IF(ISNA(MATCH(131,Engine!$C$2:$C$630,0)),"",INDEX('Compliance Database'!$M$2:$M$630,MATCH(131,Engine!$C$2:$C$630,0)))</f>
        <v/>
      </c>
      <c r="N144" s="8">
        <f>IF(ISNA(MATCH(131,Engine!$C$2:$C$630,0)),"",INDEX('Compliance Database'!$N$2:$N$630,MATCH(131,Engine!$C$2:$C$630,0)))</f>
        <v/>
      </c>
      <c r="O144" s="8">
        <f>IF(ISNA(MATCH(131,Engine!$C$2:$C$630,0)),"",INDEX('Compliance Database'!$O$2:$O$630,MATCH(131,Engine!$C$2:$C$630,0)))</f>
        <v/>
      </c>
    </row>
    <row r="145">
      <c r="A145">
        <f>IF(ISNA(MATCH(132,Engine!$C$2:$C$630,0)),"",INDEX('Compliance Database'!$A$2:$A$630,MATCH(132,Engine!$C$2:$C$630,0)))</f>
        <v/>
      </c>
      <c r="B145">
        <f>IF(ISNA(MATCH(132,Engine!$C$2:$C$630,0)),"",INDEX('Compliance Database'!$B$2:$B$630,MATCH(132,Engine!$C$2:$C$630,0)))</f>
        <v/>
      </c>
      <c r="C145">
        <f>IF(ISNA(MATCH(132,Engine!$C$2:$C$630,0)),"",INDEX('Compliance Database'!$C$2:$C$630,MATCH(132,Engine!$C$2:$C$630,0)))</f>
        <v/>
      </c>
      <c r="D145" s="8">
        <f>IF(ISNA(MATCH(132,Engine!$C$2:$C$630,0)),"",INDEX('Compliance Database'!$D$2:$D$630,MATCH(132,Engine!$C$2:$C$630,0)))</f>
        <v/>
      </c>
      <c r="E145">
        <f>IF(ISNA(MATCH(132,Engine!$C$2:$C$630,0)),"",INDEX('Compliance Database'!$E$2:$E$630,MATCH(132,Engine!$C$2:$C$630,0)))</f>
        <v/>
      </c>
      <c r="F145">
        <f>IF(ISNA(MATCH(132,Engine!$C$2:$C$630,0)),"",INDEX('Compliance Database'!$F$2:$F$630,MATCH(132,Engine!$C$2:$C$630,0)))</f>
        <v/>
      </c>
      <c r="G145">
        <f>IF(ISNA(MATCH(132,Engine!$C$2:$C$630,0)),"",INDEX('Compliance Database'!$G$2:$G$630,MATCH(132,Engine!$C$2:$C$630,0)))</f>
        <v/>
      </c>
      <c r="H145">
        <f>IF(ISNA(MATCH(132,Engine!$C$2:$C$630,0)),"",INDEX('Compliance Database'!$H$2:$H$630,MATCH(132,Engine!$C$2:$C$630,0)))</f>
        <v/>
      </c>
      <c r="I145" s="8">
        <f>IF(ISNA(MATCH(132,Engine!$C$2:$C$630,0)),"",INDEX('Compliance Database'!$I$2:$I$630,MATCH(132,Engine!$C$2:$C$630,0)))</f>
        <v/>
      </c>
      <c r="J145" s="8">
        <f>IF(ISNA(MATCH(132,Engine!$C$2:$C$630,0)),"",INDEX('Compliance Database'!$J$2:$J$630,MATCH(132,Engine!$C$2:$C$630,0)))</f>
        <v/>
      </c>
      <c r="K145">
        <f>IF(ISNA(MATCH(132,Engine!$C$2:$C$630,0)),"",INDEX('Compliance Database'!$K$2:$K$630,MATCH(132,Engine!$C$2:$C$630,0)))</f>
        <v/>
      </c>
      <c r="L145" s="8">
        <f>IF(ISNA(MATCH(132,Engine!$C$2:$C$630,0)),"",INDEX('Compliance Database'!$L$2:$L$630,MATCH(132,Engine!$C$2:$C$630,0)))</f>
        <v/>
      </c>
      <c r="M145" s="8">
        <f>IF(ISNA(MATCH(132,Engine!$C$2:$C$630,0)),"",INDEX('Compliance Database'!$M$2:$M$630,MATCH(132,Engine!$C$2:$C$630,0)))</f>
        <v/>
      </c>
      <c r="N145" s="8">
        <f>IF(ISNA(MATCH(132,Engine!$C$2:$C$630,0)),"",INDEX('Compliance Database'!$N$2:$N$630,MATCH(132,Engine!$C$2:$C$630,0)))</f>
        <v/>
      </c>
      <c r="O145" s="8">
        <f>IF(ISNA(MATCH(132,Engine!$C$2:$C$630,0)),"",INDEX('Compliance Database'!$O$2:$O$630,MATCH(132,Engine!$C$2:$C$630,0)))</f>
        <v/>
      </c>
    </row>
    <row r="146">
      <c r="A146">
        <f>IF(ISNA(MATCH(133,Engine!$C$2:$C$630,0)),"",INDEX('Compliance Database'!$A$2:$A$630,MATCH(133,Engine!$C$2:$C$630,0)))</f>
        <v/>
      </c>
      <c r="B146">
        <f>IF(ISNA(MATCH(133,Engine!$C$2:$C$630,0)),"",INDEX('Compliance Database'!$B$2:$B$630,MATCH(133,Engine!$C$2:$C$630,0)))</f>
        <v/>
      </c>
      <c r="C146">
        <f>IF(ISNA(MATCH(133,Engine!$C$2:$C$630,0)),"",INDEX('Compliance Database'!$C$2:$C$630,MATCH(133,Engine!$C$2:$C$630,0)))</f>
        <v/>
      </c>
      <c r="D146" s="8">
        <f>IF(ISNA(MATCH(133,Engine!$C$2:$C$630,0)),"",INDEX('Compliance Database'!$D$2:$D$630,MATCH(133,Engine!$C$2:$C$630,0)))</f>
        <v/>
      </c>
      <c r="E146">
        <f>IF(ISNA(MATCH(133,Engine!$C$2:$C$630,0)),"",INDEX('Compliance Database'!$E$2:$E$630,MATCH(133,Engine!$C$2:$C$630,0)))</f>
        <v/>
      </c>
      <c r="F146">
        <f>IF(ISNA(MATCH(133,Engine!$C$2:$C$630,0)),"",INDEX('Compliance Database'!$F$2:$F$630,MATCH(133,Engine!$C$2:$C$630,0)))</f>
        <v/>
      </c>
      <c r="G146">
        <f>IF(ISNA(MATCH(133,Engine!$C$2:$C$630,0)),"",INDEX('Compliance Database'!$G$2:$G$630,MATCH(133,Engine!$C$2:$C$630,0)))</f>
        <v/>
      </c>
      <c r="H146">
        <f>IF(ISNA(MATCH(133,Engine!$C$2:$C$630,0)),"",INDEX('Compliance Database'!$H$2:$H$630,MATCH(133,Engine!$C$2:$C$630,0)))</f>
        <v/>
      </c>
      <c r="I146" s="8">
        <f>IF(ISNA(MATCH(133,Engine!$C$2:$C$630,0)),"",INDEX('Compliance Database'!$I$2:$I$630,MATCH(133,Engine!$C$2:$C$630,0)))</f>
        <v/>
      </c>
      <c r="J146" s="8">
        <f>IF(ISNA(MATCH(133,Engine!$C$2:$C$630,0)),"",INDEX('Compliance Database'!$J$2:$J$630,MATCH(133,Engine!$C$2:$C$630,0)))</f>
        <v/>
      </c>
      <c r="K146">
        <f>IF(ISNA(MATCH(133,Engine!$C$2:$C$630,0)),"",INDEX('Compliance Database'!$K$2:$K$630,MATCH(133,Engine!$C$2:$C$630,0)))</f>
        <v/>
      </c>
      <c r="L146" s="8">
        <f>IF(ISNA(MATCH(133,Engine!$C$2:$C$630,0)),"",INDEX('Compliance Database'!$L$2:$L$630,MATCH(133,Engine!$C$2:$C$630,0)))</f>
        <v/>
      </c>
      <c r="M146" s="8">
        <f>IF(ISNA(MATCH(133,Engine!$C$2:$C$630,0)),"",INDEX('Compliance Database'!$M$2:$M$630,MATCH(133,Engine!$C$2:$C$630,0)))</f>
        <v/>
      </c>
      <c r="N146" s="8">
        <f>IF(ISNA(MATCH(133,Engine!$C$2:$C$630,0)),"",INDEX('Compliance Database'!$N$2:$N$630,MATCH(133,Engine!$C$2:$C$630,0)))</f>
        <v/>
      </c>
      <c r="O146" s="8">
        <f>IF(ISNA(MATCH(133,Engine!$C$2:$C$630,0)),"",INDEX('Compliance Database'!$O$2:$O$630,MATCH(133,Engine!$C$2:$C$630,0)))</f>
        <v/>
      </c>
    </row>
    <row r="147">
      <c r="A147">
        <f>IF(ISNA(MATCH(134,Engine!$C$2:$C$630,0)),"",INDEX('Compliance Database'!$A$2:$A$630,MATCH(134,Engine!$C$2:$C$630,0)))</f>
        <v/>
      </c>
      <c r="B147">
        <f>IF(ISNA(MATCH(134,Engine!$C$2:$C$630,0)),"",INDEX('Compliance Database'!$B$2:$B$630,MATCH(134,Engine!$C$2:$C$630,0)))</f>
        <v/>
      </c>
      <c r="C147">
        <f>IF(ISNA(MATCH(134,Engine!$C$2:$C$630,0)),"",INDEX('Compliance Database'!$C$2:$C$630,MATCH(134,Engine!$C$2:$C$630,0)))</f>
        <v/>
      </c>
      <c r="D147" s="8">
        <f>IF(ISNA(MATCH(134,Engine!$C$2:$C$630,0)),"",INDEX('Compliance Database'!$D$2:$D$630,MATCH(134,Engine!$C$2:$C$630,0)))</f>
        <v/>
      </c>
      <c r="E147">
        <f>IF(ISNA(MATCH(134,Engine!$C$2:$C$630,0)),"",INDEX('Compliance Database'!$E$2:$E$630,MATCH(134,Engine!$C$2:$C$630,0)))</f>
        <v/>
      </c>
      <c r="F147">
        <f>IF(ISNA(MATCH(134,Engine!$C$2:$C$630,0)),"",INDEX('Compliance Database'!$F$2:$F$630,MATCH(134,Engine!$C$2:$C$630,0)))</f>
        <v/>
      </c>
      <c r="G147">
        <f>IF(ISNA(MATCH(134,Engine!$C$2:$C$630,0)),"",INDEX('Compliance Database'!$G$2:$G$630,MATCH(134,Engine!$C$2:$C$630,0)))</f>
        <v/>
      </c>
      <c r="H147">
        <f>IF(ISNA(MATCH(134,Engine!$C$2:$C$630,0)),"",INDEX('Compliance Database'!$H$2:$H$630,MATCH(134,Engine!$C$2:$C$630,0)))</f>
        <v/>
      </c>
      <c r="I147" s="8">
        <f>IF(ISNA(MATCH(134,Engine!$C$2:$C$630,0)),"",INDEX('Compliance Database'!$I$2:$I$630,MATCH(134,Engine!$C$2:$C$630,0)))</f>
        <v/>
      </c>
      <c r="J147" s="8">
        <f>IF(ISNA(MATCH(134,Engine!$C$2:$C$630,0)),"",INDEX('Compliance Database'!$J$2:$J$630,MATCH(134,Engine!$C$2:$C$630,0)))</f>
        <v/>
      </c>
      <c r="K147">
        <f>IF(ISNA(MATCH(134,Engine!$C$2:$C$630,0)),"",INDEX('Compliance Database'!$K$2:$K$630,MATCH(134,Engine!$C$2:$C$630,0)))</f>
        <v/>
      </c>
      <c r="L147" s="8">
        <f>IF(ISNA(MATCH(134,Engine!$C$2:$C$630,0)),"",INDEX('Compliance Database'!$L$2:$L$630,MATCH(134,Engine!$C$2:$C$630,0)))</f>
        <v/>
      </c>
      <c r="M147" s="8">
        <f>IF(ISNA(MATCH(134,Engine!$C$2:$C$630,0)),"",INDEX('Compliance Database'!$M$2:$M$630,MATCH(134,Engine!$C$2:$C$630,0)))</f>
        <v/>
      </c>
      <c r="N147" s="8">
        <f>IF(ISNA(MATCH(134,Engine!$C$2:$C$630,0)),"",INDEX('Compliance Database'!$N$2:$N$630,MATCH(134,Engine!$C$2:$C$630,0)))</f>
        <v/>
      </c>
      <c r="O147" s="8">
        <f>IF(ISNA(MATCH(134,Engine!$C$2:$C$630,0)),"",INDEX('Compliance Database'!$O$2:$O$630,MATCH(134,Engine!$C$2:$C$630,0)))</f>
        <v/>
      </c>
    </row>
    <row r="148">
      <c r="A148">
        <f>IF(ISNA(MATCH(135,Engine!$C$2:$C$630,0)),"",INDEX('Compliance Database'!$A$2:$A$630,MATCH(135,Engine!$C$2:$C$630,0)))</f>
        <v/>
      </c>
      <c r="B148">
        <f>IF(ISNA(MATCH(135,Engine!$C$2:$C$630,0)),"",INDEX('Compliance Database'!$B$2:$B$630,MATCH(135,Engine!$C$2:$C$630,0)))</f>
        <v/>
      </c>
      <c r="C148">
        <f>IF(ISNA(MATCH(135,Engine!$C$2:$C$630,0)),"",INDEX('Compliance Database'!$C$2:$C$630,MATCH(135,Engine!$C$2:$C$630,0)))</f>
        <v/>
      </c>
      <c r="D148" s="8">
        <f>IF(ISNA(MATCH(135,Engine!$C$2:$C$630,0)),"",INDEX('Compliance Database'!$D$2:$D$630,MATCH(135,Engine!$C$2:$C$630,0)))</f>
        <v/>
      </c>
      <c r="E148">
        <f>IF(ISNA(MATCH(135,Engine!$C$2:$C$630,0)),"",INDEX('Compliance Database'!$E$2:$E$630,MATCH(135,Engine!$C$2:$C$630,0)))</f>
        <v/>
      </c>
      <c r="F148">
        <f>IF(ISNA(MATCH(135,Engine!$C$2:$C$630,0)),"",INDEX('Compliance Database'!$F$2:$F$630,MATCH(135,Engine!$C$2:$C$630,0)))</f>
        <v/>
      </c>
      <c r="G148">
        <f>IF(ISNA(MATCH(135,Engine!$C$2:$C$630,0)),"",INDEX('Compliance Database'!$G$2:$G$630,MATCH(135,Engine!$C$2:$C$630,0)))</f>
        <v/>
      </c>
      <c r="H148">
        <f>IF(ISNA(MATCH(135,Engine!$C$2:$C$630,0)),"",INDEX('Compliance Database'!$H$2:$H$630,MATCH(135,Engine!$C$2:$C$630,0)))</f>
        <v/>
      </c>
      <c r="I148" s="8">
        <f>IF(ISNA(MATCH(135,Engine!$C$2:$C$630,0)),"",INDEX('Compliance Database'!$I$2:$I$630,MATCH(135,Engine!$C$2:$C$630,0)))</f>
        <v/>
      </c>
      <c r="J148" s="8">
        <f>IF(ISNA(MATCH(135,Engine!$C$2:$C$630,0)),"",INDEX('Compliance Database'!$J$2:$J$630,MATCH(135,Engine!$C$2:$C$630,0)))</f>
        <v/>
      </c>
      <c r="K148">
        <f>IF(ISNA(MATCH(135,Engine!$C$2:$C$630,0)),"",INDEX('Compliance Database'!$K$2:$K$630,MATCH(135,Engine!$C$2:$C$630,0)))</f>
        <v/>
      </c>
      <c r="L148" s="8">
        <f>IF(ISNA(MATCH(135,Engine!$C$2:$C$630,0)),"",INDEX('Compliance Database'!$L$2:$L$630,MATCH(135,Engine!$C$2:$C$630,0)))</f>
        <v/>
      </c>
      <c r="M148" s="8">
        <f>IF(ISNA(MATCH(135,Engine!$C$2:$C$630,0)),"",INDEX('Compliance Database'!$M$2:$M$630,MATCH(135,Engine!$C$2:$C$630,0)))</f>
        <v/>
      </c>
      <c r="N148" s="8">
        <f>IF(ISNA(MATCH(135,Engine!$C$2:$C$630,0)),"",INDEX('Compliance Database'!$N$2:$N$630,MATCH(135,Engine!$C$2:$C$630,0)))</f>
        <v/>
      </c>
      <c r="O148" s="8">
        <f>IF(ISNA(MATCH(135,Engine!$C$2:$C$630,0)),"",INDEX('Compliance Database'!$O$2:$O$630,MATCH(135,Engine!$C$2:$C$630,0)))</f>
        <v/>
      </c>
    </row>
    <row r="149">
      <c r="A149">
        <f>IF(ISNA(MATCH(136,Engine!$C$2:$C$630,0)),"",INDEX('Compliance Database'!$A$2:$A$630,MATCH(136,Engine!$C$2:$C$630,0)))</f>
        <v/>
      </c>
      <c r="B149">
        <f>IF(ISNA(MATCH(136,Engine!$C$2:$C$630,0)),"",INDEX('Compliance Database'!$B$2:$B$630,MATCH(136,Engine!$C$2:$C$630,0)))</f>
        <v/>
      </c>
      <c r="C149">
        <f>IF(ISNA(MATCH(136,Engine!$C$2:$C$630,0)),"",INDEX('Compliance Database'!$C$2:$C$630,MATCH(136,Engine!$C$2:$C$630,0)))</f>
        <v/>
      </c>
      <c r="D149" s="8">
        <f>IF(ISNA(MATCH(136,Engine!$C$2:$C$630,0)),"",INDEX('Compliance Database'!$D$2:$D$630,MATCH(136,Engine!$C$2:$C$630,0)))</f>
        <v/>
      </c>
      <c r="E149">
        <f>IF(ISNA(MATCH(136,Engine!$C$2:$C$630,0)),"",INDEX('Compliance Database'!$E$2:$E$630,MATCH(136,Engine!$C$2:$C$630,0)))</f>
        <v/>
      </c>
      <c r="F149">
        <f>IF(ISNA(MATCH(136,Engine!$C$2:$C$630,0)),"",INDEX('Compliance Database'!$F$2:$F$630,MATCH(136,Engine!$C$2:$C$630,0)))</f>
        <v/>
      </c>
      <c r="G149">
        <f>IF(ISNA(MATCH(136,Engine!$C$2:$C$630,0)),"",INDEX('Compliance Database'!$G$2:$G$630,MATCH(136,Engine!$C$2:$C$630,0)))</f>
        <v/>
      </c>
      <c r="H149">
        <f>IF(ISNA(MATCH(136,Engine!$C$2:$C$630,0)),"",INDEX('Compliance Database'!$H$2:$H$630,MATCH(136,Engine!$C$2:$C$630,0)))</f>
        <v/>
      </c>
      <c r="I149" s="8">
        <f>IF(ISNA(MATCH(136,Engine!$C$2:$C$630,0)),"",INDEX('Compliance Database'!$I$2:$I$630,MATCH(136,Engine!$C$2:$C$630,0)))</f>
        <v/>
      </c>
      <c r="J149" s="8">
        <f>IF(ISNA(MATCH(136,Engine!$C$2:$C$630,0)),"",INDEX('Compliance Database'!$J$2:$J$630,MATCH(136,Engine!$C$2:$C$630,0)))</f>
        <v/>
      </c>
      <c r="K149">
        <f>IF(ISNA(MATCH(136,Engine!$C$2:$C$630,0)),"",INDEX('Compliance Database'!$K$2:$K$630,MATCH(136,Engine!$C$2:$C$630,0)))</f>
        <v/>
      </c>
      <c r="L149" s="8">
        <f>IF(ISNA(MATCH(136,Engine!$C$2:$C$630,0)),"",INDEX('Compliance Database'!$L$2:$L$630,MATCH(136,Engine!$C$2:$C$630,0)))</f>
        <v/>
      </c>
      <c r="M149" s="8">
        <f>IF(ISNA(MATCH(136,Engine!$C$2:$C$630,0)),"",INDEX('Compliance Database'!$M$2:$M$630,MATCH(136,Engine!$C$2:$C$630,0)))</f>
        <v/>
      </c>
      <c r="N149" s="8">
        <f>IF(ISNA(MATCH(136,Engine!$C$2:$C$630,0)),"",INDEX('Compliance Database'!$N$2:$N$630,MATCH(136,Engine!$C$2:$C$630,0)))</f>
        <v/>
      </c>
      <c r="O149" s="8">
        <f>IF(ISNA(MATCH(136,Engine!$C$2:$C$630,0)),"",INDEX('Compliance Database'!$O$2:$O$630,MATCH(136,Engine!$C$2:$C$630,0)))</f>
        <v/>
      </c>
    </row>
    <row r="150">
      <c r="A150">
        <f>IF(ISNA(MATCH(137,Engine!$C$2:$C$630,0)),"",INDEX('Compliance Database'!$A$2:$A$630,MATCH(137,Engine!$C$2:$C$630,0)))</f>
        <v/>
      </c>
      <c r="B150">
        <f>IF(ISNA(MATCH(137,Engine!$C$2:$C$630,0)),"",INDEX('Compliance Database'!$B$2:$B$630,MATCH(137,Engine!$C$2:$C$630,0)))</f>
        <v/>
      </c>
      <c r="C150">
        <f>IF(ISNA(MATCH(137,Engine!$C$2:$C$630,0)),"",INDEX('Compliance Database'!$C$2:$C$630,MATCH(137,Engine!$C$2:$C$630,0)))</f>
        <v/>
      </c>
      <c r="D150" s="8">
        <f>IF(ISNA(MATCH(137,Engine!$C$2:$C$630,0)),"",INDEX('Compliance Database'!$D$2:$D$630,MATCH(137,Engine!$C$2:$C$630,0)))</f>
        <v/>
      </c>
      <c r="E150">
        <f>IF(ISNA(MATCH(137,Engine!$C$2:$C$630,0)),"",INDEX('Compliance Database'!$E$2:$E$630,MATCH(137,Engine!$C$2:$C$630,0)))</f>
        <v/>
      </c>
      <c r="F150">
        <f>IF(ISNA(MATCH(137,Engine!$C$2:$C$630,0)),"",INDEX('Compliance Database'!$F$2:$F$630,MATCH(137,Engine!$C$2:$C$630,0)))</f>
        <v/>
      </c>
      <c r="G150">
        <f>IF(ISNA(MATCH(137,Engine!$C$2:$C$630,0)),"",INDEX('Compliance Database'!$G$2:$G$630,MATCH(137,Engine!$C$2:$C$630,0)))</f>
        <v/>
      </c>
      <c r="H150">
        <f>IF(ISNA(MATCH(137,Engine!$C$2:$C$630,0)),"",INDEX('Compliance Database'!$H$2:$H$630,MATCH(137,Engine!$C$2:$C$630,0)))</f>
        <v/>
      </c>
      <c r="I150" s="8">
        <f>IF(ISNA(MATCH(137,Engine!$C$2:$C$630,0)),"",INDEX('Compliance Database'!$I$2:$I$630,MATCH(137,Engine!$C$2:$C$630,0)))</f>
        <v/>
      </c>
      <c r="J150" s="8">
        <f>IF(ISNA(MATCH(137,Engine!$C$2:$C$630,0)),"",INDEX('Compliance Database'!$J$2:$J$630,MATCH(137,Engine!$C$2:$C$630,0)))</f>
        <v/>
      </c>
      <c r="K150">
        <f>IF(ISNA(MATCH(137,Engine!$C$2:$C$630,0)),"",INDEX('Compliance Database'!$K$2:$K$630,MATCH(137,Engine!$C$2:$C$630,0)))</f>
        <v/>
      </c>
      <c r="L150" s="8">
        <f>IF(ISNA(MATCH(137,Engine!$C$2:$C$630,0)),"",INDEX('Compliance Database'!$L$2:$L$630,MATCH(137,Engine!$C$2:$C$630,0)))</f>
        <v/>
      </c>
      <c r="M150" s="8">
        <f>IF(ISNA(MATCH(137,Engine!$C$2:$C$630,0)),"",INDEX('Compliance Database'!$M$2:$M$630,MATCH(137,Engine!$C$2:$C$630,0)))</f>
        <v/>
      </c>
      <c r="N150" s="8">
        <f>IF(ISNA(MATCH(137,Engine!$C$2:$C$630,0)),"",INDEX('Compliance Database'!$N$2:$N$630,MATCH(137,Engine!$C$2:$C$630,0)))</f>
        <v/>
      </c>
      <c r="O150" s="8">
        <f>IF(ISNA(MATCH(137,Engine!$C$2:$C$630,0)),"",INDEX('Compliance Database'!$O$2:$O$630,MATCH(137,Engine!$C$2:$C$630,0)))</f>
        <v/>
      </c>
    </row>
    <row r="151">
      <c r="A151">
        <f>IF(ISNA(MATCH(138,Engine!$C$2:$C$630,0)),"",INDEX('Compliance Database'!$A$2:$A$630,MATCH(138,Engine!$C$2:$C$630,0)))</f>
        <v/>
      </c>
      <c r="B151">
        <f>IF(ISNA(MATCH(138,Engine!$C$2:$C$630,0)),"",INDEX('Compliance Database'!$B$2:$B$630,MATCH(138,Engine!$C$2:$C$630,0)))</f>
        <v/>
      </c>
      <c r="C151">
        <f>IF(ISNA(MATCH(138,Engine!$C$2:$C$630,0)),"",INDEX('Compliance Database'!$C$2:$C$630,MATCH(138,Engine!$C$2:$C$630,0)))</f>
        <v/>
      </c>
      <c r="D151" s="8">
        <f>IF(ISNA(MATCH(138,Engine!$C$2:$C$630,0)),"",INDEX('Compliance Database'!$D$2:$D$630,MATCH(138,Engine!$C$2:$C$630,0)))</f>
        <v/>
      </c>
      <c r="E151">
        <f>IF(ISNA(MATCH(138,Engine!$C$2:$C$630,0)),"",INDEX('Compliance Database'!$E$2:$E$630,MATCH(138,Engine!$C$2:$C$630,0)))</f>
        <v/>
      </c>
      <c r="F151">
        <f>IF(ISNA(MATCH(138,Engine!$C$2:$C$630,0)),"",INDEX('Compliance Database'!$F$2:$F$630,MATCH(138,Engine!$C$2:$C$630,0)))</f>
        <v/>
      </c>
      <c r="G151">
        <f>IF(ISNA(MATCH(138,Engine!$C$2:$C$630,0)),"",INDEX('Compliance Database'!$G$2:$G$630,MATCH(138,Engine!$C$2:$C$630,0)))</f>
        <v/>
      </c>
      <c r="H151">
        <f>IF(ISNA(MATCH(138,Engine!$C$2:$C$630,0)),"",INDEX('Compliance Database'!$H$2:$H$630,MATCH(138,Engine!$C$2:$C$630,0)))</f>
        <v/>
      </c>
      <c r="I151" s="8">
        <f>IF(ISNA(MATCH(138,Engine!$C$2:$C$630,0)),"",INDEX('Compliance Database'!$I$2:$I$630,MATCH(138,Engine!$C$2:$C$630,0)))</f>
        <v/>
      </c>
      <c r="J151" s="8">
        <f>IF(ISNA(MATCH(138,Engine!$C$2:$C$630,0)),"",INDEX('Compliance Database'!$J$2:$J$630,MATCH(138,Engine!$C$2:$C$630,0)))</f>
        <v/>
      </c>
      <c r="K151">
        <f>IF(ISNA(MATCH(138,Engine!$C$2:$C$630,0)),"",INDEX('Compliance Database'!$K$2:$K$630,MATCH(138,Engine!$C$2:$C$630,0)))</f>
        <v/>
      </c>
      <c r="L151" s="8">
        <f>IF(ISNA(MATCH(138,Engine!$C$2:$C$630,0)),"",INDEX('Compliance Database'!$L$2:$L$630,MATCH(138,Engine!$C$2:$C$630,0)))</f>
        <v/>
      </c>
      <c r="M151" s="8">
        <f>IF(ISNA(MATCH(138,Engine!$C$2:$C$630,0)),"",INDEX('Compliance Database'!$M$2:$M$630,MATCH(138,Engine!$C$2:$C$630,0)))</f>
        <v/>
      </c>
      <c r="N151" s="8">
        <f>IF(ISNA(MATCH(138,Engine!$C$2:$C$630,0)),"",INDEX('Compliance Database'!$N$2:$N$630,MATCH(138,Engine!$C$2:$C$630,0)))</f>
        <v/>
      </c>
      <c r="O151" s="8">
        <f>IF(ISNA(MATCH(138,Engine!$C$2:$C$630,0)),"",INDEX('Compliance Database'!$O$2:$O$630,MATCH(138,Engine!$C$2:$C$630,0)))</f>
        <v/>
      </c>
    </row>
    <row r="152">
      <c r="A152">
        <f>IF(ISNA(MATCH(139,Engine!$C$2:$C$630,0)),"",INDEX('Compliance Database'!$A$2:$A$630,MATCH(139,Engine!$C$2:$C$630,0)))</f>
        <v/>
      </c>
      <c r="B152">
        <f>IF(ISNA(MATCH(139,Engine!$C$2:$C$630,0)),"",INDEX('Compliance Database'!$B$2:$B$630,MATCH(139,Engine!$C$2:$C$630,0)))</f>
        <v/>
      </c>
      <c r="C152">
        <f>IF(ISNA(MATCH(139,Engine!$C$2:$C$630,0)),"",INDEX('Compliance Database'!$C$2:$C$630,MATCH(139,Engine!$C$2:$C$630,0)))</f>
        <v/>
      </c>
      <c r="D152" s="8">
        <f>IF(ISNA(MATCH(139,Engine!$C$2:$C$630,0)),"",INDEX('Compliance Database'!$D$2:$D$630,MATCH(139,Engine!$C$2:$C$630,0)))</f>
        <v/>
      </c>
      <c r="E152">
        <f>IF(ISNA(MATCH(139,Engine!$C$2:$C$630,0)),"",INDEX('Compliance Database'!$E$2:$E$630,MATCH(139,Engine!$C$2:$C$630,0)))</f>
        <v/>
      </c>
      <c r="F152">
        <f>IF(ISNA(MATCH(139,Engine!$C$2:$C$630,0)),"",INDEX('Compliance Database'!$F$2:$F$630,MATCH(139,Engine!$C$2:$C$630,0)))</f>
        <v/>
      </c>
      <c r="G152">
        <f>IF(ISNA(MATCH(139,Engine!$C$2:$C$630,0)),"",INDEX('Compliance Database'!$G$2:$G$630,MATCH(139,Engine!$C$2:$C$630,0)))</f>
        <v/>
      </c>
      <c r="H152">
        <f>IF(ISNA(MATCH(139,Engine!$C$2:$C$630,0)),"",INDEX('Compliance Database'!$H$2:$H$630,MATCH(139,Engine!$C$2:$C$630,0)))</f>
        <v/>
      </c>
      <c r="I152" s="8">
        <f>IF(ISNA(MATCH(139,Engine!$C$2:$C$630,0)),"",INDEX('Compliance Database'!$I$2:$I$630,MATCH(139,Engine!$C$2:$C$630,0)))</f>
        <v/>
      </c>
      <c r="J152" s="8">
        <f>IF(ISNA(MATCH(139,Engine!$C$2:$C$630,0)),"",INDEX('Compliance Database'!$J$2:$J$630,MATCH(139,Engine!$C$2:$C$630,0)))</f>
        <v/>
      </c>
      <c r="K152">
        <f>IF(ISNA(MATCH(139,Engine!$C$2:$C$630,0)),"",INDEX('Compliance Database'!$K$2:$K$630,MATCH(139,Engine!$C$2:$C$630,0)))</f>
        <v/>
      </c>
      <c r="L152" s="8">
        <f>IF(ISNA(MATCH(139,Engine!$C$2:$C$630,0)),"",INDEX('Compliance Database'!$L$2:$L$630,MATCH(139,Engine!$C$2:$C$630,0)))</f>
        <v/>
      </c>
      <c r="M152" s="8">
        <f>IF(ISNA(MATCH(139,Engine!$C$2:$C$630,0)),"",INDEX('Compliance Database'!$M$2:$M$630,MATCH(139,Engine!$C$2:$C$630,0)))</f>
        <v/>
      </c>
      <c r="N152" s="8">
        <f>IF(ISNA(MATCH(139,Engine!$C$2:$C$630,0)),"",INDEX('Compliance Database'!$N$2:$N$630,MATCH(139,Engine!$C$2:$C$630,0)))</f>
        <v/>
      </c>
      <c r="O152" s="8">
        <f>IF(ISNA(MATCH(139,Engine!$C$2:$C$630,0)),"",INDEX('Compliance Database'!$O$2:$O$630,MATCH(139,Engine!$C$2:$C$630,0)))</f>
        <v/>
      </c>
    </row>
    <row r="153">
      <c r="A153">
        <f>IF(ISNA(MATCH(140,Engine!$C$2:$C$630,0)),"",INDEX('Compliance Database'!$A$2:$A$630,MATCH(140,Engine!$C$2:$C$630,0)))</f>
        <v/>
      </c>
      <c r="B153">
        <f>IF(ISNA(MATCH(140,Engine!$C$2:$C$630,0)),"",INDEX('Compliance Database'!$B$2:$B$630,MATCH(140,Engine!$C$2:$C$630,0)))</f>
        <v/>
      </c>
      <c r="C153">
        <f>IF(ISNA(MATCH(140,Engine!$C$2:$C$630,0)),"",INDEX('Compliance Database'!$C$2:$C$630,MATCH(140,Engine!$C$2:$C$630,0)))</f>
        <v/>
      </c>
      <c r="D153" s="8">
        <f>IF(ISNA(MATCH(140,Engine!$C$2:$C$630,0)),"",INDEX('Compliance Database'!$D$2:$D$630,MATCH(140,Engine!$C$2:$C$630,0)))</f>
        <v/>
      </c>
      <c r="E153">
        <f>IF(ISNA(MATCH(140,Engine!$C$2:$C$630,0)),"",INDEX('Compliance Database'!$E$2:$E$630,MATCH(140,Engine!$C$2:$C$630,0)))</f>
        <v/>
      </c>
      <c r="F153">
        <f>IF(ISNA(MATCH(140,Engine!$C$2:$C$630,0)),"",INDEX('Compliance Database'!$F$2:$F$630,MATCH(140,Engine!$C$2:$C$630,0)))</f>
        <v/>
      </c>
      <c r="G153">
        <f>IF(ISNA(MATCH(140,Engine!$C$2:$C$630,0)),"",INDEX('Compliance Database'!$G$2:$G$630,MATCH(140,Engine!$C$2:$C$630,0)))</f>
        <v/>
      </c>
      <c r="H153">
        <f>IF(ISNA(MATCH(140,Engine!$C$2:$C$630,0)),"",INDEX('Compliance Database'!$H$2:$H$630,MATCH(140,Engine!$C$2:$C$630,0)))</f>
        <v/>
      </c>
      <c r="I153" s="8">
        <f>IF(ISNA(MATCH(140,Engine!$C$2:$C$630,0)),"",INDEX('Compliance Database'!$I$2:$I$630,MATCH(140,Engine!$C$2:$C$630,0)))</f>
        <v/>
      </c>
      <c r="J153" s="8">
        <f>IF(ISNA(MATCH(140,Engine!$C$2:$C$630,0)),"",INDEX('Compliance Database'!$J$2:$J$630,MATCH(140,Engine!$C$2:$C$630,0)))</f>
        <v/>
      </c>
      <c r="K153">
        <f>IF(ISNA(MATCH(140,Engine!$C$2:$C$630,0)),"",INDEX('Compliance Database'!$K$2:$K$630,MATCH(140,Engine!$C$2:$C$630,0)))</f>
        <v/>
      </c>
      <c r="L153" s="8">
        <f>IF(ISNA(MATCH(140,Engine!$C$2:$C$630,0)),"",INDEX('Compliance Database'!$L$2:$L$630,MATCH(140,Engine!$C$2:$C$630,0)))</f>
        <v/>
      </c>
      <c r="M153" s="8">
        <f>IF(ISNA(MATCH(140,Engine!$C$2:$C$630,0)),"",INDEX('Compliance Database'!$M$2:$M$630,MATCH(140,Engine!$C$2:$C$630,0)))</f>
        <v/>
      </c>
      <c r="N153" s="8">
        <f>IF(ISNA(MATCH(140,Engine!$C$2:$C$630,0)),"",INDEX('Compliance Database'!$N$2:$N$630,MATCH(140,Engine!$C$2:$C$630,0)))</f>
        <v/>
      </c>
      <c r="O153" s="8">
        <f>IF(ISNA(MATCH(140,Engine!$C$2:$C$630,0)),"",INDEX('Compliance Database'!$O$2:$O$630,MATCH(140,Engine!$C$2:$C$630,0)))</f>
        <v/>
      </c>
    </row>
    <row r="154">
      <c r="A154">
        <f>IF(ISNA(MATCH(141,Engine!$C$2:$C$630,0)),"",INDEX('Compliance Database'!$A$2:$A$630,MATCH(141,Engine!$C$2:$C$630,0)))</f>
        <v/>
      </c>
      <c r="B154">
        <f>IF(ISNA(MATCH(141,Engine!$C$2:$C$630,0)),"",INDEX('Compliance Database'!$B$2:$B$630,MATCH(141,Engine!$C$2:$C$630,0)))</f>
        <v/>
      </c>
      <c r="C154">
        <f>IF(ISNA(MATCH(141,Engine!$C$2:$C$630,0)),"",INDEX('Compliance Database'!$C$2:$C$630,MATCH(141,Engine!$C$2:$C$630,0)))</f>
        <v/>
      </c>
      <c r="D154" s="8">
        <f>IF(ISNA(MATCH(141,Engine!$C$2:$C$630,0)),"",INDEX('Compliance Database'!$D$2:$D$630,MATCH(141,Engine!$C$2:$C$630,0)))</f>
        <v/>
      </c>
      <c r="E154">
        <f>IF(ISNA(MATCH(141,Engine!$C$2:$C$630,0)),"",INDEX('Compliance Database'!$E$2:$E$630,MATCH(141,Engine!$C$2:$C$630,0)))</f>
        <v/>
      </c>
      <c r="F154">
        <f>IF(ISNA(MATCH(141,Engine!$C$2:$C$630,0)),"",INDEX('Compliance Database'!$F$2:$F$630,MATCH(141,Engine!$C$2:$C$630,0)))</f>
        <v/>
      </c>
      <c r="G154">
        <f>IF(ISNA(MATCH(141,Engine!$C$2:$C$630,0)),"",INDEX('Compliance Database'!$G$2:$G$630,MATCH(141,Engine!$C$2:$C$630,0)))</f>
        <v/>
      </c>
      <c r="H154">
        <f>IF(ISNA(MATCH(141,Engine!$C$2:$C$630,0)),"",INDEX('Compliance Database'!$H$2:$H$630,MATCH(141,Engine!$C$2:$C$630,0)))</f>
        <v/>
      </c>
      <c r="I154" s="8">
        <f>IF(ISNA(MATCH(141,Engine!$C$2:$C$630,0)),"",INDEX('Compliance Database'!$I$2:$I$630,MATCH(141,Engine!$C$2:$C$630,0)))</f>
        <v/>
      </c>
      <c r="J154" s="8">
        <f>IF(ISNA(MATCH(141,Engine!$C$2:$C$630,0)),"",INDEX('Compliance Database'!$J$2:$J$630,MATCH(141,Engine!$C$2:$C$630,0)))</f>
        <v/>
      </c>
      <c r="K154">
        <f>IF(ISNA(MATCH(141,Engine!$C$2:$C$630,0)),"",INDEX('Compliance Database'!$K$2:$K$630,MATCH(141,Engine!$C$2:$C$630,0)))</f>
        <v/>
      </c>
      <c r="L154" s="8">
        <f>IF(ISNA(MATCH(141,Engine!$C$2:$C$630,0)),"",INDEX('Compliance Database'!$L$2:$L$630,MATCH(141,Engine!$C$2:$C$630,0)))</f>
        <v/>
      </c>
      <c r="M154" s="8">
        <f>IF(ISNA(MATCH(141,Engine!$C$2:$C$630,0)),"",INDEX('Compliance Database'!$M$2:$M$630,MATCH(141,Engine!$C$2:$C$630,0)))</f>
        <v/>
      </c>
      <c r="N154" s="8">
        <f>IF(ISNA(MATCH(141,Engine!$C$2:$C$630,0)),"",INDEX('Compliance Database'!$N$2:$N$630,MATCH(141,Engine!$C$2:$C$630,0)))</f>
        <v/>
      </c>
      <c r="O154" s="8">
        <f>IF(ISNA(MATCH(141,Engine!$C$2:$C$630,0)),"",INDEX('Compliance Database'!$O$2:$O$630,MATCH(141,Engine!$C$2:$C$630,0)))</f>
        <v/>
      </c>
    </row>
    <row r="155">
      <c r="A155">
        <f>IF(ISNA(MATCH(142,Engine!$C$2:$C$630,0)),"",INDEX('Compliance Database'!$A$2:$A$630,MATCH(142,Engine!$C$2:$C$630,0)))</f>
        <v/>
      </c>
      <c r="B155">
        <f>IF(ISNA(MATCH(142,Engine!$C$2:$C$630,0)),"",INDEX('Compliance Database'!$B$2:$B$630,MATCH(142,Engine!$C$2:$C$630,0)))</f>
        <v/>
      </c>
      <c r="C155">
        <f>IF(ISNA(MATCH(142,Engine!$C$2:$C$630,0)),"",INDEX('Compliance Database'!$C$2:$C$630,MATCH(142,Engine!$C$2:$C$630,0)))</f>
        <v/>
      </c>
      <c r="D155" s="8">
        <f>IF(ISNA(MATCH(142,Engine!$C$2:$C$630,0)),"",INDEX('Compliance Database'!$D$2:$D$630,MATCH(142,Engine!$C$2:$C$630,0)))</f>
        <v/>
      </c>
      <c r="E155">
        <f>IF(ISNA(MATCH(142,Engine!$C$2:$C$630,0)),"",INDEX('Compliance Database'!$E$2:$E$630,MATCH(142,Engine!$C$2:$C$630,0)))</f>
        <v/>
      </c>
      <c r="F155">
        <f>IF(ISNA(MATCH(142,Engine!$C$2:$C$630,0)),"",INDEX('Compliance Database'!$F$2:$F$630,MATCH(142,Engine!$C$2:$C$630,0)))</f>
        <v/>
      </c>
      <c r="G155">
        <f>IF(ISNA(MATCH(142,Engine!$C$2:$C$630,0)),"",INDEX('Compliance Database'!$G$2:$G$630,MATCH(142,Engine!$C$2:$C$630,0)))</f>
        <v/>
      </c>
      <c r="H155">
        <f>IF(ISNA(MATCH(142,Engine!$C$2:$C$630,0)),"",INDEX('Compliance Database'!$H$2:$H$630,MATCH(142,Engine!$C$2:$C$630,0)))</f>
        <v/>
      </c>
      <c r="I155" s="8">
        <f>IF(ISNA(MATCH(142,Engine!$C$2:$C$630,0)),"",INDEX('Compliance Database'!$I$2:$I$630,MATCH(142,Engine!$C$2:$C$630,0)))</f>
        <v/>
      </c>
      <c r="J155" s="8">
        <f>IF(ISNA(MATCH(142,Engine!$C$2:$C$630,0)),"",INDEX('Compliance Database'!$J$2:$J$630,MATCH(142,Engine!$C$2:$C$630,0)))</f>
        <v/>
      </c>
      <c r="K155">
        <f>IF(ISNA(MATCH(142,Engine!$C$2:$C$630,0)),"",INDEX('Compliance Database'!$K$2:$K$630,MATCH(142,Engine!$C$2:$C$630,0)))</f>
        <v/>
      </c>
      <c r="L155" s="8">
        <f>IF(ISNA(MATCH(142,Engine!$C$2:$C$630,0)),"",INDEX('Compliance Database'!$L$2:$L$630,MATCH(142,Engine!$C$2:$C$630,0)))</f>
        <v/>
      </c>
      <c r="M155" s="8">
        <f>IF(ISNA(MATCH(142,Engine!$C$2:$C$630,0)),"",INDEX('Compliance Database'!$M$2:$M$630,MATCH(142,Engine!$C$2:$C$630,0)))</f>
        <v/>
      </c>
      <c r="N155" s="8">
        <f>IF(ISNA(MATCH(142,Engine!$C$2:$C$630,0)),"",INDEX('Compliance Database'!$N$2:$N$630,MATCH(142,Engine!$C$2:$C$630,0)))</f>
        <v/>
      </c>
      <c r="O155" s="8">
        <f>IF(ISNA(MATCH(142,Engine!$C$2:$C$630,0)),"",INDEX('Compliance Database'!$O$2:$O$630,MATCH(142,Engine!$C$2:$C$630,0)))</f>
        <v/>
      </c>
    </row>
    <row r="156">
      <c r="A156">
        <f>IF(ISNA(MATCH(143,Engine!$C$2:$C$630,0)),"",INDEX('Compliance Database'!$A$2:$A$630,MATCH(143,Engine!$C$2:$C$630,0)))</f>
        <v/>
      </c>
      <c r="B156">
        <f>IF(ISNA(MATCH(143,Engine!$C$2:$C$630,0)),"",INDEX('Compliance Database'!$B$2:$B$630,MATCH(143,Engine!$C$2:$C$630,0)))</f>
        <v/>
      </c>
      <c r="C156">
        <f>IF(ISNA(MATCH(143,Engine!$C$2:$C$630,0)),"",INDEX('Compliance Database'!$C$2:$C$630,MATCH(143,Engine!$C$2:$C$630,0)))</f>
        <v/>
      </c>
      <c r="D156" s="8">
        <f>IF(ISNA(MATCH(143,Engine!$C$2:$C$630,0)),"",INDEX('Compliance Database'!$D$2:$D$630,MATCH(143,Engine!$C$2:$C$630,0)))</f>
        <v/>
      </c>
      <c r="E156">
        <f>IF(ISNA(MATCH(143,Engine!$C$2:$C$630,0)),"",INDEX('Compliance Database'!$E$2:$E$630,MATCH(143,Engine!$C$2:$C$630,0)))</f>
        <v/>
      </c>
      <c r="F156">
        <f>IF(ISNA(MATCH(143,Engine!$C$2:$C$630,0)),"",INDEX('Compliance Database'!$F$2:$F$630,MATCH(143,Engine!$C$2:$C$630,0)))</f>
        <v/>
      </c>
      <c r="G156">
        <f>IF(ISNA(MATCH(143,Engine!$C$2:$C$630,0)),"",INDEX('Compliance Database'!$G$2:$G$630,MATCH(143,Engine!$C$2:$C$630,0)))</f>
        <v/>
      </c>
      <c r="H156">
        <f>IF(ISNA(MATCH(143,Engine!$C$2:$C$630,0)),"",INDEX('Compliance Database'!$H$2:$H$630,MATCH(143,Engine!$C$2:$C$630,0)))</f>
        <v/>
      </c>
      <c r="I156" s="8">
        <f>IF(ISNA(MATCH(143,Engine!$C$2:$C$630,0)),"",INDEX('Compliance Database'!$I$2:$I$630,MATCH(143,Engine!$C$2:$C$630,0)))</f>
        <v/>
      </c>
      <c r="J156" s="8">
        <f>IF(ISNA(MATCH(143,Engine!$C$2:$C$630,0)),"",INDEX('Compliance Database'!$J$2:$J$630,MATCH(143,Engine!$C$2:$C$630,0)))</f>
        <v/>
      </c>
      <c r="K156">
        <f>IF(ISNA(MATCH(143,Engine!$C$2:$C$630,0)),"",INDEX('Compliance Database'!$K$2:$K$630,MATCH(143,Engine!$C$2:$C$630,0)))</f>
        <v/>
      </c>
      <c r="L156" s="8">
        <f>IF(ISNA(MATCH(143,Engine!$C$2:$C$630,0)),"",INDEX('Compliance Database'!$L$2:$L$630,MATCH(143,Engine!$C$2:$C$630,0)))</f>
        <v/>
      </c>
      <c r="M156" s="8">
        <f>IF(ISNA(MATCH(143,Engine!$C$2:$C$630,0)),"",INDEX('Compliance Database'!$M$2:$M$630,MATCH(143,Engine!$C$2:$C$630,0)))</f>
        <v/>
      </c>
      <c r="N156" s="8">
        <f>IF(ISNA(MATCH(143,Engine!$C$2:$C$630,0)),"",INDEX('Compliance Database'!$N$2:$N$630,MATCH(143,Engine!$C$2:$C$630,0)))</f>
        <v/>
      </c>
      <c r="O156" s="8">
        <f>IF(ISNA(MATCH(143,Engine!$C$2:$C$630,0)),"",INDEX('Compliance Database'!$O$2:$O$630,MATCH(143,Engine!$C$2:$C$630,0)))</f>
        <v/>
      </c>
    </row>
    <row r="157">
      <c r="A157">
        <f>IF(ISNA(MATCH(144,Engine!$C$2:$C$630,0)),"",INDEX('Compliance Database'!$A$2:$A$630,MATCH(144,Engine!$C$2:$C$630,0)))</f>
        <v/>
      </c>
      <c r="B157">
        <f>IF(ISNA(MATCH(144,Engine!$C$2:$C$630,0)),"",INDEX('Compliance Database'!$B$2:$B$630,MATCH(144,Engine!$C$2:$C$630,0)))</f>
        <v/>
      </c>
      <c r="C157">
        <f>IF(ISNA(MATCH(144,Engine!$C$2:$C$630,0)),"",INDEX('Compliance Database'!$C$2:$C$630,MATCH(144,Engine!$C$2:$C$630,0)))</f>
        <v/>
      </c>
      <c r="D157" s="8">
        <f>IF(ISNA(MATCH(144,Engine!$C$2:$C$630,0)),"",INDEX('Compliance Database'!$D$2:$D$630,MATCH(144,Engine!$C$2:$C$630,0)))</f>
        <v/>
      </c>
      <c r="E157">
        <f>IF(ISNA(MATCH(144,Engine!$C$2:$C$630,0)),"",INDEX('Compliance Database'!$E$2:$E$630,MATCH(144,Engine!$C$2:$C$630,0)))</f>
        <v/>
      </c>
      <c r="F157">
        <f>IF(ISNA(MATCH(144,Engine!$C$2:$C$630,0)),"",INDEX('Compliance Database'!$F$2:$F$630,MATCH(144,Engine!$C$2:$C$630,0)))</f>
        <v/>
      </c>
      <c r="G157">
        <f>IF(ISNA(MATCH(144,Engine!$C$2:$C$630,0)),"",INDEX('Compliance Database'!$G$2:$G$630,MATCH(144,Engine!$C$2:$C$630,0)))</f>
        <v/>
      </c>
      <c r="H157">
        <f>IF(ISNA(MATCH(144,Engine!$C$2:$C$630,0)),"",INDEX('Compliance Database'!$H$2:$H$630,MATCH(144,Engine!$C$2:$C$630,0)))</f>
        <v/>
      </c>
      <c r="I157" s="8">
        <f>IF(ISNA(MATCH(144,Engine!$C$2:$C$630,0)),"",INDEX('Compliance Database'!$I$2:$I$630,MATCH(144,Engine!$C$2:$C$630,0)))</f>
        <v/>
      </c>
      <c r="J157" s="8">
        <f>IF(ISNA(MATCH(144,Engine!$C$2:$C$630,0)),"",INDEX('Compliance Database'!$J$2:$J$630,MATCH(144,Engine!$C$2:$C$630,0)))</f>
        <v/>
      </c>
      <c r="K157">
        <f>IF(ISNA(MATCH(144,Engine!$C$2:$C$630,0)),"",INDEX('Compliance Database'!$K$2:$K$630,MATCH(144,Engine!$C$2:$C$630,0)))</f>
        <v/>
      </c>
      <c r="L157" s="8">
        <f>IF(ISNA(MATCH(144,Engine!$C$2:$C$630,0)),"",INDEX('Compliance Database'!$L$2:$L$630,MATCH(144,Engine!$C$2:$C$630,0)))</f>
        <v/>
      </c>
      <c r="M157" s="8">
        <f>IF(ISNA(MATCH(144,Engine!$C$2:$C$630,0)),"",INDEX('Compliance Database'!$M$2:$M$630,MATCH(144,Engine!$C$2:$C$630,0)))</f>
        <v/>
      </c>
      <c r="N157" s="8">
        <f>IF(ISNA(MATCH(144,Engine!$C$2:$C$630,0)),"",INDEX('Compliance Database'!$N$2:$N$630,MATCH(144,Engine!$C$2:$C$630,0)))</f>
        <v/>
      </c>
      <c r="O157" s="8">
        <f>IF(ISNA(MATCH(144,Engine!$C$2:$C$630,0)),"",INDEX('Compliance Database'!$O$2:$O$630,MATCH(144,Engine!$C$2:$C$630,0)))</f>
        <v/>
      </c>
    </row>
    <row r="158">
      <c r="A158">
        <f>IF(ISNA(MATCH(145,Engine!$C$2:$C$630,0)),"",INDEX('Compliance Database'!$A$2:$A$630,MATCH(145,Engine!$C$2:$C$630,0)))</f>
        <v/>
      </c>
      <c r="B158">
        <f>IF(ISNA(MATCH(145,Engine!$C$2:$C$630,0)),"",INDEX('Compliance Database'!$B$2:$B$630,MATCH(145,Engine!$C$2:$C$630,0)))</f>
        <v/>
      </c>
      <c r="C158">
        <f>IF(ISNA(MATCH(145,Engine!$C$2:$C$630,0)),"",INDEX('Compliance Database'!$C$2:$C$630,MATCH(145,Engine!$C$2:$C$630,0)))</f>
        <v/>
      </c>
      <c r="D158" s="8">
        <f>IF(ISNA(MATCH(145,Engine!$C$2:$C$630,0)),"",INDEX('Compliance Database'!$D$2:$D$630,MATCH(145,Engine!$C$2:$C$630,0)))</f>
        <v/>
      </c>
      <c r="E158">
        <f>IF(ISNA(MATCH(145,Engine!$C$2:$C$630,0)),"",INDEX('Compliance Database'!$E$2:$E$630,MATCH(145,Engine!$C$2:$C$630,0)))</f>
        <v/>
      </c>
      <c r="F158">
        <f>IF(ISNA(MATCH(145,Engine!$C$2:$C$630,0)),"",INDEX('Compliance Database'!$F$2:$F$630,MATCH(145,Engine!$C$2:$C$630,0)))</f>
        <v/>
      </c>
      <c r="G158">
        <f>IF(ISNA(MATCH(145,Engine!$C$2:$C$630,0)),"",INDEX('Compliance Database'!$G$2:$G$630,MATCH(145,Engine!$C$2:$C$630,0)))</f>
        <v/>
      </c>
      <c r="H158">
        <f>IF(ISNA(MATCH(145,Engine!$C$2:$C$630,0)),"",INDEX('Compliance Database'!$H$2:$H$630,MATCH(145,Engine!$C$2:$C$630,0)))</f>
        <v/>
      </c>
      <c r="I158" s="8">
        <f>IF(ISNA(MATCH(145,Engine!$C$2:$C$630,0)),"",INDEX('Compliance Database'!$I$2:$I$630,MATCH(145,Engine!$C$2:$C$630,0)))</f>
        <v/>
      </c>
      <c r="J158" s="8">
        <f>IF(ISNA(MATCH(145,Engine!$C$2:$C$630,0)),"",INDEX('Compliance Database'!$J$2:$J$630,MATCH(145,Engine!$C$2:$C$630,0)))</f>
        <v/>
      </c>
      <c r="K158">
        <f>IF(ISNA(MATCH(145,Engine!$C$2:$C$630,0)),"",INDEX('Compliance Database'!$K$2:$K$630,MATCH(145,Engine!$C$2:$C$630,0)))</f>
        <v/>
      </c>
      <c r="L158" s="8">
        <f>IF(ISNA(MATCH(145,Engine!$C$2:$C$630,0)),"",INDEX('Compliance Database'!$L$2:$L$630,MATCH(145,Engine!$C$2:$C$630,0)))</f>
        <v/>
      </c>
      <c r="M158" s="8">
        <f>IF(ISNA(MATCH(145,Engine!$C$2:$C$630,0)),"",INDEX('Compliance Database'!$M$2:$M$630,MATCH(145,Engine!$C$2:$C$630,0)))</f>
        <v/>
      </c>
      <c r="N158" s="8">
        <f>IF(ISNA(MATCH(145,Engine!$C$2:$C$630,0)),"",INDEX('Compliance Database'!$N$2:$N$630,MATCH(145,Engine!$C$2:$C$630,0)))</f>
        <v/>
      </c>
      <c r="O158" s="8">
        <f>IF(ISNA(MATCH(145,Engine!$C$2:$C$630,0)),"",INDEX('Compliance Database'!$O$2:$O$630,MATCH(145,Engine!$C$2:$C$630,0)))</f>
        <v/>
      </c>
    </row>
    <row r="159">
      <c r="A159">
        <f>IF(ISNA(MATCH(146,Engine!$C$2:$C$630,0)),"",INDEX('Compliance Database'!$A$2:$A$630,MATCH(146,Engine!$C$2:$C$630,0)))</f>
        <v/>
      </c>
      <c r="B159">
        <f>IF(ISNA(MATCH(146,Engine!$C$2:$C$630,0)),"",INDEX('Compliance Database'!$B$2:$B$630,MATCH(146,Engine!$C$2:$C$630,0)))</f>
        <v/>
      </c>
      <c r="C159">
        <f>IF(ISNA(MATCH(146,Engine!$C$2:$C$630,0)),"",INDEX('Compliance Database'!$C$2:$C$630,MATCH(146,Engine!$C$2:$C$630,0)))</f>
        <v/>
      </c>
      <c r="D159" s="8">
        <f>IF(ISNA(MATCH(146,Engine!$C$2:$C$630,0)),"",INDEX('Compliance Database'!$D$2:$D$630,MATCH(146,Engine!$C$2:$C$630,0)))</f>
        <v/>
      </c>
      <c r="E159">
        <f>IF(ISNA(MATCH(146,Engine!$C$2:$C$630,0)),"",INDEX('Compliance Database'!$E$2:$E$630,MATCH(146,Engine!$C$2:$C$630,0)))</f>
        <v/>
      </c>
      <c r="F159">
        <f>IF(ISNA(MATCH(146,Engine!$C$2:$C$630,0)),"",INDEX('Compliance Database'!$F$2:$F$630,MATCH(146,Engine!$C$2:$C$630,0)))</f>
        <v/>
      </c>
      <c r="G159">
        <f>IF(ISNA(MATCH(146,Engine!$C$2:$C$630,0)),"",INDEX('Compliance Database'!$G$2:$G$630,MATCH(146,Engine!$C$2:$C$630,0)))</f>
        <v/>
      </c>
      <c r="H159">
        <f>IF(ISNA(MATCH(146,Engine!$C$2:$C$630,0)),"",INDEX('Compliance Database'!$H$2:$H$630,MATCH(146,Engine!$C$2:$C$630,0)))</f>
        <v/>
      </c>
      <c r="I159" s="8">
        <f>IF(ISNA(MATCH(146,Engine!$C$2:$C$630,0)),"",INDEX('Compliance Database'!$I$2:$I$630,MATCH(146,Engine!$C$2:$C$630,0)))</f>
        <v/>
      </c>
      <c r="J159" s="8">
        <f>IF(ISNA(MATCH(146,Engine!$C$2:$C$630,0)),"",INDEX('Compliance Database'!$J$2:$J$630,MATCH(146,Engine!$C$2:$C$630,0)))</f>
        <v/>
      </c>
      <c r="K159">
        <f>IF(ISNA(MATCH(146,Engine!$C$2:$C$630,0)),"",INDEX('Compliance Database'!$K$2:$K$630,MATCH(146,Engine!$C$2:$C$630,0)))</f>
        <v/>
      </c>
      <c r="L159" s="8">
        <f>IF(ISNA(MATCH(146,Engine!$C$2:$C$630,0)),"",INDEX('Compliance Database'!$L$2:$L$630,MATCH(146,Engine!$C$2:$C$630,0)))</f>
        <v/>
      </c>
      <c r="M159" s="8">
        <f>IF(ISNA(MATCH(146,Engine!$C$2:$C$630,0)),"",INDEX('Compliance Database'!$M$2:$M$630,MATCH(146,Engine!$C$2:$C$630,0)))</f>
        <v/>
      </c>
      <c r="N159" s="8">
        <f>IF(ISNA(MATCH(146,Engine!$C$2:$C$630,0)),"",INDEX('Compliance Database'!$N$2:$N$630,MATCH(146,Engine!$C$2:$C$630,0)))</f>
        <v/>
      </c>
      <c r="O159" s="8">
        <f>IF(ISNA(MATCH(146,Engine!$C$2:$C$630,0)),"",INDEX('Compliance Database'!$O$2:$O$630,MATCH(146,Engine!$C$2:$C$630,0)))</f>
        <v/>
      </c>
    </row>
    <row r="160">
      <c r="A160">
        <f>IF(ISNA(MATCH(147,Engine!$C$2:$C$630,0)),"",INDEX('Compliance Database'!$A$2:$A$630,MATCH(147,Engine!$C$2:$C$630,0)))</f>
        <v/>
      </c>
      <c r="B160">
        <f>IF(ISNA(MATCH(147,Engine!$C$2:$C$630,0)),"",INDEX('Compliance Database'!$B$2:$B$630,MATCH(147,Engine!$C$2:$C$630,0)))</f>
        <v/>
      </c>
      <c r="C160">
        <f>IF(ISNA(MATCH(147,Engine!$C$2:$C$630,0)),"",INDEX('Compliance Database'!$C$2:$C$630,MATCH(147,Engine!$C$2:$C$630,0)))</f>
        <v/>
      </c>
      <c r="D160" s="8">
        <f>IF(ISNA(MATCH(147,Engine!$C$2:$C$630,0)),"",INDEX('Compliance Database'!$D$2:$D$630,MATCH(147,Engine!$C$2:$C$630,0)))</f>
        <v/>
      </c>
      <c r="E160">
        <f>IF(ISNA(MATCH(147,Engine!$C$2:$C$630,0)),"",INDEX('Compliance Database'!$E$2:$E$630,MATCH(147,Engine!$C$2:$C$630,0)))</f>
        <v/>
      </c>
      <c r="F160">
        <f>IF(ISNA(MATCH(147,Engine!$C$2:$C$630,0)),"",INDEX('Compliance Database'!$F$2:$F$630,MATCH(147,Engine!$C$2:$C$630,0)))</f>
        <v/>
      </c>
      <c r="G160">
        <f>IF(ISNA(MATCH(147,Engine!$C$2:$C$630,0)),"",INDEX('Compliance Database'!$G$2:$G$630,MATCH(147,Engine!$C$2:$C$630,0)))</f>
        <v/>
      </c>
      <c r="H160">
        <f>IF(ISNA(MATCH(147,Engine!$C$2:$C$630,0)),"",INDEX('Compliance Database'!$H$2:$H$630,MATCH(147,Engine!$C$2:$C$630,0)))</f>
        <v/>
      </c>
      <c r="I160" s="8">
        <f>IF(ISNA(MATCH(147,Engine!$C$2:$C$630,0)),"",INDEX('Compliance Database'!$I$2:$I$630,MATCH(147,Engine!$C$2:$C$630,0)))</f>
        <v/>
      </c>
      <c r="J160" s="8">
        <f>IF(ISNA(MATCH(147,Engine!$C$2:$C$630,0)),"",INDEX('Compliance Database'!$J$2:$J$630,MATCH(147,Engine!$C$2:$C$630,0)))</f>
        <v/>
      </c>
      <c r="K160">
        <f>IF(ISNA(MATCH(147,Engine!$C$2:$C$630,0)),"",INDEX('Compliance Database'!$K$2:$K$630,MATCH(147,Engine!$C$2:$C$630,0)))</f>
        <v/>
      </c>
      <c r="L160" s="8">
        <f>IF(ISNA(MATCH(147,Engine!$C$2:$C$630,0)),"",INDEX('Compliance Database'!$L$2:$L$630,MATCH(147,Engine!$C$2:$C$630,0)))</f>
        <v/>
      </c>
      <c r="M160" s="8">
        <f>IF(ISNA(MATCH(147,Engine!$C$2:$C$630,0)),"",INDEX('Compliance Database'!$M$2:$M$630,MATCH(147,Engine!$C$2:$C$630,0)))</f>
        <v/>
      </c>
      <c r="N160" s="8">
        <f>IF(ISNA(MATCH(147,Engine!$C$2:$C$630,0)),"",INDEX('Compliance Database'!$N$2:$N$630,MATCH(147,Engine!$C$2:$C$630,0)))</f>
        <v/>
      </c>
      <c r="O160" s="8">
        <f>IF(ISNA(MATCH(147,Engine!$C$2:$C$630,0)),"",INDEX('Compliance Database'!$O$2:$O$630,MATCH(147,Engine!$C$2:$C$630,0)))</f>
        <v/>
      </c>
    </row>
    <row r="161">
      <c r="A161">
        <f>IF(ISNA(MATCH(148,Engine!$C$2:$C$630,0)),"",INDEX('Compliance Database'!$A$2:$A$630,MATCH(148,Engine!$C$2:$C$630,0)))</f>
        <v/>
      </c>
      <c r="B161">
        <f>IF(ISNA(MATCH(148,Engine!$C$2:$C$630,0)),"",INDEX('Compliance Database'!$B$2:$B$630,MATCH(148,Engine!$C$2:$C$630,0)))</f>
        <v/>
      </c>
      <c r="C161">
        <f>IF(ISNA(MATCH(148,Engine!$C$2:$C$630,0)),"",INDEX('Compliance Database'!$C$2:$C$630,MATCH(148,Engine!$C$2:$C$630,0)))</f>
        <v/>
      </c>
      <c r="D161" s="8">
        <f>IF(ISNA(MATCH(148,Engine!$C$2:$C$630,0)),"",INDEX('Compliance Database'!$D$2:$D$630,MATCH(148,Engine!$C$2:$C$630,0)))</f>
        <v/>
      </c>
      <c r="E161">
        <f>IF(ISNA(MATCH(148,Engine!$C$2:$C$630,0)),"",INDEX('Compliance Database'!$E$2:$E$630,MATCH(148,Engine!$C$2:$C$630,0)))</f>
        <v/>
      </c>
      <c r="F161">
        <f>IF(ISNA(MATCH(148,Engine!$C$2:$C$630,0)),"",INDEX('Compliance Database'!$F$2:$F$630,MATCH(148,Engine!$C$2:$C$630,0)))</f>
        <v/>
      </c>
      <c r="G161">
        <f>IF(ISNA(MATCH(148,Engine!$C$2:$C$630,0)),"",INDEX('Compliance Database'!$G$2:$G$630,MATCH(148,Engine!$C$2:$C$630,0)))</f>
        <v/>
      </c>
      <c r="H161">
        <f>IF(ISNA(MATCH(148,Engine!$C$2:$C$630,0)),"",INDEX('Compliance Database'!$H$2:$H$630,MATCH(148,Engine!$C$2:$C$630,0)))</f>
        <v/>
      </c>
      <c r="I161" s="8">
        <f>IF(ISNA(MATCH(148,Engine!$C$2:$C$630,0)),"",INDEX('Compliance Database'!$I$2:$I$630,MATCH(148,Engine!$C$2:$C$630,0)))</f>
        <v/>
      </c>
      <c r="J161" s="8">
        <f>IF(ISNA(MATCH(148,Engine!$C$2:$C$630,0)),"",INDEX('Compliance Database'!$J$2:$J$630,MATCH(148,Engine!$C$2:$C$630,0)))</f>
        <v/>
      </c>
      <c r="K161">
        <f>IF(ISNA(MATCH(148,Engine!$C$2:$C$630,0)),"",INDEX('Compliance Database'!$K$2:$K$630,MATCH(148,Engine!$C$2:$C$630,0)))</f>
        <v/>
      </c>
      <c r="L161" s="8">
        <f>IF(ISNA(MATCH(148,Engine!$C$2:$C$630,0)),"",INDEX('Compliance Database'!$L$2:$L$630,MATCH(148,Engine!$C$2:$C$630,0)))</f>
        <v/>
      </c>
      <c r="M161" s="8">
        <f>IF(ISNA(MATCH(148,Engine!$C$2:$C$630,0)),"",INDEX('Compliance Database'!$M$2:$M$630,MATCH(148,Engine!$C$2:$C$630,0)))</f>
        <v/>
      </c>
      <c r="N161" s="8">
        <f>IF(ISNA(MATCH(148,Engine!$C$2:$C$630,0)),"",INDEX('Compliance Database'!$N$2:$N$630,MATCH(148,Engine!$C$2:$C$630,0)))</f>
        <v/>
      </c>
      <c r="O161" s="8">
        <f>IF(ISNA(MATCH(148,Engine!$C$2:$C$630,0)),"",INDEX('Compliance Database'!$O$2:$O$630,MATCH(148,Engine!$C$2:$C$630,0)))</f>
        <v/>
      </c>
    </row>
    <row r="162">
      <c r="A162">
        <f>IF(ISNA(MATCH(149,Engine!$C$2:$C$630,0)),"",INDEX('Compliance Database'!$A$2:$A$630,MATCH(149,Engine!$C$2:$C$630,0)))</f>
        <v/>
      </c>
      <c r="B162">
        <f>IF(ISNA(MATCH(149,Engine!$C$2:$C$630,0)),"",INDEX('Compliance Database'!$B$2:$B$630,MATCH(149,Engine!$C$2:$C$630,0)))</f>
        <v/>
      </c>
      <c r="C162">
        <f>IF(ISNA(MATCH(149,Engine!$C$2:$C$630,0)),"",INDEX('Compliance Database'!$C$2:$C$630,MATCH(149,Engine!$C$2:$C$630,0)))</f>
        <v/>
      </c>
      <c r="D162" s="8">
        <f>IF(ISNA(MATCH(149,Engine!$C$2:$C$630,0)),"",INDEX('Compliance Database'!$D$2:$D$630,MATCH(149,Engine!$C$2:$C$630,0)))</f>
        <v/>
      </c>
      <c r="E162">
        <f>IF(ISNA(MATCH(149,Engine!$C$2:$C$630,0)),"",INDEX('Compliance Database'!$E$2:$E$630,MATCH(149,Engine!$C$2:$C$630,0)))</f>
        <v/>
      </c>
      <c r="F162">
        <f>IF(ISNA(MATCH(149,Engine!$C$2:$C$630,0)),"",INDEX('Compliance Database'!$F$2:$F$630,MATCH(149,Engine!$C$2:$C$630,0)))</f>
        <v/>
      </c>
      <c r="G162">
        <f>IF(ISNA(MATCH(149,Engine!$C$2:$C$630,0)),"",INDEX('Compliance Database'!$G$2:$G$630,MATCH(149,Engine!$C$2:$C$630,0)))</f>
        <v/>
      </c>
      <c r="H162">
        <f>IF(ISNA(MATCH(149,Engine!$C$2:$C$630,0)),"",INDEX('Compliance Database'!$H$2:$H$630,MATCH(149,Engine!$C$2:$C$630,0)))</f>
        <v/>
      </c>
      <c r="I162" s="8">
        <f>IF(ISNA(MATCH(149,Engine!$C$2:$C$630,0)),"",INDEX('Compliance Database'!$I$2:$I$630,MATCH(149,Engine!$C$2:$C$630,0)))</f>
        <v/>
      </c>
      <c r="J162" s="8">
        <f>IF(ISNA(MATCH(149,Engine!$C$2:$C$630,0)),"",INDEX('Compliance Database'!$J$2:$J$630,MATCH(149,Engine!$C$2:$C$630,0)))</f>
        <v/>
      </c>
      <c r="K162">
        <f>IF(ISNA(MATCH(149,Engine!$C$2:$C$630,0)),"",INDEX('Compliance Database'!$K$2:$K$630,MATCH(149,Engine!$C$2:$C$630,0)))</f>
        <v/>
      </c>
      <c r="L162" s="8">
        <f>IF(ISNA(MATCH(149,Engine!$C$2:$C$630,0)),"",INDEX('Compliance Database'!$L$2:$L$630,MATCH(149,Engine!$C$2:$C$630,0)))</f>
        <v/>
      </c>
      <c r="M162" s="8">
        <f>IF(ISNA(MATCH(149,Engine!$C$2:$C$630,0)),"",INDEX('Compliance Database'!$M$2:$M$630,MATCH(149,Engine!$C$2:$C$630,0)))</f>
        <v/>
      </c>
      <c r="N162" s="8">
        <f>IF(ISNA(MATCH(149,Engine!$C$2:$C$630,0)),"",INDEX('Compliance Database'!$N$2:$N$630,MATCH(149,Engine!$C$2:$C$630,0)))</f>
        <v/>
      </c>
      <c r="O162" s="8">
        <f>IF(ISNA(MATCH(149,Engine!$C$2:$C$630,0)),"",INDEX('Compliance Database'!$O$2:$O$630,MATCH(149,Engine!$C$2:$C$630,0)))</f>
        <v/>
      </c>
    </row>
    <row r="163">
      <c r="A163">
        <f>IF(ISNA(MATCH(150,Engine!$C$2:$C$630,0)),"",INDEX('Compliance Database'!$A$2:$A$630,MATCH(150,Engine!$C$2:$C$630,0)))</f>
        <v/>
      </c>
      <c r="B163">
        <f>IF(ISNA(MATCH(150,Engine!$C$2:$C$630,0)),"",INDEX('Compliance Database'!$B$2:$B$630,MATCH(150,Engine!$C$2:$C$630,0)))</f>
        <v/>
      </c>
      <c r="C163">
        <f>IF(ISNA(MATCH(150,Engine!$C$2:$C$630,0)),"",INDEX('Compliance Database'!$C$2:$C$630,MATCH(150,Engine!$C$2:$C$630,0)))</f>
        <v/>
      </c>
      <c r="D163" s="8">
        <f>IF(ISNA(MATCH(150,Engine!$C$2:$C$630,0)),"",INDEX('Compliance Database'!$D$2:$D$630,MATCH(150,Engine!$C$2:$C$630,0)))</f>
        <v/>
      </c>
      <c r="E163">
        <f>IF(ISNA(MATCH(150,Engine!$C$2:$C$630,0)),"",INDEX('Compliance Database'!$E$2:$E$630,MATCH(150,Engine!$C$2:$C$630,0)))</f>
        <v/>
      </c>
      <c r="F163">
        <f>IF(ISNA(MATCH(150,Engine!$C$2:$C$630,0)),"",INDEX('Compliance Database'!$F$2:$F$630,MATCH(150,Engine!$C$2:$C$630,0)))</f>
        <v/>
      </c>
      <c r="G163">
        <f>IF(ISNA(MATCH(150,Engine!$C$2:$C$630,0)),"",INDEX('Compliance Database'!$G$2:$G$630,MATCH(150,Engine!$C$2:$C$630,0)))</f>
        <v/>
      </c>
      <c r="H163">
        <f>IF(ISNA(MATCH(150,Engine!$C$2:$C$630,0)),"",INDEX('Compliance Database'!$H$2:$H$630,MATCH(150,Engine!$C$2:$C$630,0)))</f>
        <v/>
      </c>
      <c r="I163" s="8">
        <f>IF(ISNA(MATCH(150,Engine!$C$2:$C$630,0)),"",INDEX('Compliance Database'!$I$2:$I$630,MATCH(150,Engine!$C$2:$C$630,0)))</f>
        <v/>
      </c>
      <c r="J163" s="8">
        <f>IF(ISNA(MATCH(150,Engine!$C$2:$C$630,0)),"",INDEX('Compliance Database'!$J$2:$J$630,MATCH(150,Engine!$C$2:$C$630,0)))</f>
        <v/>
      </c>
      <c r="K163">
        <f>IF(ISNA(MATCH(150,Engine!$C$2:$C$630,0)),"",INDEX('Compliance Database'!$K$2:$K$630,MATCH(150,Engine!$C$2:$C$630,0)))</f>
        <v/>
      </c>
      <c r="L163" s="8">
        <f>IF(ISNA(MATCH(150,Engine!$C$2:$C$630,0)),"",INDEX('Compliance Database'!$L$2:$L$630,MATCH(150,Engine!$C$2:$C$630,0)))</f>
        <v/>
      </c>
      <c r="M163" s="8">
        <f>IF(ISNA(MATCH(150,Engine!$C$2:$C$630,0)),"",INDEX('Compliance Database'!$M$2:$M$630,MATCH(150,Engine!$C$2:$C$630,0)))</f>
        <v/>
      </c>
      <c r="N163" s="8">
        <f>IF(ISNA(MATCH(150,Engine!$C$2:$C$630,0)),"",INDEX('Compliance Database'!$N$2:$N$630,MATCH(150,Engine!$C$2:$C$630,0)))</f>
        <v/>
      </c>
      <c r="O163" s="8">
        <f>IF(ISNA(MATCH(150,Engine!$C$2:$C$630,0)),"",INDEX('Compliance Database'!$O$2:$O$630,MATCH(150,Engine!$C$2:$C$630,0)))</f>
        <v/>
      </c>
    </row>
    <row r="164">
      <c r="A164">
        <f>IF(ISNA(MATCH(151,Engine!$C$2:$C$630,0)),"",INDEX('Compliance Database'!$A$2:$A$630,MATCH(151,Engine!$C$2:$C$630,0)))</f>
        <v/>
      </c>
      <c r="B164">
        <f>IF(ISNA(MATCH(151,Engine!$C$2:$C$630,0)),"",INDEX('Compliance Database'!$B$2:$B$630,MATCH(151,Engine!$C$2:$C$630,0)))</f>
        <v/>
      </c>
      <c r="C164">
        <f>IF(ISNA(MATCH(151,Engine!$C$2:$C$630,0)),"",INDEX('Compliance Database'!$C$2:$C$630,MATCH(151,Engine!$C$2:$C$630,0)))</f>
        <v/>
      </c>
      <c r="D164" s="8">
        <f>IF(ISNA(MATCH(151,Engine!$C$2:$C$630,0)),"",INDEX('Compliance Database'!$D$2:$D$630,MATCH(151,Engine!$C$2:$C$630,0)))</f>
        <v/>
      </c>
      <c r="E164">
        <f>IF(ISNA(MATCH(151,Engine!$C$2:$C$630,0)),"",INDEX('Compliance Database'!$E$2:$E$630,MATCH(151,Engine!$C$2:$C$630,0)))</f>
        <v/>
      </c>
      <c r="F164">
        <f>IF(ISNA(MATCH(151,Engine!$C$2:$C$630,0)),"",INDEX('Compliance Database'!$F$2:$F$630,MATCH(151,Engine!$C$2:$C$630,0)))</f>
        <v/>
      </c>
      <c r="G164">
        <f>IF(ISNA(MATCH(151,Engine!$C$2:$C$630,0)),"",INDEX('Compliance Database'!$G$2:$G$630,MATCH(151,Engine!$C$2:$C$630,0)))</f>
        <v/>
      </c>
      <c r="H164">
        <f>IF(ISNA(MATCH(151,Engine!$C$2:$C$630,0)),"",INDEX('Compliance Database'!$H$2:$H$630,MATCH(151,Engine!$C$2:$C$630,0)))</f>
        <v/>
      </c>
      <c r="I164" s="8">
        <f>IF(ISNA(MATCH(151,Engine!$C$2:$C$630,0)),"",INDEX('Compliance Database'!$I$2:$I$630,MATCH(151,Engine!$C$2:$C$630,0)))</f>
        <v/>
      </c>
      <c r="J164" s="8">
        <f>IF(ISNA(MATCH(151,Engine!$C$2:$C$630,0)),"",INDEX('Compliance Database'!$J$2:$J$630,MATCH(151,Engine!$C$2:$C$630,0)))</f>
        <v/>
      </c>
      <c r="K164">
        <f>IF(ISNA(MATCH(151,Engine!$C$2:$C$630,0)),"",INDEX('Compliance Database'!$K$2:$K$630,MATCH(151,Engine!$C$2:$C$630,0)))</f>
        <v/>
      </c>
      <c r="L164" s="8">
        <f>IF(ISNA(MATCH(151,Engine!$C$2:$C$630,0)),"",INDEX('Compliance Database'!$L$2:$L$630,MATCH(151,Engine!$C$2:$C$630,0)))</f>
        <v/>
      </c>
      <c r="M164" s="8">
        <f>IF(ISNA(MATCH(151,Engine!$C$2:$C$630,0)),"",INDEX('Compliance Database'!$M$2:$M$630,MATCH(151,Engine!$C$2:$C$630,0)))</f>
        <v/>
      </c>
      <c r="N164" s="8">
        <f>IF(ISNA(MATCH(151,Engine!$C$2:$C$630,0)),"",INDEX('Compliance Database'!$N$2:$N$630,MATCH(151,Engine!$C$2:$C$630,0)))</f>
        <v/>
      </c>
      <c r="O164" s="8">
        <f>IF(ISNA(MATCH(151,Engine!$C$2:$C$630,0)),"",INDEX('Compliance Database'!$O$2:$O$630,MATCH(151,Engine!$C$2:$C$630,0)))</f>
        <v/>
      </c>
    </row>
    <row r="165">
      <c r="A165">
        <f>IF(ISNA(MATCH(152,Engine!$C$2:$C$630,0)),"",INDEX('Compliance Database'!$A$2:$A$630,MATCH(152,Engine!$C$2:$C$630,0)))</f>
        <v/>
      </c>
      <c r="B165">
        <f>IF(ISNA(MATCH(152,Engine!$C$2:$C$630,0)),"",INDEX('Compliance Database'!$B$2:$B$630,MATCH(152,Engine!$C$2:$C$630,0)))</f>
        <v/>
      </c>
      <c r="C165">
        <f>IF(ISNA(MATCH(152,Engine!$C$2:$C$630,0)),"",INDEX('Compliance Database'!$C$2:$C$630,MATCH(152,Engine!$C$2:$C$630,0)))</f>
        <v/>
      </c>
      <c r="D165" s="8">
        <f>IF(ISNA(MATCH(152,Engine!$C$2:$C$630,0)),"",INDEX('Compliance Database'!$D$2:$D$630,MATCH(152,Engine!$C$2:$C$630,0)))</f>
        <v/>
      </c>
      <c r="E165">
        <f>IF(ISNA(MATCH(152,Engine!$C$2:$C$630,0)),"",INDEX('Compliance Database'!$E$2:$E$630,MATCH(152,Engine!$C$2:$C$630,0)))</f>
        <v/>
      </c>
      <c r="F165">
        <f>IF(ISNA(MATCH(152,Engine!$C$2:$C$630,0)),"",INDEX('Compliance Database'!$F$2:$F$630,MATCH(152,Engine!$C$2:$C$630,0)))</f>
        <v/>
      </c>
      <c r="G165">
        <f>IF(ISNA(MATCH(152,Engine!$C$2:$C$630,0)),"",INDEX('Compliance Database'!$G$2:$G$630,MATCH(152,Engine!$C$2:$C$630,0)))</f>
        <v/>
      </c>
      <c r="H165">
        <f>IF(ISNA(MATCH(152,Engine!$C$2:$C$630,0)),"",INDEX('Compliance Database'!$H$2:$H$630,MATCH(152,Engine!$C$2:$C$630,0)))</f>
        <v/>
      </c>
      <c r="I165" s="8">
        <f>IF(ISNA(MATCH(152,Engine!$C$2:$C$630,0)),"",INDEX('Compliance Database'!$I$2:$I$630,MATCH(152,Engine!$C$2:$C$630,0)))</f>
        <v/>
      </c>
      <c r="J165" s="8">
        <f>IF(ISNA(MATCH(152,Engine!$C$2:$C$630,0)),"",INDEX('Compliance Database'!$J$2:$J$630,MATCH(152,Engine!$C$2:$C$630,0)))</f>
        <v/>
      </c>
      <c r="K165">
        <f>IF(ISNA(MATCH(152,Engine!$C$2:$C$630,0)),"",INDEX('Compliance Database'!$K$2:$K$630,MATCH(152,Engine!$C$2:$C$630,0)))</f>
        <v/>
      </c>
      <c r="L165" s="8">
        <f>IF(ISNA(MATCH(152,Engine!$C$2:$C$630,0)),"",INDEX('Compliance Database'!$L$2:$L$630,MATCH(152,Engine!$C$2:$C$630,0)))</f>
        <v/>
      </c>
      <c r="M165" s="8">
        <f>IF(ISNA(MATCH(152,Engine!$C$2:$C$630,0)),"",INDEX('Compliance Database'!$M$2:$M$630,MATCH(152,Engine!$C$2:$C$630,0)))</f>
        <v/>
      </c>
      <c r="N165" s="8">
        <f>IF(ISNA(MATCH(152,Engine!$C$2:$C$630,0)),"",INDEX('Compliance Database'!$N$2:$N$630,MATCH(152,Engine!$C$2:$C$630,0)))</f>
        <v/>
      </c>
      <c r="O165" s="8">
        <f>IF(ISNA(MATCH(152,Engine!$C$2:$C$630,0)),"",INDEX('Compliance Database'!$O$2:$O$630,MATCH(152,Engine!$C$2:$C$630,0)))</f>
        <v/>
      </c>
    </row>
    <row r="166">
      <c r="A166">
        <f>IF(ISNA(MATCH(153,Engine!$C$2:$C$630,0)),"",INDEX('Compliance Database'!$A$2:$A$630,MATCH(153,Engine!$C$2:$C$630,0)))</f>
        <v/>
      </c>
      <c r="B166">
        <f>IF(ISNA(MATCH(153,Engine!$C$2:$C$630,0)),"",INDEX('Compliance Database'!$B$2:$B$630,MATCH(153,Engine!$C$2:$C$630,0)))</f>
        <v/>
      </c>
      <c r="C166">
        <f>IF(ISNA(MATCH(153,Engine!$C$2:$C$630,0)),"",INDEX('Compliance Database'!$C$2:$C$630,MATCH(153,Engine!$C$2:$C$630,0)))</f>
        <v/>
      </c>
      <c r="D166" s="8">
        <f>IF(ISNA(MATCH(153,Engine!$C$2:$C$630,0)),"",INDEX('Compliance Database'!$D$2:$D$630,MATCH(153,Engine!$C$2:$C$630,0)))</f>
        <v/>
      </c>
      <c r="E166">
        <f>IF(ISNA(MATCH(153,Engine!$C$2:$C$630,0)),"",INDEX('Compliance Database'!$E$2:$E$630,MATCH(153,Engine!$C$2:$C$630,0)))</f>
        <v/>
      </c>
      <c r="F166">
        <f>IF(ISNA(MATCH(153,Engine!$C$2:$C$630,0)),"",INDEX('Compliance Database'!$F$2:$F$630,MATCH(153,Engine!$C$2:$C$630,0)))</f>
        <v/>
      </c>
      <c r="G166">
        <f>IF(ISNA(MATCH(153,Engine!$C$2:$C$630,0)),"",INDEX('Compliance Database'!$G$2:$G$630,MATCH(153,Engine!$C$2:$C$630,0)))</f>
        <v/>
      </c>
      <c r="H166">
        <f>IF(ISNA(MATCH(153,Engine!$C$2:$C$630,0)),"",INDEX('Compliance Database'!$H$2:$H$630,MATCH(153,Engine!$C$2:$C$630,0)))</f>
        <v/>
      </c>
      <c r="I166" s="8">
        <f>IF(ISNA(MATCH(153,Engine!$C$2:$C$630,0)),"",INDEX('Compliance Database'!$I$2:$I$630,MATCH(153,Engine!$C$2:$C$630,0)))</f>
        <v/>
      </c>
      <c r="J166" s="8">
        <f>IF(ISNA(MATCH(153,Engine!$C$2:$C$630,0)),"",INDEX('Compliance Database'!$J$2:$J$630,MATCH(153,Engine!$C$2:$C$630,0)))</f>
        <v/>
      </c>
      <c r="K166">
        <f>IF(ISNA(MATCH(153,Engine!$C$2:$C$630,0)),"",INDEX('Compliance Database'!$K$2:$K$630,MATCH(153,Engine!$C$2:$C$630,0)))</f>
        <v/>
      </c>
      <c r="L166" s="8">
        <f>IF(ISNA(MATCH(153,Engine!$C$2:$C$630,0)),"",INDEX('Compliance Database'!$L$2:$L$630,MATCH(153,Engine!$C$2:$C$630,0)))</f>
        <v/>
      </c>
      <c r="M166" s="8">
        <f>IF(ISNA(MATCH(153,Engine!$C$2:$C$630,0)),"",INDEX('Compliance Database'!$M$2:$M$630,MATCH(153,Engine!$C$2:$C$630,0)))</f>
        <v/>
      </c>
      <c r="N166" s="8">
        <f>IF(ISNA(MATCH(153,Engine!$C$2:$C$630,0)),"",INDEX('Compliance Database'!$N$2:$N$630,MATCH(153,Engine!$C$2:$C$630,0)))</f>
        <v/>
      </c>
      <c r="O166" s="8">
        <f>IF(ISNA(MATCH(153,Engine!$C$2:$C$630,0)),"",INDEX('Compliance Database'!$O$2:$O$630,MATCH(153,Engine!$C$2:$C$630,0)))</f>
        <v/>
      </c>
    </row>
    <row r="167">
      <c r="A167">
        <f>IF(ISNA(MATCH(154,Engine!$C$2:$C$630,0)),"",INDEX('Compliance Database'!$A$2:$A$630,MATCH(154,Engine!$C$2:$C$630,0)))</f>
        <v/>
      </c>
      <c r="B167">
        <f>IF(ISNA(MATCH(154,Engine!$C$2:$C$630,0)),"",INDEX('Compliance Database'!$B$2:$B$630,MATCH(154,Engine!$C$2:$C$630,0)))</f>
        <v/>
      </c>
      <c r="C167">
        <f>IF(ISNA(MATCH(154,Engine!$C$2:$C$630,0)),"",INDEX('Compliance Database'!$C$2:$C$630,MATCH(154,Engine!$C$2:$C$630,0)))</f>
        <v/>
      </c>
      <c r="D167" s="8">
        <f>IF(ISNA(MATCH(154,Engine!$C$2:$C$630,0)),"",INDEX('Compliance Database'!$D$2:$D$630,MATCH(154,Engine!$C$2:$C$630,0)))</f>
        <v/>
      </c>
      <c r="E167">
        <f>IF(ISNA(MATCH(154,Engine!$C$2:$C$630,0)),"",INDEX('Compliance Database'!$E$2:$E$630,MATCH(154,Engine!$C$2:$C$630,0)))</f>
        <v/>
      </c>
      <c r="F167">
        <f>IF(ISNA(MATCH(154,Engine!$C$2:$C$630,0)),"",INDEX('Compliance Database'!$F$2:$F$630,MATCH(154,Engine!$C$2:$C$630,0)))</f>
        <v/>
      </c>
      <c r="G167">
        <f>IF(ISNA(MATCH(154,Engine!$C$2:$C$630,0)),"",INDEX('Compliance Database'!$G$2:$G$630,MATCH(154,Engine!$C$2:$C$630,0)))</f>
        <v/>
      </c>
      <c r="H167">
        <f>IF(ISNA(MATCH(154,Engine!$C$2:$C$630,0)),"",INDEX('Compliance Database'!$H$2:$H$630,MATCH(154,Engine!$C$2:$C$630,0)))</f>
        <v/>
      </c>
      <c r="I167" s="8">
        <f>IF(ISNA(MATCH(154,Engine!$C$2:$C$630,0)),"",INDEX('Compliance Database'!$I$2:$I$630,MATCH(154,Engine!$C$2:$C$630,0)))</f>
        <v/>
      </c>
      <c r="J167" s="8">
        <f>IF(ISNA(MATCH(154,Engine!$C$2:$C$630,0)),"",INDEX('Compliance Database'!$J$2:$J$630,MATCH(154,Engine!$C$2:$C$630,0)))</f>
        <v/>
      </c>
      <c r="K167">
        <f>IF(ISNA(MATCH(154,Engine!$C$2:$C$630,0)),"",INDEX('Compliance Database'!$K$2:$K$630,MATCH(154,Engine!$C$2:$C$630,0)))</f>
        <v/>
      </c>
      <c r="L167" s="8">
        <f>IF(ISNA(MATCH(154,Engine!$C$2:$C$630,0)),"",INDEX('Compliance Database'!$L$2:$L$630,MATCH(154,Engine!$C$2:$C$630,0)))</f>
        <v/>
      </c>
      <c r="M167" s="8">
        <f>IF(ISNA(MATCH(154,Engine!$C$2:$C$630,0)),"",INDEX('Compliance Database'!$M$2:$M$630,MATCH(154,Engine!$C$2:$C$630,0)))</f>
        <v/>
      </c>
      <c r="N167" s="8">
        <f>IF(ISNA(MATCH(154,Engine!$C$2:$C$630,0)),"",INDEX('Compliance Database'!$N$2:$N$630,MATCH(154,Engine!$C$2:$C$630,0)))</f>
        <v/>
      </c>
      <c r="O167" s="8">
        <f>IF(ISNA(MATCH(154,Engine!$C$2:$C$630,0)),"",INDEX('Compliance Database'!$O$2:$O$630,MATCH(154,Engine!$C$2:$C$630,0)))</f>
        <v/>
      </c>
    </row>
    <row r="168">
      <c r="A168">
        <f>IF(ISNA(MATCH(155,Engine!$C$2:$C$630,0)),"",INDEX('Compliance Database'!$A$2:$A$630,MATCH(155,Engine!$C$2:$C$630,0)))</f>
        <v/>
      </c>
      <c r="B168">
        <f>IF(ISNA(MATCH(155,Engine!$C$2:$C$630,0)),"",INDEX('Compliance Database'!$B$2:$B$630,MATCH(155,Engine!$C$2:$C$630,0)))</f>
        <v/>
      </c>
      <c r="C168">
        <f>IF(ISNA(MATCH(155,Engine!$C$2:$C$630,0)),"",INDEX('Compliance Database'!$C$2:$C$630,MATCH(155,Engine!$C$2:$C$630,0)))</f>
        <v/>
      </c>
      <c r="D168" s="8">
        <f>IF(ISNA(MATCH(155,Engine!$C$2:$C$630,0)),"",INDEX('Compliance Database'!$D$2:$D$630,MATCH(155,Engine!$C$2:$C$630,0)))</f>
        <v/>
      </c>
      <c r="E168">
        <f>IF(ISNA(MATCH(155,Engine!$C$2:$C$630,0)),"",INDEX('Compliance Database'!$E$2:$E$630,MATCH(155,Engine!$C$2:$C$630,0)))</f>
        <v/>
      </c>
      <c r="F168">
        <f>IF(ISNA(MATCH(155,Engine!$C$2:$C$630,0)),"",INDEX('Compliance Database'!$F$2:$F$630,MATCH(155,Engine!$C$2:$C$630,0)))</f>
        <v/>
      </c>
      <c r="G168">
        <f>IF(ISNA(MATCH(155,Engine!$C$2:$C$630,0)),"",INDEX('Compliance Database'!$G$2:$G$630,MATCH(155,Engine!$C$2:$C$630,0)))</f>
        <v/>
      </c>
      <c r="H168">
        <f>IF(ISNA(MATCH(155,Engine!$C$2:$C$630,0)),"",INDEX('Compliance Database'!$H$2:$H$630,MATCH(155,Engine!$C$2:$C$630,0)))</f>
        <v/>
      </c>
      <c r="I168" s="8">
        <f>IF(ISNA(MATCH(155,Engine!$C$2:$C$630,0)),"",INDEX('Compliance Database'!$I$2:$I$630,MATCH(155,Engine!$C$2:$C$630,0)))</f>
        <v/>
      </c>
      <c r="J168" s="8">
        <f>IF(ISNA(MATCH(155,Engine!$C$2:$C$630,0)),"",INDEX('Compliance Database'!$J$2:$J$630,MATCH(155,Engine!$C$2:$C$630,0)))</f>
        <v/>
      </c>
      <c r="K168">
        <f>IF(ISNA(MATCH(155,Engine!$C$2:$C$630,0)),"",INDEX('Compliance Database'!$K$2:$K$630,MATCH(155,Engine!$C$2:$C$630,0)))</f>
        <v/>
      </c>
      <c r="L168" s="8">
        <f>IF(ISNA(MATCH(155,Engine!$C$2:$C$630,0)),"",INDEX('Compliance Database'!$L$2:$L$630,MATCH(155,Engine!$C$2:$C$630,0)))</f>
        <v/>
      </c>
      <c r="M168" s="8">
        <f>IF(ISNA(MATCH(155,Engine!$C$2:$C$630,0)),"",INDEX('Compliance Database'!$M$2:$M$630,MATCH(155,Engine!$C$2:$C$630,0)))</f>
        <v/>
      </c>
      <c r="N168" s="8">
        <f>IF(ISNA(MATCH(155,Engine!$C$2:$C$630,0)),"",INDEX('Compliance Database'!$N$2:$N$630,MATCH(155,Engine!$C$2:$C$630,0)))</f>
        <v/>
      </c>
      <c r="O168" s="8">
        <f>IF(ISNA(MATCH(155,Engine!$C$2:$C$630,0)),"",INDEX('Compliance Database'!$O$2:$O$630,MATCH(155,Engine!$C$2:$C$630,0)))</f>
        <v/>
      </c>
    </row>
    <row r="169">
      <c r="A169">
        <f>IF(ISNA(MATCH(156,Engine!$C$2:$C$630,0)),"",INDEX('Compliance Database'!$A$2:$A$630,MATCH(156,Engine!$C$2:$C$630,0)))</f>
        <v/>
      </c>
      <c r="B169">
        <f>IF(ISNA(MATCH(156,Engine!$C$2:$C$630,0)),"",INDEX('Compliance Database'!$B$2:$B$630,MATCH(156,Engine!$C$2:$C$630,0)))</f>
        <v/>
      </c>
      <c r="C169">
        <f>IF(ISNA(MATCH(156,Engine!$C$2:$C$630,0)),"",INDEX('Compliance Database'!$C$2:$C$630,MATCH(156,Engine!$C$2:$C$630,0)))</f>
        <v/>
      </c>
      <c r="D169" s="8">
        <f>IF(ISNA(MATCH(156,Engine!$C$2:$C$630,0)),"",INDEX('Compliance Database'!$D$2:$D$630,MATCH(156,Engine!$C$2:$C$630,0)))</f>
        <v/>
      </c>
      <c r="E169">
        <f>IF(ISNA(MATCH(156,Engine!$C$2:$C$630,0)),"",INDEX('Compliance Database'!$E$2:$E$630,MATCH(156,Engine!$C$2:$C$630,0)))</f>
        <v/>
      </c>
      <c r="F169">
        <f>IF(ISNA(MATCH(156,Engine!$C$2:$C$630,0)),"",INDEX('Compliance Database'!$F$2:$F$630,MATCH(156,Engine!$C$2:$C$630,0)))</f>
        <v/>
      </c>
      <c r="G169">
        <f>IF(ISNA(MATCH(156,Engine!$C$2:$C$630,0)),"",INDEX('Compliance Database'!$G$2:$G$630,MATCH(156,Engine!$C$2:$C$630,0)))</f>
        <v/>
      </c>
      <c r="H169">
        <f>IF(ISNA(MATCH(156,Engine!$C$2:$C$630,0)),"",INDEX('Compliance Database'!$H$2:$H$630,MATCH(156,Engine!$C$2:$C$630,0)))</f>
        <v/>
      </c>
      <c r="I169" s="8">
        <f>IF(ISNA(MATCH(156,Engine!$C$2:$C$630,0)),"",INDEX('Compliance Database'!$I$2:$I$630,MATCH(156,Engine!$C$2:$C$630,0)))</f>
        <v/>
      </c>
      <c r="J169" s="8">
        <f>IF(ISNA(MATCH(156,Engine!$C$2:$C$630,0)),"",INDEX('Compliance Database'!$J$2:$J$630,MATCH(156,Engine!$C$2:$C$630,0)))</f>
        <v/>
      </c>
      <c r="K169">
        <f>IF(ISNA(MATCH(156,Engine!$C$2:$C$630,0)),"",INDEX('Compliance Database'!$K$2:$K$630,MATCH(156,Engine!$C$2:$C$630,0)))</f>
        <v/>
      </c>
      <c r="L169" s="8">
        <f>IF(ISNA(MATCH(156,Engine!$C$2:$C$630,0)),"",INDEX('Compliance Database'!$L$2:$L$630,MATCH(156,Engine!$C$2:$C$630,0)))</f>
        <v/>
      </c>
      <c r="M169" s="8">
        <f>IF(ISNA(MATCH(156,Engine!$C$2:$C$630,0)),"",INDEX('Compliance Database'!$M$2:$M$630,MATCH(156,Engine!$C$2:$C$630,0)))</f>
        <v/>
      </c>
      <c r="N169" s="8">
        <f>IF(ISNA(MATCH(156,Engine!$C$2:$C$630,0)),"",INDEX('Compliance Database'!$N$2:$N$630,MATCH(156,Engine!$C$2:$C$630,0)))</f>
        <v/>
      </c>
      <c r="O169" s="8">
        <f>IF(ISNA(MATCH(156,Engine!$C$2:$C$630,0)),"",INDEX('Compliance Database'!$O$2:$O$630,MATCH(156,Engine!$C$2:$C$630,0)))</f>
        <v/>
      </c>
    </row>
    <row r="170">
      <c r="A170">
        <f>IF(ISNA(MATCH(157,Engine!$C$2:$C$630,0)),"",INDEX('Compliance Database'!$A$2:$A$630,MATCH(157,Engine!$C$2:$C$630,0)))</f>
        <v/>
      </c>
      <c r="B170">
        <f>IF(ISNA(MATCH(157,Engine!$C$2:$C$630,0)),"",INDEX('Compliance Database'!$B$2:$B$630,MATCH(157,Engine!$C$2:$C$630,0)))</f>
        <v/>
      </c>
      <c r="C170">
        <f>IF(ISNA(MATCH(157,Engine!$C$2:$C$630,0)),"",INDEX('Compliance Database'!$C$2:$C$630,MATCH(157,Engine!$C$2:$C$630,0)))</f>
        <v/>
      </c>
      <c r="D170" s="8">
        <f>IF(ISNA(MATCH(157,Engine!$C$2:$C$630,0)),"",INDEX('Compliance Database'!$D$2:$D$630,MATCH(157,Engine!$C$2:$C$630,0)))</f>
        <v/>
      </c>
      <c r="E170">
        <f>IF(ISNA(MATCH(157,Engine!$C$2:$C$630,0)),"",INDEX('Compliance Database'!$E$2:$E$630,MATCH(157,Engine!$C$2:$C$630,0)))</f>
        <v/>
      </c>
      <c r="F170">
        <f>IF(ISNA(MATCH(157,Engine!$C$2:$C$630,0)),"",INDEX('Compliance Database'!$F$2:$F$630,MATCH(157,Engine!$C$2:$C$630,0)))</f>
        <v/>
      </c>
      <c r="G170">
        <f>IF(ISNA(MATCH(157,Engine!$C$2:$C$630,0)),"",INDEX('Compliance Database'!$G$2:$G$630,MATCH(157,Engine!$C$2:$C$630,0)))</f>
        <v/>
      </c>
      <c r="H170">
        <f>IF(ISNA(MATCH(157,Engine!$C$2:$C$630,0)),"",INDEX('Compliance Database'!$H$2:$H$630,MATCH(157,Engine!$C$2:$C$630,0)))</f>
        <v/>
      </c>
      <c r="I170" s="8">
        <f>IF(ISNA(MATCH(157,Engine!$C$2:$C$630,0)),"",INDEX('Compliance Database'!$I$2:$I$630,MATCH(157,Engine!$C$2:$C$630,0)))</f>
        <v/>
      </c>
      <c r="J170" s="8">
        <f>IF(ISNA(MATCH(157,Engine!$C$2:$C$630,0)),"",INDEX('Compliance Database'!$J$2:$J$630,MATCH(157,Engine!$C$2:$C$630,0)))</f>
        <v/>
      </c>
      <c r="K170">
        <f>IF(ISNA(MATCH(157,Engine!$C$2:$C$630,0)),"",INDEX('Compliance Database'!$K$2:$K$630,MATCH(157,Engine!$C$2:$C$630,0)))</f>
        <v/>
      </c>
      <c r="L170" s="8">
        <f>IF(ISNA(MATCH(157,Engine!$C$2:$C$630,0)),"",INDEX('Compliance Database'!$L$2:$L$630,MATCH(157,Engine!$C$2:$C$630,0)))</f>
        <v/>
      </c>
      <c r="M170" s="8">
        <f>IF(ISNA(MATCH(157,Engine!$C$2:$C$630,0)),"",INDEX('Compliance Database'!$M$2:$M$630,MATCH(157,Engine!$C$2:$C$630,0)))</f>
        <v/>
      </c>
      <c r="N170" s="8">
        <f>IF(ISNA(MATCH(157,Engine!$C$2:$C$630,0)),"",INDEX('Compliance Database'!$N$2:$N$630,MATCH(157,Engine!$C$2:$C$630,0)))</f>
        <v/>
      </c>
      <c r="O170" s="8">
        <f>IF(ISNA(MATCH(157,Engine!$C$2:$C$630,0)),"",INDEX('Compliance Database'!$O$2:$O$630,MATCH(157,Engine!$C$2:$C$630,0)))</f>
        <v/>
      </c>
    </row>
    <row r="171">
      <c r="A171">
        <f>IF(ISNA(MATCH(158,Engine!$C$2:$C$630,0)),"",INDEX('Compliance Database'!$A$2:$A$630,MATCH(158,Engine!$C$2:$C$630,0)))</f>
        <v/>
      </c>
      <c r="B171">
        <f>IF(ISNA(MATCH(158,Engine!$C$2:$C$630,0)),"",INDEX('Compliance Database'!$B$2:$B$630,MATCH(158,Engine!$C$2:$C$630,0)))</f>
        <v/>
      </c>
      <c r="C171">
        <f>IF(ISNA(MATCH(158,Engine!$C$2:$C$630,0)),"",INDEX('Compliance Database'!$C$2:$C$630,MATCH(158,Engine!$C$2:$C$630,0)))</f>
        <v/>
      </c>
      <c r="D171" s="8">
        <f>IF(ISNA(MATCH(158,Engine!$C$2:$C$630,0)),"",INDEX('Compliance Database'!$D$2:$D$630,MATCH(158,Engine!$C$2:$C$630,0)))</f>
        <v/>
      </c>
      <c r="E171">
        <f>IF(ISNA(MATCH(158,Engine!$C$2:$C$630,0)),"",INDEX('Compliance Database'!$E$2:$E$630,MATCH(158,Engine!$C$2:$C$630,0)))</f>
        <v/>
      </c>
      <c r="F171">
        <f>IF(ISNA(MATCH(158,Engine!$C$2:$C$630,0)),"",INDEX('Compliance Database'!$F$2:$F$630,MATCH(158,Engine!$C$2:$C$630,0)))</f>
        <v/>
      </c>
      <c r="G171">
        <f>IF(ISNA(MATCH(158,Engine!$C$2:$C$630,0)),"",INDEX('Compliance Database'!$G$2:$G$630,MATCH(158,Engine!$C$2:$C$630,0)))</f>
        <v/>
      </c>
      <c r="H171">
        <f>IF(ISNA(MATCH(158,Engine!$C$2:$C$630,0)),"",INDEX('Compliance Database'!$H$2:$H$630,MATCH(158,Engine!$C$2:$C$630,0)))</f>
        <v/>
      </c>
      <c r="I171" s="8">
        <f>IF(ISNA(MATCH(158,Engine!$C$2:$C$630,0)),"",INDEX('Compliance Database'!$I$2:$I$630,MATCH(158,Engine!$C$2:$C$630,0)))</f>
        <v/>
      </c>
      <c r="J171" s="8">
        <f>IF(ISNA(MATCH(158,Engine!$C$2:$C$630,0)),"",INDEX('Compliance Database'!$J$2:$J$630,MATCH(158,Engine!$C$2:$C$630,0)))</f>
        <v/>
      </c>
      <c r="K171">
        <f>IF(ISNA(MATCH(158,Engine!$C$2:$C$630,0)),"",INDEX('Compliance Database'!$K$2:$K$630,MATCH(158,Engine!$C$2:$C$630,0)))</f>
        <v/>
      </c>
      <c r="L171" s="8">
        <f>IF(ISNA(MATCH(158,Engine!$C$2:$C$630,0)),"",INDEX('Compliance Database'!$L$2:$L$630,MATCH(158,Engine!$C$2:$C$630,0)))</f>
        <v/>
      </c>
      <c r="M171" s="8">
        <f>IF(ISNA(MATCH(158,Engine!$C$2:$C$630,0)),"",INDEX('Compliance Database'!$M$2:$M$630,MATCH(158,Engine!$C$2:$C$630,0)))</f>
        <v/>
      </c>
      <c r="N171" s="8">
        <f>IF(ISNA(MATCH(158,Engine!$C$2:$C$630,0)),"",INDEX('Compliance Database'!$N$2:$N$630,MATCH(158,Engine!$C$2:$C$630,0)))</f>
        <v/>
      </c>
      <c r="O171" s="8">
        <f>IF(ISNA(MATCH(158,Engine!$C$2:$C$630,0)),"",INDEX('Compliance Database'!$O$2:$O$630,MATCH(158,Engine!$C$2:$C$630,0)))</f>
        <v/>
      </c>
    </row>
    <row r="172">
      <c r="A172">
        <f>IF(ISNA(MATCH(159,Engine!$C$2:$C$630,0)),"",INDEX('Compliance Database'!$A$2:$A$630,MATCH(159,Engine!$C$2:$C$630,0)))</f>
        <v/>
      </c>
      <c r="B172">
        <f>IF(ISNA(MATCH(159,Engine!$C$2:$C$630,0)),"",INDEX('Compliance Database'!$B$2:$B$630,MATCH(159,Engine!$C$2:$C$630,0)))</f>
        <v/>
      </c>
      <c r="C172">
        <f>IF(ISNA(MATCH(159,Engine!$C$2:$C$630,0)),"",INDEX('Compliance Database'!$C$2:$C$630,MATCH(159,Engine!$C$2:$C$630,0)))</f>
        <v/>
      </c>
      <c r="D172" s="8">
        <f>IF(ISNA(MATCH(159,Engine!$C$2:$C$630,0)),"",INDEX('Compliance Database'!$D$2:$D$630,MATCH(159,Engine!$C$2:$C$630,0)))</f>
        <v/>
      </c>
      <c r="E172">
        <f>IF(ISNA(MATCH(159,Engine!$C$2:$C$630,0)),"",INDEX('Compliance Database'!$E$2:$E$630,MATCH(159,Engine!$C$2:$C$630,0)))</f>
        <v/>
      </c>
      <c r="F172">
        <f>IF(ISNA(MATCH(159,Engine!$C$2:$C$630,0)),"",INDEX('Compliance Database'!$F$2:$F$630,MATCH(159,Engine!$C$2:$C$630,0)))</f>
        <v/>
      </c>
      <c r="G172">
        <f>IF(ISNA(MATCH(159,Engine!$C$2:$C$630,0)),"",INDEX('Compliance Database'!$G$2:$G$630,MATCH(159,Engine!$C$2:$C$630,0)))</f>
        <v/>
      </c>
      <c r="H172">
        <f>IF(ISNA(MATCH(159,Engine!$C$2:$C$630,0)),"",INDEX('Compliance Database'!$H$2:$H$630,MATCH(159,Engine!$C$2:$C$630,0)))</f>
        <v/>
      </c>
      <c r="I172" s="8">
        <f>IF(ISNA(MATCH(159,Engine!$C$2:$C$630,0)),"",INDEX('Compliance Database'!$I$2:$I$630,MATCH(159,Engine!$C$2:$C$630,0)))</f>
        <v/>
      </c>
      <c r="J172" s="8">
        <f>IF(ISNA(MATCH(159,Engine!$C$2:$C$630,0)),"",INDEX('Compliance Database'!$J$2:$J$630,MATCH(159,Engine!$C$2:$C$630,0)))</f>
        <v/>
      </c>
      <c r="K172">
        <f>IF(ISNA(MATCH(159,Engine!$C$2:$C$630,0)),"",INDEX('Compliance Database'!$K$2:$K$630,MATCH(159,Engine!$C$2:$C$630,0)))</f>
        <v/>
      </c>
      <c r="L172" s="8">
        <f>IF(ISNA(MATCH(159,Engine!$C$2:$C$630,0)),"",INDEX('Compliance Database'!$L$2:$L$630,MATCH(159,Engine!$C$2:$C$630,0)))</f>
        <v/>
      </c>
      <c r="M172" s="8">
        <f>IF(ISNA(MATCH(159,Engine!$C$2:$C$630,0)),"",INDEX('Compliance Database'!$M$2:$M$630,MATCH(159,Engine!$C$2:$C$630,0)))</f>
        <v/>
      </c>
      <c r="N172" s="8">
        <f>IF(ISNA(MATCH(159,Engine!$C$2:$C$630,0)),"",INDEX('Compliance Database'!$N$2:$N$630,MATCH(159,Engine!$C$2:$C$630,0)))</f>
        <v/>
      </c>
      <c r="O172" s="8">
        <f>IF(ISNA(MATCH(159,Engine!$C$2:$C$630,0)),"",INDEX('Compliance Database'!$O$2:$O$630,MATCH(159,Engine!$C$2:$C$630,0)))</f>
        <v/>
      </c>
    </row>
    <row r="173">
      <c r="A173">
        <f>IF(ISNA(MATCH(160,Engine!$C$2:$C$630,0)),"",INDEX('Compliance Database'!$A$2:$A$630,MATCH(160,Engine!$C$2:$C$630,0)))</f>
        <v/>
      </c>
      <c r="B173">
        <f>IF(ISNA(MATCH(160,Engine!$C$2:$C$630,0)),"",INDEX('Compliance Database'!$B$2:$B$630,MATCH(160,Engine!$C$2:$C$630,0)))</f>
        <v/>
      </c>
      <c r="C173">
        <f>IF(ISNA(MATCH(160,Engine!$C$2:$C$630,0)),"",INDEX('Compliance Database'!$C$2:$C$630,MATCH(160,Engine!$C$2:$C$630,0)))</f>
        <v/>
      </c>
      <c r="D173" s="8">
        <f>IF(ISNA(MATCH(160,Engine!$C$2:$C$630,0)),"",INDEX('Compliance Database'!$D$2:$D$630,MATCH(160,Engine!$C$2:$C$630,0)))</f>
        <v/>
      </c>
      <c r="E173">
        <f>IF(ISNA(MATCH(160,Engine!$C$2:$C$630,0)),"",INDEX('Compliance Database'!$E$2:$E$630,MATCH(160,Engine!$C$2:$C$630,0)))</f>
        <v/>
      </c>
      <c r="F173">
        <f>IF(ISNA(MATCH(160,Engine!$C$2:$C$630,0)),"",INDEX('Compliance Database'!$F$2:$F$630,MATCH(160,Engine!$C$2:$C$630,0)))</f>
        <v/>
      </c>
      <c r="G173">
        <f>IF(ISNA(MATCH(160,Engine!$C$2:$C$630,0)),"",INDEX('Compliance Database'!$G$2:$G$630,MATCH(160,Engine!$C$2:$C$630,0)))</f>
        <v/>
      </c>
      <c r="H173">
        <f>IF(ISNA(MATCH(160,Engine!$C$2:$C$630,0)),"",INDEX('Compliance Database'!$H$2:$H$630,MATCH(160,Engine!$C$2:$C$630,0)))</f>
        <v/>
      </c>
      <c r="I173" s="8">
        <f>IF(ISNA(MATCH(160,Engine!$C$2:$C$630,0)),"",INDEX('Compliance Database'!$I$2:$I$630,MATCH(160,Engine!$C$2:$C$630,0)))</f>
        <v/>
      </c>
      <c r="J173" s="8">
        <f>IF(ISNA(MATCH(160,Engine!$C$2:$C$630,0)),"",INDEX('Compliance Database'!$J$2:$J$630,MATCH(160,Engine!$C$2:$C$630,0)))</f>
        <v/>
      </c>
      <c r="K173">
        <f>IF(ISNA(MATCH(160,Engine!$C$2:$C$630,0)),"",INDEX('Compliance Database'!$K$2:$K$630,MATCH(160,Engine!$C$2:$C$630,0)))</f>
        <v/>
      </c>
      <c r="L173" s="8">
        <f>IF(ISNA(MATCH(160,Engine!$C$2:$C$630,0)),"",INDEX('Compliance Database'!$L$2:$L$630,MATCH(160,Engine!$C$2:$C$630,0)))</f>
        <v/>
      </c>
      <c r="M173" s="8">
        <f>IF(ISNA(MATCH(160,Engine!$C$2:$C$630,0)),"",INDEX('Compliance Database'!$M$2:$M$630,MATCH(160,Engine!$C$2:$C$630,0)))</f>
        <v/>
      </c>
      <c r="N173" s="8">
        <f>IF(ISNA(MATCH(160,Engine!$C$2:$C$630,0)),"",INDEX('Compliance Database'!$N$2:$N$630,MATCH(160,Engine!$C$2:$C$630,0)))</f>
        <v/>
      </c>
      <c r="O173" s="8">
        <f>IF(ISNA(MATCH(160,Engine!$C$2:$C$630,0)),"",INDEX('Compliance Database'!$O$2:$O$630,MATCH(160,Engine!$C$2:$C$630,0)))</f>
        <v/>
      </c>
    </row>
    <row r="174">
      <c r="A174">
        <f>IF(ISNA(MATCH(161,Engine!$C$2:$C$630,0)),"",INDEX('Compliance Database'!$A$2:$A$630,MATCH(161,Engine!$C$2:$C$630,0)))</f>
        <v/>
      </c>
      <c r="B174">
        <f>IF(ISNA(MATCH(161,Engine!$C$2:$C$630,0)),"",INDEX('Compliance Database'!$B$2:$B$630,MATCH(161,Engine!$C$2:$C$630,0)))</f>
        <v/>
      </c>
      <c r="C174">
        <f>IF(ISNA(MATCH(161,Engine!$C$2:$C$630,0)),"",INDEX('Compliance Database'!$C$2:$C$630,MATCH(161,Engine!$C$2:$C$630,0)))</f>
        <v/>
      </c>
      <c r="D174" s="8">
        <f>IF(ISNA(MATCH(161,Engine!$C$2:$C$630,0)),"",INDEX('Compliance Database'!$D$2:$D$630,MATCH(161,Engine!$C$2:$C$630,0)))</f>
        <v/>
      </c>
      <c r="E174">
        <f>IF(ISNA(MATCH(161,Engine!$C$2:$C$630,0)),"",INDEX('Compliance Database'!$E$2:$E$630,MATCH(161,Engine!$C$2:$C$630,0)))</f>
        <v/>
      </c>
      <c r="F174">
        <f>IF(ISNA(MATCH(161,Engine!$C$2:$C$630,0)),"",INDEX('Compliance Database'!$F$2:$F$630,MATCH(161,Engine!$C$2:$C$630,0)))</f>
        <v/>
      </c>
      <c r="G174">
        <f>IF(ISNA(MATCH(161,Engine!$C$2:$C$630,0)),"",INDEX('Compliance Database'!$G$2:$G$630,MATCH(161,Engine!$C$2:$C$630,0)))</f>
        <v/>
      </c>
      <c r="H174">
        <f>IF(ISNA(MATCH(161,Engine!$C$2:$C$630,0)),"",INDEX('Compliance Database'!$H$2:$H$630,MATCH(161,Engine!$C$2:$C$630,0)))</f>
        <v/>
      </c>
      <c r="I174" s="8">
        <f>IF(ISNA(MATCH(161,Engine!$C$2:$C$630,0)),"",INDEX('Compliance Database'!$I$2:$I$630,MATCH(161,Engine!$C$2:$C$630,0)))</f>
        <v/>
      </c>
      <c r="J174" s="8">
        <f>IF(ISNA(MATCH(161,Engine!$C$2:$C$630,0)),"",INDEX('Compliance Database'!$J$2:$J$630,MATCH(161,Engine!$C$2:$C$630,0)))</f>
        <v/>
      </c>
      <c r="K174">
        <f>IF(ISNA(MATCH(161,Engine!$C$2:$C$630,0)),"",INDEX('Compliance Database'!$K$2:$K$630,MATCH(161,Engine!$C$2:$C$630,0)))</f>
        <v/>
      </c>
      <c r="L174" s="8">
        <f>IF(ISNA(MATCH(161,Engine!$C$2:$C$630,0)),"",INDEX('Compliance Database'!$L$2:$L$630,MATCH(161,Engine!$C$2:$C$630,0)))</f>
        <v/>
      </c>
      <c r="M174" s="8">
        <f>IF(ISNA(MATCH(161,Engine!$C$2:$C$630,0)),"",INDEX('Compliance Database'!$M$2:$M$630,MATCH(161,Engine!$C$2:$C$630,0)))</f>
        <v/>
      </c>
      <c r="N174" s="8">
        <f>IF(ISNA(MATCH(161,Engine!$C$2:$C$630,0)),"",INDEX('Compliance Database'!$N$2:$N$630,MATCH(161,Engine!$C$2:$C$630,0)))</f>
        <v/>
      </c>
      <c r="O174" s="8">
        <f>IF(ISNA(MATCH(161,Engine!$C$2:$C$630,0)),"",INDEX('Compliance Database'!$O$2:$O$630,MATCH(161,Engine!$C$2:$C$630,0)))</f>
        <v/>
      </c>
    </row>
    <row r="175">
      <c r="A175">
        <f>IF(ISNA(MATCH(162,Engine!$C$2:$C$630,0)),"",INDEX('Compliance Database'!$A$2:$A$630,MATCH(162,Engine!$C$2:$C$630,0)))</f>
        <v/>
      </c>
      <c r="B175">
        <f>IF(ISNA(MATCH(162,Engine!$C$2:$C$630,0)),"",INDEX('Compliance Database'!$B$2:$B$630,MATCH(162,Engine!$C$2:$C$630,0)))</f>
        <v/>
      </c>
      <c r="C175">
        <f>IF(ISNA(MATCH(162,Engine!$C$2:$C$630,0)),"",INDEX('Compliance Database'!$C$2:$C$630,MATCH(162,Engine!$C$2:$C$630,0)))</f>
        <v/>
      </c>
      <c r="D175" s="8">
        <f>IF(ISNA(MATCH(162,Engine!$C$2:$C$630,0)),"",INDEX('Compliance Database'!$D$2:$D$630,MATCH(162,Engine!$C$2:$C$630,0)))</f>
        <v/>
      </c>
      <c r="E175">
        <f>IF(ISNA(MATCH(162,Engine!$C$2:$C$630,0)),"",INDEX('Compliance Database'!$E$2:$E$630,MATCH(162,Engine!$C$2:$C$630,0)))</f>
        <v/>
      </c>
      <c r="F175">
        <f>IF(ISNA(MATCH(162,Engine!$C$2:$C$630,0)),"",INDEX('Compliance Database'!$F$2:$F$630,MATCH(162,Engine!$C$2:$C$630,0)))</f>
        <v/>
      </c>
      <c r="G175">
        <f>IF(ISNA(MATCH(162,Engine!$C$2:$C$630,0)),"",INDEX('Compliance Database'!$G$2:$G$630,MATCH(162,Engine!$C$2:$C$630,0)))</f>
        <v/>
      </c>
      <c r="H175">
        <f>IF(ISNA(MATCH(162,Engine!$C$2:$C$630,0)),"",INDEX('Compliance Database'!$H$2:$H$630,MATCH(162,Engine!$C$2:$C$630,0)))</f>
        <v/>
      </c>
      <c r="I175" s="8">
        <f>IF(ISNA(MATCH(162,Engine!$C$2:$C$630,0)),"",INDEX('Compliance Database'!$I$2:$I$630,MATCH(162,Engine!$C$2:$C$630,0)))</f>
        <v/>
      </c>
      <c r="J175" s="8">
        <f>IF(ISNA(MATCH(162,Engine!$C$2:$C$630,0)),"",INDEX('Compliance Database'!$J$2:$J$630,MATCH(162,Engine!$C$2:$C$630,0)))</f>
        <v/>
      </c>
      <c r="K175">
        <f>IF(ISNA(MATCH(162,Engine!$C$2:$C$630,0)),"",INDEX('Compliance Database'!$K$2:$K$630,MATCH(162,Engine!$C$2:$C$630,0)))</f>
        <v/>
      </c>
      <c r="L175" s="8">
        <f>IF(ISNA(MATCH(162,Engine!$C$2:$C$630,0)),"",INDEX('Compliance Database'!$L$2:$L$630,MATCH(162,Engine!$C$2:$C$630,0)))</f>
        <v/>
      </c>
      <c r="M175" s="8">
        <f>IF(ISNA(MATCH(162,Engine!$C$2:$C$630,0)),"",INDEX('Compliance Database'!$M$2:$M$630,MATCH(162,Engine!$C$2:$C$630,0)))</f>
        <v/>
      </c>
      <c r="N175" s="8">
        <f>IF(ISNA(MATCH(162,Engine!$C$2:$C$630,0)),"",INDEX('Compliance Database'!$N$2:$N$630,MATCH(162,Engine!$C$2:$C$630,0)))</f>
        <v/>
      </c>
      <c r="O175" s="8">
        <f>IF(ISNA(MATCH(162,Engine!$C$2:$C$630,0)),"",INDEX('Compliance Database'!$O$2:$O$630,MATCH(162,Engine!$C$2:$C$630,0)))</f>
        <v/>
      </c>
    </row>
    <row r="176">
      <c r="A176">
        <f>IF(ISNA(MATCH(163,Engine!$C$2:$C$630,0)),"",INDEX('Compliance Database'!$A$2:$A$630,MATCH(163,Engine!$C$2:$C$630,0)))</f>
        <v/>
      </c>
      <c r="B176">
        <f>IF(ISNA(MATCH(163,Engine!$C$2:$C$630,0)),"",INDEX('Compliance Database'!$B$2:$B$630,MATCH(163,Engine!$C$2:$C$630,0)))</f>
        <v/>
      </c>
      <c r="C176">
        <f>IF(ISNA(MATCH(163,Engine!$C$2:$C$630,0)),"",INDEX('Compliance Database'!$C$2:$C$630,MATCH(163,Engine!$C$2:$C$630,0)))</f>
        <v/>
      </c>
      <c r="D176" s="8">
        <f>IF(ISNA(MATCH(163,Engine!$C$2:$C$630,0)),"",INDEX('Compliance Database'!$D$2:$D$630,MATCH(163,Engine!$C$2:$C$630,0)))</f>
        <v/>
      </c>
      <c r="E176">
        <f>IF(ISNA(MATCH(163,Engine!$C$2:$C$630,0)),"",INDEX('Compliance Database'!$E$2:$E$630,MATCH(163,Engine!$C$2:$C$630,0)))</f>
        <v/>
      </c>
      <c r="F176">
        <f>IF(ISNA(MATCH(163,Engine!$C$2:$C$630,0)),"",INDEX('Compliance Database'!$F$2:$F$630,MATCH(163,Engine!$C$2:$C$630,0)))</f>
        <v/>
      </c>
      <c r="G176">
        <f>IF(ISNA(MATCH(163,Engine!$C$2:$C$630,0)),"",INDEX('Compliance Database'!$G$2:$G$630,MATCH(163,Engine!$C$2:$C$630,0)))</f>
        <v/>
      </c>
      <c r="H176">
        <f>IF(ISNA(MATCH(163,Engine!$C$2:$C$630,0)),"",INDEX('Compliance Database'!$H$2:$H$630,MATCH(163,Engine!$C$2:$C$630,0)))</f>
        <v/>
      </c>
      <c r="I176" s="8">
        <f>IF(ISNA(MATCH(163,Engine!$C$2:$C$630,0)),"",INDEX('Compliance Database'!$I$2:$I$630,MATCH(163,Engine!$C$2:$C$630,0)))</f>
        <v/>
      </c>
      <c r="J176" s="8">
        <f>IF(ISNA(MATCH(163,Engine!$C$2:$C$630,0)),"",INDEX('Compliance Database'!$J$2:$J$630,MATCH(163,Engine!$C$2:$C$630,0)))</f>
        <v/>
      </c>
      <c r="K176">
        <f>IF(ISNA(MATCH(163,Engine!$C$2:$C$630,0)),"",INDEX('Compliance Database'!$K$2:$K$630,MATCH(163,Engine!$C$2:$C$630,0)))</f>
        <v/>
      </c>
      <c r="L176" s="8">
        <f>IF(ISNA(MATCH(163,Engine!$C$2:$C$630,0)),"",INDEX('Compliance Database'!$L$2:$L$630,MATCH(163,Engine!$C$2:$C$630,0)))</f>
        <v/>
      </c>
      <c r="M176" s="8">
        <f>IF(ISNA(MATCH(163,Engine!$C$2:$C$630,0)),"",INDEX('Compliance Database'!$M$2:$M$630,MATCH(163,Engine!$C$2:$C$630,0)))</f>
        <v/>
      </c>
      <c r="N176" s="8">
        <f>IF(ISNA(MATCH(163,Engine!$C$2:$C$630,0)),"",INDEX('Compliance Database'!$N$2:$N$630,MATCH(163,Engine!$C$2:$C$630,0)))</f>
        <v/>
      </c>
      <c r="O176" s="8">
        <f>IF(ISNA(MATCH(163,Engine!$C$2:$C$630,0)),"",INDEX('Compliance Database'!$O$2:$O$630,MATCH(163,Engine!$C$2:$C$630,0)))</f>
        <v/>
      </c>
    </row>
    <row r="177">
      <c r="A177">
        <f>IF(ISNA(MATCH(164,Engine!$C$2:$C$630,0)),"",INDEX('Compliance Database'!$A$2:$A$630,MATCH(164,Engine!$C$2:$C$630,0)))</f>
        <v/>
      </c>
      <c r="B177">
        <f>IF(ISNA(MATCH(164,Engine!$C$2:$C$630,0)),"",INDEX('Compliance Database'!$B$2:$B$630,MATCH(164,Engine!$C$2:$C$630,0)))</f>
        <v/>
      </c>
      <c r="C177">
        <f>IF(ISNA(MATCH(164,Engine!$C$2:$C$630,0)),"",INDEX('Compliance Database'!$C$2:$C$630,MATCH(164,Engine!$C$2:$C$630,0)))</f>
        <v/>
      </c>
      <c r="D177" s="8">
        <f>IF(ISNA(MATCH(164,Engine!$C$2:$C$630,0)),"",INDEX('Compliance Database'!$D$2:$D$630,MATCH(164,Engine!$C$2:$C$630,0)))</f>
        <v/>
      </c>
      <c r="E177">
        <f>IF(ISNA(MATCH(164,Engine!$C$2:$C$630,0)),"",INDEX('Compliance Database'!$E$2:$E$630,MATCH(164,Engine!$C$2:$C$630,0)))</f>
        <v/>
      </c>
      <c r="F177">
        <f>IF(ISNA(MATCH(164,Engine!$C$2:$C$630,0)),"",INDEX('Compliance Database'!$F$2:$F$630,MATCH(164,Engine!$C$2:$C$630,0)))</f>
        <v/>
      </c>
      <c r="G177">
        <f>IF(ISNA(MATCH(164,Engine!$C$2:$C$630,0)),"",INDEX('Compliance Database'!$G$2:$G$630,MATCH(164,Engine!$C$2:$C$630,0)))</f>
        <v/>
      </c>
      <c r="H177">
        <f>IF(ISNA(MATCH(164,Engine!$C$2:$C$630,0)),"",INDEX('Compliance Database'!$H$2:$H$630,MATCH(164,Engine!$C$2:$C$630,0)))</f>
        <v/>
      </c>
      <c r="I177" s="8">
        <f>IF(ISNA(MATCH(164,Engine!$C$2:$C$630,0)),"",INDEX('Compliance Database'!$I$2:$I$630,MATCH(164,Engine!$C$2:$C$630,0)))</f>
        <v/>
      </c>
      <c r="J177" s="8">
        <f>IF(ISNA(MATCH(164,Engine!$C$2:$C$630,0)),"",INDEX('Compliance Database'!$J$2:$J$630,MATCH(164,Engine!$C$2:$C$630,0)))</f>
        <v/>
      </c>
      <c r="K177">
        <f>IF(ISNA(MATCH(164,Engine!$C$2:$C$630,0)),"",INDEX('Compliance Database'!$K$2:$K$630,MATCH(164,Engine!$C$2:$C$630,0)))</f>
        <v/>
      </c>
      <c r="L177" s="8">
        <f>IF(ISNA(MATCH(164,Engine!$C$2:$C$630,0)),"",INDEX('Compliance Database'!$L$2:$L$630,MATCH(164,Engine!$C$2:$C$630,0)))</f>
        <v/>
      </c>
      <c r="M177" s="8">
        <f>IF(ISNA(MATCH(164,Engine!$C$2:$C$630,0)),"",INDEX('Compliance Database'!$M$2:$M$630,MATCH(164,Engine!$C$2:$C$630,0)))</f>
        <v/>
      </c>
      <c r="N177" s="8">
        <f>IF(ISNA(MATCH(164,Engine!$C$2:$C$630,0)),"",INDEX('Compliance Database'!$N$2:$N$630,MATCH(164,Engine!$C$2:$C$630,0)))</f>
        <v/>
      </c>
      <c r="O177" s="8">
        <f>IF(ISNA(MATCH(164,Engine!$C$2:$C$630,0)),"",INDEX('Compliance Database'!$O$2:$O$630,MATCH(164,Engine!$C$2:$C$630,0)))</f>
        <v/>
      </c>
    </row>
    <row r="178">
      <c r="A178">
        <f>IF(ISNA(MATCH(165,Engine!$C$2:$C$630,0)),"",INDEX('Compliance Database'!$A$2:$A$630,MATCH(165,Engine!$C$2:$C$630,0)))</f>
        <v/>
      </c>
      <c r="B178">
        <f>IF(ISNA(MATCH(165,Engine!$C$2:$C$630,0)),"",INDEX('Compliance Database'!$B$2:$B$630,MATCH(165,Engine!$C$2:$C$630,0)))</f>
        <v/>
      </c>
      <c r="C178">
        <f>IF(ISNA(MATCH(165,Engine!$C$2:$C$630,0)),"",INDEX('Compliance Database'!$C$2:$C$630,MATCH(165,Engine!$C$2:$C$630,0)))</f>
        <v/>
      </c>
      <c r="D178" s="8">
        <f>IF(ISNA(MATCH(165,Engine!$C$2:$C$630,0)),"",INDEX('Compliance Database'!$D$2:$D$630,MATCH(165,Engine!$C$2:$C$630,0)))</f>
        <v/>
      </c>
      <c r="E178">
        <f>IF(ISNA(MATCH(165,Engine!$C$2:$C$630,0)),"",INDEX('Compliance Database'!$E$2:$E$630,MATCH(165,Engine!$C$2:$C$630,0)))</f>
        <v/>
      </c>
      <c r="F178">
        <f>IF(ISNA(MATCH(165,Engine!$C$2:$C$630,0)),"",INDEX('Compliance Database'!$F$2:$F$630,MATCH(165,Engine!$C$2:$C$630,0)))</f>
        <v/>
      </c>
      <c r="G178">
        <f>IF(ISNA(MATCH(165,Engine!$C$2:$C$630,0)),"",INDEX('Compliance Database'!$G$2:$G$630,MATCH(165,Engine!$C$2:$C$630,0)))</f>
        <v/>
      </c>
      <c r="H178">
        <f>IF(ISNA(MATCH(165,Engine!$C$2:$C$630,0)),"",INDEX('Compliance Database'!$H$2:$H$630,MATCH(165,Engine!$C$2:$C$630,0)))</f>
        <v/>
      </c>
      <c r="I178" s="8">
        <f>IF(ISNA(MATCH(165,Engine!$C$2:$C$630,0)),"",INDEX('Compliance Database'!$I$2:$I$630,MATCH(165,Engine!$C$2:$C$630,0)))</f>
        <v/>
      </c>
      <c r="J178" s="8">
        <f>IF(ISNA(MATCH(165,Engine!$C$2:$C$630,0)),"",INDEX('Compliance Database'!$J$2:$J$630,MATCH(165,Engine!$C$2:$C$630,0)))</f>
        <v/>
      </c>
      <c r="K178">
        <f>IF(ISNA(MATCH(165,Engine!$C$2:$C$630,0)),"",INDEX('Compliance Database'!$K$2:$K$630,MATCH(165,Engine!$C$2:$C$630,0)))</f>
        <v/>
      </c>
      <c r="L178" s="8">
        <f>IF(ISNA(MATCH(165,Engine!$C$2:$C$630,0)),"",INDEX('Compliance Database'!$L$2:$L$630,MATCH(165,Engine!$C$2:$C$630,0)))</f>
        <v/>
      </c>
      <c r="M178" s="8">
        <f>IF(ISNA(MATCH(165,Engine!$C$2:$C$630,0)),"",INDEX('Compliance Database'!$M$2:$M$630,MATCH(165,Engine!$C$2:$C$630,0)))</f>
        <v/>
      </c>
      <c r="N178" s="8">
        <f>IF(ISNA(MATCH(165,Engine!$C$2:$C$630,0)),"",INDEX('Compliance Database'!$N$2:$N$630,MATCH(165,Engine!$C$2:$C$630,0)))</f>
        <v/>
      </c>
      <c r="O178" s="8">
        <f>IF(ISNA(MATCH(165,Engine!$C$2:$C$630,0)),"",INDEX('Compliance Database'!$O$2:$O$630,MATCH(165,Engine!$C$2:$C$630,0)))</f>
        <v/>
      </c>
    </row>
    <row r="179">
      <c r="A179">
        <f>IF(ISNA(MATCH(166,Engine!$C$2:$C$630,0)),"",INDEX('Compliance Database'!$A$2:$A$630,MATCH(166,Engine!$C$2:$C$630,0)))</f>
        <v/>
      </c>
      <c r="B179">
        <f>IF(ISNA(MATCH(166,Engine!$C$2:$C$630,0)),"",INDEX('Compliance Database'!$B$2:$B$630,MATCH(166,Engine!$C$2:$C$630,0)))</f>
        <v/>
      </c>
      <c r="C179">
        <f>IF(ISNA(MATCH(166,Engine!$C$2:$C$630,0)),"",INDEX('Compliance Database'!$C$2:$C$630,MATCH(166,Engine!$C$2:$C$630,0)))</f>
        <v/>
      </c>
      <c r="D179" s="8">
        <f>IF(ISNA(MATCH(166,Engine!$C$2:$C$630,0)),"",INDEX('Compliance Database'!$D$2:$D$630,MATCH(166,Engine!$C$2:$C$630,0)))</f>
        <v/>
      </c>
      <c r="E179">
        <f>IF(ISNA(MATCH(166,Engine!$C$2:$C$630,0)),"",INDEX('Compliance Database'!$E$2:$E$630,MATCH(166,Engine!$C$2:$C$630,0)))</f>
        <v/>
      </c>
      <c r="F179">
        <f>IF(ISNA(MATCH(166,Engine!$C$2:$C$630,0)),"",INDEX('Compliance Database'!$F$2:$F$630,MATCH(166,Engine!$C$2:$C$630,0)))</f>
        <v/>
      </c>
      <c r="G179">
        <f>IF(ISNA(MATCH(166,Engine!$C$2:$C$630,0)),"",INDEX('Compliance Database'!$G$2:$G$630,MATCH(166,Engine!$C$2:$C$630,0)))</f>
        <v/>
      </c>
      <c r="H179">
        <f>IF(ISNA(MATCH(166,Engine!$C$2:$C$630,0)),"",INDEX('Compliance Database'!$H$2:$H$630,MATCH(166,Engine!$C$2:$C$630,0)))</f>
        <v/>
      </c>
      <c r="I179" s="8">
        <f>IF(ISNA(MATCH(166,Engine!$C$2:$C$630,0)),"",INDEX('Compliance Database'!$I$2:$I$630,MATCH(166,Engine!$C$2:$C$630,0)))</f>
        <v/>
      </c>
      <c r="J179" s="8">
        <f>IF(ISNA(MATCH(166,Engine!$C$2:$C$630,0)),"",INDEX('Compliance Database'!$J$2:$J$630,MATCH(166,Engine!$C$2:$C$630,0)))</f>
        <v/>
      </c>
      <c r="K179">
        <f>IF(ISNA(MATCH(166,Engine!$C$2:$C$630,0)),"",INDEX('Compliance Database'!$K$2:$K$630,MATCH(166,Engine!$C$2:$C$630,0)))</f>
        <v/>
      </c>
      <c r="L179" s="8">
        <f>IF(ISNA(MATCH(166,Engine!$C$2:$C$630,0)),"",INDEX('Compliance Database'!$L$2:$L$630,MATCH(166,Engine!$C$2:$C$630,0)))</f>
        <v/>
      </c>
      <c r="M179" s="8">
        <f>IF(ISNA(MATCH(166,Engine!$C$2:$C$630,0)),"",INDEX('Compliance Database'!$M$2:$M$630,MATCH(166,Engine!$C$2:$C$630,0)))</f>
        <v/>
      </c>
      <c r="N179" s="8">
        <f>IF(ISNA(MATCH(166,Engine!$C$2:$C$630,0)),"",INDEX('Compliance Database'!$N$2:$N$630,MATCH(166,Engine!$C$2:$C$630,0)))</f>
        <v/>
      </c>
      <c r="O179" s="8">
        <f>IF(ISNA(MATCH(166,Engine!$C$2:$C$630,0)),"",INDEX('Compliance Database'!$O$2:$O$630,MATCH(166,Engine!$C$2:$C$630,0)))</f>
        <v/>
      </c>
    </row>
    <row r="180">
      <c r="A180">
        <f>IF(ISNA(MATCH(167,Engine!$C$2:$C$630,0)),"",INDEX('Compliance Database'!$A$2:$A$630,MATCH(167,Engine!$C$2:$C$630,0)))</f>
        <v/>
      </c>
      <c r="B180">
        <f>IF(ISNA(MATCH(167,Engine!$C$2:$C$630,0)),"",INDEX('Compliance Database'!$B$2:$B$630,MATCH(167,Engine!$C$2:$C$630,0)))</f>
        <v/>
      </c>
      <c r="C180">
        <f>IF(ISNA(MATCH(167,Engine!$C$2:$C$630,0)),"",INDEX('Compliance Database'!$C$2:$C$630,MATCH(167,Engine!$C$2:$C$630,0)))</f>
        <v/>
      </c>
      <c r="D180" s="8">
        <f>IF(ISNA(MATCH(167,Engine!$C$2:$C$630,0)),"",INDEX('Compliance Database'!$D$2:$D$630,MATCH(167,Engine!$C$2:$C$630,0)))</f>
        <v/>
      </c>
      <c r="E180">
        <f>IF(ISNA(MATCH(167,Engine!$C$2:$C$630,0)),"",INDEX('Compliance Database'!$E$2:$E$630,MATCH(167,Engine!$C$2:$C$630,0)))</f>
        <v/>
      </c>
      <c r="F180">
        <f>IF(ISNA(MATCH(167,Engine!$C$2:$C$630,0)),"",INDEX('Compliance Database'!$F$2:$F$630,MATCH(167,Engine!$C$2:$C$630,0)))</f>
        <v/>
      </c>
      <c r="G180">
        <f>IF(ISNA(MATCH(167,Engine!$C$2:$C$630,0)),"",INDEX('Compliance Database'!$G$2:$G$630,MATCH(167,Engine!$C$2:$C$630,0)))</f>
        <v/>
      </c>
      <c r="H180">
        <f>IF(ISNA(MATCH(167,Engine!$C$2:$C$630,0)),"",INDEX('Compliance Database'!$H$2:$H$630,MATCH(167,Engine!$C$2:$C$630,0)))</f>
        <v/>
      </c>
      <c r="I180" s="8">
        <f>IF(ISNA(MATCH(167,Engine!$C$2:$C$630,0)),"",INDEX('Compliance Database'!$I$2:$I$630,MATCH(167,Engine!$C$2:$C$630,0)))</f>
        <v/>
      </c>
      <c r="J180" s="8">
        <f>IF(ISNA(MATCH(167,Engine!$C$2:$C$630,0)),"",INDEX('Compliance Database'!$J$2:$J$630,MATCH(167,Engine!$C$2:$C$630,0)))</f>
        <v/>
      </c>
      <c r="K180">
        <f>IF(ISNA(MATCH(167,Engine!$C$2:$C$630,0)),"",INDEX('Compliance Database'!$K$2:$K$630,MATCH(167,Engine!$C$2:$C$630,0)))</f>
        <v/>
      </c>
      <c r="L180" s="8">
        <f>IF(ISNA(MATCH(167,Engine!$C$2:$C$630,0)),"",INDEX('Compliance Database'!$L$2:$L$630,MATCH(167,Engine!$C$2:$C$630,0)))</f>
        <v/>
      </c>
      <c r="M180" s="8">
        <f>IF(ISNA(MATCH(167,Engine!$C$2:$C$630,0)),"",INDEX('Compliance Database'!$M$2:$M$630,MATCH(167,Engine!$C$2:$C$630,0)))</f>
        <v/>
      </c>
      <c r="N180" s="8">
        <f>IF(ISNA(MATCH(167,Engine!$C$2:$C$630,0)),"",INDEX('Compliance Database'!$N$2:$N$630,MATCH(167,Engine!$C$2:$C$630,0)))</f>
        <v/>
      </c>
      <c r="O180" s="8">
        <f>IF(ISNA(MATCH(167,Engine!$C$2:$C$630,0)),"",INDEX('Compliance Database'!$O$2:$O$630,MATCH(167,Engine!$C$2:$C$630,0)))</f>
        <v/>
      </c>
    </row>
    <row r="181">
      <c r="A181">
        <f>IF(ISNA(MATCH(168,Engine!$C$2:$C$630,0)),"",INDEX('Compliance Database'!$A$2:$A$630,MATCH(168,Engine!$C$2:$C$630,0)))</f>
        <v/>
      </c>
      <c r="B181">
        <f>IF(ISNA(MATCH(168,Engine!$C$2:$C$630,0)),"",INDEX('Compliance Database'!$B$2:$B$630,MATCH(168,Engine!$C$2:$C$630,0)))</f>
        <v/>
      </c>
      <c r="C181">
        <f>IF(ISNA(MATCH(168,Engine!$C$2:$C$630,0)),"",INDEX('Compliance Database'!$C$2:$C$630,MATCH(168,Engine!$C$2:$C$630,0)))</f>
        <v/>
      </c>
      <c r="D181" s="8">
        <f>IF(ISNA(MATCH(168,Engine!$C$2:$C$630,0)),"",INDEX('Compliance Database'!$D$2:$D$630,MATCH(168,Engine!$C$2:$C$630,0)))</f>
        <v/>
      </c>
      <c r="E181">
        <f>IF(ISNA(MATCH(168,Engine!$C$2:$C$630,0)),"",INDEX('Compliance Database'!$E$2:$E$630,MATCH(168,Engine!$C$2:$C$630,0)))</f>
        <v/>
      </c>
      <c r="F181">
        <f>IF(ISNA(MATCH(168,Engine!$C$2:$C$630,0)),"",INDEX('Compliance Database'!$F$2:$F$630,MATCH(168,Engine!$C$2:$C$630,0)))</f>
        <v/>
      </c>
      <c r="G181">
        <f>IF(ISNA(MATCH(168,Engine!$C$2:$C$630,0)),"",INDEX('Compliance Database'!$G$2:$G$630,MATCH(168,Engine!$C$2:$C$630,0)))</f>
        <v/>
      </c>
      <c r="H181">
        <f>IF(ISNA(MATCH(168,Engine!$C$2:$C$630,0)),"",INDEX('Compliance Database'!$H$2:$H$630,MATCH(168,Engine!$C$2:$C$630,0)))</f>
        <v/>
      </c>
      <c r="I181" s="8">
        <f>IF(ISNA(MATCH(168,Engine!$C$2:$C$630,0)),"",INDEX('Compliance Database'!$I$2:$I$630,MATCH(168,Engine!$C$2:$C$630,0)))</f>
        <v/>
      </c>
      <c r="J181" s="8">
        <f>IF(ISNA(MATCH(168,Engine!$C$2:$C$630,0)),"",INDEX('Compliance Database'!$J$2:$J$630,MATCH(168,Engine!$C$2:$C$630,0)))</f>
        <v/>
      </c>
      <c r="K181">
        <f>IF(ISNA(MATCH(168,Engine!$C$2:$C$630,0)),"",INDEX('Compliance Database'!$K$2:$K$630,MATCH(168,Engine!$C$2:$C$630,0)))</f>
        <v/>
      </c>
      <c r="L181" s="8">
        <f>IF(ISNA(MATCH(168,Engine!$C$2:$C$630,0)),"",INDEX('Compliance Database'!$L$2:$L$630,MATCH(168,Engine!$C$2:$C$630,0)))</f>
        <v/>
      </c>
      <c r="M181" s="8">
        <f>IF(ISNA(MATCH(168,Engine!$C$2:$C$630,0)),"",INDEX('Compliance Database'!$M$2:$M$630,MATCH(168,Engine!$C$2:$C$630,0)))</f>
        <v/>
      </c>
      <c r="N181" s="8">
        <f>IF(ISNA(MATCH(168,Engine!$C$2:$C$630,0)),"",INDEX('Compliance Database'!$N$2:$N$630,MATCH(168,Engine!$C$2:$C$630,0)))</f>
        <v/>
      </c>
      <c r="O181" s="8">
        <f>IF(ISNA(MATCH(168,Engine!$C$2:$C$630,0)),"",INDEX('Compliance Database'!$O$2:$O$630,MATCH(168,Engine!$C$2:$C$630,0)))</f>
        <v/>
      </c>
    </row>
    <row r="182">
      <c r="A182">
        <f>IF(ISNA(MATCH(169,Engine!$C$2:$C$630,0)),"",INDEX('Compliance Database'!$A$2:$A$630,MATCH(169,Engine!$C$2:$C$630,0)))</f>
        <v/>
      </c>
      <c r="B182">
        <f>IF(ISNA(MATCH(169,Engine!$C$2:$C$630,0)),"",INDEX('Compliance Database'!$B$2:$B$630,MATCH(169,Engine!$C$2:$C$630,0)))</f>
        <v/>
      </c>
      <c r="C182">
        <f>IF(ISNA(MATCH(169,Engine!$C$2:$C$630,0)),"",INDEX('Compliance Database'!$C$2:$C$630,MATCH(169,Engine!$C$2:$C$630,0)))</f>
        <v/>
      </c>
      <c r="D182" s="8">
        <f>IF(ISNA(MATCH(169,Engine!$C$2:$C$630,0)),"",INDEX('Compliance Database'!$D$2:$D$630,MATCH(169,Engine!$C$2:$C$630,0)))</f>
        <v/>
      </c>
      <c r="E182">
        <f>IF(ISNA(MATCH(169,Engine!$C$2:$C$630,0)),"",INDEX('Compliance Database'!$E$2:$E$630,MATCH(169,Engine!$C$2:$C$630,0)))</f>
        <v/>
      </c>
      <c r="F182">
        <f>IF(ISNA(MATCH(169,Engine!$C$2:$C$630,0)),"",INDEX('Compliance Database'!$F$2:$F$630,MATCH(169,Engine!$C$2:$C$630,0)))</f>
        <v/>
      </c>
      <c r="G182">
        <f>IF(ISNA(MATCH(169,Engine!$C$2:$C$630,0)),"",INDEX('Compliance Database'!$G$2:$G$630,MATCH(169,Engine!$C$2:$C$630,0)))</f>
        <v/>
      </c>
      <c r="H182">
        <f>IF(ISNA(MATCH(169,Engine!$C$2:$C$630,0)),"",INDEX('Compliance Database'!$H$2:$H$630,MATCH(169,Engine!$C$2:$C$630,0)))</f>
        <v/>
      </c>
      <c r="I182" s="8">
        <f>IF(ISNA(MATCH(169,Engine!$C$2:$C$630,0)),"",INDEX('Compliance Database'!$I$2:$I$630,MATCH(169,Engine!$C$2:$C$630,0)))</f>
        <v/>
      </c>
      <c r="J182" s="8">
        <f>IF(ISNA(MATCH(169,Engine!$C$2:$C$630,0)),"",INDEX('Compliance Database'!$J$2:$J$630,MATCH(169,Engine!$C$2:$C$630,0)))</f>
        <v/>
      </c>
      <c r="K182">
        <f>IF(ISNA(MATCH(169,Engine!$C$2:$C$630,0)),"",INDEX('Compliance Database'!$K$2:$K$630,MATCH(169,Engine!$C$2:$C$630,0)))</f>
        <v/>
      </c>
      <c r="L182" s="8">
        <f>IF(ISNA(MATCH(169,Engine!$C$2:$C$630,0)),"",INDEX('Compliance Database'!$L$2:$L$630,MATCH(169,Engine!$C$2:$C$630,0)))</f>
        <v/>
      </c>
      <c r="M182" s="8">
        <f>IF(ISNA(MATCH(169,Engine!$C$2:$C$630,0)),"",INDEX('Compliance Database'!$M$2:$M$630,MATCH(169,Engine!$C$2:$C$630,0)))</f>
        <v/>
      </c>
      <c r="N182" s="8">
        <f>IF(ISNA(MATCH(169,Engine!$C$2:$C$630,0)),"",INDEX('Compliance Database'!$N$2:$N$630,MATCH(169,Engine!$C$2:$C$630,0)))</f>
        <v/>
      </c>
      <c r="O182" s="8">
        <f>IF(ISNA(MATCH(169,Engine!$C$2:$C$630,0)),"",INDEX('Compliance Database'!$O$2:$O$630,MATCH(169,Engine!$C$2:$C$630,0)))</f>
        <v/>
      </c>
    </row>
    <row r="183">
      <c r="A183">
        <f>IF(ISNA(MATCH(170,Engine!$C$2:$C$630,0)),"",INDEX('Compliance Database'!$A$2:$A$630,MATCH(170,Engine!$C$2:$C$630,0)))</f>
        <v/>
      </c>
      <c r="B183">
        <f>IF(ISNA(MATCH(170,Engine!$C$2:$C$630,0)),"",INDEX('Compliance Database'!$B$2:$B$630,MATCH(170,Engine!$C$2:$C$630,0)))</f>
        <v/>
      </c>
      <c r="C183">
        <f>IF(ISNA(MATCH(170,Engine!$C$2:$C$630,0)),"",INDEX('Compliance Database'!$C$2:$C$630,MATCH(170,Engine!$C$2:$C$630,0)))</f>
        <v/>
      </c>
      <c r="D183" s="8">
        <f>IF(ISNA(MATCH(170,Engine!$C$2:$C$630,0)),"",INDEX('Compliance Database'!$D$2:$D$630,MATCH(170,Engine!$C$2:$C$630,0)))</f>
        <v/>
      </c>
      <c r="E183">
        <f>IF(ISNA(MATCH(170,Engine!$C$2:$C$630,0)),"",INDEX('Compliance Database'!$E$2:$E$630,MATCH(170,Engine!$C$2:$C$630,0)))</f>
        <v/>
      </c>
      <c r="F183">
        <f>IF(ISNA(MATCH(170,Engine!$C$2:$C$630,0)),"",INDEX('Compliance Database'!$F$2:$F$630,MATCH(170,Engine!$C$2:$C$630,0)))</f>
        <v/>
      </c>
      <c r="G183">
        <f>IF(ISNA(MATCH(170,Engine!$C$2:$C$630,0)),"",INDEX('Compliance Database'!$G$2:$G$630,MATCH(170,Engine!$C$2:$C$630,0)))</f>
        <v/>
      </c>
      <c r="H183">
        <f>IF(ISNA(MATCH(170,Engine!$C$2:$C$630,0)),"",INDEX('Compliance Database'!$H$2:$H$630,MATCH(170,Engine!$C$2:$C$630,0)))</f>
        <v/>
      </c>
      <c r="I183" s="8">
        <f>IF(ISNA(MATCH(170,Engine!$C$2:$C$630,0)),"",INDEX('Compliance Database'!$I$2:$I$630,MATCH(170,Engine!$C$2:$C$630,0)))</f>
        <v/>
      </c>
      <c r="J183" s="8">
        <f>IF(ISNA(MATCH(170,Engine!$C$2:$C$630,0)),"",INDEX('Compliance Database'!$J$2:$J$630,MATCH(170,Engine!$C$2:$C$630,0)))</f>
        <v/>
      </c>
      <c r="K183">
        <f>IF(ISNA(MATCH(170,Engine!$C$2:$C$630,0)),"",INDEX('Compliance Database'!$K$2:$K$630,MATCH(170,Engine!$C$2:$C$630,0)))</f>
        <v/>
      </c>
      <c r="L183" s="8">
        <f>IF(ISNA(MATCH(170,Engine!$C$2:$C$630,0)),"",INDEX('Compliance Database'!$L$2:$L$630,MATCH(170,Engine!$C$2:$C$630,0)))</f>
        <v/>
      </c>
      <c r="M183" s="8">
        <f>IF(ISNA(MATCH(170,Engine!$C$2:$C$630,0)),"",INDEX('Compliance Database'!$M$2:$M$630,MATCH(170,Engine!$C$2:$C$630,0)))</f>
        <v/>
      </c>
      <c r="N183" s="8">
        <f>IF(ISNA(MATCH(170,Engine!$C$2:$C$630,0)),"",INDEX('Compliance Database'!$N$2:$N$630,MATCH(170,Engine!$C$2:$C$630,0)))</f>
        <v/>
      </c>
      <c r="O183" s="8">
        <f>IF(ISNA(MATCH(170,Engine!$C$2:$C$630,0)),"",INDEX('Compliance Database'!$O$2:$O$630,MATCH(170,Engine!$C$2:$C$630,0)))</f>
        <v/>
      </c>
    </row>
    <row r="184">
      <c r="A184">
        <f>IF(ISNA(MATCH(171,Engine!$C$2:$C$630,0)),"",INDEX('Compliance Database'!$A$2:$A$630,MATCH(171,Engine!$C$2:$C$630,0)))</f>
        <v/>
      </c>
      <c r="B184">
        <f>IF(ISNA(MATCH(171,Engine!$C$2:$C$630,0)),"",INDEX('Compliance Database'!$B$2:$B$630,MATCH(171,Engine!$C$2:$C$630,0)))</f>
        <v/>
      </c>
      <c r="C184">
        <f>IF(ISNA(MATCH(171,Engine!$C$2:$C$630,0)),"",INDEX('Compliance Database'!$C$2:$C$630,MATCH(171,Engine!$C$2:$C$630,0)))</f>
        <v/>
      </c>
      <c r="D184" s="8">
        <f>IF(ISNA(MATCH(171,Engine!$C$2:$C$630,0)),"",INDEX('Compliance Database'!$D$2:$D$630,MATCH(171,Engine!$C$2:$C$630,0)))</f>
        <v/>
      </c>
      <c r="E184">
        <f>IF(ISNA(MATCH(171,Engine!$C$2:$C$630,0)),"",INDEX('Compliance Database'!$E$2:$E$630,MATCH(171,Engine!$C$2:$C$630,0)))</f>
        <v/>
      </c>
      <c r="F184">
        <f>IF(ISNA(MATCH(171,Engine!$C$2:$C$630,0)),"",INDEX('Compliance Database'!$F$2:$F$630,MATCH(171,Engine!$C$2:$C$630,0)))</f>
        <v/>
      </c>
      <c r="G184">
        <f>IF(ISNA(MATCH(171,Engine!$C$2:$C$630,0)),"",INDEX('Compliance Database'!$G$2:$G$630,MATCH(171,Engine!$C$2:$C$630,0)))</f>
        <v/>
      </c>
      <c r="H184">
        <f>IF(ISNA(MATCH(171,Engine!$C$2:$C$630,0)),"",INDEX('Compliance Database'!$H$2:$H$630,MATCH(171,Engine!$C$2:$C$630,0)))</f>
        <v/>
      </c>
      <c r="I184" s="8">
        <f>IF(ISNA(MATCH(171,Engine!$C$2:$C$630,0)),"",INDEX('Compliance Database'!$I$2:$I$630,MATCH(171,Engine!$C$2:$C$630,0)))</f>
        <v/>
      </c>
      <c r="J184" s="8">
        <f>IF(ISNA(MATCH(171,Engine!$C$2:$C$630,0)),"",INDEX('Compliance Database'!$J$2:$J$630,MATCH(171,Engine!$C$2:$C$630,0)))</f>
        <v/>
      </c>
      <c r="K184">
        <f>IF(ISNA(MATCH(171,Engine!$C$2:$C$630,0)),"",INDEX('Compliance Database'!$K$2:$K$630,MATCH(171,Engine!$C$2:$C$630,0)))</f>
        <v/>
      </c>
      <c r="L184" s="8">
        <f>IF(ISNA(MATCH(171,Engine!$C$2:$C$630,0)),"",INDEX('Compliance Database'!$L$2:$L$630,MATCH(171,Engine!$C$2:$C$630,0)))</f>
        <v/>
      </c>
      <c r="M184" s="8">
        <f>IF(ISNA(MATCH(171,Engine!$C$2:$C$630,0)),"",INDEX('Compliance Database'!$M$2:$M$630,MATCH(171,Engine!$C$2:$C$630,0)))</f>
        <v/>
      </c>
      <c r="N184" s="8">
        <f>IF(ISNA(MATCH(171,Engine!$C$2:$C$630,0)),"",INDEX('Compliance Database'!$N$2:$N$630,MATCH(171,Engine!$C$2:$C$630,0)))</f>
        <v/>
      </c>
      <c r="O184" s="8">
        <f>IF(ISNA(MATCH(171,Engine!$C$2:$C$630,0)),"",INDEX('Compliance Database'!$O$2:$O$630,MATCH(171,Engine!$C$2:$C$630,0)))</f>
        <v/>
      </c>
    </row>
    <row r="185">
      <c r="A185">
        <f>IF(ISNA(MATCH(172,Engine!$C$2:$C$630,0)),"",INDEX('Compliance Database'!$A$2:$A$630,MATCH(172,Engine!$C$2:$C$630,0)))</f>
        <v/>
      </c>
      <c r="B185">
        <f>IF(ISNA(MATCH(172,Engine!$C$2:$C$630,0)),"",INDEX('Compliance Database'!$B$2:$B$630,MATCH(172,Engine!$C$2:$C$630,0)))</f>
        <v/>
      </c>
      <c r="C185">
        <f>IF(ISNA(MATCH(172,Engine!$C$2:$C$630,0)),"",INDEX('Compliance Database'!$C$2:$C$630,MATCH(172,Engine!$C$2:$C$630,0)))</f>
        <v/>
      </c>
      <c r="D185" s="8">
        <f>IF(ISNA(MATCH(172,Engine!$C$2:$C$630,0)),"",INDEX('Compliance Database'!$D$2:$D$630,MATCH(172,Engine!$C$2:$C$630,0)))</f>
        <v/>
      </c>
      <c r="E185">
        <f>IF(ISNA(MATCH(172,Engine!$C$2:$C$630,0)),"",INDEX('Compliance Database'!$E$2:$E$630,MATCH(172,Engine!$C$2:$C$630,0)))</f>
        <v/>
      </c>
      <c r="F185">
        <f>IF(ISNA(MATCH(172,Engine!$C$2:$C$630,0)),"",INDEX('Compliance Database'!$F$2:$F$630,MATCH(172,Engine!$C$2:$C$630,0)))</f>
        <v/>
      </c>
      <c r="G185">
        <f>IF(ISNA(MATCH(172,Engine!$C$2:$C$630,0)),"",INDEX('Compliance Database'!$G$2:$G$630,MATCH(172,Engine!$C$2:$C$630,0)))</f>
        <v/>
      </c>
      <c r="H185">
        <f>IF(ISNA(MATCH(172,Engine!$C$2:$C$630,0)),"",INDEX('Compliance Database'!$H$2:$H$630,MATCH(172,Engine!$C$2:$C$630,0)))</f>
        <v/>
      </c>
      <c r="I185" s="8">
        <f>IF(ISNA(MATCH(172,Engine!$C$2:$C$630,0)),"",INDEX('Compliance Database'!$I$2:$I$630,MATCH(172,Engine!$C$2:$C$630,0)))</f>
        <v/>
      </c>
      <c r="J185" s="8">
        <f>IF(ISNA(MATCH(172,Engine!$C$2:$C$630,0)),"",INDEX('Compliance Database'!$J$2:$J$630,MATCH(172,Engine!$C$2:$C$630,0)))</f>
        <v/>
      </c>
      <c r="K185">
        <f>IF(ISNA(MATCH(172,Engine!$C$2:$C$630,0)),"",INDEX('Compliance Database'!$K$2:$K$630,MATCH(172,Engine!$C$2:$C$630,0)))</f>
        <v/>
      </c>
      <c r="L185" s="8">
        <f>IF(ISNA(MATCH(172,Engine!$C$2:$C$630,0)),"",INDEX('Compliance Database'!$L$2:$L$630,MATCH(172,Engine!$C$2:$C$630,0)))</f>
        <v/>
      </c>
      <c r="M185" s="8">
        <f>IF(ISNA(MATCH(172,Engine!$C$2:$C$630,0)),"",INDEX('Compliance Database'!$M$2:$M$630,MATCH(172,Engine!$C$2:$C$630,0)))</f>
        <v/>
      </c>
      <c r="N185" s="8">
        <f>IF(ISNA(MATCH(172,Engine!$C$2:$C$630,0)),"",INDEX('Compliance Database'!$N$2:$N$630,MATCH(172,Engine!$C$2:$C$630,0)))</f>
        <v/>
      </c>
      <c r="O185" s="8">
        <f>IF(ISNA(MATCH(172,Engine!$C$2:$C$630,0)),"",INDEX('Compliance Database'!$O$2:$O$630,MATCH(172,Engine!$C$2:$C$630,0)))</f>
        <v/>
      </c>
    </row>
    <row r="186">
      <c r="A186">
        <f>IF(ISNA(MATCH(173,Engine!$C$2:$C$630,0)),"",INDEX('Compliance Database'!$A$2:$A$630,MATCH(173,Engine!$C$2:$C$630,0)))</f>
        <v/>
      </c>
      <c r="B186">
        <f>IF(ISNA(MATCH(173,Engine!$C$2:$C$630,0)),"",INDEX('Compliance Database'!$B$2:$B$630,MATCH(173,Engine!$C$2:$C$630,0)))</f>
        <v/>
      </c>
      <c r="C186">
        <f>IF(ISNA(MATCH(173,Engine!$C$2:$C$630,0)),"",INDEX('Compliance Database'!$C$2:$C$630,MATCH(173,Engine!$C$2:$C$630,0)))</f>
        <v/>
      </c>
      <c r="D186" s="8">
        <f>IF(ISNA(MATCH(173,Engine!$C$2:$C$630,0)),"",INDEX('Compliance Database'!$D$2:$D$630,MATCH(173,Engine!$C$2:$C$630,0)))</f>
        <v/>
      </c>
      <c r="E186">
        <f>IF(ISNA(MATCH(173,Engine!$C$2:$C$630,0)),"",INDEX('Compliance Database'!$E$2:$E$630,MATCH(173,Engine!$C$2:$C$630,0)))</f>
        <v/>
      </c>
      <c r="F186">
        <f>IF(ISNA(MATCH(173,Engine!$C$2:$C$630,0)),"",INDEX('Compliance Database'!$F$2:$F$630,MATCH(173,Engine!$C$2:$C$630,0)))</f>
        <v/>
      </c>
      <c r="G186">
        <f>IF(ISNA(MATCH(173,Engine!$C$2:$C$630,0)),"",INDEX('Compliance Database'!$G$2:$G$630,MATCH(173,Engine!$C$2:$C$630,0)))</f>
        <v/>
      </c>
      <c r="H186">
        <f>IF(ISNA(MATCH(173,Engine!$C$2:$C$630,0)),"",INDEX('Compliance Database'!$H$2:$H$630,MATCH(173,Engine!$C$2:$C$630,0)))</f>
        <v/>
      </c>
      <c r="I186" s="8">
        <f>IF(ISNA(MATCH(173,Engine!$C$2:$C$630,0)),"",INDEX('Compliance Database'!$I$2:$I$630,MATCH(173,Engine!$C$2:$C$630,0)))</f>
        <v/>
      </c>
      <c r="J186" s="8">
        <f>IF(ISNA(MATCH(173,Engine!$C$2:$C$630,0)),"",INDEX('Compliance Database'!$J$2:$J$630,MATCH(173,Engine!$C$2:$C$630,0)))</f>
        <v/>
      </c>
      <c r="K186">
        <f>IF(ISNA(MATCH(173,Engine!$C$2:$C$630,0)),"",INDEX('Compliance Database'!$K$2:$K$630,MATCH(173,Engine!$C$2:$C$630,0)))</f>
        <v/>
      </c>
      <c r="L186" s="8">
        <f>IF(ISNA(MATCH(173,Engine!$C$2:$C$630,0)),"",INDEX('Compliance Database'!$L$2:$L$630,MATCH(173,Engine!$C$2:$C$630,0)))</f>
        <v/>
      </c>
      <c r="M186" s="8">
        <f>IF(ISNA(MATCH(173,Engine!$C$2:$C$630,0)),"",INDEX('Compliance Database'!$M$2:$M$630,MATCH(173,Engine!$C$2:$C$630,0)))</f>
        <v/>
      </c>
      <c r="N186" s="8">
        <f>IF(ISNA(MATCH(173,Engine!$C$2:$C$630,0)),"",INDEX('Compliance Database'!$N$2:$N$630,MATCH(173,Engine!$C$2:$C$630,0)))</f>
        <v/>
      </c>
      <c r="O186" s="8">
        <f>IF(ISNA(MATCH(173,Engine!$C$2:$C$630,0)),"",INDEX('Compliance Database'!$O$2:$O$630,MATCH(173,Engine!$C$2:$C$630,0)))</f>
        <v/>
      </c>
    </row>
    <row r="187">
      <c r="A187">
        <f>IF(ISNA(MATCH(174,Engine!$C$2:$C$630,0)),"",INDEX('Compliance Database'!$A$2:$A$630,MATCH(174,Engine!$C$2:$C$630,0)))</f>
        <v/>
      </c>
      <c r="B187">
        <f>IF(ISNA(MATCH(174,Engine!$C$2:$C$630,0)),"",INDEX('Compliance Database'!$B$2:$B$630,MATCH(174,Engine!$C$2:$C$630,0)))</f>
        <v/>
      </c>
      <c r="C187">
        <f>IF(ISNA(MATCH(174,Engine!$C$2:$C$630,0)),"",INDEX('Compliance Database'!$C$2:$C$630,MATCH(174,Engine!$C$2:$C$630,0)))</f>
        <v/>
      </c>
      <c r="D187" s="8">
        <f>IF(ISNA(MATCH(174,Engine!$C$2:$C$630,0)),"",INDEX('Compliance Database'!$D$2:$D$630,MATCH(174,Engine!$C$2:$C$630,0)))</f>
        <v/>
      </c>
      <c r="E187">
        <f>IF(ISNA(MATCH(174,Engine!$C$2:$C$630,0)),"",INDEX('Compliance Database'!$E$2:$E$630,MATCH(174,Engine!$C$2:$C$630,0)))</f>
        <v/>
      </c>
      <c r="F187">
        <f>IF(ISNA(MATCH(174,Engine!$C$2:$C$630,0)),"",INDEX('Compliance Database'!$F$2:$F$630,MATCH(174,Engine!$C$2:$C$630,0)))</f>
        <v/>
      </c>
      <c r="G187">
        <f>IF(ISNA(MATCH(174,Engine!$C$2:$C$630,0)),"",INDEX('Compliance Database'!$G$2:$G$630,MATCH(174,Engine!$C$2:$C$630,0)))</f>
        <v/>
      </c>
      <c r="H187">
        <f>IF(ISNA(MATCH(174,Engine!$C$2:$C$630,0)),"",INDEX('Compliance Database'!$H$2:$H$630,MATCH(174,Engine!$C$2:$C$630,0)))</f>
        <v/>
      </c>
      <c r="I187" s="8">
        <f>IF(ISNA(MATCH(174,Engine!$C$2:$C$630,0)),"",INDEX('Compliance Database'!$I$2:$I$630,MATCH(174,Engine!$C$2:$C$630,0)))</f>
        <v/>
      </c>
      <c r="J187" s="8">
        <f>IF(ISNA(MATCH(174,Engine!$C$2:$C$630,0)),"",INDEX('Compliance Database'!$J$2:$J$630,MATCH(174,Engine!$C$2:$C$630,0)))</f>
        <v/>
      </c>
      <c r="K187">
        <f>IF(ISNA(MATCH(174,Engine!$C$2:$C$630,0)),"",INDEX('Compliance Database'!$K$2:$K$630,MATCH(174,Engine!$C$2:$C$630,0)))</f>
        <v/>
      </c>
      <c r="L187" s="8">
        <f>IF(ISNA(MATCH(174,Engine!$C$2:$C$630,0)),"",INDEX('Compliance Database'!$L$2:$L$630,MATCH(174,Engine!$C$2:$C$630,0)))</f>
        <v/>
      </c>
      <c r="M187" s="8">
        <f>IF(ISNA(MATCH(174,Engine!$C$2:$C$630,0)),"",INDEX('Compliance Database'!$M$2:$M$630,MATCH(174,Engine!$C$2:$C$630,0)))</f>
        <v/>
      </c>
      <c r="N187" s="8">
        <f>IF(ISNA(MATCH(174,Engine!$C$2:$C$630,0)),"",INDEX('Compliance Database'!$N$2:$N$630,MATCH(174,Engine!$C$2:$C$630,0)))</f>
        <v/>
      </c>
      <c r="O187" s="8">
        <f>IF(ISNA(MATCH(174,Engine!$C$2:$C$630,0)),"",INDEX('Compliance Database'!$O$2:$O$630,MATCH(174,Engine!$C$2:$C$630,0)))</f>
        <v/>
      </c>
    </row>
    <row r="188">
      <c r="A188">
        <f>IF(ISNA(MATCH(175,Engine!$C$2:$C$630,0)),"",INDEX('Compliance Database'!$A$2:$A$630,MATCH(175,Engine!$C$2:$C$630,0)))</f>
        <v/>
      </c>
      <c r="B188">
        <f>IF(ISNA(MATCH(175,Engine!$C$2:$C$630,0)),"",INDEX('Compliance Database'!$B$2:$B$630,MATCH(175,Engine!$C$2:$C$630,0)))</f>
        <v/>
      </c>
      <c r="C188">
        <f>IF(ISNA(MATCH(175,Engine!$C$2:$C$630,0)),"",INDEX('Compliance Database'!$C$2:$C$630,MATCH(175,Engine!$C$2:$C$630,0)))</f>
        <v/>
      </c>
      <c r="D188" s="8">
        <f>IF(ISNA(MATCH(175,Engine!$C$2:$C$630,0)),"",INDEX('Compliance Database'!$D$2:$D$630,MATCH(175,Engine!$C$2:$C$630,0)))</f>
        <v/>
      </c>
      <c r="E188">
        <f>IF(ISNA(MATCH(175,Engine!$C$2:$C$630,0)),"",INDEX('Compliance Database'!$E$2:$E$630,MATCH(175,Engine!$C$2:$C$630,0)))</f>
        <v/>
      </c>
      <c r="F188">
        <f>IF(ISNA(MATCH(175,Engine!$C$2:$C$630,0)),"",INDEX('Compliance Database'!$F$2:$F$630,MATCH(175,Engine!$C$2:$C$630,0)))</f>
        <v/>
      </c>
      <c r="G188">
        <f>IF(ISNA(MATCH(175,Engine!$C$2:$C$630,0)),"",INDEX('Compliance Database'!$G$2:$G$630,MATCH(175,Engine!$C$2:$C$630,0)))</f>
        <v/>
      </c>
      <c r="H188">
        <f>IF(ISNA(MATCH(175,Engine!$C$2:$C$630,0)),"",INDEX('Compliance Database'!$H$2:$H$630,MATCH(175,Engine!$C$2:$C$630,0)))</f>
        <v/>
      </c>
      <c r="I188" s="8">
        <f>IF(ISNA(MATCH(175,Engine!$C$2:$C$630,0)),"",INDEX('Compliance Database'!$I$2:$I$630,MATCH(175,Engine!$C$2:$C$630,0)))</f>
        <v/>
      </c>
      <c r="J188" s="8">
        <f>IF(ISNA(MATCH(175,Engine!$C$2:$C$630,0)),"",INDEX('Compliance Database'!$J$2:$J$630,MATCH(175,Engine!$C$2:$C$630,0)))</f>
        <v/>
      </c>
      <c r="K188">
        <f>IF(ISNA(MATCH(175,Engine!$C$2:$C$630,0)),"",INDEX('Compliance Database'!$K$2:$K$630,MATCH(175,Engine!$C$2:$C$630,0)))</f>
        <v/>
      </c>
      <c r="L188" s="8">
        <f>IF(ISNA(MATCH(175,Engine!$C$2:$C$630,0)),"",INDEX('Compliance Database'!$L$2:$L$630,MATCH(175,Engine!$C$2:$C$630,0)))</f>
        <v/>
      </c>
      <c r="M188" s="8">
        <f>IF(ISNA(MATCH(175,Engine!$C$2:$C$630,0)),"",INDEX('Compliance Database'!$M$2:$M$630,MATCH(175,Engine!$C$2:$C$630,0)))</f>
        <v/>
      </c>
      <c r="N188" s="8">
        <f>IF(ISNA(MATCH(175,Engine!$C$2:$C$630,0)),"",INDEX('Compliance Database'!$N$2:$N$630,MATCH(175,Engine!$C$2:$C$630,0)))</f>
        <v/>
      </c>
      <c r="O188" s="8">
        <f>IF(ISNA(MATCH(175,Engine!$C$2:$C$630,0)),"",INDEX('Compliance Database'!$O$2:$O$630,MATCH(175,Engine!$C$2:$C$630,0)))</f>
        <v/>
      </c>
    </row>
    <row r="189">
      <c r="A189">
        <f>IF(ISNA(MATCH(176,Engine!$C$2:$C$630,0)),"",INDEX('Compliance Database'!$A$2:$A$630,MATCH(176,Engine!$C$2:$C$630,0)))</f>
        <v/>
      </c>
      <c r="B189">
        <f>IF(ISNA(MATCH(176,Engine!$C$2:$C$630,0)),"",INDEX('Compliance Database'!$B$2:$B$630,MATCH(176,Engine!$C$2:$C$630,0)))</f>
        <v/>
      </c>
      <c r="C189">
        <f>IF(ISNA(MATCH(176,Engine!$C$2:$C$630,0)),"",INDEX('Compliance Database'!$C$2:$C$630,MATCH(176,Engine!$C$2:$C$630,0)))</f>
        <v/>
      </c>
      <c r="D189" s="8">
        <f>IF(ISNA(MATCH(176,Engine!$C$2:$C$630,0)),"",INDEX('Compliance Database'!$D$2:$D$630,MATCH(176,Engine!$C$2:$C$630,0)))</f>
        <v/>
      </c>
      <c r="E189">
        <f>IF(ISNA(MATCH(176,Engine!$C$2:$C$630,0)),"",INDEX('Compliance Database'!$E$2:$E$630,MATCH(176,Engine!$C$2:$C$630,0)))</f>
        <v/>
      </c>
      <c r="F189">
        <f>IF(ISNA(MATCH(176,Engine!$C$2:$C$630,0)),"",INDEX('Compliance Database'!$F$2:$F$630,MATCH(176,Engine!$C$2:$C$630,0)))</f>
        <v/>
      </c>
      <c r="G189">
        <f>IF(ISNA(MATCH(176,Engine!$C$2:$C$630,0)),"",INDEX('Compliance Database'!$G$2:$G$630,MATCH(176,Engine!$C$2:$C$630,0)))</f>
        <v/>
      </c>
      <c r="H189">
        <f>IF(ISNA(MATCH(176,Engine!$C$2:$C$630,0)),"",INDEX('Compliance Database'!$H$2:$H$630,MATCH(176,Engine!$C$2:$C$630,0)))</f>
        <v/>
      </c>
      <c r="I189" s="8">
        <f>IF(ISNA(MATCH(176,Engine!$C$2:$C$630,0)),"",INDEX('Compliance Database'!$I$2:$I$630,MATCH(176,Engine!$C$2:$C$630,0)))</f>
        <v/>
      </c>
      <c r="J189" s="8">
        <f>IF(ISNA(MATCH(176,Engine!$C$2:$C$630,0)),"",INDEX('Compliance Database'!$J$2:$J$630,MATCH(176,Engine!$C$2:$C$630,0)))</f>
        <v/>
      </c>
      <c r="K189">
        <f>IF(ISNA(MATCH(176,Engine!$C$2:$C$630,0)),"",INDEX('Compliance Database'!$K$2:$K$630,MATCH(176,Engine!$C$2:$C$630,0)))</f>
        <v/>
      </c>
      <c r="L189" s="8">
        <f>IF(ISNA(MATCH(176,Engine!$C$2:$C$630,0)),"",INDEX('Compliance Database'!$L$2:$L$630,MATCH(176,Engine!$C$2:$C$630,0)))</f>
        <v/>
      </c>
      <c r="M189" s="8">
        <f>IF(ISNA(MATCH(176,Engine!$C$2:$C$630,0)),"",INDEX('Compliance Database'!$M$2:$M$630,MATCH(176,Engine!$C$2:$C$630,0)))</f>
        <v/>
      </c>
      <c r="N189" s="8">
        <f>IF(ISNA(MATCH(176,Engine!$C$2:$C$630,0)),"",INDEX('Compliance Database'!$N$2:$N$630,MATCH(176,Engine!$C$2:$C$630,0)))</f>
        <v/>
      </c>
      <c r="O189" s="8">
        <f>IF(ISNA(MATCH(176,Engine!$C$2:$C$630,0)),"",INDEX('Compliance Database'!$O$2:$O$630,MATCH(176,Engine!$C$2:$C$630,0)))</f>
        <v/>
      </c>
    </row>
    <row r="190">
      <c r="A190">
        <f>IF(ISNA(MATCH(177,Engine!$C$2:$C$630,0)),"",INDEX('Compliance Database'!$A$2:$A$630,MATCH(177,Engine!$C$2:$C$630,0)))</f>
        <v/>
      </c>
      <c r="B190">
        <f>IF(ISNA(MATCH(177,Engine!$C$2:$C$630,0)),"",INDEX('Compliance Database'!$B$2:$B$630,MATCH(177,Engine!$C$2:$C$630,0)))</f>
        <v/>
      </c>
      <c r="C190">
        <f>IF(ISNA(MATCH(177,Engine!$C$2:$C$630,0)),"",INDEX('Compliance Database'!$C$2:$C$630,MATCH(177,Engine!$C$2:$C$630,0)))</f>
        <v/>
      </c>
      <c r="D190" s="8">
        <f>IF(ISNA(MATCH(177,Engine!$C$2:$C$630,0)),"",INDEX('Compliance Database'!$D$2:$D$630,MATCH(177,Engine!$C$2:$C$630,0)))</f>
        <v/>
      </c>
      <c r="E190">
        <f>IF(ISNA(MATCH(177,Engine!$C$2:$C$630,0)),"",INDEX('Compliance Database'!$E$2:$E$630,MATCH(177,Engine!$C$2:$C$630,0)))</f>
        <v/>
      </c>
      <c r="F190">
        <f>IF(ISNA(MATCH(177,Engine!$C$2:$C$630,0)),"",INDEX('Compliance Database'!$F$2:$F$630,MATCH(177,Engine!$C$2:$C$630,0)))</f>
        <v/>
      </c>
      <c r="G190">
        <f>IF(ISNA(MATCH(177,Engine!$C$2:$C$630,0)),"",INDEX('Compliance Database'!$G$2:$G$630,MATCH(177,Engine!$C$2:$C$630,0)))</f>
        <v/>
      </c>
      <c r="H190">
        <f>IF(ISNA(MATCH(177,Engine!$C$2:$C$630,0)),"",INDEX('Compliance Database'!$H$2:$H$630,MATCH(177,Engine!$C$2:$C$630,0)))</f>
        <v/>
      </c>
      <c r="I190" s="8">
        <f>IF(ISNA(MATCH(177,Engine!$C$2:$C$630,0)),"",INDEX('Compliance Database'!$I$2:$I$630,MATCH(177,Engine!$C$2:$C$630,0)))</f>
        <v/>
      </c>
      <c r="J190" s="8">
        <f>IF(ISNA(MATCH(177,Engine!$C$2:$C$630,0)),"",INDEX('Compliance Database'!$J$2:$J$630,MATCH(177,Engine!$C$2:$C$630,0)))</f>
        <v/>
      </c>
      <c r="K190">
        <f>IF(ISNA(MATCH(177,Engine!$C$2:$C$630,0)),"",INDEX('Compliance Database'!$K$2:$K$630,MATCH(177,Engine!$C$2:$C$630,0)))</f>
        <v/>
      </c>
      <c r="L190" s="8">
        <f>IF(ISNA(MATCH(177,Engine!$C$2:$C$630,0)),"",INDEX('Compliance Database'!$L$2:$L$630,MATCH(177,Engine!$C$2:$C$630,0)))</f>
        <v/>
      </c>
      <c r="M190" s="8">
        <f>IF(ISNA(MATCH(177,Engine!$C$2:$C$630,0)),"",INDEX('Compliance Database'!$M$2:$M$630,MATCH(177,Engine!$C$2:$C$630,0)))</f>
        <v/>
      </c>
      <c r="N190" s="8">
        <f>IF(ISNA(MATCH(177,Engine!$C$2:$C$630,0)),"",INDEX('Compliance Database'!$N$2:$N$630,MATCH(177,Engine!$C$2:$C$630,0)))</f>
        <v/>
      </c>
      <c r="O190" s="8">
        <f>IF(ISNA(MATCH(177,Engine!$C$2:$C$630,0)),"",INDEX('Compliance Database'!$O$2:$O$630,MATCH(177,Engine!$C$2:$C$630,0)))</f>
        <v/>
      </c>
    </row>
    <row r="191">
      <c r="A191">
        <f>IF(ISNA(MATCH(178,Engine!$C$2:$C$630,0)),"",INDEX('Compliance Database'!$A$2:$A$630,MATCH(178,Engine!$C$2:$C$630,0)))</f>
        <v/>
      </c>
      <c r="B191">
        <f>IF(ISNA(MATCH(178,Engine!$C$2:$C$630,0)),"",INDEX('Compliance Database'!$B$2:$B$630,MATCH(178,Engine!$C$2:$C$630,0)))</f>
        <v/>
      </c>
      <c r="C191">
        <f>IF(ISNA(MATCH(178,Engine!$C$2:$C$630,0)),"",INDEX('Compliance Database'!$C$2:$C$630,MATCH(178,Engine!$C$2:$C$630,0)))</f>
        <v/>
      </c>
      <c r="D191" s="8">
        <f>IF(ISNA(MATCH(178,Engine!$C$2:$C$630,0)),"",INDEX('Compliance Database'!$D$2:$D$630,MATCH(178,Engine!$C$2:$C$630,0)))</f>
        <v/>
      </c>
      <c r="E191">
        <f>IF(ISNA(MATCH(178,Engine!$C$2:$C$630,0)),"",INDEX('Compliance Database'!$E$2:$E$630,MATCH(178,Engine!$C$2:$C$630,0)))</f>
        <v/>
      </c>
      <c r="F191">
        <f>IF(ISNA(MATCH(178,Engine!$C$2:$C$630,0)),"",INDEX('Compliance Database'!$F$2:$F$630,MATCH(178,Engine!$C$2:$C$630,0)))</f>
        <v/>
      </c>
      <c r="G191">
        <f>IF(ISNA(MATCH(178,Engine!$C$2:$C$630,0)),"",INDEX('Compliance Database'!$G$2:$G$630,MATCH(178,Engine!$C$2:$C$630,0)))</f>
        <v/>
      </c>
      <c r="H191">
        <f>IF(ISNA(MATCH(178,Engine!$C$2:$C$630,0)),"",INDEX('Compliance Database'!$H$2:$H$630,MATCH(178,Engine!$C$2:$C$630,0)))</f>
        <v/>
      </c>
      <c r="I191" s="8">
        <f>IF(ISNA(MATCH(178,Engine!$C$2:$C$630,0)),"",INDEX('Compliance Database'!$I$2:$I$630,MATCH(178,Engine!$C$2:$C$630,0)))</f>
        <v/>
      </c>
      <c r="J191" s="8">
        <f>IF(ISNA(MATCH(178,Engine!$C$2:$C$630,0)),"",INDEX('Compliance Database'!$J$2:$J$630,MATCH(178,Engine!$C$2:$C$630,0)))</f>
        <v/>
      </c>
      <c r="K191">
        <f>IF(ISNA(MATCH(178,Engine!$C$2:$C$630,0)),"",INDEX('Compliance Database'!$K$2:$K$630,MATCH(178,Engine!$C$2:$C$630,0)))</f>
        <v/>
      </c>
      <c r="L191" s="8">
        <f>IF(ISNA(MATCH(178,Engine!$C$2:$C$630,0)),"",INDEX('Compliance Database'!$L$2:$L$630,MATCH(178,Engine!$C$2:$C$630,0)))</f>
        <v/>
      </c>
      <c r="M191" s="8">
        <f>IF(ISNA(MATCH(178,Engine!$C$2:$C$630,0)),"",INDEX('Compliance Database'!$M$2:$M$630,MATCH(178,Engine!$C$2:$C$630,0)))</f>
        <v/>
      </c>
      <c r="N191" s="8">
        <f>IF(ISNA(MATCH(178,Engine!$C$2:$C$630,0)),"",INDEX('Compliance Database'!$N$2:$N$630,MATCH(178,Engine!$C$2:$C$630,0)))</f>
        <v/>
      </c>
      <c r="O191" s="8">
        <f>IF(ISNA(MATCH(178,Engine!$C$2:$C$630,0)),"",INDEX('Compliance Database'!$O$2:$O$630,MATCH(178,Engine!$C$2:$C$630,0)))</f>
        <v/>
      </c>
    </row>
    <row r="192">
      <c r="A192">
        <f>IF(ISNA(MATCH(179,Engine!$C$2:$C$630,0)),"",INDEX('Compliance Database'!$A$2:$A$630,MATCH(179,Engine!$C$2:$C$630,0)))</f>
        <v/>
      </c>
      <c r="B192">
        <f>IF(ISNA(MATCH(179,Engine!$C$2:$C$630,0)),"",INDEX('Compliance Database'!$B$2:$B$630,MATCH(179,Engine!$C$2:$C$630,0)))</f>
        <v/>
      </c>
      <c r="C192">
        <f>IF(ISNA(MATCH(179,Engine!$C$2:$C$630,0)),"",INDEX('Compliance Database'!$C$2:$C$630,MATCH(179,Engine!$C$2:$C$630,0)))</f>
        <v/>
      </c>
      <c r="D192" s="8">
        <f>IF(ISNA(MATCH(179,Engine!$C$2:$C$630,0)),"",INDEX('Compliance Database'!$D$2:$D$630,MATCH(179,Engine!$C$2:$C$630,0)))</f>
        <v/>
      </c>
      <c r="E192">
        <f>IF(ISNA(MATCH(179,Engine!$C$2:$C$630,0)),"",INDEX('Compliance Database'!$E$2:$E$630,MATCH(179,Engine!$C$2:$C$630,0)))</f>
        <v/>
      </c>
      <c r="F192">
        <f>IF(ISNA(MATCH(179,Engine!$C$2:$C$630,0)),"",INDEX('Compliance Database'!$F$2:$F$630,MATCH(179,Engine!$C$2:$C$630,0)))</f>
        <v/>
      </c>
      <c r="G192">
        <f>IF(ISNA(MATCH(179,Engine!$C$2:$C$630,0)),"",INDEX('Compliance Database'!$G$2:$G$630,MATCH(179,Engine!$C$2:$C$630,0)))</f>
        <v/>
      </c>
      <c r="H192">
        <f>IF(ISNA(MATCH(179,Engine!$C$2:$C$630,0)),"",INDEX('Compliance Database'!$H$2:$H$630,MATCH(179,Engine!$C$2:$C$630,0)))</f>
        <v/>
      </c>
      <c r="I192" s="8">
        <f>IF(ISNA(MATCH(179,Engine!$C$2:$C$630,0)),"",INDEX('Compliance Database'!$I$2:$I$630,MATCH(179,Engine!$C$2:$C$630,0)))</f>
        <v/>
      </c>
      <c r="J192" s="8">
        <f>IF(ISNA(MATCH(179,Engine!$C$2:$C$630,0)),"",INDEX('Compliance Database'!$J$2:$J$630,MATCH(179,Engine!$C$2:$C$630,0)))</f>
        <v/>
      </c>
      <c r="K192">
        <f>IF(ISNA(MATCH(179,Engine!$C$2:$C$630,0)),"",INDEX('Compliance Database'!$K$2:$K$630,MATCH(179,Engine!$C$2:$C$630,0)))</f>
        <v/>
      </c>
      <c r="L192" s="8">
        <f>IF(ISNA(MATCH(179,Engine!$C$2:$C$630,0)),"",INDEX('Compliance Database'!$L$2:$L$630,MATCH(179,Engine!$C$2:$C$630,0)))</f>
        <v/>
      </c>
      <c r="M192" s="8">
        <f>IF(ISNA(MATCH(179,Engine!$C$2:$C$630,0)),"",INDEX('Compliance Database'!$M$2:$M$630,MATCH(179,Engine!$C$2:$C$630,0)))</f>
        <v/>
      </c>
      <c r="N192" s="8">
        <f>IF(ISNA(MATCH(179,Engine!$C$2:$C$630,0)),"",INDEX('Compliance Database'!$N$2:$N$630,MATCH(179,Engine!$C$2:$C$630,0)))</f>
        <v/>
      </c>
      <c r="O192" s="8">
        <f>IF(ISNA(MATCH(179,Engine!$C$2:$C$630,0)),"",INDEX('Compliance Database'!$O$2:$O$630,MATCH(179,Engine!$C$2:$C$630,0)))</f>
        <v/>
      </c>
    </row>
    <row r="193">
      <c r="A193">
        <f>IF(ISNA(MATCH(180,Engine!$C$2:$C$630,0)),"",INDEX('Compliance Database'!$A$2:$A$630,MATCH(180,Engine!$C$2:$C$630,0)))</f>
        <v/>
      </c>
      <c r="B193">
        <f>IF(ISNA(MATCH(180,Engine!$C$2:$C$630,0)),"",INDEX('Compliance Database'!$B$2:$B$630,MATCH(180,Engine!$C$2:$C$630,0)))</f>
        <v/>
      </c>
      <c r="C193">
        <f>IF(ISNA(MATCH(180,Engine!$C$2:$C$630,0)),"",INDEX('Compliance Database'!$C$2:$C$630,MATCH(180,Engine!$C$2:$C$630,0)))</f>
        <v/>
      </c>
      <c r="D193" s="8">
        <f>IF(ISNA(MATCH(180,Engine!$C$2:$C$630,0)),"",INDEX('Compliance Database'!$D$2:$D$630,MATCH(180,Engine!$C$2:$C$630,0)))</f>
        <v/>
      </c>
      <c r="E193">
        <f>IF(ISNA(MATCH(180,Engine!$C$2:$C$630,0)),"",INDEX('Compliance Database'!$E$2:$E$630,MATCH(180,Engine!$C$2:$C$630,0)))</f>
        <v/>
      </c>
      <c r="F193">
        <f>IF(ISNA(MATCH(180,Engine!$C$2:$C$630,0)),"",INDEX('Compliance Database'!$F$2:$F$630,MATCH(180,Engine!$C$2:$C$630,0)))</f>
        <v/>
      </c>
      <c r="G193">
        <f>IF(ISNA(MATCH(180,Engine!$C$2:$C$630,0)),"",INDEX('Compliance Database'!$G$2:$G$630,MATCH(180,Engine!$C$2:$C$630,0)))</f>
        <v/>
      </c>
      <c r="H193">
        <f>IF(ISNA(MATCH(180,Engine!$C$2:$C$630,0)),"",INDEX('Compliance Database'!$H$2:$H$630,MATCH(180,Engine!$C$2:$C$630,0)))</f>
        <v/>
      </c>
      <c r="I193" s="8">
        <f>IF(ISNA(MATCH(180,Engine!$C$2:$C$630,0)),"",INDEX('Compliance Database'!$I$2:$I$630,MATCH(180,Engine!$C$2:$C$630,0)))</f>
        <v/>
      </c>
      <c r="J193" s="8">
        <f>IF(ISNA(MATCH(180,Engine!$C$2:$C$630,0)),"",INDEX('Compliance Database'!$J$2:$J$630,MATCH(180,Engine!$C$2:$C$630,0)))</f>
        <v/>
      </c>
      <c r="K193">
        <f>IF(ISNA(MATCH(180,Engine!$C$2:$C$630,0)),"",INDEX('Compliance Database'!$K$2:$K$630,MATCH(180,Engine!$C$2:$C$630,0)))</f>
        <v/>
      </c>
      <c r="L193" s="8">
        <f>IF(ISNA(MATCH(180,Engine!$C$2:$C$630,0)),"",INDEX('Compliance Database'!$L$2:$L$630,MATCH(180,Engine!$C$2:$C$630,0)))</f>
        <v/>
      </c>
      <c r="M193" s="8">
        <f>IF(ISNA(MATCH(180,Engine!$C$2:$C$630,0)),"",INDEX('Compliance Database'!$M$2:$M$630,MATCH(180,Engine!$C$2:$C$630,0)))</f>
        <v/>
      </c>
      <c r="N193" s="8">
        <f>IF(ISNA(MATCH(180,Engine!$C$2:$C$630,0)),"",INDEX('Compliance Database'!$N$2:$N$630,MATCH(180,Engine!$C$2:$C$630,0)))</f>
        <v/>
      </c>
      <c r="O193" s="8">
        <f>IF(ISNA(MATCH(180,Engine!$C$2:$C$630,0)),"",INDEX('Compliance Database'!$O$2:$O$630,MATCH(180,Engine!$C$2:$C$630,0)))</f>
        <v/>
      </c>
    </row>
    <row r="194">
      <c r="A194">
        <f>IF(ISNA(MATCH(181,Engine!$C$2:$C$630,0)),"",INDEX('Compliance Database'!$A$2:$A$630,MATCH(181,Engine!$C$2:$C$630,0)))</f>
        <v/>
      </c>
      <c r="B194">
        <f>IF(ISNA(MATCH(181,Engine!$C$2:$C$630,0)),"",INDEX('Compliance Database'!$B$2:$B$630,MATCH(181,Engine!$C$2:$C$630,0)))</f>
        <v/>
      </c>
      <c r="C194">
        <f>IF(ISNA(MATCH(181,Engine!$C$2:$C$630,0)),"",INDEX('Compliance Database'!$C$2:$C$630,MATCH(181,Engine!$C$2:$C$630,0)))</f>
        <v/>
      </c>
      <c r="D194" s="8">
        <f>IF(ISNA(MATCH(181,Engine!$C$2:$C$630,0)),"",INDEX('Compliance Database'!$D$2:$D$630,MATCH(181,Engine!$C$2:$C$630,0)))</f>
        <v/>
      </c>
      <c r="E194">
        <f>IF(ISNA(MATCH(181,Engine!$C$2:$C$630,0)),"",INDEX('Compliance Database'!$E$2:$E$630,MATCH(181,Engine!$C$2:$C$630,0)))</f>
        <v/>
      </c>
      <c r="F194">
        <f>IF(ISNA(MATCH(181,Engine!$C$2:$C$630,0)),"",INDEX('Compliance Database'!$F$2:$F$630,MATCH(181,Engine!$C$2:$C$630,0)))</f>
        <v/>
      </c>
      <c r="G194">
        <f>IF(ISNA(MATCH(181,Engine!$C$2:$C$630,0)),"",INDEX('Compliance Database'!$G$2:$G$630,MATCH(181,Engine!$C$2:$C$630,0)))</f>
        <v/>
      </c>
      <c r="H194">
        <f>IF(ISNA(MATCH(181,Engine!$C$2:$C$630,0)),"",INDEX('Compliance Database'!$H$2:$H$630,MATCH(181,Engine!$C$2:$C$630,0)))</f>
        <v/>
      </c>
      <c r="I194" s="8">
        <f>IF(ISNA(MATCH(181,Engine!$C$2:$C$630,0)),"",INDEX('Compliance Database'!$I$2:$I$630,MATCH(181,Engine!$C$2:$C$630,0)))</f>
        <v/>
      </c>
      <c r="J194" s="8">
        <f>IF(ISNA(MATCH(181,Engine!$C$2:$C$630,0)),"",INDEX('Compliance Database'!$J$2:$J$630,MATCH(181,Engine!$C$2:$C$630,0)))</f>
        <v/>
      </c>
      <c r="K194">
        <f>IF(ISNA(MATCH(181,Engine!$C$2:$C$630,0)),"",INDEX('Compliance Database'!$K$2:$K$630,MATCH(181,Engine!$C$2:$C$630,0)))</f>
        <v/>
      </c>
      <c r="L194" s="8">
        <f>IF(ISNA(MATCH(181,Engine!$C$2:$C$630,0)),"",INDEX('Compliance Database'!$L$2:$L$630,MATCH(181,Engine!$C$2:$C$630,0)))</f>
        <v/>
      </c>
      <c r="M194" s="8">
        <f>IF(ISNA(MATCH(181,Engine!$C$2:$C$630,0)),"",INDEX('Compliance Database'!$M$2:$M$630,MATCH(181,Engine!$C$2:$C$630,0)))</f>
        <v/>
      </c>
      <c r="N194" s="8">
        <f>IF(ISNA(MATCH(181,Engine!$C$2:$C$630,0)),"",INDEX('Compliance Database'!$N$2:$N$630,MATCH(181,Engine!$C$2:$C$630,0)))</f>
        <v/>
      </c>
      <c r="O194" s="8">
        <f>IF(ISNA(MATCH(181,Engine!$C$2:$C$630,0)),"",INDEX('Compliance Database'!$O$2:$O$630,MATCH(181,Engine!$C$2:$C$630,0)))</f>
        <v/>
      </c>
    </row>
    <row r="195">
      <c r="A195">
        <f>IF(ISNA(MATCH(182,Engine!$C$2:$C$630,0)),"",INDEX('Compliance Database'!$A$2:$A$630,MATCH(182,Engine!$C$2:$C$630,0)))</f>
        <v/>
      </c>
      <c r="B195">
        <f>IF(ISNA(MATCH(182,Engine!$C$2:$C$630,0)),"",INDEX('Compliance Database'!$B$2:$B$630,MATCH(182,Engine!$C$2:$C$630,0)))</f>
        <v/>
      </c>
      <c r="C195">
        <f>IF(ISNA(MATCH(182,Engine!$C$2:$C$630,0)),"",INDEX('Compliance Database'!$C$2:$C$630,MATCH(182,Engine!$C$2:$C$630,0)))</f>
        <v/>
      </c>
      <c r="D195" s="8">
        <f>IF(ISNA(MATCH(182,Engine!$C$2:$C$630,0)),"",INDEX('Compliance Database'!$D$2:$D$630,MATCH(182,Engine!$C$2:$C$630,0)))</f>
        <v/>
      </c>
      <c r="E195">
        <f>IF(ISNA(MATCH(182,Engine!$C$2:$C$630,0)),"",INDEX('Compliance Database'!$E$2:$E$630,MATCH(182,Engine!$C$2:$C$630,0)))</f>
        <v/>
      </c>
      <c r="F195">
        <f>IF(ISNA(MATCH(182,Engine!$C$2:$C$630,0)),"",INDEX('Compliance Database'!$F$2:$F$630,MATCH(182,Engine!$C$2:$C$630,0)))</f>
        <v/>
      </c>
      <c r="G195">
        <f>IF(ISNA(MATCH(182,Engine!$C$2:$C$630,0)),"",INDEX('Compliance Database'!$G$2:$G$630,MATCH(182,Engine!$C$2:$C$630,0)))</f>
        <v/>
      </c>
      <c r="H195">
        <f>IF(ISNA(MATCH(182,Engine!$C$2:$C$630,0)),"",INDEX('Compliance Database'!$H$2:$H$630,MATCH(182,Engine!$C$2:$C$630,0)))</f>
        <v/>
      </c>
      <c r="I195" s="8">
        <f>IF(ISNA(MATCH(182,Engine!$C$2:$C$630,0)),"",INDEX('Compliance Database'!$I$2:$I$630,MATCH(182,Engine!$C$2:$C$630,0)))</f>
        <v/>
      </c>
      <c r="J195" s="8">
        <f>IF(ISNA(MATCH(182,Engine!$C$2:$C$630,0)),"",INDEX('Compliance Database'!$J$2:$J$630,MATCH(182,Engine!$C$2:$C$630,0)))</f>
        <v/>
      </c>
      <c r="K195">
        <f>IF(ISNA(MATCH(182,Engine!$C$2:$C$630,0)),"",INDEX('Compliance Database'!$K$2:$K$630,MATCH(182,Engine!$C$2:$C$630,0)))</f>
        <v/>
      </c>
      <c r="L195" s="8">
        <f>IF(ISNA(MATCH(182,Engine!$C$2:$C$630,0)),"",INDEX('Compliance Database'!$L$2:$L$630,MATCH(182,Engine!$C$2:$C$630,0)))</f>
        <v/>
      </c>
      <c r="M195" s="8">
        <f>IF(ISNA(MATCH(182,Engine!$C$2:$C$630,0)),"",INDEX('Compliance Database'!$M$2:$M$630,MATCH(182,Engine!$C$2:$C$630,0)))</f>
        <v/>
      </c>
      <c r="N195" s="8">
        <f>IF(ISNA(MATCH(182,Engine!$C$2:$C$630,0)),"",INDEX('Compliance Database'!$N$2:$N$630,MATCH(182,Engine!$C$2:$C$630,0)))</f>
        <v/>
      </c>
      <c r="O195" s="8">
        <f>IF(ISNA(MATCH(182,Engine!$C$2:$C$630,0)),"",INDEX('Compliance Database'!$O$2:$O$630,MATCH(182,Engine!$C$2:$C$630,0)))</f>
        <v/>
      </c>
    </row>
    <row r="196">
      <c r="A196">
        <f>IF(ISNA(MATCH(183,Engine!$C$2:$C$630,0)),"",INDEX('Compliance Database'!$A$2:$A$630,MATCH(183,Engine!$C$2:$C$630,0)))</f>
        <v/>
      </c>
      <c r="B196">
        <f>IF(ISNA(MATCH(183,Engine!$C$2:$C$630,0)),"",INDEX('Compliance Database'!$B$2:$B$630,MATCH(183,Engine!$C$2:$C$630,0)))</f>
        <v/>
      </c>
      <c r="C196">
        <f>IF(ISNA(MATCH(183,Engine!$C$2:$C$630,0)),"",INDEX('Compliance Database'!$C$2:$C$630,MATCH(183,Engine!$C$2:$C$630,0)))</f>
        <v/>
      </c>
      <c r="D196" s="8">
        <f>IF(ISNA(MATCH(183,Engine!$C$2:$C$630,0)),"",INDEX('Compliance Database'!$D$2:$D$630,MATCH(183,Engine!$C$2:$C$630,0)))</f>
        <v/>
      </c>
      <c r="E196">
        <f>IF(ISNA(MATCH(183,Engine!$C$2:$C$630,0)),"",INDEX('Compliance Database'!$E$2:$E$630,MATCH(183,Engine!$C$2:$C$630,0)))</f>
        <v/>
      </c>
      <c r="F196">
        <f>IF(ISNA(MATCH(183,Engine!$C$2:$C$630,0)),"",INDEX('Compliance Database'!$F$2:$F$630,MATCH(183,Engine!$C$2:$C$630,0)))</f>
        <v/>
      </c>
      <c r="G196">
        <f>IF(ISNA(MATCH(183,Engine!$C$2:$C$630,0)),"",INDEX('Compliance Database'!$G$2:$G$630,MATCH(183,Engine!$C$2:$C$630,0)))</f>
        <v/>
      </c>
      <c r="H196">
        <f>IF(ISNA(MATCH(183,Engine!$C$2:$C$630,0)),"",INDEX('Compliance Database'!$H$2:$H$630,MATCH(183,Engine!$C$2:$C$630,0)))</f>
        <v/>
      </c>
      <c r="I196" s="8">
        <f>IF(ISNA(MATCH(183,Engine!$C$2:$C$630,0)),"",INDEX('Compliance Database'!$I$2:$I$630,MATCH(183,Engine!$C$2:$C$630,0)))</f>
        <v/>
      </c>
      <c r="J196" s="8">
        <f>IF(ISNA(MATCH(183,Engine!$C$2:$C$630,0)),"",INDEX('Compliance Database'!$J$2:$J$630,MATCH(183,Engine!$C$2:$C$630,0)))</f>
        <v/>
      </c>
      <c r="K196">
        <f>IF(ISNA(MATCH(183,Engine!$C$2:$C$630,0)),"",INDEX('Compliance Database'!$K$2:$K$630,MATCH(183,Engine!$C$2:$C$630,0)))</f>
        <v/>
      </c>
      <c r="L196" s="8">
        <f>IF(ISNA(MATCH(183,Engine!$C$2:$C$630,0)),"",INDEX('Compliance Database'!$L$2:$L$630,MATCH(183,Engine!$C$2:$C$630,0)))</f>
        <v/>
      </c>
      <c r="M196" s="8">
        <f>IF(ISNA(MATCH(183,Engine!$C$2:$C$630,0)),"",INDEX('Compliance Database'!$M$2:$M$630,MATCH(183,Engine!$C$2:$C$630,0)))</f>
        <v/>
      </c>
      <c r="N196" s="8">
        <f>IF(ISNA(MATCH(183,Engine!$C$2:$C$630,0)),"",INDEX('Compliance Database'!$N$2:$N$630,MATCH(183,Engine!$C$2:$C$630,0)))</f>
        <v/>
      </c>
      <c r="O196" s="8">
        <f>IF(ISNA(MATCH(183,Engine!$C$2:$C$630,0)),"",INDEX('Compliance Database'!$O$2:$O$630,MATCH(183,Engine!$C$2:$C$630,0)))</f>
        <v/>
      </c>
    </row>
    <row r="197">
      <c r="A197">
        <f>IF(ISNA(MATCH(184,Engine!$C$2:$C$630,0)),"",INDEX('Compliance Database'!$A$2:$A$630,MATCH(184,Engine!$C$2:$C$630,0)))</f>
        <v/>
      </c>
      <c r="B197">
        <f>IF(ISNA(MATCH(184,Engine!$C$2:$C$630,0)),"",INDEX('Compliance Database'!$B$2:$B$630,MATCH(184,Engine!$C$2:$C$630,0)))</f>
        <v/>
      </c>
      <c r="C197">
        <f>IF(ISNA(MATCH(184,Engine!$C$2:$C$630,0)),"",INDEX('Compliance Database'!$C$2:$C$630,MATCH(184,Engine!$C$2:$C$630,0)))</f>
        <v/>
      </c>
      <c r="D197" s="8">
        <f>IF(ISNA(MATCH(184,Engine!$C$2:$C$630,0)),"",INDEX('Compliance Database'!$D$2:$D$630,MATCH(184,Engine!$C$2:$C$630,0)))</f>
        <v/>
      </c>
      <c r="E197">
        <f>IF(ISNA(MATCH(184,Engine!$C$2:$C$630,0)),"",INDEX('Compliance Database'!$E$2:$E$630,MATCH(184,Engine!$C$2:$C$630,0)))</f>
        <v/>
      </c>
      <c r="F197">
        <f>IF(ISNA(MATCH(184,Engine!$C$2:$C$630,0)),"",INDEX('Compliance Database'!$F$2:$F$630,MATCH(184,Engine!$C$2:$C$630,0)))</f>
        <v/>
      </c>
      <c r="G197">
        <f>IF(ISNA(MATCH(184,Engine!$C$2:$C$630,0)),"",INDEX('Compliance Database'!$G$2:$G$630,MATCH(184,Engine!$C$2:$C$630,0)))</f>
        <v/>
      </c>
      <c r="H197">
        <f>IF(ISNA(MATCH(184,Engine!$C$2:$C$630,0)),"",INDEX('Compliance Database'!$H$2:$H$630,MATCH(184,Engine!$C$2:$C$630,0)))</f>
        <v/>
      </c>
      <c r="I197" s="8">
        <f>IF(ISNA(MATCH(184,Engine!$C$2:$C$630,0)),"",INDEX('Compliance Database'!$I$2:$I$630,MATCH(184,Engine!$C$2:$C$630,0)))</f>
        <v/>
      </c>
      <c r="J197" s="8">
        <f>IF(ISNA(MATCH(184,Engine!$C$2:$C$630,0)),"",INDEX('Compliance Database'!$J$2:$J$630,MATCH(184,Engine!$C$2:$C$630,0)))</f>
        <v/>
      </c>
      <c r="K197">
        <f>IF(ISNA(MATCH(184,Engine!$C$2:$C$630,0)),"",INDEX('Compliance Database'!$K$2:$K$630,MATCH(184,Engine!$C$2:$C$630,0)))</f>
        <v/>
      </c>
      <c r="L197" s="8">
        <f>IF(ISNA(MATCH(184,Engine!$C$2:$C$630,0)),"",INDEX('Compliance Database'!$L$2:$L$630,MATCH(184,Engine!$C$2:$C$630,0)))</f>
        <v/>
      </c>
      <c r="M197" s="8">
        <f>IF(ISNA(MATCH(184,Engine!$C$2:$C$630,0)),"",INDEX('Compliance Database'!$M$2:$M$630,MATCH(184,Engine!$C$2:$C$630,0)))</f>
        <v/>
      </c>
      <c r="N197" s="8">
        <f>IF(ISNA(MATCH(184,Engine!$C$2:$C$630,0)),"",INDEX('Compliance Database'!$N$2:$N$630,MATCH(184,Engine!$C$2:$C$630,0)))</f>
        <v/>
      </c>
      <c r="O197" s="8">
        <f>IF(ISNA(MATCH(184,Engine!$C$2:$C$630,0)),"",INDEX('Compliance Database'!$O$2:$O$630,MATCH(184,Engine!$C$2:$C$630,0)))</f>
        <v/>
      </c>
    </row>
    <row r="198">
      <c r="A198">
        <f>IF(ISNA(MATCH(185,Engine!$C$2:$C$630,0)),"",INDEX('Compliance Database'!$A$2:$A$630,MATCH(185,Engine!$C$2:$C$630,0)))</f>
        <v/>
      </c>
      <c r="B198">
        <f>IF(ISNA(MATCH(185,Engine!$C$2:$C$630,0)),"",INDEX('Compliance Database'!$B$2:$B$630,MATCH(185,Engine!$C$2:$C$630,0)))</f>
        <v/>
      </c>
      <c r="C198">
        <f>IF(ISNA(MATCH(185,Engine!$C$2:$C$630,0)),"",INDEX('Compliance Database'!$C$2:$C$630,MATCH(185,Engine!$C$2:$C$630,0)))</f>
        <v/>
      </c>
      <c r="D198" s="8">
        <f>IF(ISNA(MATCH(185,Engine!$C$2:$C$630,0)),"",INDEX('Compliance Database'!$D$2:$D$630,MATCH(185,Engine!$C$2:$C$630,0)))</f>
        <v/>
      </c>
      <c r="E198">
        <f>IF(ISNA(MATCH(185,Engine!$C$2:$C$630,0)),"",INDEX('Compliance Database'!$E$2:$E$630,MATCH(185,Engine!$C$2:$C$630,0)))</f>
        <v/>
      </c>
      <c r="F198">
        <f>IF(ISNA(MATCH(185,Engine!$C$2:$C$630,0)),"",INDEX('Compliance Database'!$F$2:$F$630,MATCH(185,Engine!$C$2:$C$630,0)))</f>
        <v/>
      </c>
      <c r="G198">
        <f>IF(ISNA(MATCH(185,Engine!$C$2:$C$630,0)),"",INDEX('Compliance Database'!$G$2:$G$630,MATCH(185,Engine!$C$2:$C$630,0)))</f>
        <v/>
      </c>
      <c r="H198">
        <f>IF(ISNA(MATCH(185,Engine!$C$2:$C$630,0)),"",INDEX('Compliance Database'!$H$2:$H$630,MATCH(185,Engine!$C$2:$C$630,0)))</f>
        <v/>
      </c>
      <c r="I198" s="8">
        <f>IF(ISNA(MATCH(185,Engine!$C$2:$C$630,0)),"",INDEX('Compliance Database'!$I$2:$I$630,MATCH(185,Engine!$C$2:$C$630,0)))</f>
        <v/>
      </c>
      <c r="J198" s="8">
        <f>IF(ISNA(MATCH(185,Engine!$C$2:$C$630,0)),"",INDEX('Compliance Database'!$J$2:$J$630,MATCH(185,Engine!$C$2:$C$630,0)))</f>
        <v/>
      </c>
      <c r="K198">
        <f>IF(ISNA(MATCH(185,Engine!$C$2:$C$630,0)),"",INDEX('Compliance Database'!$K$2:$K$630,MATCH(185,Engine!$C$2:$C$630,0)))</f>
        <v/>
      </c>
      <c r="L198" s="8">
        <f>IF(ISNA(MATCH(185,Engine!$C$2:$C$630,0)),"",INDEX('Compliance Database'!$L$2:$L$630,MATCH(185,Engine!$C$2:$C$630,0)))</f>
        <v/>
      </c>
      <c r="M198" s="8">
        <f>IF(ISNA(MATCH(185,Engine!$C$2:$C$630,0)),"",INDEX('Compliance Database'!$M$2:$M$630,MATCH(185,Engine!$C$2:$C$630,0)))</f>
        <v/>
      </c>
      <c r="N198" s="8">
        <f>IF(ISNA(MATCH(185,Engine!$C$2:$C$630,0)),"",INDEX('Compliance Database'!$N$2:$N$630,MATCH(185,Engine!$C$2:$C$630,0)))</f>
        <v/>
      </c>
      <c r="O198" s="8">
        <f>IF(ISNA(MATCH(185,Engine!$C$2:$C$630,0)),"",INDEX('Compliance Database'!$O$2:$O$630,MATCH(185,Engine!$C$2:$C$630,0)))</f>
        <v/>
      </c>
    </row>
    <row r="199">
      <c r="A199">
        <f>IF(ISNA(MATCH(186,Engine!$C$2:$C$630,0)),"",INDEX('Compliance Database'!$A$2:$A$630,MATCH(186,Engine!$C$2:$C$630,0)))</f>
        <v/>
      </c>
      <c r="B199">
        <f>IF(ISNA(MATCH(186,Engine!$C$2:$C$630,0)),"",INDEX('Compliance Database'!$B$2:$B$630,MATCH(186,Engine!$C$2:$C$630,0)))</f>
        <v/>
      </c>
      <c r="C199">
        <f>IF(ISNA(MATCH(186,Engine!$C$2:$C$630,0)),"",INDEX('Compliance Database'!$C$2:$C$630,MATCH(186,Engine!$C$2:$C$630,0)))</f>
        <v/>
      </c>
      <c r="D199" s="8">
        <f>IF(ISNA(MATCH(186,Engine!$C$2:$C$630,0)),"",INDEX('Compliance Database'!$D$2:$D$630,MATCH(186,Engine!$C$2:$C$630,0)))</f>
        <v/>
      </c>
      <c r="E199">
        <f>IF(ISNA(MATCH(186,Engine!$C$2:$C$630,0)),"",INDEX('Compliance Database'!$E$2:$E$630,MATCH(186,Engine!$C$2:$C$630,0)))</f>
        <v/>
      </c>
      <c r="F199">
        <f>IF(ISNA(MATCH(186,Engine!$C$2:$C$630,0)),"",INDEX('Compliance Database'!$F$2:$F$630,MATCH(186,Engine!$C$2:$C$630,0)))</f>
        <v/>
      </c>
      <c r="G199">
        <f>IF(ISNA(MATCH(186,Engine!$C$2:$C$630,0)),"",INDEX('Compliance Database'!$G$2:$G$630,MATCH(186,Engine!$C$2:$C$630,0)))</f>
        <v/>
      </c>
      <c r="H199">
        <f>IF(ISNA(MATCH(186,Engine!$C$2:$C$630,0)),"",INDEX('Compliance Database'!$H$2:$H$630,MATCH(186,Engine!$C$2:$C$630,0)))</f>
        <v/>
      </c>
      <c r="I199" s="8">
        <f>IF(ISNA(MATCH(186,Engine!$C$2:$C$630,0)),"",INDEX('Compliance Database'!$I$2:$I$630,MATCH(186,Engine!$C$2:$C$630,0)))</f>
        <v/>
      </c>
      <c r="J199" s="8">
        <f>IF(ISNA(MATCH(186,Engine!$C$2:$C$630,0)),"",INDEX('Compliance Database'!$J$2:$J$630,MATCH(186,Engine!$C$2:$C$630,0)))</f>
        <v/>
      </c>
      <c r="K199">
        <f>IF(ISNA(MATCH(186,Engine!$C$2:$C$630,0)),"",INDEX('Compliance Database'!$K$2:$K$630,MATCH(186,Engine!$C$2:$C$630,0)))</f>
        <v/>
      </c>
      <c r="L199" s="8">
        <f>IF(ISNA(MATCH(186,Engine!$C$2:$C$630,0)),"",INDEX('Compliance Database'!$L$2:$L$630,MATCH(186,Engine!$C$2:$C$630,0)))</f>
        <v/>
      </c>
      <c r="M199" s="8">
        <f>IF(ISNA(MATCH(186,Engine!$C$2:$C$630,0)),"",INDEX('Compliance Database'!$M$2:$M$630,MATCH(186,Engine!$C$2:$C$630,0)))</f>
        <v/>
      </c>
      <c r="N199" s="8">
        <f>IF(ISNA(MATCH(186,Engine!$C$2:$C$630,0)),"",INDEX('Compliance Database'!$N$2:$N$630,MATCH(186,Engine!$C$2:$C$630,0)))</f>
        <v/>
      </c>
      <c r="O199" s="8">
        <f>IF(ISNA(MATCH(186,Engine!$C$2:$C$630,0)),"",INDEX('Compliance Database'!$O$2:$O$630,MATCH(186,Engine!$C$2:$C$630,0)))</f>
        <v/>
      </c>
    </row>
    <row r="200">
      <c r="A200">
        <f>IF(ISNA(MATCH(187,Engine!$C$2:$C$630,0)),"",INDEX('Compliance Database'!$A$2:$A$630,MATCH(187,Engine!$C$2:$C$630,0)))</f>
        <v/>
      </c>
      <c r="B200">
        <f>IF(ISNA(MATCH(187,Engine!$C$2:$C$630,0)),"",INDEX('Compliance Database'!$B$2:$B$630,MATCH(187,Engine!$C$2:$C$630,0)))</f>
        <v/>
      </c>
      <c r="C200">
        <f>IF(ISNA(MATCH(187,Engine!$C$2:$C$630,0)),"",INDEX('Compliance Database'!$C$2:$C$630,MATCH(187,Engine!$C$2:$C$630,0)))</f>
        <v/>
      </c>
      <c r="D200" s="8">
        <f>IF(ISNA(MATCH(187,Engine!$C$2:$C$630,0)),"",INDEX('Compliance Database'!$D$2:$D$630,MATCH(187,Engine!$C$2:$C$630,0)))</f>
        <v/>
      </c>
      <c r="E200">
        <f>IF(ISNA(MATCH(187,Engine!$C$2:$C$630,0)),"",INDEX('Compliance Database'!$E$2:$E$630,MATCH(187,Engine!$C$2:$C$630,0)))</f>
        <v/>
      </c>
      <c r="F200">
        <f>IF(ISNA(MATCH(187,Engine!$C$2:$C$630,0)),"",INDEX('Compliance Database'!$F$2:$F$630,MATCH(187,Engine!$C$2:$C$630,0)))</f>
        <v/>
      </c>
      <c r="G200">
        <f>IF(ISNA(MATCH(187,Engine!$C$2:$C$630,0)),"",INDEX('Compliance Database'!$G$2:$G$630,MATCH(187,Engine!$C$2:$C$630,0)))</f>
        <v/>
      </c>
      <c r="H200">
        <f>IF(ISNA(MATCH(187,Engine!$C$2:$C$630,0)),"",INDEX('Compliance Database'!$H$2:$H$630,MATCH(187,Engine!$C$2:$C$630,0)))</f>
        <v/>
      </c>
      <c r="I200" s="8">
        <f>IF(ISNA(MATCH(187,Engine!$C$2:$C$630,0)),"",INDEX('Compliance Database'!$I$2:$I$630,MATCH(187,Engine!$C$2:$C$630,0)))</f>
        <v/>
      </c>
      <c r="J200" s="8">
        <f>IF(ISNA(MATCH(187,Engine!$C$2:$C$630,0)),"",INDEX('Compliance Database'!$J$2:$J$630,MATCH(187,Engine!$C$2:$C$630,0)))</f>
        <v/>
      </c>
      <c r="K200">
        <f>IF(ISNA(MATCH(187,Engine!$C$2:$C$630,0)),"",INDEX('Compliance Database'!$K$2:$K$630,MATCH(187,Engine!$C$2:$C$630,0)))</f>
        <v/>
      </c>
      <c r="L200" s="8">
        <f>IF(ISNA(MATCH(187,Engine!$C$2:$C$630,0)),"",INDEX('Compliance Database'!$L$2:$L$630,MATCH(187,Engine!$C$2:$C$630,0)))</f>
        <v/>
      </c>
      <c r="M200" s="8">
        <f>IF(ISNA(MATCH(187,Engine!$C$2:$C$630,0)),"",INDEX('Compliance Database'!$M$2:$M$630,MATCH(187,Engine!$C$2:$C$630,0)))</f>
        <v/>
      </c>
      <c r="N200" s="8">
        <f>IF(ISNA(MATCH(187,Engine!$C$2:$C$630,0)),"",INDEX('Compliance Database'!$N$2:$N$630,MATCH(187,Engine!$C$2:$C$630,0)))</f>
        <v/>
      </c>
      <c r="O200" s="8">
        <f>IF(ISNA(MATCH(187,Engine!$C$2:$C$630,0)),"",INDEX('Compliance Database'!$O$2:$O$630,MATCH(187,Engine!$C$2:$C$630,0)))</f>
        <v/>
      </c>
    </row>
    <row r="201">
      <c r="A201">
        <f>IF(ISNA(MATCH(188,Engine!$C$2:$C$630,0)),"",INDEX('Compliance Database'!$A$2:$A$630,MATCH(188,Engine!$C$2:$C$630,0)))</f>
        <v/>
      </c>
      <c r="B201">
        <f>IF(ISNA(MATCH(188,Engine!$C$2:$C$630,0)),"",INDEX('Compliance Database'!$B$2:$B$630,MATCH(188,Engine!$C$2:$C$630,0)))</f>
        <v/>
      </c>
      <c r="C201">
        <f>IF(ISNA(MATCH(188,Engine!$C$2:$C$630,0)),"",INDEX('Compliance Database'!$C$2:$C$630,MATCH(188,Engine!$C$2:$C$630,0)))</f>
        <v/>
      </c>
      <c r="D201" s="8">
        <f>IF(ISNA(MATCH(188,Engine!$C$2:$C$630,0)),"",INDEX('Compliance Database'!$D$2:$D$630,MATCH(188,Engine!$C$2:$C$630,0)))</f>
        <v/>
      </c>
      <c r="E201">
        <f>IF(ISNA(MATCH(188,Engine!$C$2:$C$630,0)),"",INDEX('Compliance Database'!$E$2:$E$630,MATCH(188,Engine!$C$2:$C$630,0)))</f>
        <v/>
      </c>
      <c r="F201">
        <f>IF(ISNA(MATCH(188,Engine!$C$2:$C$630,0)),"",INDEX('Compliance Database'!$F$2:$F$630,MATCH(188,Engine!$C$2:$C$630,0)))</f>
        <v/>
      </c>
      <c r="G201">
        <f>IF(ISNA(MATCH(188,Engine!$C$2:$C$630,0)),"",INDEX('Compliance Database'!$G$2:$G$630,MATCH(188,Engine!$C$2:$C$630,0)))</f>
        <v/>
      </c>
      <c r="H201">
        <f>IF(ISNA(MATCH(188,Engine!$C$2:$C$630,0)),"",INDEX('Compliance Database'!$H$2:$H$630,MATCH(188,Engine!$C$2:$C$630,0)))</f>
        <v/>
      </c>
      <c r="I201" s="8">
        <f>IF(ISNA(MATCH(188,Engine!$C$2:$C$630,0)),"",INDEX('Compliance Database'!$I$2:$I$630,MATCH(188,Engine!$C$2:$C$630,0)))</f>
        <v/>
      </c>
      <c r="J201" s="8">
        <f>IF(ISNA(MATCH(188,Engine!$C$2:$C$630,0)),"",INDEX('Compliance Database'!$J$2:$J$630,MATCH(188,Engine!$C$2:$C$630,0)))</f>
        <v/>
      </c>
      <c r="K201">
        <f>IF(ISNA(MATCH(188,Engine!$C$2:$C$630,0)),"",INDEX('Compliance Database'!$K$2:$K$630,MATCH(188,Engine!$C$2:$C$630,0)))</f>
        <v/>
      </c>
      <c r="L201" s="8">
        <f>IF(ISNA(MATCH(188,Engine!$C$2:$C$630,0)),"",INDEX('Compliance Database'!$L$2:$L$630,MATCH(188,Engine!$C$2:$C$630,0)))</f>
        <v/>
      </c>
      <c r="M201" s="8">
        <f>IF(ISNA(MATCH(188,Engine!$C$2:$C$630,0)),"",INDEX('Compliance Database'!$M$2:$M$630,MATCH(188,Engine!$C$2:$C$630,0)))</f>
        <v/>
      </c>
      <c r="N201" s="8">
        <f>IF(ISNA(MATCH(188,Engine!$C$2:$C$630,0)),"",INDEX('Compliance Database'!$N$2:$N$630,MATCH(188,Engine!$C$2:$C$630,0)))</f>
        <v/>
      </c>
      <c r="O201" s="8">
        <f>IF(ISNA(MATCH(188,Engine!$C$2:$C$630,0)),"",INDEX('Compliance Database'!$O$2:$O$630,MATCH(188,Engine!$C$2:$C$630,0)))</f>
        <v/>
      </c>
    </row>
    <row r="202">
      <c r="A202">
        <f>IF(ISNA(MATCH(189,Engine!$C$2:$C$630,0)),"",INDEX('Compliance Database'!$A$2:$A$630,MATCH(189,Engine!$C$2:$C$630,0)))</f>
        <v/>
      </c>
      <c r="B202">
        <f>IF(ISNA(MATCH(189,Engine!$C$2:$C$630,0)),"",INDEX('Compliance Database'!$B$2:$B$630,MATCH(189,Engine!$C$2:$C$630,0)))</f>
        <v/>
      </c>
      <c r="C202">
        <f>IF(ISNA(MATCH(189,Engine!$C$2:$C$630,0)),"",INDEX('Compliance Database'!$C$2:$C$630,MATCH(189,Engine!$C$2:$C$630,0)))</f>
        <v/>
      </c>
      <c r="D202" s="8">
        <f>IF(ISNA(MATCH(189,Engine!$C$2:$C$630,0)),"",INDEX('Compliance Database'!$D$2:$D$630,MATCH(189,Engine!$C$2:$C$630,0)))</f>
        <v/>
      </c>
      <c r="E202">
        <f>IF(ISNA(MATCH(189,Engine!$C$2:$C$630,0)),"",INDEX('Compliance Database'!$E$2:$E$630,MATCH(189,Engine!$C$2:$C$630,0)))</f>
        <v/>
      </c>
      <c r="F202">
        <f>IF(ISNA(MATCH(189,Engine!$C$2:$C$630,0)),"",INDEX('Compliance Database'!$F$2:$F$630,MATCH(189,Engine!$C$2:$C$630,0)))</f>
        <v/>
      </c>
      <c r="G202">
        <f>IF(ISNA(MATCH(189,Engine!$C$2:$C$630,0)),"",INDEX('Compliance Database'!$G$2:$G$630,MATCH(189,Engine!$C$2:$C$630,0)))</f>
        <v/>
      </c>
      <c r="H202">
        <f>IF(ISNA(MATCH(189,Engine!$C$2:$C$630,0)),"",INDEX('Compliance Database'!$H$2:$H$630,MATCH(189,Engine!$C$2:$C$630,0)))</f>
        <v/>
      </c>
      <c r="I202" s="8">
        <f>IF(ISNA(MATCH(189,Engine!$C$2:$C$630,0)),"",INDEX('Compliance Database'!$I$2:$I$630,MATCH(189,Engine!$C$2:$C$630,0)))</f>
        <v/>
      </c>
      <c r="J202" s="8">
        <f>IF(ISNA(MATCH(189,Engine!$C$2:$C$630,0)),"",INDEX('Compliance Database'!$J$2:$J$630,MATCH(189,Engine!$C$2:$C$630,0)))</f>
        <v/>
      </c>
      <c r="K202">
        <f>IF(ISNA(MATCH(189,Engine!$C$2:$C$630,0)),"",INDEX('Compliance Database'!$K$2:$K$630,MATCH(189,Engine!$C$2:$C$630,0)))</f>
        <v/>
      </c>
      <c r="L202" s="8">
        <f>IF(ISNA(MATCH(189,Engine!$C$2:$C$630,0)),"",INDEX('Compliance Database'!$L$2:$L$630,MATCH(189,Engine!$C$2:$C$630,0)))</f>
        <v/>
      </c>
      <c r="M202" s="8">
        <f>IF(ISNA(MATCH(189,Engine!$C$2:$C$630,0)),"",INDEX('Compliance Database'!$M$2:$M$630,MATCH(189,Engine!$C$2:$C$630,0)))</f>
        <v/>
      </c>
      <c r="N202" s="8">
        <f>IF(ISNA(MATCH(189,Engine!$C$2:$C$630,0)),"",INDEX('Compliance Database'!$N$2:$N$630,MATCH(189,Engine!$C$2:$C$630,0)))</f>
        <v/>
      </c>
      <c r="O202" s="8">
        <f>IF(ISNA(MATCH(189,Engine!$C$2:$C$630,0)),"",INDEX('Compliance Database'!$O$2:$O$630,MATCH(189,Engine!$C$2:$C$630,0)))</f>
        <v/>
      </c>
    </row>
    <row r="203">
      <c r="A203">
        <f>IF(ISNA(MATCH(190,Engine!$C$2:$C$630,0)),"",INDEX('Compliance Database'!$A$2:$A$630,MATCH(190,Engine!$C$2:$C$630,0)))</f>
        <v/>
      </c>
      <c r="B203">
        <f>IF(ISNA(MATCH(190,Engine!$C$2:$C$630,0)),"",INDEX('Compliance Database'!$B$2:$B$630,MATCH(190,Engine!$C$2:$C$630,0)))</f>
        <v/>
      </c>
      <c r="C203">
        <f>IF(ISNA(MATCH(190,Engine!$C$2:$C$630,0)),"",INDEX('Compliance Database'!$C$2:$C$630,MATCH(190,Engine!$C$2:$C$630,0)))</f>
        <v/>
      </c>
      <c r="D203" s="8">
        <f>IF(ISNA(MATCH(190,Engine!$C$2:$C$630,0)),"",INDEX('Compliance Database'!$D$2:$D$630,MATCH(190,Engine!$C$2:$C$630,0)))</f>
        <v/>
      </c>
      <c r="E203">
        <f>IF(ISNA(MATCH(190,Engine!$C$2:$C$630,0)),"",INDEX('Compliance Database'!$E$2:$E$630,MATCH(190,Engine!$C$2:$C$630,0)))</f>
        <v/>
      </c>
      <c r="F203">
        <f>IF(ISNA(MATCH(190,Engine!$C$2:$C$630,0)),"",INDEX('Compliance Database'!$F$2:$F$630,MATCH(190,Engine!$C$2:$C$630,0)))</f>
        <v/>
      </c>
      <c r="G203">
        <f>IF(ISNA(MATCH(190,Engine!$C$2:$C$630,0)),"",INDEX('Compliance Database'!$G$2:$G$630,MATCH(190,Engine!$C$2:$C$630,0)))</f>
        <v/>
      </c>
      <c r="H203">
        <f>IF(ISNA(MATCH(190,Engine!$C$2:$C$630,0)),"",INDEX('Compliance Database'!$H$2:$H$630,MATCH(190,Engine!$C$2:$C$630,0)))</f>
        <v/>
      </c>
      <c r="I203" s="8">
        <f>IF(ISNA(MATCH(190,Engine!$C$2:$C$630,0)),"",INDEX('Compliance Database'!$I$2:$I$630,MATCH(190,Engine!$C$2:$C$630,0)))</f>
        <v/>
      </c>
      <c r="J203" s="8">
        <f>IF(ISNA(MATCH(190,Engine!$C$2:$C$630,0)),"",INDEX('Compliance Database'!$J$2:$J$630,MATCH(190,Engine!$C$2:$C$630,0)))</f>
        <v/>
      </c>
      <c r="K203">
        <f>IF(ISNA(MATCH(190,Engine!$C$2:$C$630,0)),"",INDEX('Compliance Database'!$K$2:$K$630,MATCH(190,Engine!$C$2:$C$630,0)))</f>
        <v/>
      </c>
      <c r="L203" s="8">
        <f>IF(ISNA(MATCH(190,Engine!$C$2:$C$630,0)),"",INDEX('Compliance Database'!$L$2:$L$630,MATCH(190,Engine!$C$2:$C$630,0)))</f>
        <v/>
      </c>
      <c r="M203" s="8">
        <f>IF(ISNA(MATCH(190,Engine!$C$2:$C$630,0)),"",INDEX('Compliance Database'!$M$2:$M$630,MATCH(190,Engine!$C$2:$C$630,0)))</f>
        <v/>
      </c>
      <c r="N203" s="8">
        <f>IF(ISNA(MATCH(190,Engine!$C$2:$C$630,0)),"",INDEX('Compliance Database'!$N$2:$N$630,MATCH(190,Engine!$C$2:$C$630,0)))</f>
        <v/>
      </c>
      <c r="O203" s="8">
        <f>IF(ISNA(MATCH(190,Engine!$C$2:$C$630,0)),"",INDEX('Compliance Database'!$O$2:$O$630,MATCH(190,Engine!$C$2:$C$630,0)))</f>
        <v/>
      </c>
    </row>
    <row r="204">
      <c r="A204">
        <f>IF(ISNA(MATCH(191,Engine!$C$2:$C$630,0)),"",INDEX('Compliance Database'!$A$2:$A$630,MATCH(191,Engine!$C$2:$C$630,0)))</f>
        <v/>
      </c>
      <c r="B204">
        <f>IF(ISNA(MATCH(191,Engine!$C$2:$C$630,0)),"",INDEX('Compliance Database'!$B$2:$B$630,MATCH(191,Engine!$C$2:$C$630,0)))</f>
        <v/>
      </c>
      <c r="C204">
        <f>IF(ISNA(MATCH(191,Engine!$C$2:$C$630,0)),"",INDEX('Compliance Database'!$C$2:$C$630,MATCH(191,Engine!$C$2:$C$630,0)))</f>
        <v/>
      </c>
      <c r="D204" s="8">
        <f>IF(ISNA(MATCH(191,Engine!$C$2:$C$630,0)),"",INDEX('Compliance Database'!$D$2:$D$630,MATCH(191,Engine!$C$2:$C$630,0)))</f>
        <v/>
      </c>
      <c r="E204">
        <f>IF(ISNA(MATCH(191,Engine!$C$2:$C$630,0)),"",INDEX('Compliance Database'!$E$2:$E$630,MATCH(191,Engine!$C$2:$C$630,0)))</f>
        <v/>
      </c>
      <c r="F204">
        <f>IF(ISNA(MATCH(191,Engine!$C$2:$C$630,0)),"",INDEX('Compliance Database'!$F$2:$F$630,MATCH(191,Engine!$C$2:$C$630,0)))</f>
        <v/>
      </c>
      <c r="G204">
        <f>IF(ISNA(MATCH(191,Engine!$C$2:$C$630,0)),"",INDEX('Compliance Database'!$G$2:$G$630,MATCH(191,Engine!$C$2:$C$630,0)))</f>
        <v/>
      </c>
      <c r="H204">
        <f>IF(ISNA(MATCH(191,Engine!$C$2:$C$630,0)),"",INDEX('Compliance Database'!$H$2:$H$630,MATCH(191,Engine!$C$2:$C$630,0)))</f>
        <v/>
      </c>
      <c r="I204" s="8">
        <f>IF(ISNA(MATCH(191,Engine!$C$2:$C$630,0)),"",INDEX('Compliance Database'!$I$2:$I$630,MATCH(191,Engine!$C$2:$C$630,0)))</f>
        <v/>
      </c>
      <c r="J204" s="8">
        <f>IF(ISNA(MATCH(191,Engine!$C$2:$C$630,0)),"",INDEX('Compliance Database'!$J$2:$J$630,MATCH(191,Engine!$C$2:$C$630,0)))</f>
        <v/>
      </c>
      <c r="K204">
        <f>IF(ISNA(MATCH(191,Engine!$C$2:$C$630,0)),"",INDEX('Compliance Database'!$K$2:$K$630,MATCH(191,Engine!$C$2:$C$630,0)))</f>
        <v/>
      </c>
      <c r="L204" s="8">
        <f>IF(ISNA(MATCH(191,Engine!$C$2:$C$630,0)),"",INDEX('Compliance Database'!$L$2:$L$630,MATCH(191,Engine!$C$2:$C$630,0)))</f>
        <v/>
      </c>
      <c r="M204" s="8">
        <f>IF(ISNA(MATCH(191,Engine!$C$2:$C$630,0)),"",INDEX('Compliance Database'!$M$2:$M$630,MATCH(191,Engine!$C$2:$C$630,0)))</f>
        <v/>
      </c>
      <c r="N204" s="8">
        <f>IF(ISNA(MATCH(191,Engine!$C$2:$C$630,0)),"",INDEX('Compliance Database'!$N$2:$N$630,MATCH(191,Engine!$C$2:$C$630,0)))</f>
        <v/>
      </c>
      <c r="O204" s="8">
        <f>IF(ISNA(MATCH(191,Engine!$C$2:$C$630,0)),"",INDEX('Compliance Database'!$O$2:$O$630,MATCH(191,Engine!$C$2:$C$630,0)))</f>
        <v/>
      </c>
    </row>
    <row r="205">
      <c r="A205">
        <f>IF(ISNA(MATCH(192,Engine!$C$2:$C$630,0)),"",INDEX('Compliance Database'!$A$2:$A$630,MATCH(192,Engine!$C$2:$C$630,0)))</f>
        <v/>
      </c>
      <c r="B205">
        <f>IF(ISNA(MATCH(192,Engine!$C$2:$C$630,0)),"",INDEX('Compliance Database'!$B$2:$B$630,MATCH(192,Engine!$C$2:$C$630,0)))</f>
        <v/>
      </c>
      <c r="C205">
        <f>IF(ISNA(MATCH(192,Engine!$C$2:$C$630,0)),"",INDEX('Compliance Database'!$C$2:$C$630,MATCH(192,Engine!$C$2:$C$630,0)))</f>
        <v/>
      </c>
      <c r="D205" s="8">
        <f>IF(ISNA(MATCH(192,Engine!$C$2:$C$630,0)),"",INDEX('Compliance Database'!$D$2:$D$630,MATCH(192,Engine!$C$2:$C$630,0)))</f>
        <v/>
      </c>
      <c r="E205">
        <f>IF(ISNA(MATCH(192,Engine!$C$2:$C$630,0)),"",INDEX('Compliance Database'!$E$2:$E$630,MATCH(192,Engine!$C$2:$C$630,0)))</f>
        <v/>
      </c>
      <c r="F205">
        <f>IF(ISNA(MATCH(192,Engine!$C$2:$C$630,0)),"",INDEX('Compliance Database'!$F$2:$F$630,MATCH(192,Engine!$C$2:$C$630,0)))</f>
        <v/>
      </c>
      <c r="G205">
        <f>IF(ISNA(MATCH(192,Engine!$C$2:$C$630,0)),"",INDEX('Compliance Database'!$G$2:$G$630,MATCH(192,Engine!$C$2:$C$630,0)))</f>
        <v/>
      </c>
      <c r="H205">
        <f>IF(ISNA(MATCH(192,Engine!$C$2:$C$630,0)),"",INDEX('Compliance Database'!$H$2:$H$630,MATCH(192,Engine!$C$2:$C$630,0)))</f>
        <v/>
      </c>
      <c r="I205" s="8">
        <f>IF(ISNA(MATCH(192,Engine!$C$2:$C$630,0)),"",INDEX('Compliance Database'!$I$2:$I$630,MATCH(192,Engine!$C$2:$C$630,0)))</f>
        <v/>
      </c>
      <c r="J205" s="8">
        <f>IF(ISNA(MATCH(192,Engine!$C$2:$C$630,0)),"",INDEX('Compliance Database'!$J$2:$J$630,MATCH(192,Engine!$C$2:$C$630,0)))</f>
        <v/>
      </c>
      <c r="K205">
        <f>IF(ISNA(MATCH(192,Engine!$C$2:$C$630,0)),"",INDEX('Compliance Database'!$K$2:$K$630,MATCH(192,Engine!$C$2:$C$630,0)))</f>
        <v/>
      </c>
      <c r="L205" s="8">
        <f>IF(ISNA(MATCH(192,Engine!$C$2:$C$630,0)),"",INDEX('Compliance Database'!$L$2:$L$630,MATCH(192,Engine!$C$2:$C$630,0)))</f>
        <v/>
      </c>
      <c r="M205" s="8">
        <f>IF(ISNA(MATCH(192,Engine!$C$2:$C$630,0)),"",INDEX('Compliance Database'!$M$2:$M$630,MATCH(192,Engine!$C$2:$C$630,0)))</f>
        <v/>
      </c>
      <c r="N205" s="8">
        <f>IF(ISNA(MATCH(192,Engine!$C$2:$C$630,0)),"",INDEX('Compliance Database'!$N$2:$N$630,MATCH(192,Engine!$C$2:$C$630,0)))</f>
        <v/>
      </c>
      <c r="O205" s="8">
        <f>IF(ISNA(MATCH(192,Engine!$C$2:$C$630,0)),"",INDEX('Compliance Database'!$O$2:$O$630,MATCH(192,Engine!$C$2:$C$630,0)))</f>
        <v/>
      </c>
    </row>
    <row r="206">
      <c r="A206">
        <f>IF(ISNA(MATCH(193,Engine!$C$2:$C$630,0)),"",INDEX('Compliance Database'!$A$2:$A$630,MATCH(193,Engine!$C$2:$C$630,0)))</f>
        <v/>
      </c>
      <c r="B206">
        <f>IF(ISNA(MATCH(193,Engine!$C$2:$C$630,0)),"",INDEX('Compliance Database'!$B$2:$B$630,MATCH(193,Engine!$C$2:$C$630,0)))</f>
        <v/>
      </c>
      <c r="C206">
        <f>IF(ISNA(MATCH(193,Engine!$C$2:$C$630,0)),"",INDEX('Compliance Database'!$C$2:$C$630,MATCH(193,Engine!$C$2:$C$630,0)))</f>
        <v/>
      </c>
      <c r="D206" s="8">
        <f>IF(ISNA(MATCH(193,Engine!$C$2:$C$630,0)),"",INDEX('Compliance Database'!$D$2:$D$630,MATCH(193,Engine!$C$2:$C$630,0)))</f>
        <v/>
      </c>
      <c r="E206">
        <f>IF(ISNA(MATCH(193,Engine!$C$2:$C$630,0)),"",INDEX('Compliance Database'!$E$2:$E$630,MATCH(193,Engine!$C$2:$C$630,0)))</f>
        <v/>
      </c>
      <c r="F206">
        <f>IF(ISNA(MATCH(193,Engine!$C$2:$C$630,0)),"",INDEX('Compliance Database'!$F$2:$F$630,MATCH(193,Engine!$C$2:$C$630,0)))</f>
        <v/>
      </c>
      <c r="G206">
        <f>IF(ISNA(MATCH(193,Engine!$C$2:$C$630,0)),"",INDEX('Compliance Database'!$G$2:$G$630,MATCH(193,Engine!$C$2:$C$630,0)))</f>
        <v/>
      </c>
      <c r="H206">
        <f>IF(ISNA(MATCH(193,Engine!$C$2:$C$630,0)),"",INDEX('Compliance Database'!$H$2:$H$630,MATCH(193,Engine!$C$2:$C$630,0)))</f>
        <v/>
      </c>
      <c r="I206" s="8">
        <f>IF(ISNA(MATCH(193,Engine!$C$2:$C$630,0)),"",INDEX('Compliance Database'!$I$2:$I$630,MATCH(193,Engine!$C$2:$C$630,0)))</f>
        <v/>
      </c>
      <c r="J206" s="8">
        <f>IF(ISNA(MATCH(193,Engine!$C$2:$C$630,0)),"",INDEX('Compliance Database'!$J$2:$J$630,MATCH(193,Engine!$C$2:$C$630,0)))</f>
        <v/>
      </c>
      <c r="K206">
        <f>IF(ISNA(MATCH(193,Engine!$C$2:$C$630,0)),"",INDEX('Compliance Database'!$K$2:$K$630,MATCH(193,Engine!$C$2:$C$630,0)))</f>
        <v/>
      </c>
      <c r="L206" s="8">
        <f>IF(ISNA(MATCH(193,Engine!$C$2:$C$630,0)),"",INDEX('Compliance Database'!$L$2:$L$630,MATCH(193,Engine!$C$2:$C$630,0)))</f>
        <v/>
      </c>
      <c r="M206" s="8">
        <f>IF(ISNA(MATCH(193,Engine!$C$2:$C$630,0)),"",INDEX('Compliance Database'!$M$2:$M$630,MATCH(193,Engine!$C$2:$C$630,0)))</f>
        <v/>
      </c>
      <c r="N206" s="8">
        <f>IF(ISNA(MATCH(193,Engine!$C$2:$C$630,0)),"",INDEX('Compliance Database'!$N$2:$N$630,MATCH(193,Engine!$C$2:$C$630,0)))</f>
        <v/>
      </c>
      <c r="O206" s="8">
        <f>IF(ISNA(MATCH(193,Engine!$C$2:$C$630,0)),"",INDEX('Compliance Database'!$O$2:$O$630,MATCH(193,Engine!$C$2:$C$630,0)))</f>
        <v/>
      </c>
    </row>
    <row r="207">
      <c r="A207">
        <f>IF(ISNA(MATCH(194,Engine!$C$2:$C$630,0)),"",INDEX('Compliance Database'!$A$2:$A$630,MATCH(194,Engine!$C$2:$C$630,0)))</f>
        <v/>
      </c>
      <c r="B207">
        <f>IF(ISNA(MATCH(194,Engine!$C$2:$C$630,0)),"",INDEX('Compliance Database'!$B$2:$B$630,MATCH(194,Engine!$C$2:$C$630,0)))</f>
        <v/>
      </c>
      <c r="C207">
        <f>IF(ISNA(MATCH(194,Engine!$C$2:$C$630,0)),"",INDEX('Compliance Database'!$C$2:$C$630,MATCH(194,Engine!$C$2:$C$630,0)))</f>
        <v/>
      </c>
      <c r="D207" s="8">
        <f>IF(ISNA(MATCH(194,Engine!$C$2:$C$630,0)),"",INDEX('Compliance Database'!$D$2:$D$630,MATCH(194,Engine!$C$2:$C$630,0)))</f>
        <v/>
      </c>
      <c r="E207">
        <f>IF(ISNA(MATCH(194,Engine!$C$2:$C$630,0)),"",INDEX('Compliance Database'!$E$2:$E$630,MATCH(194,Engine!$C$2:$C$630,0)))</f>
        <v/>
      </c>
      <c r="F207">
        <f>IF(ISNA(MATCH(194,Engine!$C$2:$C$630,0)),"",INDEX('Compliance Database'!$F$2:$F$630,MATCH(194,Engine!$C$2:$C$630,0)))</f>
        <v/>
      </c>
      <c r="G207">
        <f>IF(ISNA(MATCH(194,Engine!$C$2:$C$630,0)),"",INDEX('Compliance Database'!$G$2:$G$630,MATCH(194,Engine!$C$2:$C$630,0)))</f>
        <v/>
      </c>
      <c r="H207">
        <f>IF(ISNA(MATCH(194,Engine!$C$2:$C$630,0)),"",INDEX('Compliance Database'!$H$2:$H$630,MATCH(194,Engine!$C$2:$C$630,0)))</f>
        <v/>
      </c>
      <c r="I207" s="8">
        <f>IF(ISNA(MATCH(194,Engine!$C$2:$C$630,0)),"",INDEX('Compliance Database'!$I$2:$I$630,MATCH(194,Engine!$C$2:$C$630,0)))</f>
        <v/>
      </c>
      <c r="J207" s="8">
        <f>IF(ISNA(MATCH(194,Engine!$C$2:$C$630,0)),"",INDEX('Compliance Database'!$J$2:$J$630,MATCH(194,Engine!$C$2:$C$630,0)))</f>
        <v/>
      </c>
      <c r="K207">
        <f>IF(ISNA(MATCH(194,Engine!$C$2:$C$630,0)),"",INDEX('Compliance Database'!$K$2:$K$630,MATCH(194,Engine!$C$2:$C$630,0)))</f>
        <v/>
      </c>
      <c r="L207" s="8">
        <f>IF(ISNA(MATCH(194,Engine!$C$2:$C$630,0)),"",INDEX('Compliance Database'!$L$2:$L$630,MATCH(194,Engine!$C$2:$C$630,0)))</f>
        <v/>
      </c>
      <c r="M207" s="8">
        <f>IF(ISNA(MATCH(194,Engine!$C$2:$C$630,0)),"",INDEX('Compliance Database'!$M$2:$M$630,MATCH(194,Engine!$C$2:$C$630,0)))</f>
        <v/>
      </c>
      <c r="N207" s="8">
        <f>IF(ISNA(MATCH(194,Engine!$C$2:$C$630,0)),"",INDEX('Compliance Database'!$N$2:$N$630,MATCH(194,Engine!$C$2:$C$630,0)))</f>
        <v/>
      </c>
      <c r="O207" s="8">
        <f>IF(ISNA(MATCH(194,Engine!$C$2:$C$630,0)),"",INDEX('Compliance Database'!$O$2:$O$630,MATCH(194,Engine!$C$2:$C$630,0)))</f>
        <v/>
      </c>
    </row>
    <row r="208">
      <c r="A208">
        <f>IF(ISNA(MATCH(195,Engine!$C$2:$C$630,0)),"",INDEX('Compliance Database'!$A$2:$A$630,MATCH(195,Engine!$C$2:$C$630,0)))</f>
        <v/>
      </c>
      <c r="B208">
        <f>IF(ISNA(MATCH(195,Engine!$C$2:$C$630,0)),"",INDEX('Compliance Database'!$B$2:$B$630,MATCH(195,Engine!$C$2:$C$630,0)))</f>
        <v/>
      </c>
      <c r="C208">
        <f>IF(ISNA(MATCH(195,Engine!$C$2:$C$630,0)),"",INDEX('Compliance Database'!$C$2:$C$630,MATCH(195,Engine!$C$2:$C$630,0)))</f>
        <v/>
      </c>
      <c r="D208" s="8">
        <f>IF(ISNA(MATCH(195,Engine!$C$2:$C$630,0)),"",INDEX('Compliance Database'!$D$2:$D$630,MATCH(195,Engine!$C$2:$C$630,0)))</f>
        <v/>
      </c>
      <c r="E208">
        <f>IF(ISNA(MATCH(195,Engine!$C$2:$C$630,0)),"",INDEX('Compliance Database'!$E$2:$E$630,MATCH(195,Engine!$C$2:$C$630,0)))</f>
        <v/>
      </c>
      <c r="F208">
        <f>IF(ISNA(MATCH(195,Engine!$C$2:$C$630,0)),"",INDEX('Compliance Database'!$F$2:$F$630,MATCH(195,Engine!$C$2:$C$630,0)))</f>
        <v/>
      </c>
      <c r="G208">
        <f>IF(ISNA(MATCH(195,Engine!$C$2:$C$630,0)),"",INDEX('Compliance Database'!$G$2:$G$630,MATCH(195,Engine!$C$2:$C$630,0)))</f>
        <v/>
      </c>
      <c r="H208">
        <f>IF(ISNA(MATCH(195,Engine!$C$2:$C$630,0)),"",INDEX('Compliance Database'!$H$2:$H$630,MATCH(195,Engine!$C$2:$C$630,0)))</f>
        <v/>
      </c>
      <c r="I208" s="8">
        <f>IF(ISNA(MATCH(195,Engine!$C$2:$C$630,0)),"",INDEX('Compliance Database'!$I$2:$I$630,MATCH(195,Engine!$C$2:$C$630,0)))</f>
        <v/>
      </c>
      <c r="J208" s="8">
        <f>IF(ISNA(MATCH(195,Engine!$C$2:$C$630,0)),"",INDEX('Compliance Database'!$J$2:$J$630,MATCH(195,Engine!$C$2:$C$630,0)))</f>
        <v/>
      </c>
      <c r="K208">
        <f>IF(ISNA(MATCH(195,Engine!$C$2:$C$630,0)),"",INDEX('Compliance Database'!$K$2:$K$630,MATCH(195,Engine!$C$2:$C$630,0)))</f>
        <v/>
      </c>
      <c r="L208" s="8">
        <f>IF(ISNA(MATCH(195,Engine!$C$2:$C$630,0)),"",INDEX('Compliance Database'!$L$2:$L$630,MATCH(195,Engine!$C$2:$C$630,0)))</f>
        <v/>
      </c>
      <c r="M208" s="8">
        <f>IF(ISNA(MATCH(195,Engine!$C$2:$C$630,0)),"",INDEX('Compliance Database'!$M$2:$M$630,MATCH(195,Engine!$C$2:$C$630,0)))</f>
        <v/>
      </c>
      <c r="N208" s="8">
        <f>IF(ISNA(MATCH(195,Engine!$C$2:$C$630,0)),"",INDEX('Compliance Database'!$N$2:$N$630,MATCH(195,Engine!$C$2:$C$630,0)))</f>
        <v/>
      </c>
      <c r="O208" s="8">
        <f>IF(ISNA(MATCH(195,Engine!$C$2:$C$630,0)),"",INDEX('Compliance Database'!$O$2:$O$630,MATCH(195,Engine!$C$2:$C$630,0)))</f>
        <v/>
      </c>
    </row>
    <row r="209">
      <c r="A209">
        <f>IF(ISNA(MATCH(196,Engine!$C$2:$C$630,0)),"",INDEX('Compliance Database'!$A$2:$A$630,MATCH(196,Engine!$C$2:$C$630,0)))</f>
        <v/>
      </c>
      <c r="B209">
        <f>IF(ISNA(MATCH(196,Engine!$C$2:$C$630,0)),"",INDEX('Compliance Database'!$B$2:$B$630,MATCH(196,Engine!$C$2:$C$630,0)))</f>
        <v/>
      </c>
      <c r="C209">
        <f>IF(ISNA(MATCH(196,Engine!$C$2:$C$630,0)),"",INDEX('Compliance Database'!$C$2:$C$630,MATCH(196,Engine!$C$2:$C$630,0)))</f>
        <v/>
      </c>
      <c r="D209" s="8">
        <f>IF(ISNA(MATCH(196,Engine!$C$2:$C$630,0)),"",INDEX('Compliance Database'!$D$2:$D$630,MATCH(196,Engine!$C$2:$C$630,0)))</f>
        <v/>
      </c>
      <c r="E209">
        <f>IF(ISNA(MATCH(196,Engine!$C$2:$C$630,0)),"",INDEX('Compliance Database'!$E$2:$E$630,MATCH(196,Engine!$C$2:$C$630,0)))</f>
        <v/>
      </c>
      <c r="F209">
        <f>IF(ISNA(MATCH(196,Engine!$C$2:$C$630,0)),"",INDEX('Compliance Database'!$F$2:$F$630,MATCH(196,Engine!$C$2:$C$630,0)))</f>
        <v/>
      </c>
      <c r="G209">
        <f>IF(ISNA(MATCH(196,Engine!$C$2:$C$630,0)),"",INDEX('Compliance Database'!$G$2:$G$630,MATCH(196,Engine!$C$2:$C$630,0)))</f>
        <v/>
      </c>
      <c r="H209">
        <f>IF(ISNA(MATCH(196,Engine!$C$2:$C$630,0)),"",INDEX('Compliance Database'!$H$2:$H$630,MATCH(196,Engine!$C$2:$C$630,0)))</f>
        <v/>
      </c>
      <c r="I209" s="8">
        <f>IF(ISNA(MATCH(196,Engine!$C$2:$C$630,0)),"",INDEX('Compliance Database'!$I$2:$I$630,MATCH(196,Engine!$C$2:$C$630,0)))</f>
        <v/>
      </c>
      <c r="J209" s="8">
        <f>IF(ISNA(MATCH(196,Engine!$C$2:$C$630,0)),"",INDEX('Compliance Database'!$J$2:$J$630,MATCH(196,Engine!$C$2:$C$630,0)))</f>
        <v/>
      </c>
      <c r="K209">
        <f>IF(ISNA(MATCH(196,Engine!$C$2:$C$630,0)),"",INDEX('Compliance Database'!$K$2:$K$630,MATCH(196,Engine!$C$2:$C$630,0)))</f>
        <v/>
      </c>
      <c r="L209" s="8">
        <f>IF(ISNA(MATCH(196,Engine!$C$2:$C$630,0)),"",INDEX('Compliance Database'!$L$2:$L$630,MATCH(196,Engine!$C$2:$C$630,0)))</f>
        <v/>
      </c>
      <c r="M209" s="8">
        <f>IF(ISNA(MATCH(196,Engine!$C$2:$C$630,0)),"",INDEX('Compliance Database'!$M$2:$M$630,MATCH(196,Engine!$C$2:$C$630,0)))</f>
        <v/>
      </c>
      <c r="N209" s="8">
        <f>IF(ISNA(MATCH(196,Engine!$C$2:$C$630,0)),"",INDEX('Compliance Database'!$N$2:$N$630,MATCH(196,Engine!$C$2:$C$630,0)))</f>
        <v/>
      </c>
      <c r="O209" s="8">
        <f>IF(ISNA(MATCH(196,Engine!$C$2:$C$630,0)),"",INDEX('Compliance Database'!$O$2:$O$630,MATCH(196,Engine!$C$2:$C$630,0)))</f>
        <v/>
      </c>
    </row>
    <row r="210">
      <c r="A210">
        <f>IF(ISNA(MATCH(197,Engine!$C$2:$C$630,0)),"",INDEX('Compliance Database'!$A$2:$A$630,MATCH(197,Engine!$C$2:$C$630,0)))</f>
        <v/>
      </c>
      <c r="B210">
        <f>IF(ISNA(MATCH(197,Engine!$C$2:$C$630,0)),"",INDEX('Compliance Database'!$B$2:$B$630,MATCH(197,Engine!$C$2:$C$630,0)))</f>
        <v/>
      </c>
      <c r="C210">
        <f>IF(ISNA(MATCH(197,Engine!$C$2:$C$630,0)),"",INDEX('Compliance Database'!$C$2:$C$630,MATCH(197,Engine!$C$2:$C$630,0)))</f>
        <v/>
      </c>
      <c r="D210" s="8">
        <f>IF(ISNA(MATCH(197,Engine!$C$2:$C$630,0)),"",INDEX('Compliance Database'!$D$2:$D$630,MATCH(197,Engine!$C$2:$C$630,0)))</f>
        <v/>
      </c>
      <c r="E210">
        <f>IF(ISNA(MATCH(197,Engine!$C$2:$C$630,0)),"",INDEX('Compliance Database'!$E$2:$E$630,MATCH(197,Engine!$C$2:$C$630,0)))</f>
        <v/>
      </c>
      <c r="F210">
        <f>IF(ISNA(MATCH(197,Engine!$C$2:$C$630,0)),"",INDEX('Compliance Database'!$F$2:$F$630,MATCH(197,Engine!$C$2:$C$630,0)))</f>
        <v/>
      </c>
      <c r="G210">
        <f>IF(ISNA(MATCH(197,Engine!$C$2:$C$630,0)),"",INDEX('Compliance Database'!$G$2:$G$630,MATCH(197,Engine!$C$2:$C$630,0)))</f>
        <v/>
      </c>
      <c r="H210">
        <f>IF(ISNA(MATCH(197,Engine!$C$2:$C$630,0)),"",INDEX('Compliance Database'!$H$2:$H$630,MATCH(197,Engine!$C$2:$C$630,0)))</f>
        <v/>
      </c>
      <c r="I210" s="8">
        <f>IF(ISNA(MATCH(197,Engine!$C$2:$C$630,0)),"",INDEX('Compliance Database'!$I$2:$I$630,MATCH(197,Engine!$C$2:$C$630,0)))</f>
        <v/>
      </c>
      <c r="J210" s="8">
        <f>IF(ISNA(MATCH(197,Engine!$C$2:$C$630,0)),"",INDEX('Compliance Database'!$J$2:$J$630,MATCH(197,Engine!$C$2:$C$630,0)))</f>
        <v/>
      </c>
      <c r="K210">
        <f>IF(ISNA(MATCH(197,Engine!$C$2:$C$630,0)),"",INDEX('Compliance Database'!$K$2:$K$630,MATCH(197,Engine!$C$2:$C$630,0)))</f>
        <v/>
      </c>
      <c r="L210" s="8">
        <f>IF(ISNA(MATCH(197,Engine!$C$2:$C$630,0)),"",INDEX('Compliance Database'!$L$2:$L$630,MATCH(197,Engine!$C$2:$C$630,0)))</f>
        <v/>
      </c>
      <c r="M210" s="8">
        <f>IF(ISNA(MATCH(197,Engine!$C$2:$C$630,0)),"",INDEX('Compliance Database'!$M$2:$M$630,MATCH(197,Engine!$C$2:$C$630,0)))</f>
        <v/>
      </c>
      <c r="N210" s="8">
        <f>IF(ISNA(MATCH(197,Engine!$C$2:$C$630,0)),"",INDEX('Compliance Database'!$N$2:$N$630,MATCH(197,Engine!$C$2:$C$630,0)))</f>
        <v/>
      </c>
      <c r="O210" s="8">
        <f>IF(ISNA(MATCH(197,Engine!$C$2:$C$630,0)),"",INDEX('Compliance Database'!$O$2:$O$630,MATCH(197,Engine!$C$2:$C$630,0)))</f>
        <v/>
      </c>
    </row>
    <row r="211">
      <c r="A211">
        <f>IF(ISNA(MATCH(198,Engine!$C$2:$C$630,0)),"",INDEX('Compliance Database'!$A$2:$A$630,MATCH(198,Engine!$C$2:$C$630,0)))</f>
        <v/>
      </c>
      <c r="B211">
        <f>IF(ISNA(MATCH(198,Engine!$C$2:$C$630,0)),"",INDEX('Compliance Database'!$B$2:$B$630,MATCH(198,Engine!$C$2:$C$630,0)))</f>
        <v/>
      </c>
      <c r="C211">
        <f>IF(ISNA(MATCH(198,Engine!$C$2:$C$630,0)),"",INDEX('Compliance Database'!$C$2:$C$630,MATCH(198,Engine!$C$2:$C$630,0)))</f>
        <v/>
      </c>
      <c r="D211" s="8">
        <f>IF(ISNA(MATCH(198,Engine!$C$2:$C$630,0)),"",INDEX('Compliance Database'!$D$2:$D$630,MATCH(198,Engine!$C$2:$C$630,0)))</f>
        <v/>
      </c>
      <c r="E211">
        <f>IF(ISNA(MATCH(198,Engine!$C$2:$C$630,0)),"",INDEX('Compliance Database'!$E$2:$E$630,MATCH(198,Engine!$C$2:$C$630,0)))</f>
        <v/>
      </c>
      <c r="F211">
        <f>IF(ISNA(MATCH(198,Engine!$C$2:$C$630,0)),"",INDEX('Compliance Database'!$F$2:$F$630,MATCH(198,Engine!$C$2:$C$630,0)))</f>
        <v/>
      </c>
      <c r="G211">
        <f>IF(ISNA(MATCH(198,Engine!$C$2:$C$630,0)),"",INDEX('Compliance Database'!$G$2:$G$630,MATCH(198,Engine!$C$2:$C$630,0)))</f>
        <v/>
      </c>
      <c r="H211">
        <f>IF(ISNA(MATCH(198,Engine!$C$2:$C$630,0)),"",INDEX('Compliance Database'!$H$2:$H$630,MATCH(198,Engine!$C$2:$C$630,0)))</f>
        <v/>
      </c>
      <c r="I211" s="8">
        <f>IF(ISNA(MATCH(198,Engine!$C$2:$C$630,0)),"",INDEX('Compliance Database'!$I$2:$I$630,MATCH(198,Engine!$C$2:$C$630,0)))</f>
        <v/>
      </c>
      <c r="J211" s="8">
        <f>IF(ISNA(MATCH(198,Engine!$C$2:$C$630,0)),"",INDEX('Compliance Database'!$J$2:$J$630,MATCH(198,Engine!$C$2:$C$630,0)))</f>
        <v/>
      </c>
      <c r="K211">
        <f>IF(ISNA(MATCH(198,Engine!$C$2:$C$630,0)),"",INDEX('Compliance Database'!$K$2:$K$630,MATCH(198,Engine!$C$2:$C$630,0)))</f>
        <v/>
      </c>
      <c r="L211" s="8">
        <f>IF(ISNA(MATCH(198,Engine!$C$2:$C$630,0)),"",INDEX('Compliance Database'!$L$2:$L$630,MATCH(198,Engine!$C$2:$C$630,0)))</f>
        <v/>
      </c>
      <c r="M211" s="8">
        <f>IF(ISNA(MATCH(198,Engine!$C$2:$C$630,0)),"",INDEX('Compliance Database'!$M$2:$M$630,MATCH(198,Engine!$C$2:$C$630,0)))</f>
        <v/>
      </c>
      <c r="N211" s="8">
        <f>IF(ISNA(MATCH(198,Engine!$C$2:$C$630,0)),"",INDEX('Compliance Database'!$N$2:$N$630,MATCH(198,Engine!$C$2:$C$630,0)))</f>
        <v/>
      </c>
      <c r="O211" s="8">
        <f>IF(ISNA(MATCH(198,Engine!$C$2:$C$630,0)),"",INDEX('Compliance Database'!$O$2:$O$630,MATCH(198,Engine!$C$2:$C$630,0)))</f>
        <v/>
      </c>
    </row>
    <row r="212">
      <c r="A212">
        <f>IF(ISNA(MATCH(199,Engine!$C$2:$C$630,0)),"",INDEX('Compliance Database'!$A$2:$A$630,MATCH(199,Engine!$C$2:$C$630,0)))</f>
        <v/>
      </c>
      <c r="B212">
        <f>IF(ISNA(MATCH(199,Engine!$C$2:$C$630,0)),"",INDEX('Compliance Database'!$B$2:$B$630,MATCH(199,Engine!$C$2:$C$630,0)))</f>
        <v/>
      </c>
      <c r="C212">
        <f>IF(ISNA(MATCH(199,Engine!$C$2:$C$630,0)),"",INDEX('Compliance Database'!$C$2:$C$630,MATCH(199,Engine!$C$2:$C$630,0)))</f>
        <v/>
      </c>
      <c r="D212" s="8">
        <f>IF(ISNA(MATCH(199,Engine!$C$2:$C$630,0)),"",INDEX('Compliance Database'!$D$2:$D$630,MATCH(199,Engine!$C$2:$C$630,0)))</f>
        <v/>
      </c>
      <c r="E212">
        <f>IF(ISNA(MATCH(199,Engine!$C$2:$C$630,0)),"",INDEX('Compliance Database'!$E$2:$E$630,MATCH(199,Engine!$C$2:$C$630,0)))</f>
        <v/>
      </c>
      <c r="F212">
        <f>IF(ISNA(MATCH(199,Engine!$C$2:$C$630,0)),"",INDEX('Compliance Database'!$F$2:$F$630,MATCH(199,Engine!$C$2:$C$630,0)))</f>
        <v/>
      </c>
      <c r="G212">
        <f>IF(ISNA(MATCH(199,Engine!$C$2:$C$630,0)),"",INDEX('Compliance Database'!$G$2:$G$630,MATCH(199,Engine!$C$2:$C$630,0)))</f>
        <v/>
      </c>
      <c r="H212">
        <f>IF(ISNA(MATCH(199,Engine!$C$2:$C$630,0)),"",INDEX('Compliance Database'!$H$2:$H$630,MATCH(199,Engine!$C$2:$C$630,0)))</f>
        <v/>
      </c>
      <c r="I212" s="8">
        <f>IF(ISNA(MATCH(199,Engine!$C$2:$C$630,0)),"",INDEX('Compliance Database'!$I$2:$I$630,MATCH(199,Engine!$C$2:$C$630,0)))</f>
        <v/>
      </c>
      <c r="J212" s="8">
        <f>IF(ISNA(MATCH(199,Engine!$C$2:$C$630,0)),"",INDEX('Compliance Database'!$J$2:$J$630,MATCH(199,Engine!$C$2:$C$630,0)))</f>
        <v/>
      </c>
      <c r="K212">
        <f>IF(ISNA(MATCH(199,Engine!$C$2:$C$630,0)),"",INDEX('Compliance Database'!$K$2:$K$630,MATCH(199,Engine!$C$2:$C$630,0)))</f>
        <v/>
      </c>
      <c r="L212" s="8">
        <f>IF(ISNA(MATCH(199,Engine!$C$2:$C$630,0)),"",INDEX('Compliance Database'!$L$2:$L$630,MATCH(199,Engine!$C$2:$C$630,0)))</f>
        <v/>
      </c>
      <c r="M212" s="8">
        <f>IF(ISNA(MATCH(199,Engine!$C$2:$C$630,0)),"",INDEX('Compliance Database'!$M$2:$M$630,MATCH(199,Engine!$C$2:$C$630,0)))</f>
        <v/>
      </c>
      <c r="N212" s="8">
        <f>IF(ISNA(MATCH(199,Engine!$C$2:$C$630,0)),"",INDEX('Compliance Database'!$N$2:$N$630,MATCH(199,Engine!$C$2:$C$630,0)))</f>
        <v/>
      </c>
      <c r="O212" s="8">
        <f>IF(ISNA(MATCH(199,Engine!$C$2:$C$630,0)),"",INDEX('Compliance Database'!$O$2:$O$630,MATCH(199,Engine!$C$2:$C$630,0)))</f>
        <v/>
      </c>
    </row>
    <row r="213">
      <c r="A213">
        <f>IF(ISNA(MATCH(200,Engine!$C$2:$C$630,0)),"",INDEX('Compliance Database'!$A$2:$A$630,MATCH(200,Engine!$C$2:$C$630,0)))</f>
        <v/>
      </c>
      <c r="B213">
        <f>IF(ISNA(MATCH(200,Engine!$C$2:$C$630,0)),"",INDEX('Compliance Database'!$B$2:$B$630,MATCH(200,Engine!$C$2:$C$630,0)))</f>
        <v/>
      </c>
      <c r="C213">
        <f>IF(ISNA(MATCH(200,Engine!$C$2:$C$630,0)),"",INDEX('Compliance Database'!$C$2:$C$630,MATCH(200,Engine!$C$2:$C$630,0)))</f>
        <v/>
      </c>
      <c r="D213" s="8">
        <f>IF(ISNA(MATCH(200,Engine!$C$2:$C$630,0)),"",INDEX('Compliance Database'!$D$2:$D$630,MATCH(200,Engine!$C$2:$C$630,0)))</f>
        <v/>
      </c>
      <c r="E213">
        <f>IF(ISNA(MATCH(200,Engine!$C$2:$C$630,0)),"",INDEX('Compliance Database'!$E$2:$E$630,MATCH(200,Engine!$C$2:$C$630,0)))</f>
        <v/>
      </c>
      <c r="F213">
        <f>IF(ISNA(MATCH(200,Engine!$C$2:$C$630,0)),"",INDEX('Compliance Database'!$F$2:$F$630,MATCH(200,Engine!$C$2:$C$630,0)))</f>
        <v/>
      </c>
      <c r="G213">
        <f>IF(ISNA(MATCH(200,Engine!$C$2:$C$630,0)),"",INDEX('Compliance Database'!$G$2:$G$630,MATCH(200,Engine!$C$2:$C$630,0)))</f>
        <v/>
      </c>
      <c r="H213">
        <f>IF(ISNA(MATCH(200,Engine!$C$2:$C$630,0)),"",INDEX('Compliance Database'!$H$2:$H$630,MATCH(200,Engine!$C$2:$C$630,0)))</f>
        <v/>
      </c>
      <c r="I213" s="8">
        <f>IF(ISNA(MATCH(200,Engine!$C$2:$C$630,0)),"",INDEX('Compliance Database'!$I$2:$I$630,MATCH(200,Engine!$C$2:$C$630,0)))</f>
        <v/>
      </c>
      <c r="J213" s="8">
        <f>IF(ISNA(MATCH(200,Engine!$C$2:$C$630,0)),"",INDEX('Compliance Database'!$J$2:$J$630,MATCH(200,Engine!$C$2:$C$630,0)))</f>
        <v/>
      </c>
      <c r="K213">
        <f>IF(ISNA(MATCH(200,Engine!$C$2:$C$630,0)),"",INDEX('Compliance Database'!$K$2:$K$630,MATCH(200,Engine!$C$2:$C$630,0)))</f>
        <v/>
      </c>
      <c r="L213" s="8">
        <f>IF(ISNA(MATCH(200,Engine!$C$2:$C$630,0)),"",INDEX('Compliance Database'!$L$2:$L$630,MATCH(200,Engine!$C$2:$C$630,0)))</f>
        <v/>
      </c>
      <c r="M213" s="8">
        <f>IF(ISNA(MATCH(200,Engine!$C$2:$C$630,0)),"",INDEX('Compliance Database'!$M$2:$M$630,MATCH(200,Engine!$C$2:$C$630,0)))</f>
        <v/>
      </c>
      <c r="N213" s="8">
        <f>IF(ISNA(MATCH(200,Engine!$C$2:$C$630,0)),"",INDEX('Compliance Database'!$N$2:$N$630,MATCH(200,Engine!$C$2:$C$630,0)))</f>
        <v/>
      </c>
      <c r="O213" s="8">
        <f>IF(ISNA(MATCH(200,Engine!$C$2:$C$630,0)),"",INDEX('Compliance Database'!$O$2:$O$630,MATCH(200,Engine!$C$2:$C$630,0)))</f>
        <v/>
      </c>
    </row>
    <row r="214">
      <c r="A214">
        <f>IF(ISNA(MATCH(201,Engine!$C$2:$C$630,0)),"",INDEX('Compliance Database'!$A$2:$A$630,MATCH(201,Engine!$C$2:$C$630,0)))</f>
        <v/>
      </c>
      <c r="B214">
        <f>IF(ISNA(MATCH(201,Engine!$C$2:$C$630,0)),"",INDEX('Compliance Database'!$B$2:$B$630,MATCH(201,Engine!$C$2:$C$630,0)))</f>
        <v/>
      </c>
      <c r="C214">
        <f>IF(ISNA(MATCH(201,Engine!$C$2:$C$630,0)),"",INDEX('Compliance Database'!$C$2:$C$630,MATCH(201,Engine!$C$2:$C$630,0)))</f>
        <v/>
      </c>
      <c r="D214" s="8">
        <f>IF(ISNA(MATCH(201,Engine!$C$2:$C$630,0)),"",INDEX('Compliance Database'!$D$2:$D$630,MATCH(201,Engine!$C$2:$C$630,0)))</f>
        <v/>
      </c>
      <c r="E214">
        <f>IF(ISNA(MATCH(201,Engine!$C$2:$C$630,0)),"",INDEX('Compliance Database'!$E$2:$E$630,MATCH(201,Engine!$C$2:$C$630,0)))</f>
        <v/>
      </c>
      <c r="F214">
        <f>IF(ISNA(MATCH(201,Engine!$C$2:$C$630,0)),"",INDEX('Compliance Database'!$F$2:$F$630,MATCH(201,Engine!$C$2:$C$630,0)))</f>
        <v/>
      </c>
      <c r="G214">
        <f>IF(ISNA(MATCH(201,Engine!$C$2:$C$630,0)),"",INDEX('Compliance Database'!$G$2:$G$630,MATCH(201,Engine!$C$2:$C$630,0)))</f>
        <v/>
      </c>
      <c r="H214">
        <f>IF(ISNA(MATCH(201,Engine!$C$2:$C$630,0)),"",INDEX('Compliance Database'!$H$2:$H$630,MATCH(201,Engine!$C$2:$C$630,0)))</f>
        <v/>
      </c>
      <c r="I214" s="8">
        <f>IF(ISNA(MATCH(201,Engine!$C$2:$C$630,0)),"",INDEX('Compliance Database'!$I$2:$I$630,MATCH(201,Engine!$C$2:$C$630,0)))</f>
        <v/>
      </c>
      <c r="J214" s="8">
        <f>IF(ISNA(MATCH(201,Engine!$C$2:$C$630,0)),"",INDEX('Compliance Database'!$J$2:$J$630,MATCH(201,Engine!$C$2:$C$630,0)))</f>
        <v/>
      </c>
      <c r="K214">
        <f>IF(ISNA(MATCH(201,Engine!$C$2:$C$630,0)),"",INDEX('Compliance Database'!$K$2:$K$630,MATCH(201,Engine!$C$2:$C$630,0)))</f>
        <v/>
      </c>
      <c r="L214" s="8">
        <f>IF(ISNA(MATCH(201,Engine!$C$2:$C$630,0)),"",INDEX('Compliance Database'!$L$2:$L$630,MATCH(201,Engine!$C$2:$C$630,0)))</f>
        <v/>
      </c>
      <c r="M214" s="8">
        <f>IF(ISNA(MATCH(201,Engine!$C$2:$C$630,0)),"",INDEX('Compliance Database'!$M$2:$M$630,MATCH(201,Engine!$C$2:$C$630,0)))</f>
        <v/>
      </c>
      <c r="N214" s="8">
        <f>IF(ISNA(MATCH(201,Engine!$C$2:$C$630,0)),"",INDEX('Compliance Database'!$N$2:$N$630,MATCH(201,Engine!$C$2:$C$630,0)))</f>
        <v/>
      </c>
      <c r="O214" s="8">
        <f>IF(ISNA(MATCH(201,Engine!$C$2:$C$630,0)),"",INDEX('Compliance Database'!$O$2:$O$630,MATCH(201,Engine!$C$2:$C$630,0)))</f>
        <v/>
      </c>
    </row>
    <row r="215">
      <c r="A215">
        <f>IF(ISNA(MATCH(202,Engine!$C$2:$C$630,0)),"",INDEX('Compliance Database'!$A$2:$A$630,MATCH(202,Engine!$C$2:$C$630,0)))</f>
        <v/>
      </c>
      <c r="B215">
        <f>IF(ISNA(MATCH(202,Engine!$C$2:$C$630,0)),"",INDEX('Compliance Database'!$B$2:$B$630,MATCH(202,Engine!$C$2:$C$630,0)))</f>
        <v/>
      </c>
      <c r="C215">
        <f>IF(ISNA(MATCH(202,Engine!$C$2:$C$630,0)),"",INDEX('Compliance Database'!$C$2:$C$630,MATCH(202,Engine!$C$2:$C$630,0)))</f>
        <v/>
      </c>
      <c r="D215" s="8">
        <f>IF(ISNA(MATCH(202,Engine!$C$2:$C$630,0)),"",INDEX('Compliance Database'!$D$2:$D$630,MATCH(202,Engine!$C$2:$C$630,0)))</f>
        <v/>
      </c>
      <c r="E215">
        <f>IF(ISNA(MATCH(202,Engine!$C$2:$C$630,0)),"",INDEX('Compliance Database'!$E$2:$E$630,MATCH(202,Engine!$C$2:$C$630,0)))</f>
        <v/>
      </c>
      <c r="F215">
        <f>IF(ISNA(MATCH(202,Engine!$C$2:$C$630,0)),"",INDEX('Compliance Database'!$F$2:$F$630,MATCH(202,Engine!$C$2:$C$630,0)))</f>
        <v/>
      </c>
      <c r="G215">
        <f>IF(ISNA(MATCH(202,Engine!$C$2:$C$630,0)),"",INDEX('Compliance Database'!$G$2:$G$630,MATCH(202,Engine!$C$2:$C$630,0)))</f>
        <v/>
      </c>
      <c r="H215">
        <f>IF(ISNA(MATCH(202,Engine!$C$2:$C$630,0)),"",INDEX('Compliance Database'!$H$2:$H$630,MATCH(202,Engine!$C$2:$C$630,0)))</f>
        <v/>
      </c>
      <c r="I215" s="8">
        <f>IF(ISNA(MATCH(202,Engine!$C$2:$C$630,0)),"",INDEX('Compliance Database'!$I$2:$I$630,MATCH(202,Engine!$C$2:$C$630,0)))</f>
        <v/>
      </c>
      <c r="J215" s="8">
        <f>IF(ISNA(MATCH(202,Engine!$C$2:$C$630,0)),"",INDEX('Compliance Database'!$J$2:$J$630,MATCH(202,Engine!$C$2:$C$630,0)))</f>
        <v/>
      </c>
      <c r="K215">
        <f>IF(ISNA(MATCH(202,Engine!$C$2:$C$630,0)),"",INDEX('Compliance Database'!$K$2:$K$630,MATCH(202,Engine!$C$2:$C$630,0)))</f>
        <v/>
      </c>
      <c r="L215" s="8">
        <f>IF(ISNA(MATCH(202,Engine!$C$2:$C$630,0)),"",INDEX('Compliance Database'!$L$2:$L$630,MATCH(202,Engine!$C$2:$C$630,0)))</f>
        <v/>
      </c>
      <c r="M215" s="8">
        <f>IF(ISNA(MATCH(202,Engine!$C$2:$C$630,0)),"",INDEX('Compliance Database'!$M$2:$M$630,MATCH(202,Engine!$C$2:$C$630,0)))</f>
        <v/>
      </c>
      <c r="N215" s="8">
        <f>IF(ISNA(MATCH(202,Engine!$C$2:$C$630,0)),"",INDEX('Compliance Database'!$N$2:$N$630,MATCH(202,Engine!$C$2:$C$630,0)))</f>
        <v/>
      </c>
      <c r="O215" s="8">
        <f>IF(ISNA(MATCH(202,Engine!$C$2:$C$630,0)),"",INDEX('Compliance Database'!$O$2:$O$630,MATCH(202,Engine!$C$2:$C$630,0)))</f>
        <v/>
      </c>
    </row>
    <row r="216">
      <c r="A216">
        <f>IF(ISNA(MATCH(203,Engine!$C$2:$C$630,0)),"",INDEX('Compliance Database'!$A$2:$A$630,MATCH(203,Engine!$C$2:$C$630,0)))</f>
        <v/>
      </c>
      <c r="B216">
        <f>IF(ISNA(MATCH(203,Engine!$C$2:$C$630,0)),"",INDEX('Compliance Database'!$B$2:$B$630,MATCH(203,Engine!$C$2:$C$630,0)))</f>
        <v/>
      </c>
      <c r="C216">
        <f>IF(ISNA(MATCH(203,Engine!$C$2:$C$630,0)),"",INDEX('Compliance Database'!$C$2:$C$630,MATCH(203,Engine!$C$2:$C$630,0)))</f>
        <v/>
      </c>
      <c r="D216" s="8">
        <f>IF(ISNA(MATCH(203,Engine!$C$2:$C$630,0)),"",INDEX('Compliance Database'!$D$2:$D$630,MATCH(203,Engine!$C$2:$C$630,0)))</f>
        <v/>
      </c>
      <c r="E216">
        <f>IF(ISNA(MATCH(203,Engine!$C$2:$C$630,0)),"",INDEX('Compliance Database'!$E$2:$E$630,MATCH(203,Engine!$C$2:$C$630,0)))</f>
        <v/>
      </c>
      <c r="F216">
        <f>IF(ISNA(MATCH(203,Engine!$C$2:$C$630,0)),"",INDEX('Compliance Database'!$F$2:$F$630,MATCH(203,Engine!$C$2:$C$630,0)))</f>
        <v/>
      </c>
      <c r="G216">
        <f>IF(ISNA(MATCH(203,Engine!$C$2:$C$630,0)),"",INDEX('Compliance Database'!$G$2:$G$630,MATCH(203,Engine!$C$2:$C$630,0)))</f>
        <v/>
      </c>
      <c r="H216">
        <f>IF(ISNA(MATCH(203,Engine!$C$2:$C$630,0)),"",INDEX('Compliance Database'!$H$2:$H$630,MATCH(203,Engine!$C$2:$C$630,0)))</f>
        <v/>
      </c>
      <c r="I216" s="8">
        <f>IF(ISNA(MATCH(203,Engine!$C$2:$C$630,0)),"",INDEX('Compliance Database'!$I$2:$I$630,MATCH(203,Engine!$C$2:$C$630,0)))</f>
        <v/>
      </c>
      <c r="J216" s="8">
        <f>IF(ISNA(MATCH(203,Engine!$C$2:$C$630,0)),"",INDEX('Compliance Database'!$J$2:$J$630,MATCH(203,Engine!$C$2:$C$630,0)))</f>
        <v/>
      </c>
      <c r="K216">
        <f>IF(ISNA(MATCH(203,Engine!$C$2:$C$630,0)),"",INDEX('Compliance Database'!$K$2:$K$630,MATCH(203,Engine!$C$2:$C$630,0)))</f>
        <v/>
      </c>
      <c r="L216" s="8">
        <f>IF(ISNA(MATCH(203,Engine!$C$2:$C$630,0)),"",INDEX('Compliance Database'!$L$2:$L$630,MATCH(203,Engine!$C$2:$C$630,0)))</f>
        <v/>
      </c>
      <c r="M216" s="8">
        <f>IF(ISNA(MATCH(203,Engine!$C$2:$C$630,0)),"",INDEX('Compliance Database'!$M$2:$M$630,MATCH(203,Engine!$C$2:$C$630,0)))</f>
        <v/>
      </c>
      <c r="N216" s="8">
        <f>IF(ISNA(MATCH(203,Engine!$C$2:$C$630,0)),"",INDEX('Compliance Database'!$N$2:$N$630,MATCH(203,Engine!$C$2:$C$630,0)))</f>
        <v/>
      </c>
      <c r="O216" s="8">
        <f>IF(ISNA(MATCH(203,Engine!$C$2:$C$630,0)),"",INDEX('Compliance Database'!$O$2:$O$630,MATCH(203,Engine!$C$2:$C$630,0)))</f>
        <v/>
      </c>
    </row>
    <row r="217">
      <c r="A217">
        <f>IF(ISNA(MATCH(204,Engine!$C$2:$C$630,0)),"",INDEX('Compliance Database'!$A$2:$A$630,MATCH(204,Engine!$C$2:$C$630,0)))</f>
        <v/>
      </c>
      <c r="B217">
        <f>IF(ISNA(MATCH(204,Engine!$C$2:$C$630,0)),"",INDEX('Compliance Database'!$B$2:$B$630,MATCH(204,Engine!$C$2:$C$630,0)))</f>
        <v/>
      </c>
      <c r="C217">
        <f>IF(ISNA(MATCH(204,Engine!$C$2:$C$630,0)),"",INDEX('Compliance Database'!$C$2:$C$630,MATCH(204,Engine!$C$2:$C$630,0)))</f>
        <v/>
      </c>
      <c r="D217" s="8">
        <f>IF(ISNA(MATCH(204,Engine!$C$2:$C$630,0)),"",INDEX('Compliance Database'!$D$2:$D$630,MATCH(204,Engine!$C$2:$C$630,0)))</f>
        <v/>
      </c>
      <c r="E217">
        <f>IF(ISNA(MATCH(204,Engine!$C$2:$C$630,0)),"",INDEX('Compliance Database'!$E$2:$E$630,MATCH(204,Engine!$C$2:$C$630,0)))</f>
        <v/>
      </c>
      <c r="F217">
        <f>IF(ISNA(MATCH(204,Engine!$C$2:$C$630,0)),"",INDEX('Compliance Database'!$F$2:$F$630,MATCH(204,Engine!$C$2:$C$630,0)))</f>
        <v/>
      </c>
      <c r="G217">
        <f>IF(ISNA(MATCH(204,Engine!$C$2:$C$630,0)),"",INDEX('Compliance Database'!$G$2:$G$630,MATCH(204,Engine!$C$2:$C$630,0)))</f>
        <v/>
      </c>
      <c r="H217">
        <f>IF(ISNA(MATCH(204,Engine!$C$2:$C$630,0)),"",INDEX('Compliance Database'!$H$2:$H$630,MATCH(204,Engine!$C$2:$C$630,0)))</f>
        <v/>
      </c>
      <c r="I217" s="8">
        <f>IF(ISNA(MATCH(204,Engine!$C$2:$C$630,0)),"",INDEX('Compliance Database'!$I$2:$I$630,MATCH(204,Engine!$C$2:$C$630,0)))</f>
        <v/>
      </c>
      <c r="J217" s="8">
        <f>IF(ISNA(MATCH(204,Engine!$C$2:$C$630,0)),"",INDEX('Compliance Database'!$J$2:$J$630,MATCH(204,Engine!$C$2:$C$630,0)))</f>
        <v/>
      </c>
      <c r="K217">
        <f>IF(ISNA(MATCH(204,Engine!$C$2:$C$630,0)),"",INDEX('Compliance Database'!$K$2:$K$630,MATCH(204,Engine!$C$2:$C$630,0)))</f>
        <v/>
      </c>
      <c r="L217" s="8">
        <f>IF(ISNA(MATCH(204,Engine!$C$2:$C$630,0)),"",INDEX('Compliance Database'!$L$2:$L$630,MATCH(204,Engine!$C$2:$C$630,0)))</f>
        <v/>
      </c>
      <c r="M217" s="8">
        <f>IF(ISNA(MATCH(204,Engine!$C$2:$C$630,0)),"",INDEX('Compliance Database'!$M$2:$M$630,MATCH(204,Engine!$C$2:$C$630,0)))</f>
        <v/>
      </c>
      <c r="N217" s="8">
        <f>IF(ISNA(MATCH(204,Engine!$C$2:$C$630,0)),"",INDEX('Compliance Database'!$N$2:$N$630,MATCH(204,Engine!$C$2:$C$630,0)))</f>
        <v/>
      </c>
      <c r="O217" s="8">
        <f>IF(ISNA(MATCH(204,Engine!$C$2:$C$630,0)),"",INDEX('Compliance Database'!$O$2:$O$630,MATCH(204,Engine!$C$2:$C$630,0)))</f>
        <v/>
      </c>
    </row>
    <row r="218">
      <c r="A218">
        <f>IF(ISNA(MATCH(205,Engine!$C$2:$C$630,0)),"",INDEX('Compliance Database'!$A$2:$A$630,MATCH(205,Engine!$C$2:$C$630,0)))</f>
        <v/>
      </c>
      <c r="B218">
        <f>IF(ISNA(MATCH(205,Engine!$C$2:$C$630,0)),"",INDEX('Compliance Database'!$B$2:$B$630,MATCH(205,Engine!$C$2:$C$630,0)))</f>
        <v/>
      </c>
      <c r="C218">
        <f>IF(ISNA(MATCH(205,Engine!$C$2:$C$630,0)),"",INDEX('Compliance Database'!$C$2:$C$630,MATCH(205,Engine!$C$2:$C$630,0)))</f>
        <v/>
      </c>
      <c r="D218" s="8">
        <f>IF(ISNA(MATCH(205,Engine!$C$2:$C$630,0)),"",INDEX('Compliance Database'!$D$2:$D$630,MATCH(205,Engine!$C$2:$C$630,0)))</f>
        <v/>
      </c>
      <c r="E218">
        <f>IF(ISNA(MATCH(205,Engine!$C$2:$C$630,0)),"",INDEX('Compliance Database'!$E$2:$E$630,MATCH(205,Engine!$C$2:$C$630,0)))</f>
        <v/>
      </c>
      <c r="F218">
        <f>IF(ISNA(MATCH(205,Engine!$C$2:$C$630,0)),"",INDEX('Compliance Database'!$F$2:$F$630,MATCH(205,Engine!$C$2:$C$630,0)))</f>
        <v/>
      </c>
      <c r="G218">
        <f>IF(ISNA(MATCH(205,Engine!$C$2:$C$630,0)),"",INDEX('Compliance Database'!$G$2:$G$630,MATCH(205,Engine!$C$2:$C$630,0)))</f>
        <v/>
      </c>
      <c r="H218">
        <f>IF(ISNA(MATCH(205,Engine!$C$2:$C$630,0)),"",INDEX('Compliance Database'!$H$2:$H$630,MATCH(205,Engine!$C$2:$C$630,0)))</f>
        <v/>
      </c>
      <c r="I218" s="8">
        <f>IF(ISNA(MATCH(205,Engine!$C$2:$C$630,0)),"",INDEX('Compliance Database'!$I$2:$I$630,MATCH(205,Engine!$C$2:$C$630,0)))</f>
        <v/>
      </c>
      <c r="J218" s="8">
        <f>IF(ISNA(MATCH(205,Engine!$C$2:$C$630,0)),"",INDEX('Compliance Database'!$J$2:$J$630,MATCH(205,Engine!$C$2:$C$630,0)))</f>
        <v/>
      </c>
      <c r="K218">
        <f>IF(ISNA(MATCH(205,Engine!$C$2:$C$630,0)),"",INDEX('Compliance Database'!$K$2:$K$630,MATCH(205,Engine!$C$2:$C$630,0)))</f>
        <v/>
      </c>
      <c r="L218" s="8">
        <f>IF(ISNA(MATCH(205,Engine!$C$2:$C$630,0)),"",INDEX('Compliance Database'!$L$2:$L$630,MATCH(205,Engine!$C$2:$C$630,0)))</f>
        <v/>
      </c>
      <c r="M218" s="8">
        <f>IF(ISNA(MATCH(205,Engine!$C$2:$C$630,0)),"",INDEX('Compliance Database'!$M$2:$M$630,MATCH(205,Engine!$C$2:$C$630,0)))</f>
        <v/>
      </c>
      <c r="N218" s="8">
        <f>IF(ISNA(MATCH(205,Engine!$C$2:$C$630,0)),"",INDEX('Compliance Database'!$N$2:$N$630,MATCH(205,Engine!$C$2:$C$630,0)))</f>
        <v/>
      </c>
      <c r="O218" s="8">
        <f>IF(ISNA(MATCH(205,Engine!$C$2:$C$630,0)),"",INDEX('Compliance Database'!$O$2:$O$630,MATCH(205,Engine!$C$2:$C$630,0)))</f>
        <v/>
      </c>
    </row>
    <row r="219">
      <c r="A219">
        <f>IF(ISNA(MATCH(206,Engine!$C$2:$C$630,0)),"",INDEX('Compliance Database'!$A$2:$A$630,MATCH(206,Engine!$C$2:$C$630,0)))</f>
        <v/>
      </c>
      <c r="B219">
        <f>IF(ISNA(MATCH(206,Engine!$C$2:$C$630,0)),"",INDEX('Compliance Database'!$B$2:$B$630,MATCH(206,Engine!$C$2:$C$630,0)))</f>
        <v/>
      </c>
      <c r="C219">
        <f>IF(ISNA(MATCH(206,Engine!$C$2:$C$630,0)),"",INDEX('Compliance Database'!$C$2:$C$630,MATCH(206,Engine!$C$2:$C$630,0)))</f>
        <v/>
      </c>
      <c r="D219" s="8">
        <f>IF(ISNA(MATCH(206,Engine!$C$2:$C$630,0)),"",INDEX('Compliance Database'!$D$2:$D$630,MATCH(206,Engine!$C$2:$C$630,0)))</f>
        <v/>
      </c>
      <c r="E219">
        <f>IF(ISNA(MATCH(206,Engine!$C$2:$C$630,0)),"",INDEX('Compliance Database'!$E$2:$E$630,MATCH(206,Engine!$C$2:$C$630,0)))</f>
        <v/>
      </c>
      <c r="F219">
        <f>IF(ISNA(MATCH(206,Engine!$C$2:$C$630,0)),"",INDEX('Compliance Database'!$F$2:$F$630,MATCH(206,Engine!$C$2:$C$630,0)))</f>
        <v/>
      </c>
      <c r="G219">
        <f>IF(ISNA(MATCH(206,Engine!$C$2:$C$630,0)),"",INDEX('Compliance Database'!$G$2:$G$630,MATCH(206,Engine!$C$2:$C$630,0)))</f>
        <v/>
      </c>
      <c r="H219">
        <f>IF(ISNA(MATCH(206,Engine!$C$2:$C$630,0)),"",INDEX('Compliance Database'!$H$2:$H$630,MATCH(206,Engine!$C$2:$C$630,0)))</f>
        <v/>
      </c>
      <c r="I219" s="8">
        <f>IF(ISNA(MATCH(206,Engine!$C$2:$C$630,0)),"",INDEX('Compliance Database'!$I$2:$I$630,MATCH(206,Engine!$C$2:$C$630,0)))</f>
        <v/>
      </c>
      <c r="J219" s="8">
        <f>IF(ISNA(MATCH(206,Engine!$C$2:$C$630,0)),"",INDEX('Compliance Database'!$J$2:$J$630,MATCH(206,Engine!$C$2:$C$630,0)))</f>
        <v/>
      </c>
      <c r="K219">
        <f>IF(ISNA(MATCH(206,Engine!$C$2:$C$630,0)),"",INDEX('Compliance Database'!$K$2:$K$630,MATCH(206,Engine!$C$2:$C$630,0)))</f>
        <v/>
      </c>
      <c r="L219" s="8">
        <f>IF(ISNA(MATCH(206,Engine!$C$2:$C$630,0)),"",INDEX('Compliance Database'!$L$2:$L$630,MATCH(206,Engine!$C$2:$C$630,0)))</f>
        <v/>
      </c>
      <c r="M219" s="8">
        <f>IF(ISNA(MATCH(206,Engine!$C$2:$C$630,0)),"",INDEX('Compliance Database'!$M$2:$M$630,MATCH(206,Engine!$C$2:$C$630,0)))</f>
        <v/>
      </c>
      <c r="N219" s="8">
        <f>IF(ISNA(MATCH(206,Engine!$C$2:$C$630,0)),"",INDEX('Compliance Database'!$N$2:$N$630,MATCH(206,Engine!$C$2:$C$630,0)))</f>
        <v/>
      </c>
      <c r="O219" s="8">
        <f>IF(ISNA(MATCH(206,Engine!$C$2:$C$630,0)),"",INDEX('Compliance Database'!$O$2:$O$630,MATCH(206,Engine!$C$2:$C$630,0)))</f>
        <v/>
      </c>
    </row>
    <row r="220">
      <c r="A220">
        <f>IF(ISNA(MATCH(207,Engine!$C$2:$C$630,0)),"",INDEX('Compliance Database'!$A$2:$A$630,MATCH(207,Engine!$C$2:$C$630,0)))</f>
        <v/>
      </c>
      <c r="B220">
        <f>IF(ISNA(MATCH(207,Engine!$C$2:$C$630,0)),"",INDEX('Compliance Database'!$B$2:$B$630,MATCH(207,Engine!$C$2:$C$630,0)))</f>
        <v/>
      </c>
      <c r="C220">
        <f>IF(ISNA(MATCH(207,Engine!$C$2:$C$630,0)),"",INDEX('Compliance Database'!$C$2:$C$630,MATCH(207,Engine!$C$2:$C$630,0)))</f>
        <v/>
      </c>
      <c r="D220" s="8">
        <f>IF(ISNA(MATCH(207,Engine!$C$2:$C$630,0)),"",INDEX('Compliance Database'!$D$2:$D$630,MATCH(207,Engine!$C$2:$C$630,0)))</f>
        <v/>
      </c>
      <c r="E220">
        <f>IF(ISNA(MATCH(207,Engine!$C$2:$C$630,0)),"",INDEX('Compliance Database'!$E$2:$E$630,MATCH(207,Engine!$C$2:$C$630,0)))</f>
        <v/>
      </c>
      <c r="F220">
        <f>IF(ISNA(MATCH(207,Engine!$C$2:$C$630,0)),"",INDEX('Compliance Database'!$F$2:$F$630,MATCH(207,Engine!$C$2:$C$630,0)))</f>
        <v/>
      </c>
      <c r="G220">
        <f>IF(ISNA(MATCH(207,Engine!$C$2:$C$630,0)),"",INDEX('Compliance Database'!$G$2:$G$630,MATCH(207,Engine!$C$2:$C$630,0)))</f>
        <v/>
      </c>
      <c r="H220">
        <f>IF(ISNA(MATCH(207,Engine!$C$2:$C$630,0)),"",INDEX('Compliance Database'!$H$2:$H$630,MATCH(207,Engine!$C$2:$C$630,0)))</f>
        <v/>
      </c>
      <c r="I220" s="8">
        <f>IF(ISNA(MATCH(207,Engine!$C$2:$C$630,0)),"",INDEX('Compliance Database'!$I$2:$I$630,MATCH(207,Engine!$C$2:$C$630,0)))</f>
        <v/>
      </c>
      <c r="J220" s="8">
        <f>IF(ISNA(MATCH(207,Engine!$C$2:$C$630,0)),"",INDEX('Compliance Database'!$J$2:$J$630,MATCH(207,Engine!$C$2:$C$630,0)))</f>
        <v/>
      </c>
      <c r="K220">
        <f>IF(ISNA(MATCH(207,Engine!$C$2:$C$630,0)),"",INDEX('Compliance Database'!$K$2:$K$630,MATCH(207,Engine!$C$2:$C$630,0)))</f>
        <v/>
      </c>
      <c r="L220" s="8">
        <f>IF(ISNA(MATCH(207,Engine!$C$2:$C$630,0)),"",INDEX('Compliance Database'!$L$2:$L$630,MATCH(207,Engine!$C$2:$C$630,0)))</f>
        <v/>
      </c>
      <c r="M220" s="8">
        <f>IF(ISNA(MATCH(207,Engine!$C$2:$C$630,0)),"",INDEX('Compliance Database'!$M$2:$M$630,MATCH(207,Engine!$C$2:$C$630,0)))</f>
        <v/>
      </c>
      <c r="N220" s="8">
        <f>IF(ISNA(MATCH(207,Engine!$C$2:$C$630,0)),"",INDEX('Compliance Database'!$N$2:$N$630,MATCH(207,Engine!$C$2:$C$630,0)))</f>
        <v/>
      </c>
      <c r="O220" s="8">
        <f>IF(ISNA(MATCH(207,Engine!$C$2:$C$630,0)),"",INDEX('Compliance Database'!$O$2:$O$630,MATCH(207,Engine!$C$2:$C$630,0)))</f>
        <v/>
      </c>
    </row>
    <row r="221">
      <c r="A221">
        <f>IF(ISNA(MATCH(208,Engine!$C$2:$C$630,0)),"",INDEX('Compliance Database'!$A$2:$A$630,MATCH(208,Engine!$C$2:$C$630,0)))</f>
        <v/>
      </c>
      <c r="B221">
        <f>IF(ISNA(MATCH(208,Engine!$C$2:$C$630,0)),"",INDEX('Compliance Database'!$B$2:$B$630,MATCH(208,Engine!$C$2:$C$630,0)))</f>
        <v/>
      </c>
      <c r="C221">
        <f>IF(ISNA(MATCH(208,Engine!$C$2:$C$630,0)),"",INDEX('Compliance Database'!$C$2:$C$630,MATCH(208,Engine!$C$2:$C$630,0)))</f>
        <v/>
      </c>
      <c r="D221" s="8">
        <f>IF(ISNA(MATCH(208,Engine!$C$2:$C$630,0)),"",INDEX('Compliance Database'!$D$2:$D$630,MATCH(208,Engine!$C$2:$C$630,0)))</f>
        <v/>
      </c>
      <c r="E221">
        <f>IF(ISNA(MATCH(208,Engine!$C$2:$C$630,0)),"",INDEX('Compliance Database'!$E$2:$E$630,MATCH(208,Engine!$C$2:$C$630,0)))</f>
        <v/>
      </c>
      <c r="F221">
        <f>IF(ISNA(MATCH(208,Engine!$C$2:$C$630,0)),"",INDEX('Compliance Database'!$F$2:$F$630,MATCH(208,Engine!$C$2:$C$630,0)))</f>
        <v/>
      </c>
      <c r="G221">
        <f>IF(ISNA(MATCH(208,Engine!$C$2:$C$630,0)),"",INDEX('Compliance Database'!$G$2:$G$630,MATCH(208,Engine!$C$2:$C$630,0)))</f>
        <v/>
      </c>
      <c r="H221">
        <f>IF(ISNA(MATCH(208,Engine!$C$2:$C$630,0)),"",INDEX('Compliance Database'!$H$2:$H$630,MATCH(208,Engine!$C$2:$C$630,0)))</f>
        <v/>
      </c>
      <c r="I221" s="8">
        <f>IF(ISNA(MATCH(208,Engine!$C$2:$C$630,0)),"",INDEX('Compliance Database'!$I$2:$I$630,MATCH(208,Engine!$C$2:$C$630,0)))</f>
        <v/>
      </c>
      <c r="J221" s="8">
        <f>IF(ISNA(MATCH(208,Engine!$C$2:$C$630,0)),"",INDEX('Compliance Database'!$J$2:$J$630,MATCH(208,Engine!$C$2:$C$630,0)))</f>
        <v/>
      </c>
      <c r="K221">
        <f>IF(ISNA(MATCH(208,Engine!$C$2:$C$630,0)),"",INDEX('Compliance Database'!$K$2:$K$630,MATCH(208,Engine!$C$2:$C$630,0)))</f>
        <v/>
      </c>
      <c r="L221" s="8">
        <f>IF(ISNA(MATCH(208,Engine!$C$2:$C$630,0)),"",INDEX('Compliance Database'!$L$2:$L$630,MATCH(208,Engine!$C$2:$C$630,0)))</f>
        <v/>
      </c>
      <c r="M221" s="8">
        <f>IF(ISNA(MATCH(208,Engine!$C$2:$C$630,0)),"",INDEX('Compliance Database'!$M$2:$M$630,MATCH(208,Engine!$C$2:$C$630,0)))</f>
        <v/>
      </c>
      <c r="N221" s="8">
        <f>IF(ISNA(MATCH(208,Engine!$C$2:$C$630,0)),"",INDEX('Compliance Database'!$N$2:$N$630,MATCH(208,Engine!$C$2:$C$630,0)))</f>
        <v/>
      </c>
      <c r="O221" s="8">
        <f>IF(ISNA(MATCH(208,Engine!$C$2:$C$630,0)),"",INDEX('Compliance Database'!$O$2:$O$630,MATCH(208,Engine!$C$2:$C$630,0)))</f>
        <v/>
      </c>
    </row>
    <row r="222">
      <c r="A222">
        <f>IF(ISNA(MATCH(209,Engine!$C$2:$C$630,0)),"",INDEX('Compliance Database'!$A$2:$A$630,MATCH(209,Engine!$C$2:$C$630,0)))</f>
        <v/>
      </c>
      <c r="B222">
        <f>IF(ISNA(MATCH(209,Engine!$C$2:$C$630,0)),"",INDEX('Compliance Database'!$B$2:$B$630,MATCH(209,Engine!$C$2:$C$630,0)))</f>
        <v/>
      </c>
      <c r="C222">
        <f>IF(ISNA(MATCH(209,Engine!$C$2:$C$630,0)),"",INDEX('Compliance Database'!$C$2:$C$630,MATCH(209,Engine!$C$2:$C$630,0)))</f>
        <v/>
      </c>
      <c r="D222" s="8">
        <f>IF(ISNA(MATCH(209,Engine!$C$2:$C$630,0)),"",INDEX('Compliance Database'!$D$2:$D$630,MATCH(209,Engine!$C$2:$C$630,0)))</f>
        <v/>
      </c>
      <c r="E222">
        <f>IF(ISNA(MATCH(209,Engine!$C$2:$C$630,0)),"",INDEX('Compliance Database'!$E$2:$E$630,MATCH(209,Engine!$C$2:$C$630,0)))</f>
        <v/>
      </c>
      <c r="F222">
        <f>IF(ISNA(MATCH(209,Engine!$C$2:$C$630,0)),"",INDEX('Compliance Database'!$F$2:$F$630,MATCH(209,Engine!$C$2:$C$630,0)))</f>
        <v/>
      </c>
      <c r="G222">
        <f>IF(ISNA(MATCH(209,Engine!$C$2:$C$630,0)),"",INDEX('Compliance Database'!$G$2:$G$630,MATCH(209,Engine!$C$2:$C$630,0)))</f>
        <v/>
      </c>
      <c r="H222">
        <f>IF(ISNA(MATCH(209,Engine!$C$2:$C$630,0)),"",INDEX('Compliance Database'!$H$2:$H$630,MATCH(209,Engine!$C$2:$C$630,0)))</f>
        <v/>
      </c>
      <c r="I222" s="8">
        <f>IF(ISNA(MATCH(209,Engine!$C$2:$C$630,0)),"",INDEX('Compliance Database'!$I$2:$I$630,MATCH(209,Engine!$C$2:$C$630,0)))</f>
        <v/>
      </c>
      <c r="J222" s="8">
        <f>IF(ISNA(MATCH(209,Engine!$C$2:$C$630,0)),"",INDEX('Compliance Database'!$J$2:$J$630,MATCH(209,Engine!$C$2:$C$630,0)))</f>
        <v/>
      </c>
      <c r="K222">
        <f>IF(ISNA(MATCH(209,Engine!$C$2:$C$630,0)),"",INDEX('Compliance Database'!$K$2:$K$630,MATCH(209,Engine!$C$2:$C$630,0)))</f>
        <v/>
      </c>
      <c r="L222" s="8">
        <f>IF(ISNA(MATCH(209,Engine!$C$2:$C$630,0)),"",INDEX('Compliance Database'!$L$2:$L$630,MATCH(209,Engine!$C$2:$C$630,0)))</f>
        <v/>
      </c>
      <c r="M222" s="8">
        <f>IF(ISNA(MATCH(209,Engine!$C$2:$C$630,0)),"",INDEX('Compliance Database'!$M$2:$M$630,MATCH(209,Engine!$C$2:$C$630,0)))</f>
        <v/>
      </c>
      <c r="N222" s="8">
        <f>IF(ISNA(MATCH(209,Engine!$C$2:$C$630,0)),"",INDEX('Compliance Database'!$N$2:$N$630,MATCH(209,Engine!$C$2:$C$630,0)))</f>
        <v/>
      </c>
      <c r="O222" s="8">
        <f>IF(ISNA(MATCH(209,Engine!$C$2:$C$630,0)),"",INDEX('Compliance Database'!$O$2:$O$630,MATCH(209,Engine!$C$2:$C$630,0)))</f>
        <v/>
      </c>
    </row>
    <row r="223">
      <c r="A223">
        <f>IF(ISNA(MATCH(210,Engine!$C$2:$C$630,0)),"",INDEX('Compliance Database'!$A$2:$A$630,MATCH(210,Engine!$C$2:$C$630,0)))</f>
        <v/>
      </c>
      <c r="B223">
        <f>IF(ISNA(MATCH(210,Engine!$C$2:$C$630,0)),"",INDEX('Compliance Database'!$B$2:$B$630,MATCH(210,Engine!$C$2:$C$630,0)))</f>
        <v/>
      </c>
      <c r="C223">
        <f>IF(ISNA(MATCH(210,Engine!$C$2:$C$630,0)),"",INDEX('Compliance Database'!$C$2:$C$630,MATCH(210,Engine!$C$2:$C$630,0)))</f>
        <v/>
      </c>
      <c r="D223" s="8">
        <f>IF(ISNA(MATCH(210,Engine!$C$2:$C$630,0)),"",INDEX('Compliance Database'!$D$2:$D$630,MATCH(210,Engine!$C$2:$C$630,0)))</f>
        <v/>
      </c>
      <c r="E223">
        <f>IF(ISNA(MATCH(210,Engine!$C$2:$C$630,0)),"",INDEX('Compliance Database'!$E$2:$E$630,MATCH(210,Engine!$C$2:$C$630,0)))</f>
        <v/>
      </c>
      <c r="F223">
        <f>IF(ISNA(MATCH(210,Engine!$C$2:$C$630,0)),"",INDEX('Compliance Database'!$F$2:$F$630,MATCH(210,Engine!$C$2:$C$630,0)))</f>
        <v/>
      </c>
      <c r="G223">
        <f>IF(ISNA(MATCH(210,Engine!$C$2:$C$630,0)),"",INDEX('Compliance Database'!$G$2:$G$630,MATCH(210,Engine!$C$2:$C$630,0)))</f>
        <v/>
      </c>
      <c r="H223">
        <f>IF(ISNA(MATCH(210,Engine!$C$2:$C$630,0)),"",INDEX('Compliance Database'!$H$2:$H$630,MATCH(210,Engine!$C$2:$C$630,0)))</f>
        <v/>
      </c>
      <c r="I223" s="8">
        <f>IF(ISNA(MATCH(210,Engine!$C$2:$C$630,0)),"",INDEX('Compliance Database'!$I$2:$I$630,MATCH(210,Engine!$C$2:$C$630,0)))</f>
        <v/>
      </c>
      <c r="J223" s="8">
        <f>IF(ISNA(MATCH(210,Engine!$C$2:$C$630,0)),"",INDEX('Compliance Database'!$J$2:$J$630,MATCH(210,Engine!$C$2:$C$630,0)))</f>
        <v/>
      </c>
      <c r="K223">
        <f>IF(ISNA(MATCH(210,Engine!$C$2:$C$630,0)),"",INDEX('Compliance Database'!$K$2:$K$630,MATCH(210,Engine!$C$2:$C$630,0)))</f>
        <v/>
      </c>
      <c r="L223" s="8">
        <f>IF(ISNA(MATCH(210,Engine!$C$2:$C$630,0)),"",INDEX('Compliance Database'!$L$2:$L$630,MATCH(210,Engine!$C$2:$C$630,0)))</f>
        <v/>
      </c>
      <c r="M223" s="8">
        <f>IF(ISNA(MATCH(210,Engine!$C$2:$C$630,0)),"",INDEX('Compliance Database'!$M$2:$M$630,MATCH(210,Engine!$C$2:$C$630,0)))</f>
        <v/>
      </c>
      <c r="N223" s="8">
        <f>IF(ISNA(MATCH(210,Engine!$C$2:$C$630,0)),"",INDEX('Compliance Database'!$N$2:$N$630,MATCH(210,Engine!$C$2:$C$630,0)))</f>
        <v/>
      </c>
      <c r="O223" s="8">
        <f>IF(ISNA(MATCH(210,Engine!$C$2:$C$630,0)),"",INDEX('Compliance Database'!$O$2:$O$630,MATCH(210,Engine!$C$2:$C$630,0)))</f>
        <v/>
      </c>
    </row>
    <row r="224">
      <c r="A224">
        <f>IF(ISNA(MATCH(211,Engine!$C$2:$C$630,0)),"",INDEX('Compliance Database'!$A$2:$A$630,MATCH(211,Engine!$C$2:$C$630,0)))</f>
        <v/>
      </c>
      <c r="B224">
        <f>IF(ISNA(MATCH(211,Engine!$C$2:$C$630,0)),"",INDEX('Compliance Database'!$B$2:$B$630,MATCH(211,Engine!$C$2:$C$630,0)))</f>
        <v/>
      </c>
      <c r="C224">
        <f>IF(ISNA(MATCH(211,Engine!$C$2:$C$630,0)),"",INDEX('Compliance Database'!$C$2:$C$630,MATCH(211,Engine!$C$2:$C$630,0)))</f>
        <v/>
      </c>
      <c r="D224" s="8">
        <f>IF(ISNA(MATCH(211,Engine!$C$2:$C$630,0)),"",INDEX('Compliance Database'!$D$2:$D$630,MATCH(211,Engine!$C$2:$C$630,0)))</f>
        <v/>
      </c>
      <c r="E224">
        <f>IF(ISNA(MATCH(211,Engine!$C$2:$C$630,0)),"",INDEX('Compliance Database'!$E$2:$E$630,MATCH(211,Engine!$C$2:$C$630,0)))</f>
        <v/>
      </c>
      <c r="F224">
        <f>IF(ISNA(MATCH(211,Engine!$C$2:$C$630,0)),"",INDEX('Compliance Database'!$F$2:$F$630,MATCH(211,Engine!$C$2:$C$630,0)))</f>
        <v/>
      </c>
      <c r="G224">
        <f>IF(ISNA(MATCH(211,Engine!$C$2:$C$630,0)),"",INDEX('Compliance Database'!$G$2:$G$630,MATCH(211,Engine!$C$2:$C$630,0)))</f>
        <v/>
      </c>
      <c r="H224">
        <f>IF(ISNA(MATCH(211,Engine!$C$2:$C$630,0)),"",INDEX('Compliance Database'!$H$2:$H$630,MATCH(211,Engine!$C$2:$C$630,0)))</f>
        <v/>
      </c>
      <c r="I224" s="8">
        <f>IF(ISNA(MATCH(211,Engine!$C$2:$C$630,0)),"",INDEX('Compliance Database'!$I$2:$I$630,MATCH(211,Engine!$C$2:$C$630,0)))</f>
        <v/>
      </c>
      <c r="J224" s="8">
        <f>IF(ISNA(MATCH(211,Engine!$C$2:$C$630,0)),"",INDEX('Compliance Database'!$J$2:$J$630,MATCH(211,Engine!$C$2:$C$630,0)))</f>
        <v/>
      </c>
      <c r="K224">
        <f>IF(ISNA(MATCH(211,Engine!$C$2:$C$630,0)),"",INDEX('Compliance Database'!$K$2:$K$630,MATCH(211,Engine!$C$2:$C$630,0)))</f>
        <v/>
      </c>
      <c r="L224" s="8">
        <f>IF(ISNA(MATCH(211,Engine!$C$2:$C$630,0)),"",INDEX('Compliance Database'!$L$2:$L$630,MATCH(211,Engine!$C$2:$C$630,0)))</f>
        <v/>
      </c>
      <c r="M224" s="8">
        <f>IF(ISNA(MATCH(211,Engine!$C$2:$C$630,0)),"",INDEX('Compliance Database'!$M$2:$M$630,MATCH(211,Engine!$C$2:$C$630,0)))</f>
        <v/>
      </c>
      <c r="N224" s="8">
        <f>IF(ISNA(MATCH(211,Engine!$C$2:$C$630,0)),"",INDEX('Compliance Database'!$N$2:$N$630,MATCH(211,Engine!$C$2:$C$630,0)))</f>
        <v/>
      </c>
      <c r="O224" s="8">
        <f>IF(ISNA(MATCH(211,Engine!$C$2:$C$630,0)),"",INDEX('Compliance Database'!$O$2:$O$630,MATCH(211,Engine!$C$2:$C$630,0)))</f>
        <v/>
      </c>
    </row>
    <row r="225">
      <c r="A225">
        <f>IF(ISNA(MATCH(212,Engine!$C$2:$C$630,0)),"",INDEX('Compliance Database'!$A$2:$A$630,MATCH(212,Engine!$C$2:$C$630,0)))</f>
        <v/>
      </c>
      <c r="B225">
        <f>IF(ISNA(MATCH(212,Engine!$C$2:$C$630,0)),"",INDEX('Compliance Database'!$B$2:$B$630,MATCH(212,Engine!$C$2:$C$630,0)))</f>
        <v/>
      </c>
      <c r="C225">
        <f>IF(ISNA(MATCH(212,Engine!$C$2:$C$630,0)),"",INDEX('Compliance Database'!$C$2:$C$630,MATCH(212,Engine!$C$2:$C$630,0)))</f>
        <v/>
      </c>
      <c r="D225" s="8">
        <f>IF(ISNA(MATCH(212,Engine!$C$2:$C$630,0)),"",INDEX('Compliance Database'!$D$2:$D$630,MATCH(212,Engine!$C$2:$C$630,0)))</f>
        <v/>
      </c>
      <c r="E225">
        <f>IF(ISNA(MATCH(212,Engine!$C$2:$C$630,0)),"",INDEX('Compliance Database'!$E$2:$E$630,MATCH(212,Engine!$C$2:$C$630,0)))</f>
        <v/>
      </c>
      <c r="F225">
        <f>IF(ISNA(MATCH(212,Engine!$C$2:$C$630,0)),"",INDEX('Compliance Database'!$F$2:$F$630,MATCH(212,Engine!$C$2:$C$630,0)))</f>
        <v/>
      </c>
      <c r="G225">
        <f>IF(ISNA(MATCH(212,Engine!$C$2:$C$630,0)),"",INDEX('Compliance Database'!$G$2:$G$630,MATCH(212,Engine!$C$2:$C$630,0)))</f>
        <v/>
      </c>
      <c r="H225">
        <f>IF(ISNA(MATCH(212,Engine!$C$2:$C$630,0)),"",INDEX('Compliance Database'!$H$2:$H$630,MATCH(212,Engine!$C$2:$C$630,0)))</f>
        <v/>
      </c>
      <c r="I225" s="8">
        <f>IF(ISNA(MATCH(212,Engine!$C$2:$C$630,0)),"",INDEX('Compliance Database'!$I$2:$I$630,MATCH(212,Engine!$C$2:$C$630,0)))</f>
        <v/>
      </c>
      <c r="J225" s="8">
        <f>IF(ISNA(MATCH(212,Engine!$C$2:$C$630,0)),"",INDEX('Compliance Database'!$J$2:$J$630,MATCH(212,Engine!$C$2:$C$630,0)))</f>
        <v/>
      </c>
      <c r="K225">
        <f>IF(ISNA(MATCH(212,Engine!$C$2:$C$630,0)),"",INDEX('Compliance Database'!$K$2:$K$630,MATCH(212,Engine!$C$2:$C$630,0)))</f>
        <v/>
      </c>
      <c r="L225" s="8">
        <f>IF(ISNA(MATCH(212,Engine!$C$2:$C$630,0)),"",INDEX('Compliance Database'!$L$2:$L$630,MATCH(212,Engine!$C$2:$C$630,0)))</f>
        <v/>
      </c>
      <c r="M225" s="8">
        <f>IF(ISNA(MATCH(212,Engine!$C$2:$C$630,0)),"",INDEX('Compliance Database'!$M$2:$M$630,MATCH(212,Engine!$C$2:$C$630,0)))</f>
        <v/>
      </c>
      <c r="N225" s="8">
        <f>IF(ISNA(MATCH(212,Engine!$C$2:$C$630,0)),"",INDEX('Compliance Database'!$N$2:$N$630,MATCH(212,Engine!$C$2:$C$630,0)))</f>
        <v/>
      </c>
      <c r="O225" s="8">
        <f>IF(ISNA(MATCH(212,Engine!$C$2:$C$630,0)),"",INDEX('Compliance Database'!$O$2:$O$630,MATCH(212,Engine!$C$2:$C$630,0)))</f>
        <v/>
      </c>
    </row>
    <row r="226">
      <c r="A226">
        <f>IF(ISNA(MATCH(213,Engine!$C$2:$C$630,0)),"",INDEX('Compliance Database'!$A$2:$A$630,MATCH(213,Engine!$C$2:$C$630,0)))</f>
        <v/>
      </c>
      <c r="B226">
        <f>IF(ISNA(MATCH(213,Engine!$C$2:$C$630,0)),"",INDEX('Compliance Database'!$B$2:$B$630,MATCH(213,Engine!$C$2:$C$630,0)))</f>
        <v/>
      </c>
      <c r="C226">
        <f>IF(ISNA(MATCH(213,Engine!$C$2:$C$630,0)),"",INDEX('Compliance Database'!$C$2:$C$630,MATCH(213,Engine!$C$2:$C$630,0)))</f>
        <v/>
      </c>
      <c r="D226" s="8">
        <f>IF(ISNA(MATCH(213,Engine!$C$2:$C$630,0)),"",INDEX('Compliance Database'!$D$2:$D$630,MATCH(213,Engine!$C$2:$C$630,0)))</f>
        <v/>
      </c>
      <c r="E226">
        <f>IF(ISNA(MATCH(213,Engine!$C$2:$C$630,0)),"",INDEX('Compliance Database'!$E$2:$E$630,MATCH(213,Engine!$C$2:$C$630,0)))</f>
        <v/>
      </c>
      <c r="F226">
        <f>IF(ISNA(MATCH(213,Engine!$C$2:$C$630,0)),"",INDEX('Compliance Database'!$F$2:$F$630,MATCH(213,Engine!$C$2:$C$630,0)))</f>
        <v/>
      </c>
      <c r="G226">
        <f>IF(ISNA(MATCH(213,Engine!$C$2:$C$630,0)),"",INDEX('Compliance Database'!$G$2:$G$630,MATCH(213,Engine!$C$2:$C$630,0)))</f>
        <v/>
      </c>
      <c r="H226">
        <f>IF(ISNA(MATCH(213,Engine!$C$2:$C$630,0)),"",INDEX('Compliance Database'!$H$2:$H$630,MATCH(213,Engine!$C$2:$C$630,0)))</f>
        <v/>
      </c>
      <c r="I226" s="8">
        <f>IF(ISNA(MATCH(213,Engine!$C$2:$C$630,0)),"",INDEX('Compliance Database'!$I$2:$I$630,MATCH(213,Engine!$C$2:$C$630,0)))</f>
        <v/>
      </c>
      <c r="J226" s="8">
        <f>IF(ISNA(MATCH(213,Engine!$C$2:$C$630,0)),"",INDEX('Compliance Database'!$J$2:$J$630,MATCH(213,Engine!$C$2:$C$630,0)))</f>
        <v/>
      </c>
      <c r="K226">
        <f>IF(ISNA(MATCH(213,Engine!$C$2:$C$630,0)),"",INDEX('Compliance Database'!$K$2:$K$630,MATCH(213,Engine!$C$2:$C$630,0)))</f>
        <v/>
      </c>
      <c r="L226" s="8">
        <f>IF(ISNA(MATCH(213,Engine!$C$2:$C$630,0)),"",INDEX('Compliance Database'!$L$2:$L$630,MATCH(213,Engine!$C$2:$C$630,0)))</f>
        <v/>
      </c>
      <c r="M226" s="8">
        <f>IF(ISNA(MATCH(213,Engine!$C$2:$C$630,0)),"",INDEX('Compliance Database'!$M$2:$M$630,MATCH(213,Engine!$C$2:$C$630,0)))</f>
        <v/>
      </c>
      <c r="N226" s="8">
        <f>IF(ISNA(MATCH(213,Engine!$C$2:$C$630,0)),"",INDEX('Compliance Database'!$N$2:$N$630,MATCH(213,Engine!$C$2:$C$630,0)))</f>
        <v/>
      </c>
      <c r="O226" s="8">
        <f>IF(ISNA(MATCH(213,Engine!$C$2:$C$630,0)),"",INDEX('Compliance Database'!$O$2:$O$630,MATCH(213,Engine!$C$2:$C$630,0)))</f>
        <v/>
      </c>
    </row>
    <row r="227">
      <c r="A227">
        <f>IF(ISNA(MATCH(214,Engine!$C$2:$C$630,0)),"",INDEX('Compliance Database'!$A$2:$A$630,MATCH(214,Engine!$C$2:$C$630,0)))</f>
        <v/>
      </c>
      <c r="B227">
        <f>IF(ISNA(MATCH(214,Engine!$C$2:$C$630,0)),"",INDEX('Compliance Database'!$B$2:$B$630,MATCH(214,Engine!$C$2:$C$630,0)))</f>
        <v/>
      </c>
      <c r="C227">
        <f>IF(ISNA(MATCH(214,Engine!$C$2:$C$630,0)),"",INDEX('Compliance Database'!$C$2:$C$630,MATCH(214,Engine!$C$2:$C$630,0)))</f>
        <v/>
      </c>
      <c r="D227" s="8">
        <f>IF(ISNA(MATCH(214,Engine!$C$2:$C$630,0)),"",INDEX('Compliance Database'!$D$2:$D$630,MATCH(214,Engine!$C$2:$C$630,0)))</f>
        <v/>
      </c>
      <c r="E227">
        <f>IF(ISNA(MATCH(214,Engine!$C$2:$C$630,0)),"",INDEX('Compliance Database'!$E$2:$E$630,MATCH(214,Engine!$C$2:$C$630,0)))</f>
        <v/>
      </c>
      <c r="F227">
        <f>IF(ISNA(MATCH(214,Engine!$C$2:$C$630,0)),"",INDEX('Compliance Database'!$F$2:$F$630,MATCH(214,Engine!$C$2:$C$630,0)))</f>
        <v/>
      </c>
      <c r="G227">
        <f>IF(ISNA(MATCH(214,Engine!$C$2:$C$630,0)),"",INDEX('Compliance Database'!$G$2:$G$630,MATCH(214,Engine!$C$2:$C$630,0)))</f>
        <v/>
      </c>
      <c r="H227">
        <f>IF(ISNA(MATCH(214,Engine!$C$2:$C$630,0)),"",INDEX('Compliance Database'!$H$2:$H$630,MATCH(214,Engine!$C$2:$C$630,0)))</f>
        <v/>
      </c>
      <c r="I227" s="8">
        <f>IF(ISNA(MATCH(214,Engine!$C$2:$C$630,0)),"",INDEX('Compliance Database'!$I$2:$I$630,MATCH(214,Engine!$C$2:$C$630,0)))</f>
        <v/>
      </c>
      <c r="J227" s="8">
        <f>IF(ISNA(MATCH(214,Engine!$C$2:$C$630,0)),"",INDEX('Compliance Database'!$J$2:$J$630,MATCH(214,Engine!$C$2:$C$630,0)))</f>
        <v/>
      </c>
      <c r="K227">
        <f>IF(ISNA(MATCH(214,Engine!$C$2:$C$630,0)),"",INDEX('Compliance Database'!$K$2:$K$630,MATCH(214,Engine!$C$2:$C$630,0)))</f>
        <v/>
      </c>
      <c r="L227" s="8">
        <f>IF(ISNA(MATCH(214,Engine!$C$2:$C$630,0)),"",INDEX('Compliance Database'!$L$2:$L$630,MATCH(214,Engine!$C$2:$C$630,0)))</f>
        <v/>
      </c>
      <c r="M227" s="8">
        <f>IF(ISNA(MATCH(214,Engine!$C$2:$C$630,0)),"",INDEX('Compliance Database'!$M$2:$M$630,MATCH(214,Engine!$C$2:$C$630,0)))</f>
        <v/>
      </c>
      <c r="N227" s="8">
        <f>IF(ISNA(MATCH(214,Engine!$C$2:$C$630,0)),"",INDEX('Compliance Database'!$N$2:$N$630,MATCH(214,Engine!$C$2:$C$630,0)))</f>
        <v/>
      </c>
      <c r="O227" s="8">
        <f>IF(ISNA(MATCH(214,Engine!$C$2:$C$630,0)),"",INDEX('Compliance Database'!$O$2:$O$630,MATCH(214,Engine!$C$2:$C$630,0)))</f>
        <v/>
      </c>
    </row>
    <row r="228">
      <c r="A228">
        <f>IF(ISNA(MATCH(215,Engine!$C$2:$C$630,0)),"",INDEX('Compliance Database'!$A$2:$A$630,MATCH(215,Engine!$C$2:$C$630,0)))</f>
        <v/>
      </c>
      <c r="B228">
        <f>IF(ISNA(MATCH(215,Engine!$C$2:$C$630,0)),"",INDEX('Compliance Database'!$B$2:$B$630,MATCH(215,Engine!$C$2:$C$630,0)))</f>
        <v/>
      </c>
      <c r="C228">
        <f>IF(ISNA(MATCH(215,Engine!$C$2:$C$630,0)),"",INDEX('Compliance Database'!$C$2:$C$630,MATCH(215,Engine!$C$2:$C$630,0)))</f>
        <v/>
      </c>
      <c r="D228" s="8">
        <f>IF(ISNA(MATCH(215,Engine!$C$2:$C$630,0)),"",INDEX('Compliance Database'!$D$2:$D$630,MATCH(215,Engine!$C$2:$C$630,0)))</f>
        <v/>
      </c>
      <c r="E228">
        <f>IF(ISNA(MATCH(215,Engine!$C$2:$C$630,0)),"",INDEX('Compliance Database'!$E$2:$E$630,MATCH(215,Engine!$C$2:$C$630,0)))</f>
        <v/>
      </c>
      <c r="F228">
        <f>IF(ISNA(MATCH(215,Engine!$C$2:$C$630,0)),"",INDEX('Compliance Database'!$F$2:$F$630,MATCH(215,Engine!$C$2:$C$630,0)))</f>
        <v/>
      </c>
      <c r="G228">
        <f>IF(ISNA(MATCH(215,Engine!$C$2:$C$630,0)),"",INDEX('Compliance Database'!$G$2:$G$630,MATCH(215,Engine!$C$2:$C$630,0)))</f>
        <v/>
      </c>
      <c r="H228">
        <f>IF(ISNA(MATCH(215,Engine!$C$2:$C$630,0)),"",INDEX('Compliance Database'!$H$2:$H$630,MATCH(215,Engine!$C$2:$C$630,0)))</f>
        <v/>
      </c>
      <c r="I228" s="8">
        <f>IF(ISNA(MATCH(215,Engine!$C$2:$C$630,0)),"",INDEX('Compliance Database'!$I$2:$I$630,MATCH(215,Engine!$C$2:$C$630,0)))</f>
        <v/>
      </c>
      <c r="J228" s="8">
        <f>IF(ISNA(MATCH(215,Engine!$C$2:$C$630,0)),"",INDEX('Compliance Database'!$J$2:$J$630,MATCH(215,Engine!$C$2:$C$630,0)))</f>
        <v/>
      </c>
      <c r="K228">
        <f>IF(ISNA(MATCH(215,Engine!$C$2:$C$630,0)),"",INDEX('Compliance Database'!$K$2:$K$630,MATCH(215,Engine!$C$2:$C$630,0)))</f>
        <v/>
      </c>
      <c r="L228" s="8">
        <f>IF(ISNA(MATCH(215,Engine!$C$2:$C$630,0)),"",INDEX('Compliance Database'!$L$2:$L$630,MATCH(215,Engine!$C$2:$C$630,0)))</f>
        <v/>
      </c>
      <c r="M228" s="8">
        <f>IF(ISNA(MATCH(215,Engine!$C$2:$C$630,0)),"",INDEX('Compliance Database'!$M$2:$M$630,MATCH(215,Engine!$C$2:$C$630,0)))</f>
        <v/>
      </c>
      <c r="N228" s="8">
        <f>IF(ISNA(MATCH(215,Engine!$C$2:$C$630,0)),"",INDEX('Compliance Database'!$N$2:$N$630,MATCH(215,Engine!$C$2:$C$630,0)))</f>
        <v/>
      </c>
      <c r="O228" s="8">
        <f>IF(ISNA(MATCH(215,Engine!$C$2:$C$630,0)),"",INDEX('Compliance Database'!$O$2:$O$630,MATCH(215,Engine!$C$2:$C$630,0)))</f>
        <v/>
      </c>
    </row>
    <row r="229">
      <c r="A229">
        <f>IF(ISNA(MATCH(216,Engine!$C$2:$C$630,0)),"",INDEX('Compliance Database'!$A$2:$A$630,MATCH(216,Engine!$C$2:$C$630,0)))</f>
        <v/>
      </c>
      <c r="B229">
        <f>IF(ISNA(MATCH(216,Engine!$C$2:$C$630,0)),"",INDEX('Compliance Database'!$B$2:$B$630,MATCH(216,Engine!$C$2:$C$630,0)))</f>
        <v/>
      </c>
      <c r="C229">
        <f>IF(ISNA(MATCH(216,Engine!$C$2:$C$630,0)),"",INDEX('Compliance Database'!$C$2:$C$630,MATCH(216,Engine!$C$2:$C$630,0)))</f>
        <v/>
      </c>
      <c r="D229" s="8">
        <f>IF(ISNA(MATCH(216,Engine!$C$2:$C$630,0)),"",INDEX('Compliance Database'!$D$2:$D$630,MATCH(216,Engine!$C$2:$C$630,0)))</f>
        <v/>
      </c>
      <c r="E229">
        <f>IF(ISNA(MATCH(216,Engine!$C$2:$C$630,0)),"",INDEX('Compliance Database'!$E$2:$E$630,MATCH(216,Engine!$C$2:$C$630,0)))</f>
        <v/>
      </c>
      <c r="F229">
        <f>IF(ISNA(MATCH(216,Engine!$C$2:$C$630,0)),"",INDEX('Compliance Database'!$F$2:$F$630,MATCH(216,Engine!$C$2:$C$630,0)))</f>
        <v/>
      </c>
      <c r="G229">
        <f>IF(ISNA(MATCH(216,Engine!$C$2:$C$630,0)),"",INDEX('Compliance Database'!$G$2:$G$630,MATCH(216,Engine!$C$2:$C$630,0)))</f>
        <v/>
      </c>
      <c r="H229">
        <f>IF(ISNA(MATCH(216,Engine!$C$2:$C$630,0)),"",INDEX('Compliance Database'!$H$2:$H$630,MATCH(216,Engine!$C$2:$C$630,0)))</f>
        <v/>
      </c>
      <c r="I229" s="8">
        <f>IF(ISNA(MATCH(216,Engine!$C$2:$C$630,0)),"",INDEX('Compliance Database'!$I$2:$I$630,MATCH(216,Engine!$C$2:$C$630,0)))</f>
        <v/>
      </c>
      <c r="J229" s="8">
        <f>IF(ISNA(MATCH(216,Engine!$C$2:$C$630,0)),"",INDEX('Compliance Database'!$J$2:$J$630,MATCH(216,Engine!$C$2:$C$630,0)))</f>
        <v/>
      </c>
      <c r="K229">
        <f>IF(ISNA(MATCH(216,Engine!$C$2:$C$630,0)),"",INDEX('Compliance Database'!$K$2:$K$630,MATCH(216,Engine!$C$2:$C$630,0)))</f>
        <v/>
      </c>
      <c r="L229" s="8">
        <f>IF(ISNA(MATCH(216,Engine!$C$2:$C$630,0)),"",INDEX('Compliance Database'!$L$2:$L$630,MATCH(216,Engine!$C$2:$C$630,0)))</f>
        <v/>
      </c>
      <c r="M229" s="8">
        <f>IF(ISNA(MATCH(216,Engine!$C$2:$C$630,0)),"",INDEX('Compliance Database'!$M$2:$M$630,MATCH(216,Engine!$C$2:$C$630,0)))</f>
        <v/>
      </c>
      <c r="N229" s="8">
        <f>IF(ISNA(MATCH(216,Engine!$C$2:$C$630,0)),"",INDEX('Compliance Database'!$N$2:$N$630,MATCH(216,Engine!$C$2:$C$630,0)))</f>
        <v/>
      </c>
      <c r="O229" s="8">
        <f>IF(ISNA(MATCH(216,Engine!$C$2:$C$630,0)),"",INDEX('Compliance Database'!$O$2:$O$630,MATCH(216,Engine!$C$2:$C$630,0)))</f>
        <v/>
      </c>
    </row>
    <row r="230">
      <c r="A230">
        <f>IF(ISNA(MATCH(217,Engine!$C$2:$C$630,0)),"",INDEX('Compliance Database'!$A$2:$A$630,MATCH(217,Engine!$C$2:$C$630,0)))</f>
        <v/>
      </c>
      <c r="B230">
        <f>IF(ISNA(MATCH(217,Engine!$C$2:$C$630,0)),"",INDEX('Compliance Database'!$B$2:$B$630,MATCH(217,Engine!$C$2:$C$630,0)))</f>
        <v/>
      </c>
      <c r="C230">
        <f>IF(ISNA(MATCH(217,Engine!$C$2:$C$630,0)),"",INDEX('Compliance Database'!$C$2:$C$630,MATCH(217,Engine!$C$2:$C$630,0)))</f>
        <v/>
      </c>
      <c r="D230" s="8">
        <f>IF(ISNA(MATCH(217,Engine!$C$2:$C$630,0)),"",INDEX('Compliance Database'!$D$2:$D$630,MATCH(217,Engine!$C$2:$C$630,0)))</f>
        <v/>
      </c>
      <c r="E230">
        <f>IF(ISNA(MATCH(217,Engine!$C$2:$C$630,0)),"",INDEX('Compliance Database'!$E$2:$E$630,MATCH(217,Engine!$C$2:$C$630,0)))</f>
        <v/>
      </c>
      <c r="F230">
        <f>IF(ISNA(MATCH(217,Engine!$C$2:$C$630,0)),"",INDEX('Compliance Database'!$F$2:$F$630,MATCH(217,Engine!$C$2:$C$630,0)))</f>
        <v/>
      </c>
      <c r="G230">
        <f>IF(ISNA(MATCH(217,Engine!$C$2:$C$630,0)),"",INDEX('Compliance Database'!$G$2:$G$630,MATCH(217,Engine!$C$2:$C$630,0)))</f>
        <v/>
      </c>
      <c r="H230">
        <f>IF(ISNA(MATCH(217,Engine!$C$2:$C$630,0)),"",INDEX('Compliance Database'!$H$2:$H$630,MATCH(217,Engine!$C$2:$C$630,0)))</f>
        <v/>
      </c>
      <c r="I230" s="8">
        <f>IF(ISNA(MATCH(217,Engine!$C$2:$C$630,0)),"",INDEX('Compliance Database'!$I$2:$I$630,MATCH(217,Engine!$C$2:$C$630,0)))</f>
        <v/>
      </c>
      <c r="J230" s="8">
        <f>IF(ISNA(MATCH(217,Engine!$C$2:$C$630,0)),"",INDEX('Compliance Database'!$J$2:$J$630,MATCH(217,Engine!$C$2:$C$630,0)))</f>
        <v/>
      </c>
      <c r="K230">
        <f>IF(ISNA(MATCH(217,Engine!$C$2:$C$630,0)),"",INDEX('Compliance Database'!$K$2:$K$630,MATCH(217,Engine!$C$2:$C$630,0)))</f>
        <v/>
      </c>
      <c r="L230" s="8">
        <f>IF(ISNA(MATCH(217,Engine!$C$2:$C$630,0)),"",INDEX('Compliance Database'!$L$2:$L$630,MATCH(217,Engine!$C$2:$C$630,0)))</f>
        <v/>
      </c>
      <c r="M230" s="8">
        <f>IF(ISNA(MATCH(217,Engine!$C$2:$C$630,0)),"",INDEX('Compliance Database'!$M$2:$M$630,MATCH(217,Engine!$C$2:$C$630,0)))</f>
        <v/>
      </c>
      <c r="N230" s="8">
        <f>IF(ISNA(MATCH(217,Engine!$C$2:$C$630,0)),"",INDEX('Compliance Database'!$N$2:$N$630,MATCH(217,Engine!$C$2:$C$630,0)))</f>
        <v/>
      </c>
      <c r="O230" s="8">
        <f>IF(ISNA(MATCH(217,Engine!$C$2:$C$630,0)),"",INDEX('Compliance Database'!$O$2:$O$630,MATCH(217,Engine!$C$2:$C$630,0)))</f>
        <v/>
      </c>
    </row>
    <row r="231">
      <c r="A231">
        <f>IF(ISNA(MATCH(218,Engine!$C$2:$C$630,0)),"",INDEX('Compliance Database'!$A$2:$A$630,MATCH(218,Engine!$C$2:$C$630,0)))</f>
        <v/>
      </c>
      <c r="B231">
        <f>IF(ISNA(MATCH(218,Engine!$C$2:$C$630,0)),"",INDEX('Compliance Database'!$B$2:$B$630,MATCH(218,Engine!$C$2:$C$630,0)))</f>
        <v/>
      </c>
      <c r="C231">
        <f>IF(ISNA(MATCH(218,Engine!$C$2:$C$630,0)),"",INDEX('Compliance Database'!$C$2:$C$630,MATCH(218,Engine!$C$2:$C$630,0)))</f>
        <v/>
      </c>
      <c r="D231" s="8">
        <f>IF(ISNA(MATCH(218,Engine!$C$2:$C$630,0)),"",INDEX('Compliance Database'!$D$2:$D$630,MATCH(218,Engine!$C$2:$C$630,0)))</f>
        <v/>
      </c>
      <c r="E231">
        <f>IF(ISNA(MATCH(218,Engine!$C$2:$C$630,0)),"",INDEX('Compliance Database'!$E$2:$E$630,MATCH(218,Engine!$C$2:$C$630,0)))</f>
        <v/>
      </c>
      <c r="F231">
        <f>IF(ISNA(MATCH(218,Engine!$C$2:$C$630,0)),"",INDEX('Compliance Database'!$F$2:$F$630,MATCH(218,Engine!$C$2:$C$630,0)))</f>
        <v/>
      </c>
      <c r="G231">
        <f>IF(ISNA(MATCH(218,Engine!$C$2:$C$630,0)),"",INDEX('Compliance Database'!$G$2:$G$630,MATCH(218,Engine!$C$2:$C$630,0)))</f>
        <v/>
      </c>
      <c r="H231">
        <f>IF(ISNA(MATCH(218,Engine!$C$2:$C$630,0)),"",INDEX('Compliance Database'!$H$2:$H$630,MATCH(218,Engine!$C$2:$C$630,0)))</f>
        <v/>
      </c>
      <c r="I231" s="8">
        <f>IF(ISNA(MATCH(218,Engine!$C$2:$C$630,0)),"",INDEX('Compliance Database'!$I$2:$I$630,MATCH(218,Engine!$C$2:$C$630,0)))</f>
        <v/>
      </c>
      <c r="J231" s="8">
        <f>IF(ISNA(MATCH(218,Engine!$C$2:$C$630,0)),"",INDEX('Compliance Database'!$J$2:$J$630,MATCH(218,Engine!$C$2:$C$630,0)))</f>
        <v/>
      </c>
      <c r="K231">
        <f>IF(ISNA(MATCH(218,Engine!$C$2:$C$630,0)),"",INDEX('Compliance Database'!$K$2:$K$630,MATCH(218,Engine!$C$2:$C$630,0)))</f>
        <v/>
      </c>
      <c r="L231" s="8">
        <f>IF(ISNA(MATCH(218,Engine!$C$2:$C$630,0)),"",INDEX('Compliance Database'!$L$2:$L$630,MATCH(218,Engine!$C$2:$C$630,0)))</f>
        <v/>
      </c>
      <c r="M231" s="8">
        <f>IF(ISNA(MATCH(218,Engine!$C$2:$C$630,0)),"",INDEX('Compliance Database'!$M$2:$M$630,MATCH(218,Engine!$C$2:$C$630,0)))</f>
        <v/>
      </c>
      <c r="N231" s="8">
        <f>IF(ISNA(MATCH(218,Engine!$C$2:$C$630,0)),"",INDEX('Compliance Database'!$N$2:$N$630,MATCH(218,Engine!$C$2:$C$630,0)))</f>
        <v/>
      </c>
      <c r="O231" s="8">
        <f>IF(ISNA(MATCH(218,Engine!$C$2:$C$630,0)),"",INDEX('Compliance Database'!$O$2:$O$630,MATCH(218,Engine!$C$2:$C$630,0)))</f>
        <v/>
      </c>
    </row>
    <row r="232">
      <c r="A232">
        <f>IF(ISNA(MATCH(219,Engine!$C$2:$C$630,0)),"",INDEX('Compliance Database'!$A$2:$A$630,MATCH(219,Engine!$C$2:$C$630,0)))</f>
        <v/>
      </c>
      <c r="B232">
        <f>IF(ISNA(MATCH(219,Engine!$C$2:$C$630,0)),"",INDEX('Compliance Database'!$B$2:$B$630,MATCH(219,Engine!$C$2:$C$630,0)))</f>
        <v/>
      </c>
      <c r="C232">
        <f>IF(ISNA(MATCH(219,Engine!$C$2:$C$630,0)),"",INDEX('Compliance Database'!$C$2:$C$630,MATCH(219,Engine!$C$2:$C$630,0)))</f>
        <v/>
      </c>
      <c r="D232" s="8">
        <f>IF(ISNA(MATCH(219,Engine!$C$2:$C$630,0)),"",INDEX('Compliance Database'!$D$2:$D$630,MATCH(219,Engine!$C$2:$C$630,0)))</f>
        <v/>
      </c>
      <c r="E232">
        <f>IF(ISNA(MATCH(219,Engine!$C$2:$C$630,0)),"",INDEX('Compliance Database'!$E$2:$E$630,MATCH(219,Engine!$C$2:$C$630,0)))</f>
        <v/>
      </c>
      <c r="F232">
        <f>IF(ISNA(MATCH(219,Engine!$C$2:$C$630,0)),"",INDEX('Compliance Database'!$F$2:$F$630,MATCH(219,Engine!$C$2:$C$630,0)))</f>
        <v/>
      </c>
      <c r="G232">
        <f>IF(ISNA(MATCH(219,Engine!$C$2:$C$630,0)),"",INDEX('Compliance Database'!$G$2:$G$630,MATCH(219,Engine!$C$2:$C$630,0)))</f>
        <v/>
      </c>
      <c r="H232">
        <f>IF(ISNA(MATCH(219,Engine!$C$2:$C$630,0)),"",INDEX('Compliance Database'!$H$2:$H$630,MATCH(219,Engine!$C$2:$C$630,0)))</f>
        <v/>
      </c>
      <c r="I232" s="8">
        <f>IF(ISNA(MATCH(219,Engine!$C$2:$C$630,0)),"",INDEX('Compliance Database'!$I$2:$I$630,MATCH(219,Engine!$C$2:$C$630,0)))</f>
        <v/>
      </c>
      <c r="J232" s="8">
        <f>IF(ISNA(MATCH(219,Engine!$C$2:$C$630,0)),"",INDEX('Compliance Database'!$J$2:$J$630,MATCH(219,Engine!$C$2:$C$630,0)))</f>
        <v/>
      </c>
      <c r="K232">
        <f>IF(ISNA(MATCH(219,Engine!$C$2:$C$630,0)),"",INDEX('Compliance Database'!$K$2:$K$630,MATCH(219,Engine!$C$2:$C$630,0)))</f>
        <v/>
      </c>
      <c r="L232" s="8">
        <f>IF(ISNA(MATCH(219,Engine!$C$2:$C$630,0)),"",INDEX('Compliance Database'!$L$2:$L$630,MATCH(219,Engine!$C$2:$C$630,0)))</f>
        <v/>
      </c>
      <c r="M232" s="8">
        <f>IF(ISNA(MATCH(219,Engine!$C$2:$C$630,0)),"",INDEX('Compliance Database'!$M$2:$M$630,MATCH(219,Engine!$C$2:$C$630,0)))</f>
        <v/>
      </c>
      <c r="N232" s="8">
        <f>IF(ISNA(MATCH(219,Engine!$C$2:$C$630,0)),"",INDEX('Compliance Database'!$N$2:$N$630,MATCH(219,Engine!$C$2:$C$630,0)))</f>
        <v/>
      </c>
      <c r="O232" s="8">
        <f>IF(ISNA(MATCH(219,Engine!$C$2:$C$630,0)),"",INDEX('Compliance Database'!$O$2:$O$630,MATCH(219,Engine!$C$2:$C$630,0)))</f>
        <v/>
      </c>
    </row>
    <row r="233">
      <c r="A233">
        <f>IF(ISNA(MATCH(220,Engine!$C$2:$C$630,0)),"",INDEX('Compliance Database'!$A$2:$A$630,MATCH(220,Engine!$C$2:$C$630,0)))</f>
        <v/>
      </c>
      <c r="B233">
        <f>IF(ISNA(MATCH(220,Engine!$C$2:$C$630,0)),"",INDEX('Compliance Database'!$B$2:$B$630,MATCH(220,Engine!$C$2:$C$630,0)))</f>
        <v/>
      </c>
      <c r="C233">
        <f>IF(ISNA(MATCH(220,Engine!$C$2:$C$630,0)),"",INDEX('Compliance Database'!$C$2:$C$630,MATCH(220,Engine!$C$2:$C$630,0)))</f>
        <v/>
      </c>
      <c r="D233" s="8">
        <f>IF(ISNA(MATCH(220,Engine!$C$2:$C$630,0)),"",INDEX('Compliance Database'!$D$2:$D$630,MATCH(220,Engine!$C$2:$C$630,0)))</f>
        <v/>
      </c>
      <c r="E233">
        <f>IF(ISNA(MATCH(220,Engine!$C$2:$C$630,0)),"",INDEX('Compliance Database'!$E$2:$E$630,MATCH(220,Engine!$C$2:$C$630,0)))</f>
        <v/>
      </c>
      <c r="F233">
        <f>IF(ISNA(MATCH(220,Engine!$C$2:$C$630,0)),"",INDEX('Compliance Database'!$F$2:$F$630,MATCH(220,Engine!$C$2:$C$630,0)))</f>
        <v/>
      </c>
      <c r="G233">
        <f>IF(ISNA(MATCH(220,Engine!$C$2:$C$630,0)),"",INDEX('Compliance Database'!$G$2:$G$630,MATCH(220,Engine!$C$2:$C$630,0)))</f>
        <v/>
      </c>
      <c r="H233">
        <f>IF(ISNA(MATCH(220,Engine!$C$2:$C$630,0)),"",INDEX('Compliance Database'!$H$2:$H$630,MATCH(220,Engine!$C$2:$C$630,0)))</f>
        <v/>
      </c>
      <c r="I233" s="8">
        <f>IF(ISNA(MATCH(220,Engine!$C$2:$C$630,0)),"",INDEX('Compliance Database'!$I$2:$I$630,MATCH(220,Engine!$C$2:$C$630,0)))</f>
        <v/>
      </c>
      <c r="J233" s="8">
        <f>IF(ISNA(MATCH(220,Engine!$C$2:$C$630,0)),"",INDEX('Compliance Database'!$J$2:$J$630,MATCH(220,Engine!$C$2:$C$630,0)))</f>
        <v/>
      </c>
      <c r="K233">
        <f>IF(ISNA(MATCH(220,Engine!$C$2:$C$630,0)),"",INDEX('Compliance Database'!$K$2:$K$630,MATCH(220,Engine!$C$2:$C$630,0)))</f>
        <v/>
      </c>
      <c r="L233" s="8">
        <f>IF(ISNA(MATCH(220,Engine!$C$2:$C$630,0)),"",INDEX('Compliance Database'!$L$2:$L$630,MATCH(220,Engine!$C$2:$C$630,0)))</f>
        <v/>
      </c>
      <c r="M233" s="8">
        <f>IF(ISNA(MATCH(220,Engine!$C$2:$C$630,0)),"",INDEX('Compliance Database'!$M$2:$M$630,MATCH(220,Engine!$C$2:$C$630,0)))</f>
        <v/>
      </c>
      <c r="N233" s="8">
        <f>IF(ISNA(MATCH(220,Engine!$C$2:$C$630,0)),"",INDEX('Compliance Database'!$N$2:$N$630,MATCH(220,Engine!$C$2:$C$630,0)))</f>
        <v/>
      </c>
      <c r="O233" s="8">
        <f>IF(ISNA(MATCH(220,Engine!$C$2:$C$630,0)),"",INDEX('Compliance Database'!$O$2:$O$630,MATCH(220,Engine!$C$2:$C$630,0)))</f>
        <v/>
      </c>
    </row>
    <row r="234">
      <c r="A234">
        <f>IF(ISNA(MATCH(221,Engine!$C$2:$C$630,0)),"",INDEX('Compliance Database'!$A$2:$A$630,MATCH(221,Engine!$C$2:$C$630,0)))</f>
        <v/>
      </c>
      <c r="B234">
        <f>IF(ISNA(MATCH(221,Engine!$C$2:$C$630,0)),"",INDEX('Compliance Database'!$B$2:$B$630,MATCH(221,Engine!$C$2:$C$630,0)))</f>
        <v/>
      </c>
      <c r="C234">
        <f>IF(ISNA(MATCH(221,Engine!$C$2:$C$630,0)),"",INDEX('Compliance Database'!$C$2:$C$630,MATCH(221,Engine!$C$2:$C$630,0)))</f>
        <v/>
      </c>
      <c r="D234" s="8">
        <f>IF(ISNA(MATCH(221,Engine!$C$2:$C$630,0)),"",INDEX('Compliance Database'!$D$2:$D$630,MATCH(221,Engine!$C$2:$C$630,0)))</f>
        <v/>
      </c>
      <c r="E234">
        <f>IF(ISNA(MATCH(221,Engine!$C$2:$C$630,0)),"",INDEX('Compliance Database'!$E$2:$E$630,MATCH(221,Engine!$C$2:$C$630,0)))</f>
        <v/>
      </c>
      <c r="F234">
        <f>IF(ISNA(MATCH(221,Engine!$C$2:$C$630,0)),"",INDEX('Compliance Database'!$F$2:$F$630,MATCH(221,Engine!$C$2:$C$630,0)))</f>
        <v/>
      </c>
      <c r="G234">
        <f>IF(ISNA(MATCH(221,Engine!$C$2:$C$630,0)),"",INDEX('Compliance Database'!$G$2:$G$630,MATCH(221,Engine!$C$2:$C$630,0)))</f>
        <v/>
      </c>
      <c r="H234">
        <f>IF(ISNA(MATCH(221,Engine!$C$2:$C$630,0)),"",INDEX('Compliance Database'!$H$2:$H$630,MATCH(221,Engine!$C$2:$C$630,0)))</f>
        <v/>
      </c>
      <c r="I234" s="8">
        <f>IF(ISNA(MATCH(221,Engine!$C$2:$C$630,0)),"",INDEX('Compliance Database'!$I$2:$I$630,MATCH(221,Engine!$C$2:$C$630,0)))</f>
        <v/>
      </c>
      <c r="J234" s="8">
        <f>IF(ISNA(MATCH(221,Engine!$C$2:$C$630,0)),"",INDEX('Compliance Database'!$J$2:$J$630,MATCH(221,Engine!$C$2:$C$630,0)))</f>
        <v/>
      </c>
      <c r="K234">
        <f>IF(ISNA(MATCH(221,Engine!$C$2:$C$630,0)),"",INDEX('Compliance Database'!$K$2:$K$630,MATCH(221,Engine!$C$2:$C$630,0)))</f>
        <v/>
      </c>
      <c r="L234" s="8">
        <f>IF(ISNA(MATCH(221,Engine!$C$2:$C$630,0)),"",INDEX('Compliance Database'!$L$2:$L$630,MATCH(221,Engine!$C$2:$C$630,0)))</f>
        <v/>
      </c>
      <c r="M234" s="8">
        <f>IF(ISNA(MATCH(221,Engine!$C$2:$C$630,0)),"",INDEX('Compliance Database'!$M$2:$M$630,MATCH(221,Engine!$C$2:$C$630,0)))</f>
        <v/>
      </c>
      <c r="N234" s="8">
        <f>IF(ISNA(MATCH(221,Engine!$C$2:$C$630,0)),"",INDEX('Compliance Database'!$N$2:$N$630,MATCH(221,Engine!$C$2:$C$630,0)))</f>
        <v/>
      </c>
      <c r="O234" s="8">
        <f>IF(ISNA(MATCH(221,Engine!$C$2:$C$630,0)),"",INDEX('Compliance Database'!$O$2:$O$630,MATCH(221,Engine!$C$2:$C$630,0)))</f>
        <v/>
      </c>
    </row>
    <row r="235">
      <c r="A235">
        <f>IF(ISNA(MATCH(222,Engine!$C$2:$C$630,0)),"",INDEX('Compliance Database'!$A$2:$A$630,MATCH(222,Engine!$C$2:$C$630,0)))</f>
        <v/>
      </c>
      <c r="B235">
        <f>IF(ISNA(MATCH(222,Engine!$C$2:$C$630,0)),"",INDEX('Compliance Database'!$B$2:$B$630,MATCH(222,Engine!$C$2:$C$630,0)))</f>
        <v/>
      </c>
      <c r="C235">
        <f>IF(ISNA(MATCH(222,Engine!$C$2:$C$630,0)),"",INDEX('Compliance Database'!$C$2:$C$630,MATCH(222,Engine!$C$2:$C$630,0)))</f>
        <v/>
      </c>
      <c r="D235" s="8">
        <f>IF(ISNA(MATCH(222,Engine!$C$2:$C$630,0)),"",INDEX('Compliance Database'!$D$2:$D$630,MATCH(222,Engine!$C$2:$C$630,0)))</f>
        <v/>
      </c>
      <c r="E235">
        <f>IF(ISNA(MATCH(222,Engine!$C$2:$C$630,0)),"",INDEX('Compliance Database'!$E$2:$E$630,MATCH(222,Engine!$C$2:$C$630,0)))</f>
        <v/>
      </c>
      <c r="F235">
        <f>IF(ISNA(MATCH(222,Engine!$C$2:$C$630,0)),"",INDEX('Compliance Database'!$F$2:$F$630,MATCH(222,Engine!$C$2:$C$630,0)))</f>
        <v/>
      </c>
      <c r="G235">
        <f>IF(ISNA(MATCH(222,Engine!$C$2:$C$630,0)),"",INDEX('Compliance Database'!$G$2:$G$630,MATCH(222,Engine!$C$2:$C$630,0)))</f>
        <v/>
      </c>
      <c r="H235">
        <f>IF(ISNA(MATCH(222,Engine!$C$2:$C$630,0)),"",INDEX('Compliance Database'!$H$2:$H$630,MATCH(222,Engine!$C$2:$C$630,0)))</f>
        <v/>
      </c>
      <c r="I235" s="8">
        <f>IF(ISNA(MATCH(222,Engine!$C$2:$C$630,0)),"",INDEX('Compliance Database'!$I$2:$I$630,MATCH(222,Engine!$C$2:$C$630,0)))</f>
        <v/>
      </c>
      <c r="J235" s="8">
        <f>IF(ISNA(MATCH(222,Engine!$C$2:$C$630,0)),"",INDEX('Compliance Database'!$J$2:$J$630,MATCH(222,Engine!$C$2:$C$630,0)))</f>
        <v/>
      </c>
      <c r="K235">
        <f>IF(ISNA(MATCH(222,Engine!$C$2:$C$630,0)),"",INDEX('Compliance Database'!$K$2:$K$630,MATCH(222,Engine!$C$2:$C$630,0)))</f>
        <v/>
      </c>
      <c r="L235" s="8">
        <f>IF(ISNA(MATCH(222,Engine!$C$2:$C$630,0)),"",INDEX('Compliance Database'!$L$2:$L$630,MATCH(222,Engine!$C$2:$C$630,0)))</f>
        <v/>
      </c>
      <c r="M235" s="8">
        <f>IF(ISNA(MATCH(222,Engine!$C$2:$C$630,0)),"",INDEX('Compliance Database'!$M$2:$M$630,MATCH(222,Engine!$C$2:$C$630,0)))</f>
        <v/>
      </c>
      <c r="N235" s="8">
        <f>IF(ISNA(MATCH(222,Engine!$C$2:$C$630,0)),"",INDEX('Compliance Database'!$N$2:$N$630,MATCH(222,Engine!$C$2:$C$630,0)))</f>
        <v/>
      </c>
      <c r="O235" s="8">
        <f>IF(ISNA(MATCH(222,Engine!$C$2:$C$630,0)),"",INDEX('Compliance Database'!$O$2:$O$630,MATCH(222,Engine!$C$2:$C$630,0)))</f>
        <v/>
      </c>
    </row>
    <row r="236">
      <c r="A236">
        <f>IF(ISNA(MATCH(223,Engine!$C$2:$C$630,0)),"",INDEX('Compliance Database'!$A$2:$A$630,MATCH(223,Engine!$C$2:$C$630,0)))</f>
        <v/>
      </c>
      <c r="B236">
        <f>IF(ISNA(MATCH(223,Engine!$C$2:$C$630,0)),"",INDEX('Compliance Database'!$B$2:$B$630,MATCH(223,Engine!$C$2:$C$630,0)))</f>
        <v/>
      </c>
      <c r="C236">
        <f>IF(ISNA(MATCH(223,Engine!$C$2:$C$630,0)),"",INDEX('Compliance Database'!$C$2:$C$630,MATCH(223,Engine!$C$2:$C$630,0)))</f>
        <v/>
      </c>
      <c r="D236" s="8">
        <f>IF(ISNA(MATCH(223,Engine!$C$2:$C$630,0)),"",INDEX('Compliance Database'!$D$2:$D$630,MATCH(223,Engine!$C$2:$C$630,0)))</f>
        <v/>
      </c>
      <c r="E236">
        <f>IF(ISNA(MATCH(223,Engine!$C$2:$C$630,0)),"",INDEX('Compliance Database'!$E$2:$E$630,MATCH(223,Engine!$C$2:$C$630,0)))</f>
        <v/>
      </c>
      <c r="F236">
        <f>IF(ISNA(MATCH(223,Engine!$C$2:$C$630,0)),"",INDEX('Compliance Database'!$F$2:$F$630,MATCH(223,Engine!$C$2:$C$630,0)))</f>
        <v/>
      </c>
      <c r="G236">
        <f>IF(ISNA(MATCH(223,Engine!$C$2:$C$630,0)),"",INDEX('Compliance Database'!$G$2:$G$630,MATCH(223,Engine!$C$2:$C$630,0)))</f>
        <v/>
      </c>
      <c r="H236">
        <f>IF(ISNA(MATCH(223,Engine!$C$2:$C$630,0)),"",INDEX('Compliance Database'!$H$2:$H$630,MATCH(223,Engine!$C$2:$C$630,0)))</f>
        <v/>
      </c>
      <c r="I236" s="8">
        <f>IF(ISNA(MATCH(223,Engine!$C$2:$C$630,0)),"",INDEX('Compliance Database'!$I$2:$I$630,MATCH(223,Engine!$C$2:$C$630,0)))</f>
        <v/>
      </c>
      <c r="J236" s="8">
        <f>IF(ISNA(MATCH(223,Engine!$C$2:$C$630,0)),"",INDEX('Compliance Database'!$J$2:$J$630,MATCH(223,Engine!$C$2:$C$630,0)))</f>
        <v/>
      </c>
      <c r="K236">
        <f>IF(ISNA(MATCH(223,Engine!$C$2:$C$630,0)),"",INDEX('Compliance Database'!$K$2:$K$630,MATCH(223,Engine!$C$2:$C$630,0)))</f>
        <v/>
      </c>
      <c r="L236" s="8">
        <f>IF(ISNA(MATCH(223,Engine!$C$2:$C$630,0)),"",INDEX('Compliance Database'!$L$2:$L$630,MATCH(223,Engine!$C$2:$C$630,0)))</f>
        <v/>
      </c>
      <c r="M236" s="8">
        <f>IF(ISNA(MATCH(223,Engine!$C$2:$C$630,0)),"",INDEX('Compliance Database'!$M$2:$M$630,MATCH(223,Engine!$C$2:$C$630,0)))</f>
        <v/>
      </c>
      <c r="N236" s="8">
        <f>IF(ISNA(MATCH(223,Engine!$C$2:$C$630,0)),"",INDEX('Compliance Database'!$N$2:$N$630,MATCH(223,Engine!$C$2:$C$630,0)))</f>
        <v/>
      </c>
      <c r="O236" s="8">
        <f>IF(ISNA(MATCH(223,Engine!$C$2:$C$630,0)),"",INDEX('Compliance Database'!$O$2:$O$630,MATCH(223,Engine!$C$2:$C$630,0)))</f>
        <v/>
      </c>
    </row>
    <row r="237">
      <c r="A237">
        <f>IF(ISNA(MATCH(224,Engine!$C$2:$C$630,0)),"",INDEX('Compliance Database'!$A$2:$A$630,MATCH(224,Engine!$C$2:$C$630,0)))</f>
        <v/>
      </c>
      <c r="B237">
        <f>IF(ISNA(MATCH(224,Engine!$C$2:$C$630,0)),"",INDEX('Compliance Database'!$B$2:$B$630,MATCH(224,Engine!$C$2:$C$630,0)))</f>
        <v/>
      </c>
      <c r="C237">
        <f>IF(ISNA(MATCH(224,Engine!$C$2:$C$630,0)),"",INDEX('Compliance Database'!$C$2:$C$630,MATCH(224,Engine!$C$2:$C$630,0)))</f>
        <v/>
      </c>
      <c r="D237" s="8">
        <f>IF(ISNA(MATCH(224,Engine!$C$2:$C$630,0)),"",INDEX('Compliance Database'!$D$2:$D$630,MATCH(224,Engine!$C$2:$C$630,0)))</f>
        <v/>
      </c>
      <c r="E237">
        <f>IF(ISNA(MATCH(224,Engine!$C$2:$C$630,0)),"",INDEX('Compliance Database'!$E$2:$E$630,MATCH(224,Engine!$C$2:$C$630,0)))</f>
        <v/>
      </c>
      <c r="F237">
        <f>IF(ISNA(MATCH(224,Engine!$C$2:$C$630,0)),"",INDEX('Compliance Database'!$F$2:$F$630,MATCH(224,Engine!$C$2:$C$630,0)))</f>
        <v/>
      </c>
      <c r="G237">
        <f>IF(ISNA(MATCH(224,Engine!$C$2:$C$630,0)),"",INDEX('Compliance Database'!$G$2:$G$630,MATCH(224,Engine!$C$2:$C$630,0)))</f>
        <v/>
      </c>
      <c r="H237">
        <f>IF(ISNA(MATCH(224,Engine!$C$2:$C$630,0)),"",INDEX('Compliance Database'!$H$2:$H$630,MATCH(224,Engine!$C$2:$C$630,0)))</f>
        <v/>
      </c>
      <c r="I237" s="8">
        <f>IF(ISNA(MATCH(224,Engine!$C$2:$C$630,0)),"",INDEX('Compliance Database'!$I$2:$I$630,MATCH(224,Engine!$C$2:$C$630,0)))</f>
        <v/>
      </c>
      <c r="J237" s="8">
        <f>IF(ISNA(MATCH(224,Engine!$C$2:$C$630,0)),"",INDEX('Compliance Database'!$J$2:$J$630,MATCH(224,Engine!$C$2:$C$630,0)))</f>
        <v/>
      </c>
      <c r="K237">
        <f>IF(ISNA(MATCH(224,Engine!$C$2:$C$630,0)),"",INDEX('Compliance Database'!$K$2:$K$630,MATCH(224,Engine!$C$2:$C$630,0)))</f>
        <v/>
      </c>
      <c r="L237" s="8">
        <f>IF(ISNA(MATCH(224,Engine!$C$2:$C$630,0)),"",INDEX('Compliance Database'!$L$2:$L$630,MATCH(224,Engine!$C$2:$C$630,0)))</f>
        <v/>
      </c>
      <c r="M237" s="8">
        <f>IF(ISNA(MATCH(224,Engine!$C$2:$C$630,0)),"",INDEX('Compliance Database'!$M$2:$M$630,MATCH(224,Engine!$C$2:$C$630,0)))</f>
        <v/>
      </c>
      <c r="N237" s="8">
        <f>IF(ISNA(MATCH(224,Engine!$C$2:$C$630,0)),"",INDEX('Compliance Database'!$N$2:$N$630,MATCH(224,Engine!$C$2:$C$630,0)))</f>
        <v/>
      </c>
      <c r="O237" s="8">
        <f>IF(ISNA(MATCH(224,Engine!$C$2:$C$630,0)),"",INDEX('Compliance Database'!$O$2:$O$630,MATCH(224,Engine!$C$2:$C$630,0)))</f>
        <v/>
      </c>
    </row>
    <row r="238">
      <c r="A238">
        <f>IF(ISNA(MATCH(225,Engine!$C$2:$C$630,0)),"",INDEX('Compliance Database'!$A$2:$A$630,MATCH(225,Engine!$C$2:$C$630,0)))</f>
        <v/>
      </c>
      <c r="B238">
        <f>IF(ISNA(MATCH(225,Engine!$C$2:$C$630,0)),"",INDEX('Compliance Database'!$B$2:$B$630,MATCH(225,Engine!$C$2:$C$630,0)))</f>
        <v/>
      </c>
      <c r="C238">
        <f>IF(ISNA(MATCH(225,Engine!$C$2:$C$630,0)),"",INDEX('Compliance Database'!$C$2:$C$630,MATCH(225,Engine!$C$2:$C$630,0)))</f>
        <v/>
      </c>
      <c r="D238" s="8">
        <f>IF(ISNA(MATCH(225,Engine!$C$2:$C$630,0)),"",INDEX('Compliance Database'!$D$2:$D$630,MATCH(225,Engine!$C$2:$C$630,0)))</f>
        <v/>
      </c>
      <c r="E238">
        <f>IF(ISNA(MATCH(225,Engine!$C$2:$C$630,0)),"",INDEX('Compliance Database'!$E$2:$E$630,MATCH(225,Engine!$C$2:$C$630,0)))</f>
        <v/>
      </c>
      <c r="F238">
        <f>IF(ISNA(MATCH(225,Engine!$C$2:$C$630,0)),"",INDEX('Compliance Database'!$F$2:$F$630,MATCH(225,Engine!$C$2:$C$630,0)))</f>
        <v/>
      </c>
      <c r="G238">
        <f>IF(ISNA(MATCH(225,Engine!$C$2:$C$630,0)),"",INDEX('Compliance Database'!$G$2:$G$630,MATCH(225,Engine!$C$2:$C$630,0)))</f>
        <v/>
      </c>
      <c r="H238">
        <f>IF(ISNA(MATCH(225,Engine!$C$2:$C$630,0)),"",INDEX('Compliance Database'!$H$2:$H$630,MATCH(225,Engine!$C$2:$C$630,0)))</f>
        <v/>
      </c>
      <c r="I238" s="8">
        <f>IF(ISNA(MATCH(225,Engine!$C$2:$C$630,0)),"",INDEX('Compliance Database'!$I$2:$I$630,MATCH(225,Engine!$C$2:$C$630,0)))</f>
        <v/>
      </c>
      <c r="J238" s="8">
        <f>IF(ISNA(MATCH(225,Engine!$C$2:$C$630,0)),"",INDEX('Compliance Database'!$J$2:$J$630,MATCH(225,Engine!$C$2:$C$630,0)))</f>
        <v/>
      </c>
      <c r="K238">
        <f>IF(ISNA(MATCH(225,Engine!$C$2:$C$630,0)),"",INDEX('Compliance Database'!$K$2:$K$630,MATCH(225,Engine!$C$2:$C$630,0)))</f>
        <v/>
      </c>
      <c r="L238" s="8">
        <f>IF(ISNA(MATCH(225,Engine!$C$2:$C$630,0)),"",INDEX('Compliance Database'!$L$2:$L$630,MATCH(225,Engine!$C$2:$C$630,0)))</f>
        <v/>
      </c>
      <c r="M238" s="8">
        <f>IF(ISNA(MATCH(225,Engine!$C$2:$C$630,0)),"",INDEX('Compliance Database'!$M$2:$M$630,MATCH(225,Engine!$C$2:$C$630,0)))</f>
        <v/>
      </c>
      <c r="N238" s="8">
        <f>IF(ISNA(MATCH(225,Engine!$C$2:$C$630,0)),"",INDEX('Compliance Database'!$N$2:$N$630,MATCH(225,Engine!$C$2:$C$630,0)))</f>
        <v/>
      </c>
      <c r="O238" s="8">
        <f>IF(ISNA(MATCH(225,Engine!$C$2:$C$630,0)),"",INDEX('Compliance Database'!$O$2:$O$630,MATCH(225,Engine!$C$2:$C$630,0)))</f>
        <v/>
      </c>
    </row>
    <row r="239">
      <c r="A239">
        <f>IF(ISNA(MATCH(226,Engine!$C$2:$C$630,0)),"",INDEX('Compliance Database'!$A$2:$A$630,MATCH(226,Engine!$C$2:$C$630,0)))</f>
        <v/>
      </c>
      <c r="B239">
        <f>IF(ISNA(MATCH(226,Engine!$C$2:$C$630,0)),"",INDEX('Compliance Database'!$B$2:$B$630,MATCH(226,Engine!$C$2:$C$630,0)))</f>
        <v/>
      </c>
      <c r="C239">
        <f>IF(ISNA(MATCH(226,Engine!$C$2:$C$630,0)),"",INDEX('Compliance Database'!$C$2:$C$630,MATCH(226,Engine!$C$2:$C$630,0)))</f>
        <v/>
      </c>
      <c r="D239" s="8">
        <f>IF(ISNA(MATCH(226,Engine!$C$2:$C$630,0)),"",INDEX('Compliance Database'!$D$2:$D$630,MATCH(226,Engine!$C$2:$C$630,0)))</f>
        <v/>
      </c>
      <c r="E239">
        <f>IF(ISNA(MATCH(226,Engine!$C$2:$C$630,0)),"",INDEX('Compliance Database'!$E$2:$E$630,MATCH(226,Engine!$C$2:$C$630,0)))</f>
        <v/>
      </c>
      <c r="F239">
        <f>IF(ISNA(MATCH(226,Engine!$C$2:$C$630,0)),"",INDEX('Compliance Database'!$F$2:$F$630,MATCH(226,Engine!$C$2:$C$630,0)))</f>
        <v/>
      </c>
      <c r="G239">
        <f>IF(ISNA(MATCH(226,Engine!$C$2:$C$630,0)),"",INDEX('Compliance Database'!$G$2:$G$630,MATCH(226,Engine!$C$2:$C$630,0)))</f>
        <v/>
      </c>
      <c r="H239">
        <f>IF(ISNA(MATCH(226,Engine!$C$2:$C$630,0)),"",INDEX('Compliance Database'!$H$2:$H$630,MATCH(226,Engine!$C$2:$C$630,0)))</f>
        <v/>
      </c>
      <c r="I239" s="8">
        <f>IF(ISNA(MATCH(226,Engine!$C$2:$C$630,0)),"",INDEX('Compliance Database'!$I$2:$I$630,MATCH(226,Engine!$C$2:$C$630,0)))</f>
        <v/>
      </c>
      <c r="J239" s="8">
        <f>IF(ISNA(MATCH(226,Engine!$C$2:$C$630,0)),"",INDEX('Compliance Database'!$J$2:$J$630,MATCH(226,Engine!$C$2:$C$630,0)))</f>
        <v/>
      </c>
      <c r="K239">
        <f>IF(ISNA(MATCH(226,Engine!$C$2:$C$630,0)),"",INDEX('Compliance Database'!$K$2:$K$630,MATCH(226,Engine!$C$2:$C$630,0)))</f>
        <v/>
      </c>
      <c r="L239" s="8">
        <f>IF(ISNA(MATCH(226,Engine!$C$2:$C$630,0)),"",INDEX('Compliance Database'!$L$2:$L$630,MATCH(226,Engine!$C$2:$C$630,0)))</f>
        <v/>
      </c>
      <c r="M239" s="8">
        <f>IF(ISNA(MATCH(226,Engine!$C$2:$C$630,0)),"",INDEX('Compliance Database'!$M$2:$M$630,MATCH(226,Engine!$C$2:$C$630,0)))</f>
        <v/>
      </c>
      <c r="N239" s="8">
        <f>IF(ISNA(MATCH(226,Engine!$C$2:$C$630,0)),"",INDEX('Compliance Database'!$N$2:$N$630,MATCH(226,Engine!$C$2:$C$630,0)))</f>
        <v/>
      </c>
      <c r="O239" s="8">
        <f>IF(ISNA(MATCH(226,Engine!$C$2:$C$630,0)),"",INDEX('Compliance Database'!$O$2:$O$630,MATCH(226,Engine!$C$2:$C$630,0)))</f>
        <v/>
      </c>
    </row>
    <row r="240">
      <c r="A240">
        <f>IF(ISNA(MATCH(227,Engine!$C$2:$C$630,0)),"",INDEX('Compliance Database'!$A$2:$A$630,MATCH(227,Engine!$C$2:$C$630,0)))</f>
        <v/>
      </c>
      <c r="B240">
        <f>IF(ISNA(MATCH(227,Engine!$C$2:$C$630,0)),"",INDEX('Compliance Database'!$B$2:$B$630,MATCH(227,Engine!$C$2:$C$630,0)))</f>
        <v/>
      </c>
      <c r="C240">
        <f>IF(ISNA(MATCH(227,Engine!$C$2:$C$630,0)),"",INDEX('Compliance Database'!$C$2:$C$630,MATCH(227,Engine!$C$2:$C$630,0)))</f>
        <v/>
      </c>
      <c r="D240" s="8">
        <f>IF(ISNA(MATCH(227,Engine!$C$2:$C$630,0)),"",INDEX('Compliance Database'!$D$2:$D$630,MATCH(227,Engine!$C$2:$C$630,0)))</f>
        <v/>
      </c>
      <c r="E240">
        <f>IF(ISNA(MATCH(227,Engine!$C$2:$C$630,0)),"",INDEX('Compliance Database'!$E$2:$E$630,MATCH(227,Engine!$C$2:$C$630,0)))</f>
        <v/>
      </c>
      <c r="F240">
        <f>IF(ISNA(MATCH(227,Engine!$C$2:$C$630,0)),"",INDEX('Compliance Database'!$F$2:$F$630,MATCH(227,Engine!$C$2:$C$630,0)))</f>
        <v/>
      </c>
      <c r="G240">
        <f>IF(ISNA(MATCH(227,Engine!$C$2:$C$630,0)),"",INDEX('Compliance Database'!$G$2:$G$630,MATCH(227,Engine!$C$2:$C$630,0)))</f>
        <v/>
      </c>
      <c r="H240">
        <f>IF(ISNA(MATCH(227,Engine!$C$2:$C$630,0)),"",INDEX('Compliance Database'!$H$2:$H$630,MATCH(227,Engine!$C$2:$C$630,0)))</f>
        <v/>
      </c>
      <c r="I240" s="8">
        <f>IF(ISNA(MATCH(227,Engine!$C$2:$C$630,0)),"",INDEX('Compliance Database'!$I$2:$I$630,MATCH(227,Engine!$C$2:$C$630,0)))</f>
        <v/>
      </c>
      <c r="J240" s="8">
        <f>IF(ISNA(MATCH(227,Engine!$C$2:$C$630,0)),"",INDEX('Compliance Database'!$J$2:$J$630,MATCH(227,Engine!$C$2:$C$630,0)))</f>
        <v/>
      </c>
      <c r="K240">
        <f>IF(ISNA(MATCH(227,Engine!$C$2:$C$630,0)),"",INDEX('Compliance Database'!$K$2:$K$630,MATCH(227,Engine!$C$2:$C$630,0)))</f>
        <v/>
      </c>
      <c r="L240" s="8">
        <f>IF(ISNA(MATCH(227,Engine!$C$2:$C$630,0)),"",INDEX('Compliance Database'!$L$2:$L$630,MATCH(227,Engine!$C$2:$C$630,0)))</f>
        <v/>
      </c>
      <c r="M240" s="8">
        <f>IF(ISNA(MATCH(227,Engine!$C$2:$C$630,0)),"",INDEX('Compliance Database'!$M$2:$M$630,MATCH(227,Engine!$C$2:$C$630,0)))</f>
        <v/>
      </c>
      <c r="N240" s="8">
        <f>IF(ISNA(MATCH(227,Engine!$C$2:$C$630,0)),"",INDEX('Compliance Database'!$N$2:$N$630,MATCH(227,Engine!$C$2:$C$630,0)))</f>
        <v/>
      </c>
      <c r="O240" s="8">
        <f>IF(ISNA(MATCH(227,Engine!$C$2:$C$630,0)),"",INDEX('Compliance Database'!$O$2:$O$630,MATCH(227,Engine!$C$2:$C$630,0)))</f>
        <v/>
      </c>
    </row>
    <row r="241">
      <c r="A241">
        <f>IF(ISNA(MATCH(228,Engine!$C$2:$C$630,0)),"",INDEX('Compliance Database'!$A$2:$A$630,MATCH(228,Engine!$C$2:$C$630,0)))</f>
        <v/>
      </c>
      <c r="B241">
        <f>IF(ISNA(MATCH(228,Engine!$C$2:$C$630,0)),"",INDEX('Compliance Database'!$B$2:$B$630,MATCH(228,Engine!$C$2:$C$630,0)))</f>
        <v/>
      </c>
      <c r="C241">
        <f>IF(ISNA(MATCH(228,Engine!$C$2:$C$630,0)),"",INDEX('Compliance Database'!$C$2:$C$630,MATCH(228,Engine!$C$2:$C$630,0)))</f>
        <v/>
      </c>
      <c r="D241" s="8">
        <f>IF(ISNA(MATCH(228,Engine!$C$2:$C$630,0)),"",INDEX('Compliance Database'!$D$2:$D$630,MATCH(228,Engine!$C$2:$C$630,0)))</f>
        <v/>
      </c>
      <c r="E241">
        <f>IF(ISNA(MATCH(228,Engine!$C$2:$C$630,0)),"",INDEX('Compliance Database'!$E$2:$E$630,MATCH(228,Engine!$C$2:$C$630,0)))</f>
        <v/>
      </c>
      <c r="F241">
        <f>IF(ISNA(MATCH(228,Engine!$C$2:$C$630,0)),"",INDEX('Compliance Database'!$F$2:$F$630,MATCH(228,Engine!$C$2:$C$630,0)))</f>
        <v/>
      </c>
      <c r="G241">
        <f>IF(ISNA(MATCH(228,Engine!$C$2:$C$630,0)),"",INDEX('Compliance Database'!$G$2:$G$630,MATCH(228,Engine!$C$2:$C$630,0)))</f>
        <v/>
      </c>
      <c r="H241">
        <f>IF(ISNA(MATCH(228,Engine!$C$2:$C$630,0)),"",INDEX('Compliance Database'!$H$2:$H$630,MATCH(228,Engine!$C$2:$C$630,0)))</f>
        <v/>
      </c>
      <c r="I241" s="8">
        <f>IF(ISNA(MATCH(228,Engine!$C$2:$C$630,0)),"",INDEX('Compliance Database'!$I$2:$I$630,MATCH(228,Engine!$C$2:$C$630,0)))</f>
        <v/>
      </c>
      <c r="J241" s="8">
        <f>IF(ISNA(MATCH(228,Engine!$C$2:$C$630,0)),"",INDEX('Compliance Database'!$J$2:$J$630,MATCH(228,Engine!$C$2:$C$630,0)))</f>
        <v/>
      </c>
      <c r="K241">
        <f>IF(ISNA(MATCH(228,Engine!$C$2:$C$630,0)),"",INDEX('Compliance Database'!$K$2:$K$630,MATCH(228,Engine!$C$2:$C$630,0)))</f>
        <v/>
      </c>
      <c r="L241" s="8">
        <f>IF(ISNA(MATCH(228,Engine!$C$2:$C$630,0)),"",INDEX('Compliance Database'!$L$2:$L$630,MATCH(228,Engine!$C$2:$C$630,0)))</f>
        <v/>
      </c>
      <c r="M241" s="8">
        <f>IF(ISNA(MATCH(228,Engine!$C$2:$C$630,0)),"",INDEX('Compliance Database'!$M$2:$M$630,MATCH(228,Engine!$C$2:$C$630,0)))</f>
        <v/>
      </c>
      <c r="N241" s="8">
        <f>IF(ISNA(MATCH(228,Engine!$C$2:$C$630,0)),"",INDEX('Compliance Database'!$N$2:$N$630,MATCH(228,Engine!$C$2:$C$630,0)))</f>
        <v/>
      </c>
      <c r="O241" s="8">
        <f>IF(ISNA(MATCH(228,Engine!$C$2:$C$630,0)),"",INDEX('Compliance Database'!$O$2:$O$630,MATCH(228,Engine!$C$2:$C$630,0)))</f>
        <v/>
      </c>
    </row>
    <row r="242">
      <c r="A242">
        <f>IF(ISNA(MATCH(229,Engine!$C$2:$C$630,0)),"",INDEX('Compliance Database'!$A$2:$A$630,MATCH(229,Engine!$C$2:$C$630,0)))</f>
        <v/>
      </c>
      <c r="B242">
        <f>IF(ISNA(MATCH(229,Engine!$C$2:$C$630,0)),"",INDEX('Compliance Database'!$B$2:$B$630,MATCH(229,Engine!$C$2:$C$630,0)))</f>
        <v/>
      </c>
      <c r="C242">
        <f>IF(ISNA(MATCH(229,Engine!$C$2:$C$630,0)),"",INDEX('Compliance Database'!$C$2:$C$630,MATCH(229,Engine!$C$2:$C$630,0)))</f>
        <v/>
      </c>
      <c r="D242" s="8">
        <f>IF(ISNA(MATCH(229,Engine!$C$2:$C$630,0)),"",INDEX('Compliance Database'!$D$2:$D$630,MATCH(229,Engine!$C$2:$C$630,0)))</f>
        <v/>
      </c>
      <c r="E242">
        <f>IF(ISNA(MATCH(229,Engine!$C$2:$C$630,0)),"",INDEX('Compliance Database'!$E$2:$E$630,MATCH(229,Engine!$C$2:$C$630,0)))</f>
        <v/>
      </c>
      <c r="F242">
        <f>IF(ISNA(MATCH(229,Engine!$C$2:$C$630,0)),"",INDEX('Compliance Database'!$F$2:$F$630,MATCH(229,Engine!$C$2:$C$630,0)))</f>
        <v/>
      </c>
      <c r="G242">
        <f>IF(ISNA(MATCH(229,Engine!$C$2:$C$630,0)),"",INDEX('Compliance Database'!$G$2:$G$630,MATCH(229,Engine!$C$2:$C$630,0)))</f>
        <v/>
      </c>
      <c r="H242">
        <f>IF(ISNA(MATCH(229,Engine!$C$2:$C$630,0)),"",INDEX('Compliance Database'!$H$2:$H$630,MATCH(229,Engine!$C$2:$C$630,0)))</f>
        <v/>
      </c>
      <c r="I242" s="8">
        <f>IF(ISNA(MATCH(229,Engine!$C$2:$C$630,0)),"",INDEX('Compliance Database'!$I$2:$I$630,MATCH(229,Engine!$C$2:$C$630,0)))</f>
        <v/>
      </c>
      <c r="J242" s="8">
        <f>IF(ISNA(MATCH(229,Engine!$C$2:$C$630,0)),"",INDEX('Compliance Database'!$J$2:$J$630,MATCH(229,Engine!$C$2:$C$630,0)))</f>
        <v/>
      </c>
      <c r="K242">
        <f>IF(ISNA(MATCH(229,Engine!$C$2:$C$630,0)),"",INDEX('Compliance Database'!$K$2:$K$630,MATCH(229,Engine!$C$2:$C$630,0)))</f>
        <v/>
      </c>
      <c r="L242" s="8">
        <f>IF(ISNA(MATCH(229,Engine!$C$2:$C$630,0)),"",INDEX('Compliance Database'!$L$2:$L$630,MATCH(229,Engine!$C$2:$C$630,0)))</f>
        <v/>
      </c>
      <c r="M242" s="8">
        <f>IF(ISNA(MATCH(229,Engine!$C$2:$C$630,0)),"",INDEX('Compliance Database'!$M$2:$M$630,MATCH(229,Engine!$C$2:$C$630,0)))</f>
        <v/>
      </c>
      <c r="N242" s="8">
        <f>IF(ISNA(MATCH(229,Engine!$C$2:$C$630,0)),"",INDEX('Compliance Database'!$N$2:$N$630,MATCH(229,Engine!$C$2:$C$630,0)))</f>
        <v/>
      </c>
      <c r="O242" s="8">
        <f>IF(ISNA(MATCH(229,Engine!$C$2:$C$630,0)),"",INDEX('Compliance Database'!$O$2:$O$630,MATCH(229,Engine!$C$2:$C$630,0)))</f>
        <v/>
      </c>
    </row>
    <row r="243">
      <c r="A243">
        <f>IF(ISNA(MATCH(230,Engine!$C$2:$C$630,0)),"",INDEX('Compliance Database'!$A$2:$A$630,MATCH(230,Engine!$C$2:$C$630,0)))</f>
        <v/>
      </c>
      <c r="B243">
        <f>IF(ISNA(MATCH(230,Engine!$C$2:$C$630,0)),"",INDEX('Compliance Database'!$B$2:$B$630,MATCH(230,Engine!$C$2:$C$630,0)))</f>
        <v/>
      </c>
      <c r="C243">
        <f>IF(ISNA(MATCH(230,Engine!$C$2:$C$630,0)),"",INDEX('Compliance Database'!$C$2:$C$630,MATCH(230,Engine!$C$2:$C$630,0)))</f>
        <v/>
      </c>
      <c r="D243" s="8">
        <f>IF(ISNA(MATCH(230,Engine!$C$2:$C$630,0)),"",INDEX('Compliance Database'!$D$2:$D$630,MATCH(230,Engine!$C$2:$C$630,0)))</f>
        <v/>
      </c>
      <c r="E243">
        <f>IF(ISNA(MATCH(230,Engine!$C$2:$C$630,0)),"",INDEX('Compliance Database'!$E$2:$E$630,MATCH(230,Engine!$C$2:$C$630,0)))</f>
        <v/>
      </c>
      <c r="F243">
        <f>IF(ISNA(MATCH(230,Engine!$C$2:$C$630,0)),"",INDEX('Compliance Database'!$F$2:$F$630,MATCH(230,Engine!$C$2:$C$630,0)))</f>
        <v/>
      </c>
      <c r="G243">
        <f>IF(ISNA(MATCH(230,Engine!$C$2:$C$630,0)),"",INDEX('Compliance Database'!$G$2:$G$630,MATCH(230,Engine!$C$2:$C$630,0)))</f>
        <v/>
      </c>
      <c r="H243">
        <f>IF(ISNA(MATCH(230,Engine!$C$2:$C$630,0)),"",INDEX('Compliance Database'!$H$2:$H$630,MATCH(230,Engine!$C$2:$C$630,0)))</f>
        <v/>
      </c>
      <c r="I243" s="8">
        <f>IF(ISNA(MATCH(230,Engine!$C$2:$C$630,0)),"",INDEX('Compliance Database'!$I$2:$I$630,MATCH(230,Engine!$C$2:$C$630,0)))</f>
        <v/>
      </c>
      <c r="J243" s="8">
        <f>IF(ISNA(MATCH(230,Engine!$C$2:$C$630,0)),"",INDEX('Compliance Database'!$J$2:$J$630,MATCH(230,Engine!$C$2:$C$630,0)))</f>
        <v/>
      </c>
      <c r="K243">
        <f>IF(ISNA(MATCH(230,Engine!$C$2:$C$630,0)),"",INDEX('Compliance Database'!$K$2:$K$630,MATCH(230,Engine!$C$2:$C$630,0)))</f>
        <v/>
      </c>
      <c r="L243" s="8">
        <f>IF(ISNA(MATCH(230,Engine!$C$2:$C$630,0)),"",INDEX('Compliance Database'!$L$2:$L$630,MATCH(230,Engine!$C$2:$C$630,0)))</f>
        <v/>
      </c>
      <c r="M243" s="8">
        <f>IF(ISNA(MATCH(230,Engine!$C$2:$C$630,0)),"",INDEX('Compliance Database'!$M$2:$M$630,MATCH(230,Engine!$C$2:$C$630,0)))</f>
        <v/>
      </c>
      <c r="N243" s="8">
        <f>IF(ISNA(MATCH(230,Engine!$C$2:$C$630,0)),"",INDEX('Compliance Database'!$N$2:$N$630,MATCH(230,Engine!$C$2:$C$630,0)))</f>
        <v/>
      </c>
      <c r="O243" s="8">
        <f>IF(ISNA(MATCH(230,Engine!$C$2:$C$630,0)),"",INDEX('Compliance Database'!$O$2:$O$630,MATCH(230,Engine!$C$2:$C$630,0)))</f>
        <v/>
      </c>
    </row>
    <row r="244">
      <c r="A244">
        <f>IF(ISNA(MATCH(231,Engine!$C$2:$C$630,0)),"",INDEX('Compliance Database'!$A$2:$A$630,MATCH(231,Engine!$C$2:$C$630,0)))</f>
        <v/>
      </c>
      <c r="B244">
        <f>IF(ISNA(MATCH(231,Engine!$C$2:$C$630,0)),"",INDEX('Compliance Database'!$B$2:$B$630,MATCH(231,Engine!$C$2:$C$630,0)))</f>
        <v/>
      </c>
      <c r="C244">
        <f>IF(ISNA(MATCH(231,Engine!$C$2:$C$630,0)),"",INDEX('Compliance Database'!$C$2:$C$630,MATCH(231,Engine!$C$2:$C$630,0)))</f>
        <v/>
      </c>
      <c r="D244" s="8">
        <f>IF(ISNA(MATCH(231,Engine!$C$2:$C$630,0)),"",INDEX('Compliance Database'!$D$2:$D$630,MATCH(231,Engine!$C$2:$C$630,0)))</f>
        <v/>
      </c>
      <c r="E244">
        <f>IF(ISNA(MATCH(231,Engine!$C$2:$C$630,0)),"",INDEX('Compliance Database'!$E$2:$E$630,MATCH(231,Engine!$C$2:$C$630,0)))</f>
        <v/>
      </c>
      <c r="F244">
        <f>IF(ISNA(MATCH(231,Engine!$C$2:$C$630,0)),"",INDEX('Compliance Database'!$F$2:$F$630,MATCH(231,Engine!$C$2:$C$630,0)))</f>
        <v/>
      </c>
      <c r="G244">
        <f>IF(ISNA(MATCH(231,Engine!$C$2:$C$630,0)),"",INDEX('Compliance Database'!$G$2:$G$630,MATCH(231,Engine!$C$2:$C$630,0)))</f>
        <v/>
      </c>
      <c r="H244">
        <f>IF(ISNA(MATCH(231,Engine!$C$2:$C$630,0)),"",INDEX('Compliance Database'!$H$2:$H$630,MATCH(231,Engine!$C$2:$C$630,0)))</f>
        <v/>
      </c>
      <c r="I244" s="8">
        <f>IF(ISNA(MATCH(231,Engine!$C$2:$C$630,0)),"",INDEX('Compliance Database'!$I$2:$I$630,MATCH(231,Engine!$C$2:$C$630,0)))</f>
        <v/>
      </c>
      <c r="J244" s="8">
        <f>IF(ISNA(MATCH(231,Engine!$C$2:$C$630,0)),"",INDEX('Compliance Database'!$J$2:$J$630,MATCH(231,Engine!$C$2:$C$630,0)))</f>
        <v/>
      </c>
      <c r="K244">
        <f>IF(ISNA(MATCH(231,Engine!$C$2:$C$630,0)),"",INDEX('Compliance Database'!$K$2:$K$630,MATCH(231,Engine!$C$2:$C$630,0)))</f>
        <v/>
      </c>
      <c r="L244" s="8">
        <f>IF(ISNA(MATCH(231,Engine!$C$2:$C$630,0)),"",INDEX('Compliance Database'!$L$2:$L$630,MATCH(231,Engine!$C$2:$C$630,0)))</f>
        <v/>
      </c>
      <c r="M244" s="8">
        <f>IF(ISNA(MATCH(231,Engine!$C$2:$C$630,0)),"",INDEX('Compliance Database'!$M$2:$M$630,MATCH(231,Engine!$C$2:$C$630,0)))</f>
        <v/>
      </c>
      <c r="N244" s="8">
        <f>IF(ISNA(MATCH(231,Engine!$C$2:$C$630,0)),"",INDEX('Compliance Database'!$N$2:$N$630,MATCH(231,Engine!$C$2:$C$630,0)))</f>
        <v/>
      </c>
      <c r="O244" s="8">
        <f>IF(ISNA(MATCH(231,Engine!$C$2:$C$630,0)),"",INDEX('Compliance Database'!$O$2:$O$630,MATCH(231,Engine!$C$2:$C$630,0)))</f>
        <v/>
      </c>
    </row>
    <row r="245">
      <c r="A245">
        <f>IF(ISNA(MATCH(232,Engine!$C$2:$C$630,0)),"",INDEX('Compliance Database'!$A$2:$A$630,MATCH(232,Engine!$C$2:$C$630,0)))</f>
        <v/>
      </c>
      <c r="B245">
        <f>IF(ISNA(MATCH(232,Engine!$C$2:$C$630,0)),"",INDEX('Compliance Database'!$B$2:$B$630,MATCH(232,Engine!$C$2:$C$630,0)))</f>
        <v/>
      </c>
      <c r="C245">
        <f>IF(ISNA(MATCH(232,Engine!$C$2:$C$630,0)),"",INDEX('Compliance Database'!$C$2:$C$630,MATCH(232,Engine!$C$2:$C$630,0)))</f>
        <v/>
      </c>
      <c r="D245" s="8">
        <f>IF(ISNA(MATCH(232,Engine!$C$2:$C$630,0)),"",INDEX('Compliance Database'!$D$2:$D$630,MATCH(232,Engine!$C$2:$C$630,0)))</f>
        <v/>
      </c>
      <c r="E245">
        <f>IF(ISNA(MATCH(232,Engine!$C$2:$C$630,0)),"",INDEX('Compliance Database'!$E$2:$E$630,MATCH(232,Engine!$C$2:$C$630,0)))</f>
        <v/>
      </c>
      <c r="F245">
        <f>IF(ISNA(MATCH(232,Engine!$C$2:$C$630,0)),"",INDEX('Compliance Database'!$F$2:$F$630,MATCH(232,Engine!$C$2:$C$630,0)))</f>
        <v/>
      </c>
      <c r="G245">
        <f>IF(ISNA(MATCH(232,Engine!$C$2:$C$630,0)),"",INDEX('Compliance Database'!$G$2:$G$630,MATCH(232,Engine!$C$2:$C$630,0)))</f>
        <v/>
      </c>
      <c r="H245">
        <f>IF(ISNA(MATCH(232,Engine!$C$2:$C$630,0)),"",INDEX('Compliance Database'!$H$2:$H$630,MATCH(232,Engine!$C$2:$C$630,0)))</f>
        <v/>
      </c>
      <c r="I245" s="8">
        <f>IF(ISNA(MATCH(232,Engine!$C$2:$C$630,0)),"",INDEX('Compliance Database'!$I$2:$I$630,MATCH(232,Engine!$C$2:$C$630,0)))</f>
        <v/>
      </c>
      <c r="J245" s="8">
        <f>IF(ISNA(MATCH(232,Engine!$C$2:$C$630,0)),"",INDEX('Compliance Database'!$J$2:$J$630,MATCH(232,Engine!$C$2:$C$630,0)))</f>
        <v/>
      </c>
      <c r="K245">
        <f>IF(ISNA(MATCH(232,Engine!$C$2:$C$630,0)),"",INDEX('Compliance Database'!$K$2:$K$630,MATCH(232,Engine!$C$2:$C$630,0)))</f>
        <v/>
      </c>
      <c r="L245" s="8">
        <f>IF(ISNA(MATCH(232,Engine!$C$2:$C$630,0)),"",INDEX('Compliance Database'!$L$2:$L$630,MATCH(232,Engine!$C$2:$C$630,0)))</f>
        <v/>
      </c>
      <c r="M245" s="8">
        <f>IF(ISNA(MATCH(232,Engine!$C$2:$C$630,0)),"",INDEX('Compliance Database'!$M$2:$M$630,MATCH(232,Engine!$C$2:$C$630,0)))</f>
        <v/>
      </c>
      <c r="N245" s="8">
        <f>IF(ISNA(MATCH(232,Engine!$C$2:$C$630,0)),"",INDEX('Compliance Database'!$N$2:$N$630,MATCH(232,Engine!$C$2:$C$630,0)))</f>
        <v/>
      </c>
      <c r="O245" s="8">
        <f>IF(ISNA(MATCH(232,Engine!$C$2:$C$630,0)),"",INDEX('Compliance Database'!$O$2:$O$630,MATCH(232,Engine!$C$2:$C$630,0)))</f>
        <v/>
      </c>
    </row>
    <row r="246">
      <c r="A246">
        <f>IF(ISNA(MATCH(233,Engine!$C$2:$C$630,0)),"",INDEX('Compliance Database'!$A$2:$A$630,MATCH(233,Engine!$C$2:$C$630,0)))</f>
        <v/>
      </c>
      <c r="B246">
        <f>IF(ISNA(MATCH(233,Engine!$C$2:$C$630,0)),"",INDEX('Compliance Database'!$B$2:$B$630,MATCH(233,Engine!$C$2:$C$630,0)))</f>
        <v/>
      </c>
      <c r="C246">
        <f>IF(ISNA(MATCH(233,Engine!$C$2:$C$630,0)),"",INDEX('Compliance Database'!$C$2:$C$630,MATCH(233,Engine!$C$2:$C$630,0)))</f>
        <v/>
      </c>
      <c r="D246" s="8">
        <f>IF(ISNA(MATCH(233,Engine!$C$2:$C$630,0)),"",INDEX('Compliance Database'!$D$2:$D$630,MATCH(233,Engine!$C$2:$C$630,0)))</f>
        <v/>
      </c>
      <c r="E246">
        <f>IF(ISNA(MATCH(233,Engine!$C$2:$C$630,0)),"",INDEX('Compliance Database'!$E$2:$E$630,MATCH(233,Engine!$C$2:$C$630,0)))</f>
        <v/>
      </c>
      <c r="F246">
        <f>IF(ISNA(MATCH(233,Engine!$C$2:$C$630,0)),"",INDEX('Compliance Database'!$F$2:$F$630,MATCH(233,Engine!$C$2:$C$630,0)))</f>
        <v/>
      </c>
      <c r="G246">
        <f>IF(ISNA(MATCH(233,Engine!$C$2:$C$630,0)),"",INDEX('Compliance Database'!$G$2:$G$630,MATCH(233,Engine!$C$2:$C$630,0)))</f>
        <v/>
      </c>
      <c r="H246">
        <f>IF(ISNA(MATCH(233,Engine!$C$2:$C$630,0)),"",INDEX('Compliance Database'!$H$2:$H$630,MATCH(233,Engine!$C$2:$C$630,0)))</f>
        <v/>
      </c>
      <c r="I246" s="8">
        <f>IF(ISNA(MATCH(233,Engine!$C$2:$C$630,0)),"",INDEX('Compliance Database'!$I$2:$I$630,MATCH(233,Engine!$C$2:$C$630,0)))</f>
        <v/>
      </c>
      <c r="J246" s="8">
        <f>IF(ISNA(MATCH(233,Engine!$C$2:$C$630,0)),"",INDEX('Compliance Database'!$J$2:$J$630,MATCH(233,Engine!$C$2:$C$630,0)))</f>
        <v/>
      </c>
      <c r="K246">
        <f>IF(ISNA(MATCH(233,Engine!$C$2:$C$630,0)),"",INDEX('Compliance Database'!$K$2:$K$630,MATCH(233,Engine!$C$2:$C$630,0)))</f>
        <v/>
      </c>
      <c r="L246" s="8">
        <f>IF(ISNA(MATCH(233,Engine!$C$2:$C$630,0)),"",INDEX('Compliance Database'!$L$2:$L$630,MATCH(233,Engine!$C$2:$C$630,0)))</f>
        <v/>
      </c>
      <c r="M246" s="8">
        <f>IF(ISNA(MATCH(233,Engine!$C$2:$C$630,0)),"",INDEX('Compliance Database'!$M$2:$M$630,MATCH(233,Engine!$C$2:$C$630,0)))</f>
        <v/>
      </c>
      <c r="N246" s="8">
        <f>IF(ISNA(MATCH(233,Engine!$C$2:$C$630,0)),"",INDEX('Compliance Database'!$N$2:$N$630,MATCH(233,Engine!$C$2:$C$630,0)))</f>
        <v/>
      </c>
      <c r="O246" s="8">
        <f>IF(ISNA(MATCH(233,Engine!$C$2:$C$630,0)),"",INDEX('Compliance Database'!$O$2:$O$630,MATCH(233,Engine!$C$2:$C$630,0)))</f>
        <v/>
      </c>
    </row>
    <row r="247">
      <c r="A247">
        <f>IF(ISNA(MATCH(234,Engine!$C$2:$C$630,0)),"",INDEX('Compliance Database'!$A$2:$A$630,MATCH(234,Engine!$C$2:$C$630,0)))</f>
        <v/>
      </c>
      <c r="B247">
        <f>IF(ISNA(MATCH(234,Engine!$C$2:$C$630,0)),"",INDEX('Compliance Database'!$B$2:$B$630,MATCH(234,Engine!$C$2:$C$630,0)))</f>
        <v/>
      </c>
      <c r="C247">
        <f>IF(ISNA(MATCH(234,Engine!$C$2:$C$630,0)),"",INDEX('Compliance Database'!$C$2:$C$630,MATCH(234,Engine!$C$2:$C$630,0)))</f>
        <v/>
      </c>
      <c r="D247" s="8">
        <f>IF(ISNA(MATCH(234,Engine!$C$2:$C$630,0)),"",INDEX('Compliance Database'!$D$2:$D$630,MATCH(234,Engine!$C$2:$C$630,0)))</f>
        <v/>
      </c>
      <c r="E247">
        <f>IF(ISNA(MATCH(234,Engine!$C$2:$C$630,0)),"",INDEX('Compliance Database'!$E$2:$E$630,MATCH(234,Engine!$C$2:$C$630,0)))</f>
        <v/>
      </c>
      <c r="F247">
        <f>IF(ISNA(MATCH(234,Engine!$C$2:$C$630,0)),"",INDEX('Compliance Database'!$F$2:$F$630,MATCH(234,Engine!$C$2:$C$630,0)))</f>
        <v/>
      </c>
      <c r="G247">
        <f>IF(ISNA(MATCH(234,Engine!$C$2:$C$630,0)),"",INDEX('Compliance Database'!$G$2:$G$630,MATCH(234,Engine!$C$2:$C$630,0)))</f>
        <v/>
      </c>
      <c r="H247">
        <f>IF(ISNA(MATCH(234,Engine!$C$2:$C$630,0)),"",INDEX('Compliance Database'!$H$2:$H$630,MATCH(234,Engine!$C$2:$C$630,0)))</f>
        <v/>
      </c>
      <c r="I247" s="8">
        <f>IF(ISNA(MATCH(234,Engine!$C$2:$C$630,0)),"",INDEX('Compliance Database'!$I$2:$I$630,MATCH(234,Engine!$C$2:$C$630,0)))</f>
        <v/>
      </c>
      <c r="J247" s="8">
        <f>IF(ISNA(MATCH(234,Engine!$C$2:$C$630,0)),"",INDEX('Compliance Database'!$J$2:$J$630,MATCH(234,Engine!$C$2:$C$630,0)))</f>
        <v/>
      </c>
      <c r="K247">
        <f>IF(ISNA(MATCH(234,Engine!$C$2:$C$630,0)),"",INDEX('Compliance Database'!$K$2:$K$630,MATCH(234,Engine!$C$2:$C$630,0)))</f>
        <v/>
      </c>
      <c r="L247" s="8">
        <f>IF(ISNA(MATCH(234,Engine!$C$2:$C$630,0)),"",INDEX('Compliance Database'!$L$2:$L$630,MATCH(234,Engine!$C$2:$C$630,0)))</f>
        <v/>
      </c>
      <c r="M247" s="8">
        <f>IF(ISNA(MATCH(234,Engine!$C$2:$C$630,0)),"",INDEX('Compliance Database'!$M$2:$M$630,MATCH(234,Engine!$C$2:$C$630,0)))</f>
        <v/>
      </c>
      <c r="N247" s="8">
        <f>IF(ISNA(MATCH(234,Engine!$C$2:$C$630,0)),"",INDEX('Compliance Database'!$N$2:$N$630,MATCH(234,Engine!$C$2:$C$630,0)))</f>
        <v/>
      </c>
      <c r="O247" s="8">
        <f>IF(ISNA(MATCH(234,Engine!$C$2:$C$630,0)),"",INDEX('Compliance Database'!$O$2:$O$630,MATCH(234,Engine!$C$2:$C$630,0)))</f>
        <v/>
      </c>
    </row>
    <row r="248">
      <c r="A248">
        <f>IF(ISNA(MATCH(235,Engine!$C$2:$C$630,0)),"",INDEX('Compliance Database'!$A$2:$A$630,MATCH(235,Engine!$C$2:$C$630,0)))</f>
        <v/>
      </c>
      <c r="B248">
        <f>IF(ISNA(MATCH(235,Engine!$C$2:$C$630,0)),"",INDEX('Compliance Database'!$B$2:$B$630,MATCH(235,Engine!$C$2:$C$630,0)))</f>
        <v/>
      </c>
      <c r="C248">
        <f>IF(ISNA(MATCH(235,Engine!$C$2:$C$630,0)),"",INDEX('Compliance Database'!$C$2:$C$630,MATCH(235,Engine!$C$2:$C$630,0)))</f>
        <v/>
      </c>
      <c r="D248" s="8">
        <f>IF(ISNA(MATCH(235,Engine!$C$2:$C$630,0)),"",INDEX('Compliance Database'!$D$2:$D$630,MATCH(235,Engine!$C$2:$C$630,0)))</f>
        <v/>
      </c>
      <c r="E248">
        <f>IF(ISNA(MATCH(235,Engine!$C$2:$C$630,0)),"",INDEX('Compliance Database'!$E$2:$E$630,MATCH(235,Engine!$C$2:$C$630,0)))</f>
        <v/>
      </c>
      <c r="F248">
        <f>IF(ISNA(MATCH(235,Engine!$C$2:$C$630,0)),"",INDEX('Compliance Database'!$F$2:$F$630,MATCH(235,Engine!$C$2:$C$630,0)))</f>
        <v/>
      </c>
      <c r="G248">
        <f>IF(ISNA(MATCH(235,Engine!$C$2:$C$630,0)),"",INDEX('Compliance Database'!$G$2:$G$630,MATCH(235,Engine!$C$2:$C$630,0)))</f>
        <v/>
      </c>
      <c r="H248">
        <f>IF(ISNA(MATCH(235,Engine!$C$2:$C$630,0)),"",INDEX('Compliance Database'!$H$2:$H$630,MATCH(235,Engine!$C$2:$C$630,0)))</f>
        <v/>
      </c>
      <c r="I248" s="8">
        <f>IF(ISNA(MATCH(235,Engine!$C$2:$C$630,0)),"",INDEX('Compliance Database'!$I$2:$I$630,MATCH(235,Engine!$C$2:$C$630,0)))</f>
        <v/>
      </c>
      <c r="J248" s="8">
        <f>IF(ISNA(MATCH(235,Engine!$C$2:$C$630,0)),"",INDEX('Compliance Database'!$J$2:$J$630,MATCH(235,Engine!$C$2:$C$630,0)))</f>
        <v/>
      </c>
      <c r="K248">
        <f>IF(ISNA(MATCH(235,Engine!$C$2:$C$630,0)),"",INDEX('Compliance Database'!$K$2:$K$630,MATCH(235,Engine!$C$2:$C$630,0)))</f>
        <v/>
      </c>
      <c r="L248" s="8">
        <f>IF(ISNA(MATCH(235,Engine!$C$2:$C$630,0)),"",INDEX('Compliance Database'!$L$2:$L$630,MATCH(235,Engine!$C$2:$C$630,0)))</f>
        <v/>
      </c>
      <c r="M248" s="8">
        <f>IF(ISNA(MATCH(235,Engine!$C$2:$C$630,0)),"",INDEX('Compliance Database'!$M$2:$M$630,MATCH(235,Engine!$C$2:$C$630,0)))</f>
        <v/>
      </c>
      <c r="N248" s="8">
        <f>IF(ISNA(MATCH(235,Engine!$C$2:$C$630,0)),"",INDEX('Compliance Database'!$N$2:$N$630,MATCH(235,Engine!$C$2:$C$630,0)))</f>
        <v/>
      </c>
      <c r="O248" s="8">
        <f>IF(ISNA(MATCH(235,Engine!$C$2:$C$630,0)),"",INDEX('Compliance Database'!$O$2:$O$630,MATCH(235,Engine!$C$2:$C$630,0)))</f>
        <v/>
      </c>
    </row>
    <row r="249">
      <c r="A249">
        <f>IF(ISNA(MATCH(236,Engine!$C$2:$C$630,0)),"",INDEX('Compliance Database'!$A$2:$A$630,MATCH(236,Engine!$C$2:$C$630,0)))</f>
        <v/>
      </c>
      <c r="B249">
        <f>IF(ISNA(MATCH(236,Engine!$C$2:$C$630,0)),"",INDEX('Compliance Database'!$B$2:$B$630,MATCH(236,Engine!$C$2:$C$630,0)))</f>
        <v/>
      </c>
      <c r="C249">
        <f>IF(ISNA(MATCH(236,Engine!$C$2:$C$630,0)),"",INDEX('Compliance Database'!$C$2:$C$630,MATCH(236,Engine!$C$2:$C$630,0)))</f>
        <v/>
      </c>
      <c r="D249" s="8">
        <f>IF(ISNA(MATCH(236,Engine!$C$2:$C$630,0)),"",INDEX('Compliance Database'!$D$2:$D$630,MATCH(236,Engine!$C$2:$C$630,0)))</f>
        <v/>
      </c>
      <c r="E249">
        <f>IF(ISNA(MATCH(236,Engine!$C$2:$C$630,0)),"",INDEX('Compliance Database'!$E$2:$E$630,MATCH(236,Engine!$C$2:$C$630,0)))</f>
        <v/>
      </c>
      <c r="F249">
        <f>IF(ISNA(MATCH(236,Engine!$C$2:$C$630,0)),"",INDEX('Compliance Database'!$F$2:$F$630,MATCH(236,Engine!$C$2:$C$630,0)))</f>
        <v/>
      </c>
      <c r="G249">
        <f>IF(ISNA(MATCH(236,Engine!$C$2:$C$630,0)),"",INDEX('Compliance Database'!$G$2:$G$630,MATCH(236,Engine!$C$2:$C$630,0)))</f>
        <v/>
      </c>
      <c r="H249">
        <f>IF(ISNA(MATCH(236,Engine!$C$2:$C$630,0)),"",INDEX('Compliance Database'!$H$2:$H$630,MATCH(236,Engine!$C$2:$C$630,0)))</f>
        <v/>
      </c>
      <c r="I249" s="8">
        <f>IF(ISNA(MATCH(236,Engine!$C$2:$C$630,0)),"",INDEX('Compliance Database'!$I$2:$I$630,MATCH(236,Engine!$C$2:$C$630,0)))</f>
        <v/>
      </c>
      <c r="J249" s="8">
        <f>IF(ISNA(MATCH(236,Engine!$C$2:$C$630,0)),"",INDEX('Compliance Database'!$J$2:$J$630,MATCH(236,Engine!$C$2:$C$630,0)))</f>
        <v/>
      </c>
      <c r="K249">
        <f>IF(ISNA(MATCH(236,Engine!$C$2:$C$630,0)),"",INDEX('Compliance Database'!$K$2:$K$630,MATCH(236,Engine!$C$2:$C$630,0)))</f>
        <v/>
      </c>
      <c r="L249" s="8">
        <f>IF(ISNA(MATCH(236,Engine!$C$2:$C$630,0)),"",INDEX('Compliance Database'!$L$2:$L$630,MATCH(236,Engine!$C$2:$C$630,0)))</f>
        <v/>
      </c>
      <c r="M249" s="8">
        <f>IF(ISNA(MATCH(236,Engine!$C$2:$C$630,0)),"",INDEX('Compliance Database'!$M$2:$M$630,MATCH(236,Engine!$C$2:$C$630,0)))</f>
        <v/>
      </c>
      <c r="N249" s="8">
        <f>IF(ISNA(MATCH(236,Engine!$C$2:$C$630,0)),"",INDEX('Compliance Database'!$N$2:$N$630,MATCH(236,Engine!$C$2:$C$630,0)))</f>
        <v/>
      </c>
      <c r="O249" s="8">
        <f>IF(ISNA(MATCH(236,Engine!$C$2:$C$630,0)),"",INDEX('Compliance Database'!$O$2:$O$630,MATCH(236,Engine!$C$2:$C$630,0)))</f>
        <v/>
      </c>
    </row>
    <row r="250">
      <c r="A250">
        <f>IF(ISNA(MATCH(237,Engine!$C$2:$C$630,0)),"",INDEX('Compliance Database'!$A$2:$A$630,MATCH(237,Engine!$C$2:$C$630,0)))</f>
        <v/>
      </c>
      <c r="B250">
        <f>IF(ISNA(MATCH(237,Engine!$C$2:$C$630,0)),"",INDEX('Compliance Database'!$B$2:$B$630,MATCH(237,Engine!$C$2:$C$630,0)))</f>
        <v/>
      </c>
      <c r="C250">
        <f>IF(ISNA(MATCH(237,Engine!$C$2:$C$630,0)),"",INDEX('Compliance Database'!$C$2:$C$630,MATCH(237,Engine!$C$2:$C$630,0)))</f>
        <v/>
      </c>
      <c r="D250" s="8">
        <f>IF(ISNA(MATCH(237,Engine!$C$2:$C$630,0)),"",INDEX('Compliance Database'!$D$2:$D$630,MATCH(237,Engine!$C$2:$C$630,0)))</f>
        <v/>
      </c>
      <c r="E250">
        <f>IF(ISNA(MATCH(237,Engine!$C$2:$C$630,0)),"",INDEX('Compliance Database'!$E$2:$E$630,MATCH(237,Engine!$C$2:$C$630,0)))</f>
        <v/>
      </c>
      <c r="F250">
        <f>IF(ISNA(MATCH(237,Engine!$C$2:$C$630,0)),"",INDEX('Compliance Database'!$F$2:$F$630,MATCH(237,Engine!$C$2:$C$630,0)))</f>
        <v/>
      </c>
      <c r="G250">
        <f>IF(ISNA(MATCH(237,Engine!$C$2:$C$630,0)),"",INDEX('Compliance Database'!$G$2:$G$630,MATCH(237,Engine!$C$2:$C$630,0)))</f>
        <v/>
      </c>
      <c r="H250">
        <f>IF(ISNA(MATCH(237,Engine!$C$2:$C$630,0)),"",INDEX('Compliance Database'!$H$2:$H$630,MATCH(237,Engine!$C$2:$C$630,0)))</f>
        <v/>
      </c>
      <c r="I250" s="8">
        <f>IF(ISNA(MATCH(237,Engine!$C$2:$C$630,0)),"",INDEX('Compliance Database'!$I$2:$I$630,MATCH(237,Engine!$C$2:$C$630,0)))</f>
        <v/>
      </c>
      <c r="J250" s="8">
        <f>IF(ISNA(MATCH(237,Engine!$C$2:$C$630,0)),"",INDEX('Compliance Database'!$J$2:$J$630,MATCH(237,Engine!$C$2:$C$630,0)))</f>
        <v/>
      </c>
      <c r="K250">
        <f>IF(ISNA(MATCH(237,Engine!$C$2:$C$630,0)),"",INDEX('Compliance Database'!$K$2:$K$630,MATCH(237,Engine!$C$2:$C$630,0)))</f>
        <v/>
      </c>
      <c r="L250" s="8">
        <f>IF(ISNA(MATCH(237,Engine!$C$2:$C$630,0)),"",INDEX('Compliance Database'!$L$2:$L$630,MATCH(237,Engine!$C$2:$C$630,0)))</f>
        <v/>
      </c>
      <c r="M250" s="8">
        <f>IF(ISNA(MATCH(237,Engine!$C$2:$C$630,0)),"",INDEX('Compliance Database'!$M$2:$M$630,MATCH(237,Engine!$C$2:$C$630,0)))</f>
        <v/>
      </c>
      <c r="N250" s="8">
        <f>IF(ISNA(MATCH(237,Engine!$C$2:$C$630,0)),"",INDEX('Compliance Database'!$N$2:$N$630,MATCH(237,Engine!$C$2:$C$630,0)))</f>
        <v/>
      </c>
      <c r="O250" s="8">
        <f>IF(ISNA(MATCH(237,Engine!$C$2:$C$630,0)),"",INDEX('Compliance Database'!$O$2:$O$630,MATCH(237,Engine!$C$2:$C$630,0)))</f>
        <v/>
      </c>
    </row>
    <row r="251">
      <c r="A251">
        <f>IF(ISNA(MATCH(238,Engine!$C$2:$C$630,0)),"",INDEX('Compliance Database'!$A$2:$A$630,MATCH(238,Engine!$C$2:$C$630,0)))</f>
        <v/>
      </c>
      <c r="B251">
        <f>IF(ISNA(MATCH(238,Engine!$C$2:$C$630,0)),"",INDEX('Compliance Database'!$B$2:$B$630,MATCH(238,Engine!$C$2:$C$630,0)))</f>
        <v/>
      </c>
      <c r="C251">
        <f>IF(ISNA(MATCH(238,Engine!$C$2:$C$630,0)),"",INDEX('Compliance Database'!$C$2:$C$630,MATCH(238,Engine!$C$2:$C$630,0)))</f>
        <v/>
      </c>
      <c r="D251" s="8">
        <f>IF(ISNA(MATCH(238,Engine!$C$2:$C$630,0)),"",INDEX('Compliance Database'!$D$2:$D$630,MATCH(238,Engine!$C$2:$C$630,0)))</f>
        <v/>
      </c>
      <c r="E251">
        <f>IF(ISNA(MATCH(238,Engine!$C$2:$C$630,0)),"",INDEX('Compliance Database'!$E$2:$E$630,MATCH(238,Engine!$C$2:$C$630,0)))</f>
        <v/>
      </c>
      <c r="F251">
        <f>IF(ISNA(MATCH(238,Engine!$C$2:$C$630,0)),"",INDEX('Compliance Database'!$F$2:$F$630,MATCH(238,Engine!$C$2:$C$630,0)))</f>
        <v/>
      </c>
      <c r="G251">
        <f>IF(ISNA(MATCH(238,Engine!$C$2:$C$630,0)),"",INDEX('Compliance Database'!$G$2:$G$630,MATCH(238,Engine!$C$2:$C$630,0)))</f>
        <v/>
      </c>
      <c r="H251">
        <f>IF(ISNA(MATCH(238,Engine!$C$2:$C$630,0)),"",INDEX('Compliance Database'!$H$2:$H$630,MATCH(238,Engine!$C$2:$C$630,0)))</f>
        <v/>
      </c>
      <c r="I251" s="8">
        <f>IF(ISNA(MATCH(238,Engine!$C$2:$C$630,0)),"",INDEX('Compliance Database'!$I$2:$I$630,MATCH(238,Engine!$C$2:$C$630,0)))</f>
        <v/>
      </c>
      <c r="J251" s="8">
        <f>IF(ISNA(MATCH(238,Engine!$C$2:$C$630,0)),"",INDEX('Compliance Database'!$J$2:$J$630,MATCH(238,Engine!$C$2:$C$630,0)))</f>
        <v/>
      </c>
      <c r="K251">
        <f>IF(ISNA(MATCH(238,Engine!$C$2:$C$630,0)),"",INDEX('Compliance Database'!$K$2:$K$630,MATCH(238,Engine!$C$2:$C$630,0)))</f>
        <v/>
      </c>
      <c r="L251" s="8">
        <f>IF(ISNA(MATCH(238,Engine!$C$2:$C$630,0)),"",INDEX('Compliance Database'!$L$2:$L$630,MATCH(238,Engine!$C$2:$C$630,0)))</f>
        <v/>
      </c>
      <c r="M251" s="8">
        <f>IF(ISNA(MATCH(238,Engine!$C$2:$C$630,0)),"",INDEX('Compliance Database'!$M$2:$M$630,MATCH(238,Engine!$C$2:$C$630,0)))</f>
        <v/>
      </c>
      <c r="N251" s="8">
        <f>IF(ISNA(MATCH(238,Engine!$C$2:$C$630,0)),"",INDEX('Compliance Database'!$N$2:$N$630,MATCH(238,Engine!$C$2:$C$630,0)))</f>
        <v/>
      </c>
      <c r="O251" s="8">
        <f>IF(ISNA(MATCH(238,Engine!$C$2:$C$630,0)),"",INDEX('Compliance Database'!$O$2:$O$630,MATCH(238,Engine!$C$2:$C$630,0)))</f>
        <v/>
      </c>
    </row>
    <row r="252">
      <c r="A252">
        <f>IF(ISNA(MATCH(239,Engine!$C$2:$C$630,0)),"",INDEX('Compliance Database'!$A$2:$A$630,MATCH(239,Engine!$C$2:$C$630,0)))</f>
        <v/>
      </c>
      <c r="B252">
        <f>IF(ISNA(MATCH(239,Engine!$C$2:$C$630,0)),"",INDEX('Compliance Database'!$B$2:$B$630,MATCH(239,Engine!$C$2:$C$630,0)))</f>
        <v/>
      </c>
      <c r="C252">
        <f>IF(ISNA(MATCH(239,Engine!$C$2:$C$630,0)),"",INDEX('Compliance Database'!$C$2:$C$630,MATCH(239,Engine!$C$2:$C$630,0)))</f>
        <v/>
      </c>
      <c r="D252" s="8">
        <f>IF(ISNA(MATCH(239,Engine!$C$2:$C$630,0)),"",INDEX('Compliance Database'!$D$2:$D$630,MATCH(239,Engine!$C$2:$C$630,0)))</f>
        <v/>
      </c>
      <c r="E252">
        <f>IF(ISNA(MATCH(239,Engine!$C$2:$C$630,0)),"",INDEX('Compliance Database'!$E$2:$E$630,MATCH(239,Engine!$C$2:$C$630,0)))</f>
        <v/>
      </c>
      <c r="F252">
        <f>IF(ISNA(MATCH(239,Engine!$C$2:$C$630,0)),"",INDEX('Compliance Database'!$F$2:$F$630,MATCH(239,Engine!$C$2:$C$630,0)))</f>
        <v/>
      </c>
      <c r="G252">
        <f>IF(ISNA(MATCH(239,Engine!$C$2:$C$630,0)),"",INDEX('Compliance Database'!$G$2:$G$630,MATCH(239,Engine!$C$2:$C$630,0)))</f>
        <v/>
      </c>
      <c r="H252">
        <f>IF(ISNA(MATCH(239,Engine!$C$2:$C$630,0)),"",INDEX('Compliance Database'!$H$2:$H$630,MATCH(239,Engine!$C$2:$C$630,0)))</f>
        <v/>
      </c>
      <c r="I252" s="8">
        <f>IF(ISNA(MATCH(239,Engine!$C$2:$C$630,0)),"",INDEX('Compliance Database'!$I$2:$I$630,MATCH(239,Engine!$C$2:$C$630,0)))</f>
        <v/>
      </c>
      <c r="J252" s="8">
        <f>IF(ISNA(MATCH(239,Engine!$C$2:$C$630,0)),"",INDEX('Compliance Database'!$J$2:$J$630,MATCH(239,Engine!$C$2:$C$630,0)))</f>
        <v/>
      </c>
      <c r="K252">
        <f>IF(ISNA(MATCH(239,Engine!$C$2:$C$630,0)),"",INDEX('Compliance Database'!$K$2:$K$630,MATCH(239,Engine!$C$2:$C$630,0)))</f>
        <v/>
      </c>
      <c r="L252" s="8">
        <f>IF(ISNA(MATCH(239,Engine!$C$2:$C$630,0)),"",INDEX('Compliance Database'!$L$2:$L$630,MATCH(239,Engine!$C$2:$C$630,0)))</f>
        <v/>
      </c>
      <c r="M252" s="8">
        <f>IF(ISNA(MATCH(239,Engine!$C$2:$C$630,0)),"",INDEX('Compliance Database'!$M$2:$M$630,MATCH(239,Engine!$C$2:$C$630,0)))</f>
        <v/>
      </c>
      <c r="N252" s="8">
        <f>IF(ISNA(MATCH(239,Engine!$C$2:$C$630,0)),"",INDEX('Compliance Database'!$N$2:$N$630,MATCH(239,Engine!$C$2:$C$630,0)))</f>
        <v/>
      </c>
      <c r="O252" s="8">
        <f>IF(ISNA(MATCH(239,Engine!$C$2:$C$630,0)),"",INDEX('Compliance Database'!$O$2:$O$630,MATCH(239,Engine!$C$2:$C$630,0)))</f>
        <v/>
      </c>
    </row>
    <row r="253">
      <c r="A253">
        <f>IF(ISNA(MATCH(240,Engine!$C$2:$C$630,0)),"",INDEX('Compliance Database'!$A$2:$A$630,MATCH(240,Engine!$C$2:$C$630,0)))</f>
        <v/>
      </c>
      <c r="B253">
        <f>IF(ISNA(MATCH(240,Engine!$C$2:$C$630,0)),"",INDEX('Compliance Database'!$B$2:$B$630,MATCH(240,Engine!$C$2:$C$630,0)))</f>
        <v/>
      </c>
      <c r="C253">
        <f>IF(ISNA(MATCH(240,Engine!$C$2:$C$630,0)),"",INDEX('Compliance Database'!$C$2:$C$630,MATCH(240,Engine!$C$2:$C$630,0)))</f>
        <v/>
      </c>
      <c r="D253" s="8">
        <f>IF(ISNA(MATCH(240,Engine!$C$2:$C$630,0)),"",INDEX('Compliance Database'!$D$2:$D$630,MATCH(240,Engine!$C$2:$C$630,0)))</f>
        <v/>
      </c>
      <c r="E253">
        <f>IF(ISNA(MATCH(240,Engine!$C$2:$C$630,0)),"",INDEX('Compliance Database'!$E$2:$E$630,MATCH(240,Engine!$C$2:$C$630,0)))</f>
        <v/>
      </c>
      <c r="F253">
        <f>IF(ISNA(MATCH(240,Engine!$C$2:$C$630,0)),"",INDEX('Compliance Database'!$F$2:$F$630,MATCH(240,Engine!$C$2:$C$630,0)))</f>
        <v/>
      </c>
      <c r="G253">
        <f>IF(ISNA(MATCH(240,Engine!$C$2:$C$630,0)),"",INDEX('Compliance Database'!$G$2:$G$630,MATCH(240,Engine!$C$2:$C$630,0)))</f>
        <v/>
      </c>
      <c r="H253">
        <f>IF(ISNA(MATCH(240,Engine!$C$2:$C$630,0)),"",INDEX('Compliance Database'!$H$2:$H$630,MATCH(240,Engine!$C$2:$C$630,0)))</f>
        <v/>
      </c>
      <c r="I253" s="8">
        <f>IF(ISNA(MATCH(240,Engine!$C$2:$C$630,0)),"",INDEX('Compliance Database'!$I$2:$I$630,MATCH(240,Engine!$C$2:$C$630,0)))</f>
        <v/>
      </c>
      <c r="J253" s="8">
        <f>IF(ISNA(MATCH(240,Engine!$C$2:$C$630,0)),"",INDEX('Compliance Database'!$J$2:$J$630,MATCH(240,Engine!$C$2:$C$630,0)))</f>
        <v/>
      </c>
      <c r="K253">
        <f>IF(ISNA(MATCH(240,Engine!$C$2:$C$630,0)),"",INDEX('Compliance Database'!$K$2:$K$630,MATCH(240,Engine!$C$2:$C$630,0)))</f>
        <v/>
      </c>
      <c r="L253" s="8">
        <f>IF(ISNA(MATCH(240,Engine!$C$2:$C$630,0)),"",INDEX('Compliance Database'!$L$2:$L$630,MATCH(240,Engine!$C$2:$C$630,0)))</f>
        <v/>
      </c>
      <c r="M253" s="8">
        <f>IF(ISNA(MATCH(240,Engine!$C$2:$C$630,0)),"",INDEX('Compliance Database'!$M$2:$M$630,MATCH(240,Engine!$C$2:$C$630,0)))</f>
        <v/>
      </c>
      <c r="N253" s="8">
        <f>IF(ISNA(MATCH(240,Engine!$C$2:$C$630,0)),"",INDEX('Compliance Database'!$N$2:$N$630,MATCH(240,Engine!$C$2:$C$630,0)))</f>
        <v/>
      </c>
      <c r="O253" s="8">
        <f>IF(ISNA(MATCH(240,Engine!$C$2:$C$630,0)),"",INDEX('Compliance Database'!$O$2:$O$630,MATCH(240,Engine!$C$2:$C$630,0)))</f>
        <v/>
      </c>
    </row>
    <row r="254">
      <c r="A254">
        <f>IF(ISNA(MATCH(241,Engine!$C$2:$C$630,0)),"",INDEX('Compliance Database'!$A$2:$A$630,MATCH(241,Engine!$C$2:$C$630,0)))</f>
        <v/>
      </c>
      <c r="B254">
        <f>IF(ISNA(MATCH(241,Engine!$C$2:$C$630,0)),"",INDEX('Compliance Database'!$B$2:$B$630,MATCH(241,Engine!$C$2:$C$630,0)))</f>
        <v/>
      </c>
      <c r="C254">
        <f>IF(ISNA(MATCH(241,Engine!$C$2:$C$630,0)),"",INDEX('Compliance Database'!$C$2:$C$630,MATCH(241,Engine!$C$2:$C$630,0)))</f>
        <v/>
      </c>
      <c r="D254" s="8">
        <f>IF(ISNA(MATCH(241,Engine!$C$2:$C$630,0)),"",INDEX('Compliance Database'!$D$2:$D$630,MATCH(241,Engine!$C$2:$C$630,0)))</f>
        <v/>
      </c>
      <c r="E254">
        <f>IF(ISNA(MATCH(241,Engine!$C$2:$C$630,0)),"",INDEX('Compliance Database'!$E$2:$E$630,MATCH(241,Engine!$C$2:$C$630,0)))</f>
        <v/>
      </c>
      <c r="F254">
        <f>IF(ISNA(MATCH(241,Engine!$C$2:$C$630,0)),"",INDEX('Compliance Database'!$F$2:$F$630,MATCH(241,Engine!$C$2:$C$630,0)))</f>
        <v/>
      </c>
      <c r="G254">
        <f>IF(ISNA(MATCH(241,Engine!$C$2:$C$630,0)),"",INDEX('Compliance Database'!$G$2:$G$630,MATCH(241,Engine!$C$2:$C$630,0)))</f>
        <v/>
      </c>
      <c r="H254">
        <f>IF(ISNA(MATCH(241,Engine!$C$2:$C$630,0)),"",INDEX('Compliance Database'!$H$2:$H$630,MATCH(241,Engine!$C$2:$C$630,0)))</f>
        <v/>
      </c>
      <c r="I254" s="8">
        <f>IF(ISNA(MATCH(241,Engine!$C$2:$C$630,0)),"",INDEX('Compliance Database'!$I$2:$I$630,MATCH(241,Engine!$C$2:$C$630,0)))</f>
        <v/>
      </c>
      <c r="J254" s="8">
        <f>IF(ISNA(MATCH(241,Engine!$C$2:$C$630,0)),"",INDEX('Compliance Database'!$J$2:$J$630,MATCH(241,Engine!$C$2:$C$630,0)))</f>
        <v/>
      </c>
      <c r="K254">
        <f>IF(ISNA(MATCH(241,Engine!$C$2:$C$630,0)),"",INDEX('Compliance Database'!$K$2:$K$630,MATCH(241,Engine!$C$2:$C$630,0)))</f>
        <v/>
      </c>
      <c r="L254" s="8">
        <f>IF(ISNA(MATCH(241,Engine!$C$2:$C$630,0)),"",INDEX('Compliance Database'!$L$2:$L$630,MATCH(241,Engine!$C$2:$C$630,0)))</f>
        <v/>
      </c>
      <c r="M254" s="8">
        <f>IF(ISNA(MATCH(241,Engine!$C$2:$C$630,0)),"",INDEX('Compliance Database'!$M$2:$M$630,MATCH(241,Engine!$C$2:$C$630,0)))</f>
        <v/>
      </c>
      <c r="N254" s="8">
        <f>IF(ISNA(MATCH(241,Engine!$C$2:$C$630,0)),"",INDEX('Compliance Database'!$N$2:$N$630,MATCH(241,Engine!$C$2:$C$630,0)))</f>
        <v/>
      </c>
      <c r="O254" s="8">
        <f>IF(ISNA(MATCH(241,Engine!$C$2:$C$630,0)),"",INDEX('Compliance Database'!$O$2:$O$630,MATCH(241,Engine!$C$2:$C$630,0)))</f>
        <v/>
      </c>
    </row>
    <row r="255">
      <c r="A255">
        <f>IF(ISNA(MATCH(242,Engine!$C$2:$C$630,0)),"",INDEX('Compliance Database'!$A$2:$A$630,MATCH(242,Engine!$C$2:$C$630,0)))</f>
        <v/>
      </c>
      <c r="B255">
        <f>IF(ISNA(MATCH(242,Engine!$C$2:$C$630,0)),"",INDEX('Compliance Database'!$B$2:$B$630,MATCH(242,Engine!$C$2:$C$630,0)))</f>
        <v/>
      </c>
      <c r="C255">
        <f>IF(ISNA(MATCH(242,Engine!$C$2:$C$630,0)),"",INDEX('Compliance Database'!$C$2:$C$630,MATCH(242,Engine!$C$2:$C$630,0)))</f>
        <v/>
      </c>
      <c r="D255" s="8">
        <f>IF(ISNA(MATCH(242,Engine!$C$2:$C$630,0)),"",INDEX('Compliance Database'!$D$2:$D$630,MATCH(242,Engine!$C$2:$C$630,0)))</f>
        <v/>
      </c>
      <c r="E255">
        <f>IF(ISNA(MATCH(242,Engine!$C$2:$C$630,0)),"",INDEX('Compliance Database'!$E$2:$E$630,MATCH(242,Engine!$C$2:$C$630,0)))</f>
        <v/>
      </c>
      <c r="F255">
        <f>IF(ISNA(MATCH(242,Engine!$C$2:$C$630,0)),"",INDEX('Compliance Database'!$F$2:$F$630,MATCH(242,Engine!$C$2:$C$630,0)))</f>
        <v/>
      </c>
      <c r="G255">
        <f>IF(ISNA(MATCH(242,Engine!$C$2:$C$630,0)),"",INDEX('Compliance Database'!$G$2:$G$630,MATCH(242,Engine!$C$2:$C$630,0)))</f>
        <v/>
      </c>
      <c r="H255">
        <f>IF(ISNA(MATCH(242,Engine!$C$2:$C$630,0)),"",INDEX('Compliance Database'!$H$2:$H$630,MATCH(242,Engine!$C$2:$C$630,0)))</f>
        <v/>
      </c>
      <c r="I255" s="8">
        <f>IF(ISNA(MATCH(242,Engine!$C$2:$C$630,0)),"",INDEX('Compliance Database'!$I$2:$I$630,MATCH(242,Engine!$C$2:$C$630,0)))</f>
        <v/>
      </c>
      <c r="J255" s="8">
        <f>IF(ISNA(MATCH(242,Engine!$C$2:$C$630,0)),"",INDEX('Compliance Database'!$J$2:$J$630,MATCH(242,Engine!$C$2:$C$630,0)))</f>
        <v/>
      </c>
      <c r="K255">
        <f>IF(ISNA(MATCH(242,Engine!$C$2:$C$630,0)),"",INDEX('Compliance Database'!$K$2:$K$630,MATCH(242,Engine!$C$2:$C$630,0)))</f>
        <v/>
      </c>
      <c r="L255" s="8">
        <f>IF(ISNA(MATCH(242,Engine!$C$2:$C$630,0)),"",INDEX('Compliance Database'!$L$2:$L$630,MATCH(242,Engine!$C$2:$C$630,0)))</f>
        <v/>
      </c>
      <c r="M255" s="8">
        <f>IF(ISNA(MATCH(242,Engine!$C$2:$C$630,0)),"",INDEX('Compliance Database'!$M$2:$M$630,MATCH(242,Engine!$C$2:$C$630,0)))</f>
        <v/>
      </c>
      <c r="N255" s="8">
        <f>IF(ISNA(MATCH(242,Engine!$C$2:$C$630,0)),"",INDEX('Compliance Database'!$N$2:$N$630,MATCH(242,Engine!$C$2:$C$630,0)))</f>
        <v/>
      </c>
      <c r="O255" s="8">
        <f>IF(ISNA(MATCH(242,Engine!$C$2:$C$630,0)),"",INDEX('Compliance Database'!$O$2:$O$630,MATCH(242,Engine!$C$2:$C$630,0)))</f>
        <v/>
      </c>
    </row>
    <row r="256">
      <c r="A256">
        <f>IF(ISNA(MATCH(243,Engine!$C$2:$C$630,0)),"",INDEX('Compliance Database'!$A$2:$A$630,MATCH(243,Engine!$C$2:$C$630,0)))</f>
        <v/>
      </c>
      <c r="B256">
        <f>IF(ISNA(MATCH(243,Engine!$C$2:$C$630,0)),"",INDEX('Compliance Database'!$B$2:$B$630,MATCH(243,Engine!$C$2:$C$630,0)))</f>
        <v/>
      </c>
      <c r="C256">
        <f>IF(ISNA(MATCH(243,Engine!$C$2:$C$630,0)),"",INDEX('Compliance Database'!$C$2:$C$630,MATCH(243,Engine!$C$2:$C$630,0)))</f>
        <v/>
      </c>
      <c r="D256" s="8">
        <f>IF(ISNA(MATCH(243,Engine!$C$2:$C$630,0)),"",INDEX('Compliance Database'!$D$2:$D$630,MATCH(243,Engine!$C$2:$C$630,0)))</f>
        <v/>
      </c>
      <c r="E256">
        <f>IF(ISNA(MATCH(243,Engine!$C$2:$C$630,0)),"",INDEX('Compliance Database'!$E$2:$E$630,MATCH(243,Engine!$C$2:$C$630,0)))</f>
        <v/>
      </c>
      <c r="F256">
        <f>IF(ISNA(MATCH(243,Engine!$C$2:$C$630,0)),"",INDEX('Compliance Database'!$F$2:$F$630,MATCH(243,Engine!$C$2:$C$630,0)))</f>
        <v/>
      </c>
      <c r="G256">
        <f>IF(ISNA(MATCH(243,Engine!$C$2:$C$630,0)),"",INDEX('Compliance Database'!$G$2:$G$630,MATCH(243,Engine!$C$2:$C$630,0)))</f>
        <v/>
      </c>
      <c r="H256">
        <f>IF(ISNA(MATCH(243,Engine!$C$2:$C$630,0)),"",INDEX('Compliance Database'!$H$2:$H$630,MATCH(243,Engine!$C$2:$C$630,0)))</f>
        <v/>
      </c>
      <c r="I256" s="8">
        <f>IF(ISNA(MATCH(243,Engine!$C$2:$C$630,0)),"",INDEX('Compliance Database'!$I$2:$I$630,MATCH(243,Engine!$C$2:$C$630,0)))</f>
        <v/>
      </c>
      <c r="J256" s="8">
        <f>IF(ISNA(MATCH(243,Engine!$C$2:$C$630,0)),"",INDEX('Compliance Database'!$J$2:$J$630,MATCH(243,Engine!$C$2:$C$630,0)))</f>
        <v/>
      </c>
      <c r="K256">
        <f>IF(ISNA(MATCH(243,Engine!$C$2:$C$630,0)),"",INDEX('Compliance Database'!$K$2:$K$630,MATCH(243,Engine!$C$2:$C$630,0)))</f>
        <v/>
      </c>
      <c r="L256" s="8">
        <f>IF(ISNA(MATCH(243,Engine!$C$2:$C$630,0)),"",INDEX('Compliance Database'!$L$2:$L$630,MATCH(243,Engine!$C$2:$C$630,0)))</f>
        <v/>
      </c>
      <c r="M256" s="8">
        <f>IF(ISNA(MATCH(243,Engine!$C$2:$C$630,0)),"",INDEX('Compliance Database'!$M$2:$M$630,MATCH(243,Engine!$C$2:$C$630,0)))</f>
        <v/>
      </c>
      <c r="N256" s="8">
        <f>IF(ISNA(MATCH(243,Engine!$C$2:$C$630,0)),"",INDEX('Compliance Database'!$N$2:$N$630,MATCH(243,Engine!$C$2:$C$630,0)))</f>
        <v/>
      </c>
      <c r="O256" s="8">
        <f>IF(ISNA(MATCH(243,Engine!$C$2:$C$630,0)),"",INDEX('Compliance Database'!$O$2:$O$630,MATCH(243,Engine!$C$2:$C$630,0)))</f>
        <v/>
      </c>
    </row>
    <row r="257">
      <c r="A257">
        <f>IF(ISNA(MATCH(244,Engine!$C$2:$C$630,0)),"",INDEX('Compliance Database'!$A$2:$A$630,MATCH(244,Engine!$C$2:$C$630,0)))</f>
        <v/>
      </c>
      <c r="B257">
        <f>IF(ISNA(MATCH(244,Engine!$C$2:$C$630,0)),"",INDEX('Compliance Database'!$B$2:$B$630,MATCH(244,Engine!$C$2:$C$630,0)))</f>
        <v/>
      </c>
      <c r="C257">
        <f>IF(ISNA(MATCH(244,Engine!$C$2:$C$630,0)),"",INDEX('Compliance Database'!$C$2:$C$630,MATCH(244,Engine!$C$2:$C$630,0)))</f>
        <v/>
      </c>
      <c r="D257" s="8">
        <f>IF(ISNA(MATCH(244,Engine!$C$2:$C$630,0)),"",INDEX('Compliance Database'!$D$2:$D$630,MATCH(244,Engine!$C$2:$C$630,0)))</f>
        <v/>
      </c>
      <c r="E257">
        <f>IF(ISNA(MATCH(244,Engine!$C$2:$C$630,0)),"",INDEX('Compliance Database'!$E$2:$E$630,MATCH(244,Engine!$C$2:$C$630,0)))</f>
        <v/>
      </c>
      <c r="F257">
        <f>IF(ISNA(MATCH(244,Engine!$C$2:$C$630,0)),"",INDEX('Compliance Database'!$F$2:$F$630,MATCH(244,Engine!$C$2:$C$630,0)))</f>
        <v/>
      </c>
      <c r="G257">
        <f>IF(ISNA(MATCH(244,Engine!$C$2:$C$630,0)),"",INDEX('Compliance Database'!$G$2:$G$630,MATCH(244,Engine!$C$2:$C$630,0)))</f>
        <v/>
      </c>
      <c r="H257">
        <f>IF(ISNA(MATCH(244,Engine!$C$2:$C$630,0)),"",INDEX('Compliance Database'!$H$2:$H$630,MATCH(244,Engine!$C$2:$C$630,0)))</f>
        <v/>
      </c>
      <c r="I257" s="8">
        <f>IF(ISNA(MATCH(244,Engine!$C$2:$C$630,0)),"",INDEX('Compliance Database'!$I$2:$I$630,MATCH(244,Engine!$C$2:$C$630,0)))</f>
        <v/>
      </c>
      <c r="J257" s="8">
        <f>IF(ISNA(MATCH(244,Engine!$C$2:$C$630,0)),"",INDEX('Compliance Database'!$J$2:$J$630,MATCH(244,Engine!$C$2:$C$630,0)))</f>
        <v/>
      </c>
      <c r="K257">
        <f>IF(ISNA(MATCH(244,Engine!$C$2:$C$630,0)),"",INDEX('Compliance Database'!$K$2:$K$630,MATCH(244,Engine!$C$2:$C$630,0)))</f>
        <v/>
      </c>
      <c r="L257" s="8">
        <f>IF(ISNA(MATCH(244,Engine!$C$2:$C$630,0)),"",INDEX('Compliance Database'!$L$2:$L$630,MATCH(244,Engine!$C$2:$C$630,0)))</f>
        <v/>
      </c>
      <c r="M257" s="8">
        <f>IF(ISNA(MATCH(244,Engine!$C$2:$C$630,0)),"",INDEX('Compliance Database'!$M$2:$M$630,MATCH(244,Engine!$C$2:$C$630,0)))</f>
        <v/>
      </c>
      <c r="N257" s="8">
        <f>IF(ISNA(MATCH(244,Engine!$C$2:$C$630,0)),"",INDEX('Compliance Database'!$N$2:$N$630,MATCH(244,Engine!$C$2:$C$630,0)))</f>
        <v/>
      </c>
      <c r="O257" s="8">
        <f>IF(ISNA(MATCH(244,Engine!$C$2:$C$630,0)),"",INDEX('Compliance Database'!$O$2:$O$630,MATCH(244,Engine!$C$2:$C$630,0)))</f>
        <v/>
      </c>
    </row>
    <row r="258">
      <c r="A258">
        <f>IF(ISNA(MATCH(245,Engine!$C$2:$C$630,0)),"",INDEX('Compliance Database'!$A$2:$A$630,MATCH(245,Engine!$C$2:$C$630,0)))</f>
        <v/>
      </c>
      <c r="B258">
        <f>IF(ISNA(MATCH(245,Engine!$C$2:$C$630,0)),"",INDEX('Compliance Database'!$B$2:$B$630,MATCH(245,Engine!$C$2:$C$630,0)))</f>
        <v/>
      </c>
      <c r="C258">
        <f>IF(ISNA(MATCH(245,Engine!$C$2:$C$630,0)),"",INDEX('Compliance Database'!$C$2:$C$630,MATCH(245,Engine!$C$2:$C$630,0)))</f>
        <v/>
      </c>
      <c r="D258" s="8">
        <f>IF(ISNA(MATCH(245,Engine!$C$2:$C$630,0)),"",INDEX('Compliance Database'!$D$2:$D$630,MATCH(245,Engine!$C$2:$C$630,0)))</f>
        <v/>
      </c>
      <c r="E258">
        <f>IF(ISNA(MATCH(245,Engine!$C$2:$C$630,0)),"",INDEX('Compliance Database'!$E$2:$E$630,MATCH(245,Engine!$C$2:$C$630,0)))</f>
        <v/>
      </c>
      <c r="F258">
        <f>IF(ISNA(MATCH(245,Engine!$C$2:$C$630,0)),"",INDEX('Compliance Database'!$F$2:$F$630,MATCH(245,Engine!$C$2:$C$630,0)))</f>
        <v/>
      </c>
      <c r="G258">
        <f>IF(ISNA(MATCH(245,Engine!$C$2:$C$630,0)),"",INDEX('Compliance Database'!$G$2:$G$630,MATCH(245,Engine!$C$2:$C$630,0)))</f>
        <v/>
      </c>
      <c r="H258">
        <f>IF(ISNA(MATCH(245,Engine!$C$2:$C$630,0)),"",INDEX('Compliance Database'!$H$2:$H$630,MATCH(245,Engine!$C$2:$C$630,0)))</f>
        <v/>
      </c>
      <c r="I258" s="8">
        <f>IF(ISNA(MATCH(245,Engine!$C$2:$C$630,0)),"",INDEX('Compliance Database'!$I$2:$I$630,MATCH(245,Engine!$C$2:$C$630,0)))</f>
        <v/>
      </c>
      <c r="J258" s="8">
        <f>IF(ISNA(MATCH(245,Engine!$C$2:$C$630,0)),"",INDEX('Compliance Database'!$J$2:$J$630,MATCH(245,Engine!$C$2:$C$630,0)))</f>
        <v/>
      </c>
      <c r="K258">
        <f>IF(ISNA(MATCH(245,Engine!$C$2:$C$630,0)),"",INDEX('Compliance Database'!$K$2:$K$630,MATCH(245,Engine!$C$2:$C$630,0)))</f>
        <v/>
      </c>
      <c r="L258" s="8">
        <f>IF(ISNA(MATCH(245,Engine!$C$2:$C$630,0)),"",INDEX('Compliance Database'!$L$2:$L$630,MATCH(245,Engine!$C$2:$C$630,0)))</f>
        <v/>
      </c>
      <c r="M258" s="8">
        <f>IF(ISNA(MATCH(245,Engine!$C$2:$C$630,0)),"",INDEX('Compliance Database'!$M$2:$M$630,MATCH(245,Engine!$C$2:$C$630,0)))</f>
        <v/>
      </c>
      <c r="N258" s="8">
        <f>IF(ISNA(MATCH(245,Engine!$C$2:$C$630,0)),"",INDEX('Compliance Database'!$N$2:$N$630,MATCH(245,Engine!$C$2:$C$630,0)))</f>
        <v/>
      </c>
      <c r="O258" s="8">
        <f>IF(ISNA(MATCH(245,Engine!$C$2:$C$630,0)),"",INDEX('Compliance Database'!$O$2:$O$630,MATCH(245,Engine!$C$2:$C$630,0)))</f>
        <v/>
      </c>
    </row>
    <row r="259">
      <c r="A259">
        <f>IF(ISNA(MATCH(246,Engine!$C$2:$C$630,0)),"",INDEX('Compliance Database'!$A$2:$A$630,MATCH(246,Engine!$C$2:$C$630,0)))</f>
        <v/>
      </c>
      <c r="B259">
        <f>IF(ISNA(MATCH(246,Engine!$C$2:$C$630,0)),"",INDEX('Compliance Database'!$B$2:$B$630,MATCH(246,Engine!$C$2:$C$630,0)))</f>
        <v/>
      </c>
      <c r="C259">
        <f>IF(ISNA(MATCH(246,Engine!$C$2:$C$630,0)),"",INDEX('Compliance Database'!$C$2:$C$630,MATCH(246,Engine!$C$2:$C$630,0)))</f>
        <v/>
      </c>
      <c r="D259" s="8">
        <f>IF(ISNA(MATCH(246,Engine!$C$2:$C$630,0)),"",INDEX('Compliance Database'!$D$2:$D$630,MATCH(246,Engine!$C$2:$C$630,0)))</f>
        <v/>
      </c>
      <c r="E259">
        <f>IF(ISNA(MATCH(246,Engine!$C$2:$C$630,0)),"",INDEX('Compliance Database'!$E$2:$E$630,MATCH(246,Engine!$C$2:$C$630,0)))</f>
        <v/>
      </c>
      <c r="F259">
        <f>IF(ISNA(MATCH(246,Engine!$C$2:$C$630,0)),"",INDEX('Compliance Database'!$F$2:$F$630,MATCH(246,Engine!$C$2:$C$630,0)))</f>
        <v/>
      </c>
      <c r="G259">
        <f>IF(ISNA(MATCH(246,Engine!$C$2:$C$630,0)),"",INDEX('Compliance Database'!$G$2:$G$630,MATCH(246,Engine!$C$2:$C$630,0)))</f>
        <v/>
      </c>
      <c r="H259">
        <f>IF(ISNA(MATCH(246,Engine!$C$2:$C$630,0)),"",INDEX('Compliance Database'!$H$2:$H$630,MATCH(246,Engine!$C$2:$C$630,0)))</f>
        <v/>
      </c>
      <c r="I259" s="8">
        <f>IF(ISNA(MATCH(246,Engine!$C$2:$C$630,0)),"",INDEX('Compliance Database'!$I$2:$I$630,MATCH(246,Engine!$C$2:$C$630,0)))</f>
        <v/>
      </c>
      <c r="J259" s="8">
        <f>IF(ISNA(MATCH(246,Engine!$C$2:$C$630,0)),"",INDEX('Compliance Database'!$J$2:$J$630,MATCH(246,Engine!$C$2:$C$630,0)))</f>
        <v/>
      </c>
      <c r="K259">
        <f>IF(ISNA(MATCH(246,Engine!$C$2:$C$630,0)),"",INDEX('Compliance Database'!$K$2:$K$630,MATCH(246,Engine!$C$2:$C$630,0)))</f>
        <v/>
      </c>
      <c r="L259" s="8">
        <f>IF(ISNA(MATCH(246,Engine!$C$2:$C$630,0)),"",INDEX('Compliance Database'!$L$2:$L$630,MATCH(246,Engine!$C$2:$C$630,0)))</f>
        <v/>
      </c>
      <c r="M259" s="8">
        <f>IF(ISNA(MATCH(246,Engine!$C$2:$C$630,0)),"",INDEX('Compliance Database'!$M$2:$M$630,MATCH(246,Engine!$C$2:$C$630,0)))</f>
        <v/>
      </c>
      <c r="N259" s="8">
        <f>IF(ISNA(MATCH(246,Engine!$C$2:$C$630,0)),"",INDEX('Compliance Database'!$N$2:$N$630,MATCH(246,Engine!$C$2:$C$630,0)))</f>
        <v/>
      </c>
      <c r="O259" s="8">
        <f>IF(ISNA(MATCH(246,Engine!$C$2:$C$630,0)),"",INDEX('Compliance Database'!$O$2:$O$630,MATCH(246,Engine!$C$2:$C$630,0)))</f>
        <v/>
      </c>
    </row>
    <row r="260">
      <c r="A260">
        <f>IF(ISNA(MATCH(247,Engine!$C$2:$C$630,0)),"",INDEX('Compliance Database'!$A$2:$A$630,MATCH(247,Engine!$C$2:$C$630,0)))</f>
        <v/>
      </c>
      <c r="B260">
        <f>IF(ISNA(MATCH(247,Engine!$C$2:$C$630,0)),"",INDEX('Compliance Database'!$B$2:$B$630,MATCH(247,Engine!$C$2:$C$630,0)))</f>
        <v/>
      </c>
      <c r="C260">
        <f>IF(ISNA(MATCH(247,Engine!$C$2:$C$630,0)),"",INDEX('Compliance Database'!$C$2:$C$630,MATCH(247,Engine!$C$2:$C$630,0)))</f>
        <v/>
      </c>
      <c r="D260" s="8">
        <f>IF(ISNA(MATCH(247,Engine!$C$2:$C$630,0)),"",INDEX('Compliance Database'!$D$2:$D$630,MATCH(247,Engine!$C$2:$C$630,0)))</f>
        <v/>
      </c>
      <c r="E260">
        <f>IF(ISNA(MATCH(247,Engine!$C$2:$C$630,0)),"",INDEX('Compliance Database'!$E$2:$E$630,MATCH(247,Engine!$C$2:$C$630,0)))</f>
        <v/>
      </c>
      <c r="F260">
        <f>IF(ISNA(MATCH(247,Engine!$C$2:$C$630,0)),"",INDEX('Compliance Database'!$F$2:$F$630,MATCH(247,Engine!$C$2:$C$630,0)))</f>
        <v/>
      </c>
      <c r="G260">
        <f>IF(ISNA(MATCH(247,Engine!$C$2:$C$630,0)),"",INDEX('Compliance Database'!$G$2:$G$630,MATCH(247,Engine!$C$2:$C$630,0)))</f>
        <v/>
      </c>
      <c r="H260">
        <f>IF(ISNA(MATCH(247,Engine!$C$2:$C$630,0)),"",INDEX('Compliance Database'!$H$2:$H$630,MATCH(247,Engine!$C$2:$C$630,0)))</f>
        <v/>
      </c>
      <c r="I260" s="8">
        <f>IF(ISNA(MATCH(247,Engine!$C$2:$C$630,0)),"",INDEX('Compliance Database'!$I$2:$I$630,MATCH(247,Engine!$C$2:$C$630,0)))</f>
        <v/>
      </c>
      <c r="J260" s="8">
        <f>IF(ISNA(MATCH(247,Engine!$C$2:$C$630,0)),"",INDEX('Compliance Database'!$J$2:$J$630,MATCH(247,Engine!$C$2:$C$630,0)))</f>
        <v/>
      </c>
      <c r="K260">
        <f>IF(ISNA(MATCH(247,Engine!$C$2:$C$630,0)),"",INDEX('Compliance Database'!$K$2:$K$630,MATCH(247,Engine!$C$2:$C$630,0)))</f>
        <v/>
      </c>
      <c r="L260" s="8">
        <f>IF(ISNA(MATCH(247,Engine!$C$2:$C$630,0)),"",INDEX('Compliance Database'!$L$2:$L$630,MATCH(247,Engine!$C$2:$C$630,0)))</f>
        <v/>
      </c>
      <c r="M260" s="8">
        <f>IF(ISNA(MATCH(247,Engine!$C$2:$C$630,0)),"",INDEX('Compliance Database'!$M$2:$M$630,MATCH(247,Engine!$C$2:$C$630,0)))</f>
        <v/>
      </c>
      <c r="N260" s="8">
        <f>IF(ISNA(MATCH(247,Engine!$C$2:$C$630,0)),"",INDEX('Compliance Database'!$N$2:$N$630,MATCH(247,Engine!$C$2:$C$630,0)))</f>
        <v/>
      </c>
      <c r="O260" s="8">
        <f>IF(ISNA(MATCH(247,Engine!$C$2:$C$630,0)),"",INDEX('Compliance Database'!$O$2:$O$630,MATCH(247,Engine!$C$2:$C$630,0)))</f>
        <v/>
      </c>
    </row>
    <row r="261">
      <c r="A261">
        <f>IF(ISNA(MATCH(248,Engine!$C$2:$C$630,0)),"",INDEX('Compliance Database'!$A$2:$A$630,MATCH(248,Engine!$C$2:$C$630,0)))</f>
        <v/>
      </c>
      <c r="B261">
        <f>IF(ISNA(MATCH(248,Engine!$C$2:$C$630,0)),"",INDEX('Compliance Database'!$B$2:$B$630,MATCH(248,Engine!$C$2:$C$630,0)))</f>
        <v/>
      </c>
      <c r="C261">
        <f>IF(ISNA(MATCH(248,Engine!$C$2:$C$630,0)),"",INDEX('Compliance Database'!$C$2:$C$630,MATCH(248,Engine!$C$2:$C$630,0)))</f>
        <v/>
      </c>
      <c r="D261" s="8">
        <f>IF(ISNA(MATCH(248,Engine!$C$2:$C$630,0)),"",INDEX('Compliance Database'!$D$2:$D$630,MATCH(248,Engine!$C$2:$C$630,0)))</f>
        <v/>
      </c>
      <c r="E261">
        <f>IF(ISNA(MATCH(248,Engine!$C$2:$C$630,0)),"",INDEX('Compliance Database'!$E$2:$E$630,MATCH(248,Engine!$C$2:$C$630,0)))</f>
        <v/>
      </c>
      <c r="F261">
        <f>IF(ISNA(MATCH(248,Engine!$C$2:$C$630,0)),"",INDEX('Compliance Database'!$F$2:$F$630,MATCH(248,Engine!$C$2:$C$630,0)))</f>
        <v/>
      </c>
      <c r="G261">
        <f>IF(ISNA(MATCH(248,Engine!$C$2:$C$630,0)),"",INDEX('Compliance Database'!$G$2:$G$630,MATCH(248,Engine!$C$2:$C$630,0)))</f>
        <v/>
      </c>
      <c r="H261">
        <f>IF(ISNA(MATCH(248,Engine!$C$2:$C$630,0)),"",INDEX('Compliance Database'!$H$2:$H$630,MATCH(248,Engine!$C$2:$C$630,0)))</f>
        <v/>
      </c>
      <c r="I261" s="8">
        <f>IF(ISNA(MATCH(248,Engine!$C$2:$C$630,0)),"",INDEX('Compliance Database'!$I$2:$I$630,MATCH(248,Engine!$C$2:$C$630,0)))</f>
        <v/>
      </c>
      <c r="J261" s="8">
        <f>IF(ISNA(MATCH(248,Engine!$C$2:$C$630,0)),"",INDEX('Compliance Database'!$J$2:$J$630,MATCH(248,Engine!$C$2:$C$630,0)))</f>
        <v/>
      </c>
      <c r="K261">
        <f>IF(ISNA(MATCH(248,Engine!$C$2:$C$630,0)),"",INDEX('Compliance Database'!$K$2:$K$630,MATCH(248,Engine!$C$2:$C$630,0)))</f>
        <v/>
      </c>
      <c r="L261" s="8">
        <f>IF(ISNA(MATCH(248,Engine!$C$2:$C$630,0)),"",INDEX('Compliance Database'!$L$2:$L$630,MATCH(248,Engine!$C$2:$C$630,0)))</f>
        <v/>
      </c>
      <c r="M261" s="8">
        <f>IF(ISNA(MATCH(248,Engine!$C$2:$C$630,0)),"",INDEX('Compliance Database'!$M$2:$M$630,MATCH(248,Engine!$C$2:$C$630,0)))</f>
        <v/>
      </c>
      <c r="N261" s="8">
        <f>IF(ISNA(MATCH(248,Engine!$C$2:$C$630,0)),"",INDEX('Compliance Database'!$N$2:$N$630,MATCH(248,Engine!$C$2:$C$630,0)))</f>
        <v/>
      </c>
      <c r="O261" s="8">
        <f>IF(ISNA(MATCH(248,Engine!$C$2:$C$630,0)),"",INDEX('Compliance Database'!$O$2:$O$630,MATCH(248,Engine!$C$2:$C$630,0)))</f>
        <v/>
      </c>
    </row>
    <row r="262">
      <c r="A262">
        <f>IF(ISNA(MATCH(249,Engine!$C$2:$C$630,0)),"",INDEX('Compliance Database'!$A$2:$A$630,MATCH(249,Engine!$C$2:$C$630,0)))</f>
        <v/>
      </c>
      <c r="B262">
        <f>IF(ISNA(MATCH(249,Engine!$C$2:$C$630,0)),"",INDEX('Compliance Database'!$B$2:$B$630,MATCH(249,Engine!$C$2:$C$630,0)))</f>
        <v/>
      </c>
      <c r="C262">
        <f>IF(ISNA(MATCH(249,Engine!$C$2:$C$630,0)),"",INDEX('Compliance Database'!$C$2:$C$630,MATCH(249,Engine!$C$2:$C$630,0)))</f>
        <v/>
      </c>
      <c r="D262" s="8">
        <f>IF(ISNA(MATCH(249,Engine!$C$2:$C$630,0)),"",INDEX('Compliance Database'!$D$2:$D$630,MATCH(249,Engine!$C$2:$C$630,0)))</f>
        <v/>
      </c>
      <c r="E262">
        <f>IF(ISNA(MATCH(249,Engine!$C$2:$C$630,0)),"",INDEX('Compliance Database'!$E$2:$E$630,MATCH(249,Engine!$C$2:$C$630,0)))</f>
        <v/>
      </c>
      <c r="F262">
        <f>IF(ISNA(MATCH(249,Engine!$C$2:$C$630,0)),"",INDEX('Compliance Database'!$F$2:$F$630,MATCH(249,Engine!$C$2:$C$630,0)))</f>
        <v/>
      </c>
      <c r="G262">
        <f>IF(ISNA(MATCH(249,Engine!$C$2:$C$630,0)),"",INDEX('Compliance Database'!$G$2:$G$630,MATCH(249,Engine!$C$2:$C$630,0)))</f>
        <v/>
      </c>
      <c r="H262">
        <f>IF(ISNA(MATCH(249,Engine!$C$2:$C$630,0)),"",INDEX('Compliance Database'!$H$2:$H$630,MATCH(249,Engine!$C$2:$C$630,0)))</f>
        <v/>
      </c>
      <c r="I262" s="8">
        <f>IF(ISNA(MATCH(249,Engine!$C$2:$C$630,0)),"",INDEX('Compliance Database'!$I$2:$I$630,MATCH(249,Engine!$C$2:$C$630,0)))</f>
        <v/>
      </c>
      <c r="J262" s="8">
        <f>IF(ISNA(MATCH(249,Engine!$C$2:$C$630,0)),"",INDEX('Compliance Database'!$J$2:$J$630,MATCH(249,Engine!$C$2:$C$630,0)))</f>
        <v/>
      </c>
      <c r="K262">
        <f>IF(ISNA(MATCH(249,Engine!$C$2:$C$630,0)),"",INDEX('Compliance Database'!$K$2:$K$630,MATCH(249,Engine!$C$2:$C$630,0)))</f>
        <v/>
      </c>
      <c r="L262" s="8">
        <f>IF(ISNA(MATCH(249,Engine!$C$2:$C$630,0)),"",INDEX('Compliance Database'!$L$2:$L$630,MATCH(249,Engine!$C$2:$C$630,0)))</f>
        <v/>
      </c>
      <c r="M262" s="8">
        <f>IF(ISNA(MATCH(249,Engine!$C$2:$C$630,0)),"",INDEX('Compliance Database'!$M$2:$M$630,MATCH(249,Engine!$C$2:$C$630,0)))</f>
        <v/>
      </c>
      <c r="N262" s="8">
        <f>IF(ISNA(MATCH(249,Engine!$C$2:$C$630,0)),"",INDEX('Compliance Database'!$N$2:$N$630,MATCH(249,Engine!$C$2:$C$630,0)))</f>
        <v/>
      </c>
      <c r="O262" s="8">
        <f>IF(ISNA(MATCH(249,Engine!$C$2:$C$630,0)),"",INDEX('Compliance Database'!$O$2:$O$630,MATCH(249,Engine!$C$2:$C$630,0)))</f>
        <v/>
      </c>
    </row>
    <row r="263">
      <c r="A263">
        <f>IF(ISNA(MATCH(250,Engine!$C$2:$C$630,0)),"",INDEX('Compliance Database'!$A$2:$A$630,MATCH(250,Engine!$C$2:$C$630,0)))</f>
        <v/>
      </c>
      <c r="B263">
        <f>IF(ISNA(MATCH(250,Engine!$C$2:$C$630,0)),"",INDEX('Compliance Database'!$B$2:$B$630,MATCH(250,Engine!$C$2:$C$630,0)))</f>
        <v/>
      </c>
      <c r="C263">
        <f>IF(ISNA(MATCH(250,Engine!$C$2:$C$630,0)),"",INDEX('Compliance Database'!$C$2:$C$630,MATCH(250,Engine!$C$2:$C$630,0)))</f>
        <v/>
      </c>
      <c r="D263" s="8">
        <f>IF(ISNA(MATCH(250,Engine!$C$2:$C$630,0)),"",INDEX('Compliance Database'!$D$2:$D$630,MATCH(250,Engine!$C$2:$C$630,0)))</f>
        <v/>
      </c>
      <c r="E263">
        <f>IF(ISNA(MATCH(250,Engine!$C$2:$C$630,0)),"",INDEX('Compliance Database'!$E$2:$E$630,MATCH(250,Engine!$C$2:$C$630,0)))</f>
        <v/>
      </c>
      <c r="F263">
        <f>IF(ISNA(MATCH(250,Engine!$C$2:$C$630,0)),"",INDEX('Compliance Database'!$F$2:$F$630,MATCH(250,Engine!$C$2:$C$630,0)))</f>
        <v/>
      </c>
      <c r="G263">
        <f>IF(ISNA(MATCH(250,Engine!$C$2:$C$630,0)),"",INDEX('Compliance Database'!$G$2:$G$630,MATCH(250,Engine!$C$2:$C$630,0)))</f>
        <v/>
      </c>
      <c r="H263">
        <f>IF(ISNA(MATCH(250,Engine!$C$2:$C$630,0)),"",INDEX('Compliance Database'!$H$2:$H$630,MATCH(250,Engine!$C$2:$C$630,0)))</f>
        <v/>
      </c>
      <c r="I263" s="8">
        <f>IF(ISNA(MATCH(250,Engine!$C$2:$C$630,0)),"",INDEX('Compliance Database'!$I$2:$I$630,MATCH(250,Engine!$C$2:$C$630,0)))</f>
        <v/>
      </c>
      <c r="J263" s="8">
        <f>IF(ISNA(MATCH(250,Engine!$C$2:$C$630,0)),"",INDEX('Compliance Database'!$J$2:$J$630,MATCH(250,Engine!$C$2:$C$630,0)))</f>
        <v/>
      </c>
      <c r="K263">
        <f>IF(ISNA(MATCH(250,Engine!$C$2:$C$630,0)),"",INDEX('Compliance Database'!$K$2:$K$630,MATCH(250,Engine!$C$2:$C$630,0)))</f>
        <v/>
      </c>
      <c r="L263" s="8">
        <f>IF(ISNA(MATCH(250,Engine!$C$2:$C$630,0)),"",INDEX('Compliance Database'!$L$2:$L$630,MATCH(250,Engine!$C$2:$C$630,0)))</f>
        <v/>
      </c>
      <c r="M263" s="8">
        <f>IF(ISNA(MATCH(250,Engine!$C$2:$C$630,0)),"",INDEX('Compliance Database'!$M$2:$M$630,MATCH(250,Engine!$C$2:$C$630,0)))</f>
        <v/>
      </c>
      <c r="N263" s="8">
        <f>IF(ISNA(MATCH(250,Engine!$C$2:$C$630,0)),"",INDEX('Compliance Database'!$N$2:$N$630,MATCH(250,Engine!$C$2:$C$630,0)))</f>
        <v/>
      </c>
      <c r="O263" s="8">
        <f>IF(ISNA(MATCH(250,Engine!$C$2:$C$630,0)),"",INDEX('Compliance Database'!$O$2:$O$630,MATCH(250,Engine!$C$2:$C$630,0)))</f>
        <v/>
      </c>
    </row>
    <row r="264">
      <c r="A264">
        <f>IF(ISNA(MATCH(251,Engine!$C$2:$C$630,0)),"",INDEX('Compliance Database'!$A$2:$A$630,MATCH(251,Engine!$C$2:$C$630,0)))</f>
        <v/>
      </c>
      <c r="B264">
        <f>IF(ISNA(MATCH(251,Engine!$C$2:$C$630,0)),"",INDEX('Compliance Database'!$B$2:$B$630,MATCH(251,Engine!$C$2:$C$630,0)))</f>
        <v/>
      </c>
      <c r="C264">
        <f>IF(ISNA(MATCH(251,Engine!$C$2:$C$630,0)),"",INDEX('Compliance Database'!$C$2:$C$630,MATCH(251,Engine!$C$2:$C$630,0)))</f>
        <v/>
      </c>
      <c r="D264" s="8">
        <f>IF(ISNA(MATCH(251,Engine!$C$2:$C$630,0)),"",INDEX('Compliance Database'!$D$2:$D$630,MATCH(251,Engine!$C$2:$C$630,0)))</f>
        <v/>
      </c>
      <c r="E264">
        <f>IF(ISNA(MATCH(251,Engine!$C$2:$C$630,0)),"",INDEX('Compliance Database'!$E$2:$E$630,MATCH(251,Engine!$C$2:$C$630,0)))</f>
        <v/>
      </c>
      <c r="F264">
        <f>IF(ISNA(MATCH(251,Engine!$C$2:$C$630,0)),"",INDEX('Compliance Database'!$F$2:$F$630,MATCH(251,Engine!$C$2:$C$630,0)))</f>
        <v/>
      </c>
      <c r="G264">
        <f>IF(ISNA(MATCH(251,Engine!$C$2:$C$630,0)),"",INDEX('Compliance Database'!$G$2:$G$630,MATCH(251,Engine!$C$2:$C$630,0)))</f>
        <v/>
      </c>
      <c r="H264">
        <f>IF(ISNA(MATCH(251,Engine!$C$2:$C$630,0)),"",INDEX('Compliance Database'!$H$2:$H$630,MATCH(251,Engine!$C$2:$C$630,0)))</f>
        <v/>
      </c>
      <c r="I264" s="8">
        <f>IF(ISNA(MATCH(251,Engine!$C$2:$C$630,0)),"",INDEX('Compliance Database'!$I$2:$I$630,MATCH(251,Engine!$C$2:$C$630,0)))</f>
        <v/>
      </c>
      <c r="J264" s="8">
        <f>IF(ISNA(MATCH(251,Engine!$C$2:$C$630,0)),"",INDEX('Compliance Database'!$J$2:$J$630,MATCH(251,Engine!$C$2:$C$630,0)))</f>
        <v/>
      </c>
      <c r="K264">
        <f>IF(ISNA(MATCH(251,Engine!$C$2:$C$630,0)),"",INDEX('Compliance Database'!$K$2:$K$630,MATCH(251,Engine!$C$2:$C$630,0)))</f>
        <v/>
      </c>
      <c r="L264" s="8">
        <f>IF(ISNA(MATCH(251,Engine!$C$2:$C$630,0)),"",INDEX('Compliance Database'!$L$2:$L$630,MATCH(251,Engine!$C$2:$C$630,0)))</f>
        <v/>
      </c>
      <c r="M264" s="8">
        <f>IF(ISNA(MATCH(251,Engine!$C$2:$C$630,0)),"",INDEX('Compliance Database'!$M$2:$M$630,MATCH(251,Engine!$C$2:$C$630,0)))</f>
        <v/>
      </c>
      <c r="N264" s="8">
        <f>IF(ISNA(MATCH(251,Engine!$C$2:$C$630,0)),"",INDEX('Compliance Database'!$N$2:$N$630,MATCH(251,Engine!$C$2:$C$630,0)))</f>
        <v/>
      </c>
      <c r="O264" s="8">
        <f>IF(ISNA(MATCH(251,Engine!$C$2:$C$630,0)),"",INDEX('Compliance Database'!$O$2:$O$630,MATCH(251,Engine!$C$2:$C$630,0)))</f>
        <v/>
      </c>
    </row>
    <row r="265">
      <c r="A265">
        <f>IF(ISNA(MATCH(252,Engine!$C$2:$C$630,0)),"",INDEX('Compliance Database'!$A$2:$A$630,MATCH(252,Engine!$C$2:$C$630,0)))</f>
        <v/>
      </c>
      <c r="B265">
        <f>IF(ISNA(MATCH(252,Engine!$C$2:$C$630,0)),"",INDEX('Compliance Database'!$B$2:$B$630,MATCH(252,Engine!$C$2:$C$630,0)))</f>
        <v/>
      </c>
      <c r="C265">
        <f>IF(ISNA(MATCH(252,Engine!$C$2:$C$630,0)),"",INDEX('Compliance Database'!$C$2:$C$630,MATCH(252,Engine!$C$2:$C$630,0)))</f>
        <v/>
      </c>
      <c r="D265" s="8">
        <f>IF(ISNA(MATCH(252,Engine!$C$2:$C$630,0)),"",INDEX('Compliance Database'!$D$2:$D$630,MATCH(252,Engine!$C$2:$C$630,0)))</f>
        <v/>
      </c>
      <c r="E265">
        <f>IF(ISNA(MATCH(252,Engine!$C$2:$C$630,0)),"",INDEX('Compliance Database'!$E$2:$E$630,MATCH(252,Engine!$C$2:$C$630,0)))</f>
        <v/>
      </c>
      <c r="F265">
        <f>IF(ISNA(MATCH(252,Engine!$C$2:$C$630,0)),"",INDEX('Compliance Database'!$F$2:$F$630,MATCH(252,Engine!$C$2:$C$630,0)))</f>
        <v/>
      </c>
      <c r="G265">
        <f>IF(ISNA(MATCH(252,Engine!$C$2:$C$630,0)),"",INDEX('Compliance Database'!$G$2:$G$630,MATCH(252,Engine!$C$2:$C$630,0)))</f>
        <v/>
      </c>
      <c r="H265">
        <f>IF(ISNA(MATCH(252,Engine!$C$2:$C$630,0)),"",INDEX('Compliance Database'!$H$2:$H$630,MATCH(252,Engine!$C$2:$C$630,0)))</f>
        <v/>
      </c>
      <c r="I265" s="8">
        <f>IF(ISNA(MATCH(252,Engine!$C$2:$C$630,0)),"",INDEX('Compliance Database'!$I$2:$I$630,MATCH(252,Engine!$C$2:$C$630,0)))</f>
        <v/>
      </c>
      <c r="J265" s="8">
        <f>IF(ISNA(MATCH(252,Engine!$C$2:$C$630,0)),"",INDEX('Compliance Database'!$J$2:$J$630,MATCH(252,Engine!$C$2:$C$630,0)))</f>
        <v/>
      </c>
      <c r="K265">
        <f>IF(ISNA(MATCH(252,Engine!$C$2:$C$630,0)),"",INDEX('Compliance Database'!$K$2:$K$630,MATCH(252,Engine!$C$2:$C$630,0)))</f>
        <v/>
      </c>
      <c r="L265" s="8">
        <f>IF(ISNA(MATCH(252,Engine!$C$2:$C$630,0)),"",INDEX('Compliance Database'!$L$2:$L$630,MATCH(252,Engine!$C$2:$C$630,0)))</f>
        <v/>
      </c>
      <c r="M265" s="8">
        <f>IF(ISNA(MATCH(252,Engine!$C$2:$C$630,0)),"",INDEX('Compliance Database'!$M$2:$M$630,MATCH(252,Engine!$C$2:$C$630,0)))</f>
        <v/>
      </c>
      <c r="N265" s="8">
        <f>IF(ISNA(MATCH(252,Engine!$C$2:$C$630,0)),"",INDEX('Compliance Database'!$N$2:$N$630,MATCH(252,Engine!$C$2:$C$630,0)))</f>
        <v/>
      </c>
      <c r="O265" s="8">
        <f>IF(ISNA(MATCH(252,Engine!$C$2:$C$630,0)),"",INDEX('Compliance Database'!$O$2:$O$630,MATCH(252,Engine!$C$2:$C$630,0)))</f>
        <v/>
      </c>
    </row>
    <row r="266">
      <c r="A266">
        <f>IF(ISNA(MATCH(253,Engine!$C$2:$C$630,0)),"",INDEX('Compliance Database'!$A$2:$A$630,MATCH(253,Engine!$C$2:$C$630,0)))</f>
        <v/>
      </c>
      <c r="B266">
        <f>IF(ISNA(MATCH(253,Engine!$C$2:$C$630,0)),"",INDEX('Compliance Database'!$B$2:$B$630,MATCH(253,Engine!$C$2:$C$630,0)))</f>
        <v/>
      </c>
      <c r="C266">
        <f>IF(ISNA(MATCH(253,Engine!$C$2:$C$630,0)),"",INDEX('Compliance Database'!$C$2:$C$630,MATCH(253,Engine!$C$2:$C$630,0)))</f>
        <v/>
      </c>
      <c r="D266" s="8">
        <f>IF(ISNA(MATCH(253,Engine!$C$2:$C$630,0)),"",INDEX('Compliance Database'!$D$2:$D$630,MATCH(253,Engine!$C$2:$C$630,0)))</f>
        <v/>
      </c>
      <c r="E266">
        <f>IF(ISNA(MATCH(253,Engine!$C$2:$C$630,0)),"",INDEX('Compliance Database'!$E$2:$E$630,MATCH(253,Engine!$C$2:$C$630,0)))</f>
        <v/>
      </c>
      <c r="F266">
        <f>IF(ISNA(MATCH(253,Engine!$C$2:$C$630,0)),"",INDEX('Compliance Database'!$F$2:$F$630,MATCH(253,Engine!$C$2:$C$630,0)))</f>
        <v/>
      </c>
      <c r="G266">
        <f>IF(ISNA(MATCH(253,Engine!$C$2:$C$630,0)),"",INDEX('Compliance Database'!$G$2:$G$630,MATCH(253,Engine!$C$2:$C$630,0)))</f>
        <v/>
      </c>
      <c r="H266">
        <f>IF(ISNA(MATCH(253,Engine!$C$2:$C$630,0)),"",INDEX('Compliance Database'!$H$2:$H$630,MATCH(253,Engine!$C$2:$C$630,0)))</f>
        <v/>
      </c>
      <c r="I266" s="8">
        <f>IF(ISNA(MATCH(253,Engine!$C$2:$C$630,0)),"",INDEX('Compliance Database'!$I$2:$I$630,MATCH(253,Engine!$C$2:$C$630,0)))</f>
        <v/>
      </c>
      <c r="J266" s="8">
        <f>IF(ISNA(MATCH(253,Engine!$C$2:$C$630,0)),"",INDEX('Compliance Database'!$J$2:$J$630,MATCH(253,Engine!$C$2:$C$630,0)))</f>
        <v/>
      </c>
      <c r="K266">
        <f>IF(ISNA(MATCH(253,Engine!$C$2:$C$630,0)),"",INDEX('Compliance Database'!$K$2:$K$630,MATCH(253,Engine!$C$2:$C$630,0)))</f>
        <v/>
      </c>
      <c r="L266" s="8">
        <f>IF(ISNA(MATCH(253,Engine!$C$2:$C$630,0)),"",INDEX('Compliance Database'!$L$2:$L$630,MATCH(253,Engine!$C$2:$C$630,0)))</f>
        <v/>
      </c>
      <c r="M266" s="8">
        <f>IF(ISNA(MATCH(253,Engine!$C$2:$C$630,0)),"",INDEX('Compliance Database'!$M$2:$M$630,MATCH(253,Engine!$C$2:$C$630,0)))</f>
        <v/>
      </c>
      <c r="N266" s="8">
        <f>IF(ISNA(MATCH(253,Engine!$C$2:$C$630,0)),"",INDEX('Compliance Database'!$N$2:$N$630,MATCH(253,Engine!$C$2:$C$630,0)))</f>
        <v/>
      </c>
      <c r="O266" s="8">
        <f>IF(ISNA(MATCH(253,Engine!$C$2:$C$630,0)),"",INDEX('Compliance Database'!$O$2:$O$630,MATCH(253,Engine!$C$2:$C$630,0)))</f>
        <v/>
      </c>
    </row>
    <row r="267">
      <c r="A267">
        <f>IF(ISNA(MATCH(254,Engine!$C$2:$C$630,0)),"",INDEX('Compliance Database'!$A$2:$A$630,MATCH(254,Engine!$C$2:$C$630,0)))</f>
        <v/>
      </c>
      <c r="B267">
        <f>IF(ISNA(MATCH(254,Engine!$C$2:$C$630,0)),"",INDEX('Compliance Database'!$B$2:$B$630,MATCH(254,Engine!$C$2:$C$630,0)))</f>
        <v/>
      </c>
      <c r="C267">
        <f>IF(ISNA(MATCH(254,Engine!$C$2:$C$630,0)),"",INDEX('Compliance Database'!$C$2:$C$630,MATCH(254,Engine!$C$2:$C$630,0)))</f>
        <v/>
      </c>
      <c r="D267" s="8">
        <f>IF(ISNA(MATCH(254,Engine!$C$2:$C$630,0)),"",INDEX('Compliance Database'!$D$2:$D$630,MATCH(254,Engine!$C$2:$C$630,0)))</f>
        <v/>
      </c>
      <c r="E267">
        <f>IF(ISNA(MATCH(254,Engine!$C$2:$C$630,0)),"",INDEX('Compliance Database'!$E$2:$E$630,MATCH(254,Engine!$C$2:$C$630,0)))</f>
        <v/>
      </c>
      <c r="F267">
        <f>IF(ISNA(MATCH(254,Engine!$C$2:$C$630,0)),"",INDEX('Compliance Database'!$F$2:$F$630,MATCH(254,Engine!$C$2:$C$630,0)))</f>
        <v/>
      </c>
      <c r="G267">
        <f>IF(ISNA(MATCH(254,Engine!$C$2:$C$630,0)),"",INDEX('Compliance Database'!$G$2:$G$630,MATCH(254,Engine!$C$2:$C$630,0)))</f>
        <v/>
      </c>
      <c r="H267">
        <f>IF(ISNA(MATCH(254,Engine!$C$2:$C$630,0)),"",INDEX('Compliance Database'!$H$2:$H$630,MATCH(254,Engine!$C$2:$C$630,0)))</f>
        <v/>
      </c>
      <c r="I267" s="8">
        <f>IF(ISNA(MATCH(254,Engine!$C$2:$C$630,0)),"",INDEX('Compliance Database'!$I$2:$I$630,MATCH(254,Engine!$C$2:$C$630,0)))</f>
        <v/>
      </c>
      <c r="J267" s="8">
        <f>IF(ISNA(MATCH(254,Engine!$C$2:$C$630,0)),"",INDEX('Compliance Database'!$J$2:$J$630,MATCH(254,Engine!$C$2:$C$630,0)))</f>
        <v/>
      </c>
      <c r="K267">
        <f>IF(ISNA(MATCH(254,Engine!$C$2:$C$630,0)),"",INDEX('Compliance Database'!$K$2:$K$630,MATCH(254,Engine!$C$2:$C$630,0)))</f>
        <v/>
      </c>
      <c r="L267" s="8">
        <f>IF(ISNA(MATCH(254,Engine!$C$2:$C$630,0)),"",INDEX('Compliance Database'!$L$2:$L$630,MATCH(254,Engine!$C$2:$C$630,0)))</f>
        <v/>
      </c>
      <c r="M267" s="8">
        <f>IF(ISNA(MATCH(254,Engine!$C$2:$C$630,0)),"",INDEX('Compliance Database'!$M$2:$M$630,MATCH(254,Engine!$C$2:$C$630,0)))</f>
        <v/>
      </c>
      <c r="N267" s="8">
        <f>IF(ISNA(MATCH(254,Engine!$C$2:$C$630,0)),"",INDEX('Compliance Database'!$N$2:$N$630,MATCH(254,Engine!$C$2:$C$630,0)))</f>
        <v/>
      </c>
      <c r="O267" s="8">
        <f>IF(ISNA(MATCH(254,Engine!$C$2:$C$630,0)),"",INDEX('Compliance Database'!$O$2:$O$630,MATCH(254,Engine!$C$2:$C$630,0)))</f>
        <v/>
      </c>
    </row>
    <row r="268">
      <c r="A268">
        <f>IF(ISNA(MATCH(255,Engine!$C$2:$C$630,0)),"",INDEX('Compliance Database'!$A$2:$A$630,MATCH(255,Engine!$C$2:$C$630,0)))</f>
        <v/>
      </c>
      <c r="B268">
        <f>IF(ISNA(MATCH(255,Engine!$C$2:$C$630,0)),"",INDEX('Compliance Database'!$B$2:$B$630,MATCH(255,Engine!$C$2:$C$630,0)))</f>
        <v/>
      </c>
      <c r="C268">
        <f>IF(ISNA(MATCH(255,Engine!$C$2:$C$630,0)),"",INDEX('Compliance Database'!$C$2:$C$630,MATCH(255,Engine!$C$2:$C$630,0)))</f>
        <v/>
      </c>
      <c r="D268" s="8">
        <f>IF(ISNA(MATCH(255,Engine!$C$2:$C$630,0)),"",INDEX('Compliance Database'!$D$2:$D$630,MATCH(255,Engine!$C$2:$C$630,0)))</f>
        <v/>
      </c>
      <c r="E268">
        <f>IF(ISNA(MATCH(255,Engine!$C$2:$C$630,0)),"",INDEX('Compliance Database'!$E$2:$E$630,MATCH(255,Engine!$C$2:$C$630,0)))</f>
        <v/>
      </c>
      <c r="F268">
        <f>IF(ISNA(MATCH(255,Engine!$C$2:$C$630,0)),"",INDEX('Compliance Database'!$F$2:$F$630,MATCH(255,Engine!$C$2:$C$630,0)))</f>
        <v/>
      </c>
      <c r="G268">
        <f>IF(ISNA(MATCH(255,Engine!$C$2:$C$630,0)),"",INDEX('Compliance Database'!$G$2:$G$630,MATCH(255,Engine!$C$2:$C$630,0)))</f>
        <v/>
      </c>
      <c r="H268">
        <f>IF(ISNA(MATCH(255,Engine!$C$2:$C$630,0)),"",INDEX('Compliance Database'!$H$2:$H$630,MATCH(255,Engine!$C$2:$C$630,0)))</f>
        <v/>
      </c>
      <c r="I268" s="8">
        <f>IF(ISNA(MATCH(255,Engine!$C$2:$C$630,0)),"",INDEX('Compliance Database'!$I$2:$I$630,MATCH(255,Engine!$C$2:$C$630,0)))</f>
        <v/>
      </c>
      <c r="J268" s="8">
        <f>IF(ISNA(MATCH(255,Engine!$C$2:$C$630,0)),"",INDEX('Compliance Database'!$J$2:$J$630,MATCH(255,Engine!$C$2:$C$630,0)))</f>
        <v/>
      </c>
      <c r="K268">
        <f>IF(ISNA(MATCH(255,Engine!$C$2:$C$630,0)),"",INDEX('Compliance Database'!$K$2:$K$630,MATCH(255,Engine!$C$2:$C$630,0)))</f>
        <v/>
      </c>
      <c r="L268" s="8">
        <f>IF(ISNA(MATCH(255,Engine!$C$2:$C$630,0)),"",INDEX('Compliance Database'!$L$2:$L$630,MATCH(255,Engine!$C$2:$C$630,0)))</f>
        <v/>
      </c>
      <c r="M268" s="8">
        <f>IF(ISNA(MATCH(255,Engine!$C$2:$C$630,0)),"",INDEX('Compliance Database'!$M$2:$M$630,MATCH(255,Engine!$C$2:$C$630,0)))</f>
        <v/>
      </c>
      <c r="N268" s="8">
        <f>IF(ISNA(MATCH(255,Engine!$C$2:$C$630,0)),"",INDEX('Compliance Database'!$N$2:$N$630,MATCH(255,Engine!$C$2:$C$630,0)))</f>
        <v/>
      </c>
      <c r="O268" s="8">
        <f>IF(ISNA(MATCH(255,Engine!$C$2:$C$630,0)),"",INDEX('Compliance Database'!$O$2:$O$630,MATCH(255,Engine!$C$2:$C$630,0)))</f>
        <v/>
      </c>
    </row>
    <row r="269">
      <c r="A269">
        <f>IF(ISNA(MATCH(256,Engine!$C$2:$C$630,0)),"",INDEX('Compliance Database'!$A$2:$A$630,MATCH(256,Engine!$C$2:$C$630,0)))</f>
        <v/>
      </c>
      <c r="B269">
        <f>IF(ISNA(MATCH(256,Engine!$C$2:$C$630,0)),"",INDEX('Compliance Database'!$B$2:$B$630,MATCH(256,Engine!$C$2:$C$630,0)))</f>
        <v/>
      </c>
      <c r="C269">
        <f>IF(ISNA(MATCH(256,Engine!$C$2:$C$630,0)),"",INDEX('Compliance Database'!$C$2:$C$630,MATCH(256,Engine!$C$2:$C$630,0)))</f>
        <v/>
      </c>
      <c r="D269" s="8">
        <f>IF(ISNA(MATCH(256,Engine!$C$2:$C$630,0)),"",INDEX('Compliance Database'!$D$2:$D$630,MATCH(256,Engine!$C$2:$C$630,0)))</f>
        <v/>
      </c>
      <c r="E269">
        <f>IF(ISNA(MATCH(256,Engine!$C$2:$C$630,0)),"",INDEX('Compliance Database'!$E$2:$E$630,MATCH(256,Engine!$C$2:$C$630,0)))</f>
        <v/>
      </c>
      <c r="F269">
        <f>IF(ISNA(MATCH(256,Engine!$C$2:$C$630,0)),"",INDEX('Compliance Database'!$F$2:$F$630,MATCH(256,Engine!$C$2:$C$630,0)))</f>
        <v/>
      </c>
      <c r="G269">
        <f>IF(ISNA(MATCH(256,Engine!$C$2:$C$630,0)),"",INDEX('Compliance Database'!$G$2:$G$630,MATCH(256,Engine!$C$2:$C$630,0)))</f>
        <v/>
      </c>
      <c r="H269">
        <f>IF(ISNA(MATCH(256,Engine!$C$2:$C$630,0)),"",INDEX('Compliance Database'!$H$2:$H$630,MATCH(256,Engine!$C$2:$C$630,0)))</f>
        <v/>
      </c>
      <c r="I269" s="8">
        <f>IF(ISNA(MATCH(256,Engine!$C$2:$C$630,0)),"",INDEX('Compliance Database'!$I$2:$I$630,MATCH(256,Engine!$C$2:$C$630,0)))</f>
        <v/>
      </c>
      <c r="J269" s="8">
        <f>IF(ISNA(MATCH(256,Engine!$C$2:$C$630,0)),"",INDEX('Compliance Database'!$J$2:$J$630,MATCH(256,Engine!$C$2:$C$630,0)))</f>
        <v/>
      </c>
      <c r="K269">
        <f>IF(ISNA(MATCH(256,Engine!$C$2:$C$630,0)),"",INDEX('Compliance Database'!$K$2:$K$630,MATCH(256,Engine!$C$2:$C$630,0)))</f>
        <v/>
      </c>
      <c r="L269" s="8">
        <f>IF(ISNA(MATCH(256,Engine!$C$2:$C$630,0)),"",INDEX('Compliance Database'!$L$2:$L$630,MATCH(256,Engine!$C$2:$C$630,0)))</f>
        <v/>
      </c>
      <c r="M269" s="8">
        <f>IF(ISNA(MATCH(256,Engine!$C$2:$C$630,0)),"",INDEX('Compliance Database'!$M$2:$M$630,MATCH(256,Engine!$C$2:$C$630,0)))</f>
        <v/>
      </c>
      <c r="N269" s="8">
        <f>IF(ISNA(MATCH(256,Engine!$C$2:$C$630,0)),"",INDEX('Compliance Database'!$N$2:$N$630,MATCH(256,Engine!$C$2:$C$630,0)))</f>
        <v/>
      </c>
      <c r="O269" s="8">
        <f>IF(ISNA(MATCH(256,Engine!$C$2:$C$630,0)),"",INDEX('Compliance Database'!$O$2:$O$630,MATCH(256,Engine!$C$2:$C$630,0)))</f>
        <v/>
      </c>
    </row>
    <row r="270">
      <c r="A270">
        <f>IF(ISNA(MATCH(257,Engine!$C$2:$C$630,0)),"",INDEX('Compliance Database'!$A$2:$A$630,MATCH(257,Engine!$C$2:$C$630,0)))</f>
        <v/>
      </c>
      <c r="B270">
        <f>IF(ISNA(MATCH(257,Engine!$C$2:$C$630,0)),"",INDEX('Compliance Database'!$B$2:$B$630,MATCH(257,Engine!$C$2:$C$630,0)))</f>
        <v/>
      </c>
      <c r="C270">
        <f>IF(ISNA(MATCH(257,Engine!$C$2:$C$630,0)),"",INDEX('Compliance Database'!$C$2:$C$630,MATCH(257,Engine!$C$2:$C$630,0)))</f>
        <v/>
      </c>
      <c r="D270" s="8">
        <f>IF(ISNA(MATCH(257,Engine!$C$2:$C$630,0)),"",INDEX('Compliance Database'!$D$2:$D$630,MATCH(257,Engine!$C$2:$C$630,0)))</f>
        <v/>
      </c>
      <c r="E270">
        <f>IF(ISNA(MATCH(257,Engine!$C$2:$C$630,0)),"",INDEX('Compliance Database'!$E$2:$E$630,MATCH(257,Engine!$C$2:$C$630,0)))</f>
        <v/>
      </c>
      <c r="F270">
        <f>IF(ISNA(MATCH(257,Engine!$C$2:$C$630,0)),"",INDEX('Compliance Database'!$F$2:$F$630,MATCH(257,Engine!$C$2:$C$630,0)))</f>
        <v/>
      </c>
      <c r="G270">
        <f>IF(ISNA(MATCH(257,Engine!$C$2:$C$630,0)),"",INDEX('Compliance Database'!$G$2:$G$630,MATCH(257,Engine!$C$2:$C$630,0)))</f>
        <v/>
      </c>
      <c r="H270">
        <f>IF(ISNA(MATCH(257,Engine!$C$2:$C$630,0)),"",INDEX('Compliance Database'!$H$2:$H$630,MATCH(257,Engine!$C$2:$C$630,0)))</f>
        <v/>
      </c>
      <c r="I270" s="8">
        <f>IF(ISNA(MATCH(257,Engine!$C$2:$C$630,0)),"",INDEX('Compliance Database'!$I$2:$I$630,MATCH(257,Engine!$C$2:$C$630,0)))</f>
        <v/>
      </c>
      <c r="J270" s="8">
        <f>IF(ISNA(MATCH(257,Engine!$C$2:$C$630,0)),"",INDEX('Compliance Database'!$J$2:$J$630,MATCH(257,Engine!$C$2:$C$630,0)))</f>
        <v/>
      </c>
      <c r="K270">
        <f>IF(ISNA(MATCH(257,Engine!$C$2:$C$630,0)),"",INDEX('Compliance Database'!$K$2:$K$630,MATCH(257,Engine!$C$2:$C$630,0)))</f>
        <v/>
      </c>
      <c r="L270" s="8">
        <f>IF(ISNA(MATCH(257,Engine!$C$2:$C$630,0)),"",INDEX('Compliance Database'!$L$2:$L$630,MATCH(257,Engine!$C$2:$C$630,0)))</f>
        <v/>
      </c>
      <c r="M270" s="8">
        <f>IF(ISNA(MATCH(257,Engine!$C$2:$C$630,0)),"",INDEX('Compliance Database'!$M$2:$M$630,MATCH(257,Engine!$C$2:$C$630,0)))</f>
        <v/>
      </c>
      <c r="N270" s="8">
        <f>IF(ISNA(MATCH(257,Engine!$C$2:$C$630,0)),"",INDEX('Compliance Database'!$N$2:$N$630,MATCH(257,Engine!$C$2:$C$630,0)))</f>
        <v/>
      </c>
      <c r="O270" s="8">
        <f>IF(ISNA(MATCH(257,Engine!$C$2:$C$630,0)),"",INDEX('Compliance Database'!$O$2:$O$630,MATCH(257,Engine!$C$2:$C$630,0)))</f>
        <v/>
      </c>
    </row>
    <row r="271">
      <c r="A271">
        <f>IF(ISNA(MATCH(258,Engine!$C$2:$C$630,0)),"",INDEX('Compliance Database'!$A$2:$A$630,MATCH(258,Engine!$C$2:$C$630,0)))</f>
        <v/>
      </c>
      <c r="B271">
        <f>IF(ISNA(MATCH(258,Engine!$C$2:$C$630,0)),"",INDEX('Compliance Database'!$B$2:$B$630,MATCH(258,Engine!$C$2:$C$630,0)))</f>
        <v/>
      </c>
      <c r="C271">
        <f>IF(ISNA(MATCH(258,Engine!$C$2:$C$630,0)),"",INDEX('Compliance Database'!$C$2:$C$630,MATCH(258,Engine!$C$2:$C$630,0)))</f>
        <v/>
      </c>
      <c r="D271" s="8">
        <f>IF(ISNA(MATCH(258,Engine!$C$2:$C$630,0)),"",INDEX('Compliance Database'!$D$2:$D$630,MATCH(258,Engine!$C$2:$C$630,0)))</f>
        <v/>
      </c>
      <c r="E271">
        <f>IF(ISNA(MATCH(258,Engine!$C$2:$C$630,0)),"",INDEX('Compliance Database'!$E$2:$E$630,MATCH(258,Engine!$C$2:$C$630,0)))</f>
        <v/>
      </c>
      <c r="F271">
        <f>IF(ISNA(MATCH(258,Engine!$C$2:$C$630,0)),"",INDEX('Compliance Database'!$F$2:$F$630,MATCH(258,Engine!$C$2:$C$630,0)))</f>
        <v/>
      </c>
      <c r="G271">
        <f>IF(ISNA(MATCH(258,Engine!$C$2:$C$630,0)),"",INDEX('Compliance Database'!$G$2:$G$630,MATCH(258,Engine!$C$2:$C$630,0)))</f>
        <v/>
      </c>
      <c r="H271">
        <f>IF(ISNA(MATCH(258,Engine!$C$2:$C$630,0)),"",INDEX('Compliance Database'!$H$2:$H$630,MATCH(258,Engine!$C$2:$C$630,0)))</f>
        <v/>
      </c>
      <c r="I271" s="8">
        <f>IF(ISNA(MATCH(258,Engine!$C$2:$C$630,0)),"",INDEX('Compliance Database'!$I$2:$I$630,MATCH(258,Engine!$C$2:$C$630,0)))</f>
        <v/>
      </c>
      <c r="J271" s="8">
        <f>IF(ISNA(MATCH(258,Engine!$C$2:$C$630,0)),"",INDEX('Compliance Database'!$J$2:$J$630,MATCH(258,Engine!$C$2:$C$630,0)))</f>
        <v/>
      </c>
      <c r="K271">
        <f>IF(ISNA(MATCH(258,Engine!$C$2:$C$630,0)),"",INDEX('Compliance Database'!$K$2:$K$630,MATCH(258,Engine!$C$2:$C$630,0)))</f>
        <v/>
      </c>
      <c r="L271" s="8">
        <f>IF(ISNA(MATCH(258,Engine!$C$2:$C$630,0)),"",INDEX('Compliance Database'!$L$2:$L$630,MATCH(258,Engine!$C$2:$C$630,0)))</f>
        <v/>
      </c>
      <c r="M271" s="8">
        <f>IF(ISNA(MATCH(258,Engine!$C$2:$C$630,0)),"",INDEX('Compliance Database'!$M$2:$M$630,MATCH(258,Engine!$C$2:$C$630,0)))</f>
        <v/>
      </c>
      <c r="N271" s="8">
        <f>IF(ISNA(MATCH(258,Engine!$C$2:$C$630,0)),"",INDEX('Compliance Database'!$N$2:$N$630,MATCH(258,Engine!$C$2:$C$630,0)))</f>
        <v/>
      </c>
      <c r="O271" s="8">
        <f>IF(ISNA(MATCH(258,Engine!$C$2:$C$630,0)),"",INDEX('Compliance Database'!$O$2:$O$630,MATCH(258,Engine!$C$2:$C$630,0)))</f>
        <v/>
      </c>
    </row>
    <row r="272">
      <c r="A272">
        <f>IF(ISNA(MATCH(259,Engine!$C$2:$C$630,0)),"",INDEX('Compliance Database'!$A$2:$A$630,MATCH(259,Engine!$C$2:$C$630,0)))</f>
        <v/>
      </c>
      <c r="B272">
        <f>IF(ISNA(MATCH(259,Engine!$C$2:$C$630,0)),"",INDEX('Compliance Database'!$B$2:$B$630,MATCH(259,Engine!$C$2:$C$630,0)))</f>
        <v/>
      </c>
      <c r="C272">
        <f>IF(ISNA(MATCH(259,Engine!$C$2:$C$630,0)),"",INDEX('Compliance Database'!$C$2:$C$630,MATCH(259,Engine!$C$2:$C$630,0)))</f>
        <v/>
      </c>
      <c r="D272" s="8">
        <f>IF(ISNA(MATCH(259,Engine!$C$2:$C$630,0)),"",INDEX('Compliance Database'!$D$2:$D$630,MATCH(259,Engine!$C$2:$C$630,0)))</f>
        <v/>
      </c>
      <c r="E272">
        <f>IF(ISNA(MATCH(259,Engine!$C$2:$C$630,0)),"",INDEX('Compliance Database'!$E$2:$E$630,MATCH(259,Engine!$C$2:$C$630,0)))</f>
        <v/>
      </c>
      <c r="F272">
        <f>IF(ISNA(MATCH(259,Engine!$C$2:$C$630,0)),"",INDEX('Compliance Database'!$F$2:$F$630,MATCH(259,Engine!$C$2:$C$630,0)))</f>
        <v/>
      </c>
      <c r="G272">
        <f>IF(ISNA(MATCH(259,Engine!$C$2:$C$630,0)),"",INDEX('Compliance Database'!$G$2:$G$630,MATCH(259,Engine!$C$2:$C$630,0)))</f>
        <v/>
      </c>
      <c r="H272">
        <f>IF(ISNA(MATCH(259,Engine!$C$2:$C$630,0)),"",INDEX('Compliance Database'!$H$2:$H$630,MATCH(259,Engine!$C$2:$C$630,0)))</f>
        <v/>
      </c>
      <c r="I272" s="8">
        <f>IF(ISNA(MATCH(259,Engine!$C$2:$C$630,0)),"",INDEX('Compliance Database'!$I$2:$I$630,MATCH(259,Engine!$C$2:$C$630,0)))</f>
        <v/>
      </c>
      <c r="J272" s="8">
        <f>IF(ISNA(MATCH(259,Engine!$C$2:$C$630,0)),"",INDEX('Compliance Database'!$J$2:$J$630,MATCH(259,Engine!$C$2:$C$630,0)))</f>
        <v/>
      </c>
      <c r="K272">
        <f>IF(ISNA(MATCH(259,Engine!$C$2:$C$630,0)),"",INDEX('Compliance Database'!$K$2:$K$630,MATCH(259,Engine!$C$2:$C$630,0)))</f>
        <v/>
      </c>
      <c r="L272" s="8">
        <f>IF(ISNA(MATCH(259,Engine!$C$2:$C$630,0)),"",INDEX('Compliance Database'!$L$2:$L$630,MATCH(259,Engine!$C$2:$C$630,0)))</f>
        <v/>
      </c>
      <c r="M272" s="8">
        <f>IF(ISNA(MATCH(259,Engine!$C$2:$C$630,0)),"",INDEX('Compliance Database'!$M$2:$M$630,MATCH(259,Engine!$C$2:$C$630,0)))</f>
        <v/>
      </c>
      <c r="N272" s="8">
        <f>IF(ISNA(MATCH(259,Engine!$C$2:$C$630,0)),"",INDEX('Compliance Database'!$N$2:$N$630,MATCH(259,Engine!$C$2:$C$630,0)))</f>
        <v/>
      </c>
      <c r="O272" s="8">
        <f>IF(ISNA(MATCH(259,Engine!$C$2:$C$630,0)),"",INDEX('Compliance Database'!$O$2:$O$630,MATCH(259,Engine!$C$2:$C$630,0)))</f>
        <v/>
      </c>
    </row>
    <row r="273">
      <c r="A273">
        <f>IF(ISNA(MATCH(260,Engine!$C$2:$C$630,0)),"",INDEX('Compliance Database'!$A$2:$A$630,MATCH(260,Engine!$C$2:$C$630,0)))</f>
        <v/>
      </c>
      <c r="B273">
        <f>IF(ISNA(MATCH(260,Engine!$C$2:$C$630,0)),"",INDEX('Compliance Database'!$B$2:$B$630,MATCH(260,Engine!$C$2:$C$630,0)))</f>
        <v/>
      </c>
      <c r="C273">
        <f>IF(ISNA(MATCH(260,Engine!$C$2:$C$630,0)),"",INDEX('Compliance Database'!$C$2:$C$630,MATCH(260,Engine!$C$2:$C$630,0)))</f>
        <v/>
      </c>
      <c r="D273" s="8">
        <f>IF(ISNA(MATCH(260,Engine!$C$2:$C$630,0)),"",INDEX('Compliance Database'!$D$2:$D$630,MATCH(260,Engine!$C$2:$C$630,0)))</f>
        <v/>
      </c>
      <c r="E273">
        <f>IF(ISNA(MATCH(260,Engine!$C$2:$C$630,0)),"",INDEX('Compliance Database'!$E$2:$E$630,MATCH(260,Engine!$C$2:$C$630,0)))</f>
        <v/>
      </c>
      <c r="F273">
        <f>IF(ISNA(MATCH(260,Engine!$C$2:$C$630,0)),"",INDEX('Compliance Database'!$F$2:$F$630,MATCH(260,Engine!$C$2:$C$630,0)))</f>
        <v/>
      </c>
      <c r="G273">
        <f>IF(ISNA(MATCH(260,Engine!$C$2:$C$630,0)),"",INDEX('Compliance Database'!$G$2:$G$630,MATCH(260,Engine!$C$2:$C$630,0)))</f>
        <v/>
      </c>
      <c r="H273">
        <f>IF(ISNA(MATCH(260,Engine!$C$2:$C$630,0)),"",INDEX('Compliance Database'!$H$2:$H$630,MATCH(260,Engine!$C$2:$C$630,0)))</f>
        <v/>
      </c>
      <c r="I273" s="8">
        <f>IF(ISNA(MATCH(260,Engine!$C$2:$C$630,0)),"",INDEX('Compliance Database'!$I$2:$I$630,MATCH(260,Engine!$C$2:$C$630,0)))</f>
        <v/>
      </c>
      <c r="J273" s="8">
        <f>IF(ISNA(MATCH(260,Engine!$C$2:$C$630,0)),"",INDEX('Compliance Database'!$J$2:$J$630,MATCH(260,Engine!$C$2:$C$630,0)))</f>
        <v/>
      </c>
      <c r="K273">
        <f>IF(ISNA(MATCH(260,Engine!$C$2:$C$630,0)),"",INDEX('Compliance Database'!$K$2:$K$630,MATCH(260,Engine!$C$2:$C$630,0)))</f>
        <v/>
      </c>
      <c r="L273" s="8">
        <f>IF(ISNA(MATCH(260,Engine!$C$2:$C$630,0)),"",INDEX('Compliance Database'!$L$2:$L$630,MATCH(260,Engine!$C$2:$C$630,0)))</f>
        <v/>
      </c>
      <c r="M273" s="8">
        <f>IF(ISNA(MATCH(260,Engine!$C$2:$C$630,0)),"",INDEX('Compliance Database'!$M$2:$M$630,MATCH(260,Engine!$C$2:$C$630,0)))</f>
        <v/>
      </c>
      <c r="N273" s="8">
        <f>IF(ISNA(MATCH(260,Engine!$C$2:$C$630,0)),"",INDEX('Compliance Database'!$N$2:$N$630,MATCH(260,Engine!$C$2:$C$630,0)))</f>
        <v/>
      </c>
      <c r="O273" s="8">
        <f>IF(ISNA(MATCH(260,Engine!$C$2:$C$630,0)),"",INDEX('Compliance Database'!$O$2:$O$630,MATCH(260,Engine!$C$2:$C$630,0)))</f>
        <v/>
      </c>
    </row>
    <row r="274">
      <c r="A274">
        <f>IF(ISNA(MATCH(261,Engine!$C$2:$C$630,0)),"",INDEX('Compliance Database'!$A$2:$A$630,MATCH(261,Engine!$C$2:$C$630,0)))</f>
        <v/>
      </c>
      <c r="B274">
        <f>IF(ISNA(MATCH(261,Engine!$C$2:$C$630,0)),"",INDEX('Compliance Database'!$B$2:$B$630,MATCH(261,Engine!$C$2:$C$630,0)))</f>
        <v/>
      </c>
      <c r="C274">
        <f>IF(ISNA(MATCH(261,Engine!$C$2:$C$630,0)),"",INDEX('Compliance Database'!$C$2:$C$630,MATCH(261,Engine!$C$2:$C$630,0)))</f>
        <v/>
      </c>
      <c r="D274" s="8">
        <f>IF(ISNA(MATCH(261,Engine!$C$2:$C$630,0)),"",INDEX('Compliance Database'!$D$2:$D$630,MATCH(261,Engine!$C$2:$C$630,0)))</f>
        <v/>
      </c>
      <c r="E274">
        <f>IF(ISNA(MATCH(261,Engine!$C$2:$C$630,0)),"",INDEX('Compliance Database'!$E$2:$E$630,MATCH(261,Engine!$C$2:$C$630,0)))</f>
        <v/>
      </c>
      <c r="F274">
        <f>IF(ISNA(MATCH(261,Engine!$C$2:$C$630,0)),"",INDEX('Compliance Database'!$F$2:$F$630,MATCH(261,Engine!$C$2:$C$630,0)))</f>
        <v/>
      </c>
      <c r="G274">
        <f>IF(ISNA(MATCH(261,Engine!$C$2:$C$630,0)),"",INDEX('Compliance Database'!$G$2:$G$630,MATCH(261,Engine!$C$2:$C$630,0)))</f>
        <v/>
      </c>
      <c r="H274">
        <f>IF(ISNA(MATCH(261,Engine!$C$2:$C$630,0)),"",INDEX('Compliance Database'!$H$2:$H$630,MATCH(261,Engine!$C$2:$C$630,0)))</f>
        <v/>
      </c>
      <c r="I274" s="8">
        <f>IF(ISNA(MATCH(261,Engine!$C$2:$C$630,0)),"",INDEX('Compliance Database'!$I$2:$I$630,MATCH(261,Engine!$C$2:$C$630,0)))</f>
        <v/>
      </c>
      <c r="J274" s="8">
        <f>IF(ISNA(MATCH(261,Engine!$C$2:$C$630,0)),"",INDEX('Compliance Database'!$J$2:$J$630,MATCH(261,Engine!$C$2:$C$630,0)))</f>
        <v/>
      </c>
      <c r="K274">
        <f>IF(ISNA(MATCH(261,Engine!$C$2:$C$630,0)),"",INDEX('Compliance Database'!$K$2:$K$630,MATCH(261,Engine!$C$2:$C$630,0)))</f>
        <v/>
      </c>
      <c r="L274" s="8">
        <f>IF(ISNA(MATCH(261,Engine!$C$2:$C$630,0)),"",INDEX('Compliance Database'!$L$2:$L$630,MATCH(261,Engine!$C$2:$C$630,0)))</f>
        <v/>
      </c>
      <c r="M274" s="8">
        <f>IF(ISNA(MATCH(261,Engine!$C$2:$C$630,0)),"",INDEX('Compliance Database'!$M$2:$M$630,MATCH(261,Engine!$C$2:$C$630,0)))</f>
        <v/>
      </c>
      <c r="N274" s="8">
        <f>IF(ISNA(MATCH(261,Engine!$C$2:$C$630,0)),"",INDEX('Compliance Database'!$N$2:$N$630,MATCH(261,Engine!$C$2:$C$630,0)))</f>
        <v/>
      </c>
      <c r="O274" s="8">
        <f>IF(ISNA(MATCH(261,Engine!$C$2:$C$630,0)),"",INDEX('Compliance Database'!$O$2:$O$630,MATCH(261,Engine!$C$2:$C$630,0)))</f>
        <v/>
      </c>
    </row>
    <row r="275">
      <c r="A275">
        <f>IF(ISNA(MATCH(262,Engine!$C$2:$C$630,0)),"",INDEX('Compliance Database'!$A$2:$A$630,MATCH(262,Engine!$C$2:$C$630,0)))</f>
        <v/>
      </c>
      <c r="B275">
        <f>IF(ISNA(MATCH(262,Engine!$C$2:$C$630,0)),"",INDEX('Compliance Database'!$B$2:$B$630,MATCH(262,Engine!$C$2:$C$630,0)))</f>
        <v/>
      </c>
      <c r="C275">
        <f>IF(ISNA(MATCH(262,Engine!$C$2:$C$630,0)),"",INDEX('Compliance Database'!$C$2:$C$630,MATCH(262,Engine!$C$2:$C$630,0)))</f>
        <v/>
      </c>
      <c r="D275" s="8">
        <f>IF(ISNA(MATCH(262,Engine!$C$2:$C$630,0)),"",INDEX('Compliance Database'!$D$2:$D$630,MATCH(262,Engine!$C$2:$C$630,0)))</f>
        <v/>
      </c>
      <c r="E275">
        <f>IF(ISNA(MATCH(262,Engine!$C$2:$C$630,0)),"",INDEX('Compliance Database'!$E$2:$E$630,MATCH(262,Engine!$C$2:$C$630,0)))</f>
        <v/>
      </c>
      <c r="F275">
        <f>IF(ISNA(MATCH(262,Engine!$C$2:$C$630,0)),"",INDEX('Compliance Database'!$F$2:$F$630,MATCH(262,Engine!$C$2:$C$630,0)))</f>
        <v/>
      </c>
      <c r="G275">
        <f>IF(ISNA(MATCH(262,Engine!$C$2:$C$630,0)),"",INDEX('Compliance Database'!$G$2:$G$630,MATCH(262,Engine!$C$2:$C$630,0)))</f>
        <v/>
      </c>
      <c r="H275">
        <f>IF(ISNA(MATCH(262,Engine!$C$2:$C$630,0)),"",INDEX('Compliance Database'!$H$2:$H$630,MATCH(262,Engine!$C$2:$C$630,0)))</f>
        <v/>
      </c>
      <c r="I275" s="8">
        <f>IF(ISNA(MATCH(262,Engine!$C$2:$C$630,0)),"",INDEX('Compliance Database'!$I$2:$I$630,MATCH(262,Engine!$C$2:$C$630,0)))</f>
        <v/>
      </c>
      <c r="J275" s="8">
        <f>IF(ISNA(MATCH(262,Engine!$C$2:$C$630,0)),"",INDEX('Compliance Database'!$J$2:$J$630,MATCH(262,Engine!$C$2:$C$630,0)))</f>
        <v/>
      </c>
      <c r="K275">
        <f>IF(ISNA(MATCH(262,Engine!$C$2:$C$630,0)),"",INDEX('Compliance Database'!$K$2:$K$630,MATCH(262,Engine!$C$2:$C$630,0)))</f>
        <v/>
      </c>
      <c r="L275" s="8">
        <f>IF(ISNA(MATCH(262,Engine!$C$2:$C$630,0)),"",INDEX('Compliance Database'!$L$2:$L$630,MATCH(262,Engine!$C$2:$C$630,0)))</f>
        <v/>
      </c>
      <c r="M275" s="8">
        <f>IF(ISNA(MATCH(262,Engine!$C$2:$C$630,0)),"",INDEX('Compliance Database'!$M$2:$M$630,MATCH(262,Engine!$C$2:$C$630,0)))</f>
        <v/>
      </c>
      <c r="N275" s="8">
        <f>IF(ISNA(MATCH(262,Engine!$C$2:$C$630,0)),"",INDEX('Compliance Database'!$N$2:$N$630,MATCH(262,Engine!$C$2:$C$630,0)))</f>
        <v/>
      </c>
      <c r="O275" s="8">
        <f>IF(ISNA(MATCH(262,Engine!$C$2:$C$630,0)),"",INDEX('Compliance Database'!$O$2:$O$630,MATCH(262,Engine!$C$2:$C$630,0)))</f>
        <v/>
      </c>
    </row>
    <row r="276">
      <c r="A276">
        <f>IF(ISNA(MATCH(263,Engine!$C$2:$C$630,0)),"",INDEX('Compliance Database'!$A$2:$A$630,MATCH(263,Engine!$C$2:$C$630,0)))</f>
        <v/>
      </c>
      <c r="B276">
        <f>IF(ISNA(MATCH(263,Engine!$C$2:$C$630,0)),"",INDEX('Compliance Database'!$B$2:$B$630,MATCH(263,Engine!$C$2:$C$630,0)))</f>
        <v/>
      </c>
      <c r="C276">
        <f>IF(ISNA(MATCH(263,Engine!$C$2:$C$630,0)),"",INDEX('Compliance Database'!$C$2:$C$630,MATCH(263,Engine!$C$2:$C$630,0)))</f>
        <v/>
      </c>
      <c r="D276" s="8">
        <f>IF(ISNA(MATCH(263,Engine!$C$2:$C$630,0)),"",INDEX('Compliance Database'!$D$2:$D$630,MATCH(263,Engine!$C$2:$C$630,0)))</f>
        <v/>
      </c>
      <c r="E276">
        <f>IF(ISNA(MATCH(263,Engine!$C$2:$C$630,0)),"",INDEX('Compliance Database'!$E$2:$E$630,MATCH(263,Engine!$C$2:$C$630,0)))</f>
        <v/>
      </c>
      <c r="F276">
        <f>IF(ISNA(MATCH(263,Engine!$C$2:$C$630,0)),"",INDEX('Compliance Database'!$F$2:$F$630,MATCH(263,Engine!$C$2:$C$630,0)))</f>
        <v/>
      </c>
      <c r="G276">
        <f>IF(ISNA(MATCH(263,Engine!$C$2:$C$630,0)),"",INDEX('Compliance Database'!$G$2:$G$630,MATCH(263,Engine!$C$2:$C$630,0)))</f>
        <v/>
      </c>
      <c r="H276">
        <f>IF(ISNA(MATCH(263,Engine!$C$2:$C$630,0)),"",INDEX('Compliance Database'!$H$2:$H$630,MATCH(263,Engine!$C$2:$C$630,0)))</f>
        <v/>
      </c>
      <c r="I276" s="8">
        <f>IF(ISNA(MATCH(263,Engine!$C$2:$C$630,0)),"",INDEX('Compliance Database'!$I$2:$I$630,MATCH(263,Engine!$C$2:$C$630,0)))</f>
        <v/>
      </c>
      <c r="J276" s="8">
        <f>IF(ISNA(MATCH(263,Engine!$C$2:$C$630,0)),"",INDEX('Compliance Database'!$J$2:$J$630,MATCH(263,Engine!$C$2:$C$630,0)))</f>
        <v/>
      </c>
      <c r="K276">
        <f>IF(ISNA(MATCH(263,Engine!$C$2:$C$630,0)),"",INDEX('Compliance Database'!$K$2:$K$630,MATCH(263,Engine!$C$2:$C$630,0)))</f>
        <v/>
      </c>
      <c r="L276" s="8">
        <f>IF(ISNA(MATCH(263,Engine!$C$2:$C$630,0)),"",INDEX('Compliance Database'!$L$2:$L$630,MATCH(263,Engine!$C$2:$C$630,0)))</f>
        <v/>
      </c>
      <c r="M276" s="8">
        <f>IF(ISNA(MATCH(263,Engine!$C$2:$C$630,0)),"",INDEX('Compliance Database'!$M$2:$M$630,MATCH(263,Engine!$C$2:$C$630,0)))</f>
        <v/>
      </c>
      <c r="N276" s="8">
        <f>IF(ISNA(MATCH(263,Engine!$C$2:$C$630,0)),"",INDEX('Compliance Database'!$N$2:$N$630,MATCH(263,Engine!$C$2:$C$630,0)))</f>
        <v/>
      </c>
      <c r="O276" s="8">
        <f>IF(ISNA(MATCH(263,Engine!$C$2:$C$630,0)),"",INDEX('Compliance Database'!$O$2:$O$630,MATCH(263,Engine!$C$2:$C$630,0)))</f>
        <v/>
      </c>
    </row>
    <row r="277">
      <c r="A277">
        <f>IF(ISNA(MATCH(264,Engine!$C$2:$C$630,0)),"",INDEX('Compliance Database'!$A$2:$A$630,MATCH(264,Engine!$C$2:$C$630,0)))</f>
        <v/>
      </c>
      <c r="B277">
        <f>IF(ISNA(MATCH(264,Engine!$C$2:$C$630,0)),"",INDEX('Compliance Database'!$B$2:$B$630,MATCH(264,Engine!$C$2:$C$630,0)))</f>
        <v/>
      </c>
      <c r="C277">
        <f>IF(ISNA(MATCH(264,Engine!$C$2:$C$630,0)),"",INDEX('Compliance Database'!$C$2:$C$630,MATCH(264,Engine!$C$2:$C$630,0)))</f>
        <v/>
      </c>
      <c r="D277" s="8">
        <f>IF(ISNA(MATCH(264,Engine!$C$2:$C$630,0)),"",INDEX('Compliance Database'!$D$2:$D$630,MATCH(264,Engine!$C$2:$C$630,0)))</f>
        <v/>
      </c>
      <c r="E277">
        <f>IF(ISNA(MATCH(264,Engine!$C$2:$C$630,0)),"",INDEX('Compliance Database'!$E$2:$E$630,MATCH(264,Engine!$C$2:$C$630,0)))</f>
        <v/>
      </c>
      <c r="F277">
        <f>IF(ISNA(MATCH(264,Engine!$C$2:$C$630,0)),"",INDEX('Compliance Database'!$F$2:$F$630,MATCH(264,Engine!$C$2:$C$630,0)))</f>
        <v/>
      </c>
      <c r="G277">
        <f>IF(ISNA(MATCH(264,Engine!$C$2:$C$630,0)),"",INDEX('Compliance Database'!$G$2:$G$630,MATCH(264,Engine!$C$2:$C$630,0)))</f>
        <v/>
      </c>
      <c r="H277">
        <f>IF(ISNA(MATCH(264,Engine!$C$2:$C$630,0)),"",INDEX('Compliance Database'!$H$2:$H$630,MATCH(264,Engine!$C$2:$C$630,0)))</f>
        <v/>
      </c>
      <c r="I277" s="8">
        <f>IF(ISNA(MATCH(264,Engine!$C$2:$C$630,0)),"",INDEX('Compliance Database'!$I$2:$I$630,MATCH(264,Engine!$C$2:$C$630,0)))</f>
        <v/>
      </c>
      <c r="J277" s="8">
        <f>IF(ISNA(MATCH(264,Engine!$C$2:$C$630,0)),"",INDEX('Compliance Database'!$J$2:$J$630,MATCH(264,Engine!$C$2:$C$630,0)))</f>
        <v/>
      </c>
      <c r="K277">
        <f>IF(ISNA(MATCH(264,Engine!$C$2:$C$630,0)),"",INDEX('Compliance Database'!$K$2:$K$630,MATCH(264,Engine!$C$2:$C$630,0)))</f>
        <v/>
      </c>
      <c r="L277" s="8">
        <f>IF(ISNA(MATCH(264,Engine!$C$2:$C$630,0)),"",INDEX('Compliance Database'!$L$2:$L$630,MATCH(264,Engine!$C$2:$C$630,0)))</f>
        <v/>
      </c>
      <c r="M277" s="8">
        <f>IF(ISNA(MATCH(264,Engine!$C$2:$C$630,0)),"",INDEX('Compliance Database'!$M$2:$M$630,MATCH(264,Engine!$C$2:$C$630,0)))</f>
        <v/>
      </c>
      <c r="N277" s="8">
        <f>IF(ISNA(MATCH(264,Engine!$C$2:$C$630,0)),"",INDEX('Compliance Database'!$N$2:$N$630,MATCH(264,Engine!$C$2:$C$630,0)))</f>
        <v/>
      </c>
      <c r="O277" s="8">
        <f>IF(ISNA(MATCH(264,Engine!$C$2:$C$630,0)),"",INDEX('Compliance Database'!$O$2:$O$630,MATCH(264,Engine!$C$2:$C$630,0)))</f>
        <v/>
      </c>
    </row>
    <row r="278">
      <c r="A278">
        <f>IF(ISNA(MATCH(265,Engine!$C$2:$C$630,0)),"",INDEX('Compliance Database'!$A$2:$A$630,MATCH(265,Engine!$C$2:$C$630,0)))</f>
        <v/>
      </c>
      <c r="B278">
        <f>IF(ISNA(MATCH(265,Engine!$C$2:$C$630,0)),"",INDEX('Compliance Database'!$B$2:$B$630,MATCH(265,Engine!$C$2:$C$630,0)))</f>
        <v/>
      </c>
      <c r="C278">
        <f>IF(ISNA(MATCH(265,Engine!$C$2:$C$630,0)),"",INDEX('Compliance Database'!$C$2:$C$630,MATCH(265,Engine!$C$2:$C$630,0)))</f>
        <v/>
      </c>
      <c r="D278" s="8">
        <f>IF(ISNA(MATCH(265,Engine!$C$2:$C$630,0)),"",INDEX('Compliance Database'!$D$2:$D$630,MATCH(265,Engine!$C$2:$C$630,0)))</f>
        <v/>
      </c>
      <c r="E278">
        <f>IF(ISNA(MATCH(265,Engine!$C$2:$C$630,0)),"",INDEX('Compliance Database'!$E$2:$E$630,MATCH(265,Engine!$C$2:$C$630,0)))</f>
        <v/>
      </c>
      <c r="F278">
        <f>IF(ISNA(MATCH(265,Engine!$C$2:$C$630,0)),"",INDEX('Compliance Database'!$F$2:$F$630,MATCH(265,Engine!$C$2:$C$630,0)))</f>
        <v/>
      </c>
      <c r="G278">
        <f>IF(ISNA(MATCH(265,Engine!$C$2:$C$630,0)),"",INDEX('Compliance Database'!$G$2:$G$630,MATCH(265,Engine!$C$2:$C$630,0)))</f>
        <v/>
      </c>
      <c r="H278">
        <f>IF(ISNA(MATCH(265,Engine!$C$2:$C$630,0)),"",INDEX('Compliance Database'!$H$2:$H$630,MATCH(265,Engine!$C$2:$C$630,0)))</f>
        <v/>
      </c>
      <c r="I278" s="8">
        <f>IF(ISNA(MATCH(265,Engine!$C$2:$C$630,0)),"",INDEX('Compliance Database'!$I$2:$I$630,MATCH(265,Engine!$C$2:$C$630,0)))</f>
        <v/>
      </c>
      <c r="J278" s="8">
        <f>IF(ISNA(MATCH(265,Engine!$C$2:$C$630,0)),"",INDEX('Compliance Database'!$J$2:$J$630,MATCH(265,Engine!$C$2:$C$630,0)))</f>
        <v/>
      </c>
      <c r="K278">
        <f>IF(ISNA(MATCH(265,Engine!$C$2:$C$630,0)),"",INDEX('Compliance Database'!$K$2:$K$630,MATCH(265,Engine!$C$2:$C$630,0)))</f>
        <v/>
      </c>
      <c r="L278" s="8">
        <f>IF(ISNA(MATCH(265,Engine!$C$2:$C$630,0)),"",INDEX('Compliance Database'!$L$2:$L$630,MATCH(265,Engine!$C$2:$C$630,0)))</f>
        <v/>
      </c>
      <c r="M278" s="8">
        <f>IF(ISNA(MATCH(265,Engine!$C$2:$C$630,0)),"",INDEX('Compliance Database'!$M$2:$M$630,MATCH(265,Engine!$C$2:$C$630,0)))</f>
        <v/>
      </c>
      <c r="N278" s="8">
        <f>IF(ISNA(MATCH(265,Engine!$C$2:$C$630,0)),"",INDEX('Compliance Database'!$N$2:$N$630,MATCH(265,Engine!$C$2:$C$630,0)))</f>
        <v/>
      </c>
      <c r="O278" s="8">
        <f>IF(ISNA(MATCH(265,Engine!$C$2:$C$630,0)),"",INDEX('Compliance Database'!$O$2:$O$630,MATCH(265,Engine!$C$2:$C$630,0)))</f>
        <v/>
      </c>
    </row>
    <row r="279">
      <c r="A279">
        <f>IF(ISNA(MATCH(266,Engine!$C$2:$C$630,0)),"",INDEX('Compliance Database'!$A$2:$A$630,MATCH(266,Engine!$C$2:$C$630,0)))</f>
        <v/>
      </c>
      <c r="B279">
        <f>IF(ISNA(MATCH(266,Engine!$C$2:$C$630,0)),"",INDEX('Compliance Database'!$B$2:$B$630,MATCH(266,Engine!$C$2:$C$630,0)))</f>
        <v/>
      </c>
      <c r="C279">
        <f>IF(ISNA(MATCH(266,Engine!$C$2:$C$630,0)),"",INDEX('Compliance Database'!$C$2:$C$630,MATCH(266,Engine!$C$2:$C$630,0)))</f>
        <v/>
      </c>
      <c r="D279" s="8">
        <f>IF(ISNA(MATCH(266,Engine!$C$2:$C$630,0)),"",INDEX('Compliance Database'!$D$2:$D$630,MATCH(266,Engine!$C$2:$C$630,0)))</f>
        <v/>
      </c>
      <c r="E279">
        <f>IF(ISNA(MATCH(266,Engine!$C$2:$C$630,0)),"",INDEX('Compliance Database'!$E$2:$E$630,MATCH(266,Engine!$C$2:$C$630,0)))</f>
        <v/>
      </c>
      <c r="F279">
        <f>IF(ISNA(MATCH(266,Engine!$C$2:$C$630,0)),"",INDEX('Compliance Database'!$F$2:$F$630,MATCH(266,Engine!$C$2:$C$630,0)))</f>
        <v/>
      </c>
      <c r="G279">
        <f>IF(ISNA(MATCH(266,Engine!$C$2:$C$630,0)),"",INDEX('Compliance Database'!$G$2:$G$630,MATCH(266,Engine!$C$2:$C$630,0)))</f>
        <v/>
      </c>
      <c r="H279">
        <f>IF(ISNA(MATCH(266,Engine!$C$2:$C$630,0)),"",INDEX('Compliance Database'!$H$2:$H$630,MATCH(266,Engine!$C$2:$C$630,0)))</f>
        <v/>
      </c>
      <c r="I279" s="8">
        <f>IF(ISNA(MATCH(266,Engine!$C$2:$C$630,0)),"",INDEX('Compliance Database'!$I$2:$I$630,MATCH(266,Engine!$C$2:$C$630,0)))</f>
        <v/>
      </c>
      <c r="J279" s="8">
        <f>IF(ISNA(MATCH(266,Engine!$C$2:$C$630,0)),"",INDEX('Compliance Database'!$J$2:$J$630,MATCH(266,Engine!$C$2:$C$630,0)))</f>
        <v/>
      </c>
      <c r="K279">
        <f>IF(ISNA(MATCH(266,Engine!$C$2:$C$630,0)),"",INDEX('Compliance Database'!$K$2:$K$630,MATCH(266,Engine!$C$2:$C$630,0)))</f>
        <v/>
      </c>
      <c r="L279" s="8">
        <f>IF(ISNA(MATCH(266,Engine!$C$2:$C$630,0)),"",INDEX('Compliance Database'!$L$2:$L$630,MATCH(266,Engine!$C$2:$C$630,0)))</f>
        <v/>
      </c>
      <c r="M279" s="8">
        <f>IF(ISNA(MATCH(266,Engine!$C$2:$C$630,0)),"",INDEX('Compliance Database'!$M$2:$M$630,MATCH(266,Engine!$C$2:$C$630,0)))</f>
        <v/>
      </c>
      <c r="N279" s="8">
        <f>IF(ISNA(MATCH(266,Engine!$C$2:$C$630,0)),"",INDEX('Compliance Database'!$N$2:$N$630,MATCH(266,Engine!$C$2:$C$630,0)))</f>
        <v/>
      </c>
      <c r="O279" s="8">
        <f>IF(ISNA(MATCH(266,Engine!$C$2:$C$630,0)),"",INDEX('Compliance Database'!$O$2:$O$630,MATCH(266,Engine!$C$2:$C$630,0)))</f>
        <v/>
      </c>
    </row>
    <row r="280">
      <c r="A280">
        <f>IF(ISNA(MATCH(267,Engine!$C$2:$C$630,0)),"",INDEX('Compliance Database'!$A$2:$A$630,MATCH(267,Engine!$C$2:$C$630,0)))</f>
        <v/>
      </c>
      <c r="B280">
        <f>IF(ISNA(MATCH(267,Engine!$C$2:$C$630,0)),"",INDEX('Compliance Database'!$B$2:$B$630,MATCH(267,Engine!$C$2:$C$630,0)))</f>
        <v/>
      </c>
      <c r="C280">
        <f>IF(ISNA(MATCH(267,Engine!$C$2:$C$630,0)),"",INDEX('Compliance Database'!$C$2:$C$630,MATCH(267,Engine!$C$2:$C$630,0)))</f>
        <v/>
      </c>
      <c r="D280" s="8">
        <f>IF(ISNA(MATCH(267,Engine!$C$2:$C$630,0)),"",INDEX('Compliance Database'!$D$2:$D$630,MATCH(267,Engine!$C$2:$C$630,0)))</f>
        <v/>
      </c>
      <c r="E280">
        <f>IF(ISNA(MATCH(267,Engine!$C$2:$C$630,0)),"",INDEX('Compliance Database'!$E$2:$E$630,MATCH(267,Engine!$C$2:$C$630,0)))</f>
        <v/>
      </c>
      <c r="F280">
        <f>IF(ISNA(MATCH(267,Engine!$C$2:$C$630,0)),"",INDEX('Compliance Database'!$F$2:$F$630,MATCH(267,Engine!$C$2:$C$630,0)))</f>
        <v/>
      </c>
      <c r="G280">
        <f>IF(ISNA(MATCH(267,Engine!$C$2:$C$630,0)),"",INDEX('Compliance Database'!$G$2:$G$630,MATCH(267,Engine!$C$2:$C$630,0)))</f>
        <v/>
      </c>
      <c r="H280">
        <f>IF(ISNA(MATCH(267,Engine!$C$2:$C$630,0)),"",INDEX('Compliance Database'!$H$2:$H$630,MATCH(267,Engine!$C$2:$C$630,0)))</f>
        <v/>
      </c>
      <c r="I280" s="8">
        <f>IF(ISNA(MATCH(267,Engine!$C$2:$C$630,0)),"",INDEX('Compliance Database'!$I$2:$I$630,MATCH(267,Engine!$C$2:$C$630,0)))</f>
        <v/>
      </c>
      <c r="J280" s="8">
        <f>IF(ISNA(MATCH(267,Engine!$C$2:$C$630,0)),"",INDEX('Compliance Database'!$J$2:$J$630,MATCH(267,Engine!$C$2:$C$630,0)))</f>
        <v/>
      </c>
      <c r="K280">
        <f>IF(ISNA(MATCH(267,Engine!$C$2:$C$630,0)),"",INDEX('Compliance Database'!$K$2:$K$630,MATCH(267,Engine!$C$2:$C$630,0)))</f>
        <v/>
      </c>
      <c r="L280" s="8">
        <f>IF(ISNA(MATCH(267,Engine!$C$2:$C$630,0)),"",INDEX('Compliance Database'!$L$2:$L$630,MATCH(267,Engine!$C$2:$C$630,0)))</f>
        <v/>
      </c>
      <c r="M280" s="8">
        <f>IF(ISNA(MATCH(267,Engine!$C$2:$C$630,0)),"",INDEX('Compliance Database'!$M$2:$M$630,MATCH(267,Engine!$C$2:$C$630,0)))</f>
        <v/>
      </c>
      <c r="N280" s="8">
        <f>IF(ISNA(MATCH(267,Engine!$C$2:$C$630,0)),"",INDEX('Compliance Database'!$N$2:$N$630,MATCH(267,Engine!$C$2:$C$630,0)))</f>
        <v/>
      </c>
      <c r="O280" s="8">
        <f>IF(ISNA(MATCH(267,Engine!$C$2:$C$630,0)),"",INDEX('Compliance Database'!$O$2:$O$630,MATCH(267,Engine!$C$2:$C$630,0)))</f>
        <v/>
      </c>
    </row>
    <row r="281">
      <c r="A281">
        <f>IF(ISNA(MATCH(268,Engine!$C$2:$C$630,0)),"",INDEX('Compliance Database'!$A$2:$A$630,MATCH(268,Engine!$C$2:$C$630,0)))</f>
        <v/>
      </c>
      <c r="B281">
        <f>IF(ISNA(MATCH(268,Engine!$C$2:$C$630,0)),"",INDEX('Compliance Database'!$B$2:$B$630,MATCH(268,Engine!$C$2:$C$630,0)))</f>
        <v/>
      </c>
      <c r="C281">
        <f>IF(ISNA(MATCH(268,Engine!$C$2:$C$630,0)),"",INDEX('Compliance Database'!$C$2:$C$630,MATCH(268,Engine!$C$2:$C$630,0)))</f>
        <v/>
      </c>
      <c r="D281" s="8">
        <f>IF(ISNA(MATCH(268,Engine!$C$2:$C$630,0)),"",INDEX('Compliance Database'!$D$2:$D$630,MATCH(268,Engine!$C$2:$C$630,0)))</f>
        <v/>
      </c>
      <c r="E281">
        <f>IF(ISNA(MATCH(268,Engine!$C$2:$C$630,0)),"",INDEX('Compliance Database'!$E$2:$E$630,MATCH(268,Engine!$C$2:$C$630,0)))</f>
        <v/>
      </c>
      <c r="F281">
        <f>IF(ISNA(MATCH(268,Engine!$C$2:$C$630,0)),"",INDEX('Compliance Database'!$F$2:$F$630,MATCH(268,Engine!$C$2:$C$630,0)))</f>
        <v/>
      </c>
      <c r="G281">
        <f>IF(ISNA(MATCH(268,Engine!$C$2:$C$630,0)),"",INDEX('Compliance Database'!$G$2:$G$630,MATCH(268,Engine!$C$2:$C$630,0)))</f>
        <v/>
      </c>
      <c r="H281">
        <f>IF(ISNA(MATCH(268,Engine!$C$2:$C$630,0)),"",INDEX('Compliance Database'!$H$2:$H$630,MATCH(268,Engine!$C$2:$C$630,0)))</f>
        <v/>
      </c>
      <c r="I281" s="8">
        <f>IF(ISNA(MATCH(268,Engine!$C$2:$C$630,0)),"",INDEX('Compliance Database'!$I$2:$I$630,MATCH(268,Engine!$C$2:$C$630,0)))</f>
        <v/>
      </c>
      <c r="J281" s="8">
        <f>IF(ISNA(MATCH(268,Engine!$C$2:$C$630,0)),"",INDEX('Compliance Database'!$J$2:$J$630,MATCH(268,Engine!$C$2:$C$630,0)))</f>
        <v/>
      </c>
      <c r="K281">
        <f>IF(ISNA(MATCH(268,Engine!$C$2:$C$630,0)),"",INDEX('Compliance Database'!$K$2:$K$630,MATCH(268,Engine!$C$2:$C$630,0)))</f>
        <v/>
      </c>
      <c r="L281" s="8">
        <f>IF(ISNA(MATCH(268,Engine!$C$2:$C$630,0)),"",INDEX('Compliance Database'!$L$2:$L$630,MATCH(268,Engine!$C$2:$C$630,0)))</f>
        <v/>
      </c>
      <c r="M281" s="8">
        <f>IF(ISNA(MATCH(268,Engine!$C$2:$C$630,0)),"",INDEX('Compliance Database'!$M$2:$M$630,MATCH(268,Engine!$C$2:$C$630,0)))</f>
        <v/>
      </c>
      <c r="N281" s="8">
        <f>IF(ISNA(MATCH(268,Engine!$C$2:$C$630,0)),"",INDEX('Compliance Database'!$N$2:$N$630,MATCH(268,Engine!$C$2:$C$630,0)))</f>
        <v/>
      </c>
      <c r="O281" s="8">
        <f>IF(ISNA(MATCH(268,Engine!$C$2:$C$630,0)),"",INDEX('Compliance Database'!$O$2:$O$630,MATCH(268,Engine!$C$2:$C$630,0)))</f>
        <v/>
      </c>
    </row>
    <row r="282">
      <c r="A282">
        <f>IF(ISNA(MATCH(269,Engine!$C$2:$C$630,0)),"",INDEX('Compliance Database'!$A$2:$A$630,MATCH(269,Engine!$C$2:$C$630,0)))</f>
        <v/>
      </c>
      <c r="B282">
        <f>IF(ISNA(MATCH(269,Engine!$C$2:$C$630,0)),"",INDEX('Compliance Database'!$B$2:$B$630,MATCH(269,Engine!$C$2:$C$630,0)))</f>
        <v/>
      </c>
      <c r="C282">
        <f>IF(ISNA(MATCH(269,Engine!$C$2:$C$630,0)),"",INDEX('Compliance Database'!$C$2:$C$630,MATCH(269,Engine!$C$2:$C$630,0)))</f>
        <v/>
      </c>
      <c r="D282" s="8">
        <f>IF(ISNA(MATCH(269,Engine!$C$2:$C$630,0)),"",INDEX('Compliance Database'!$D$2:$D$630,MATCH(269,Engine!$C$2:$C$630,0)))</f>
        <v/>
      </c>
      <c r="E282">
        <f>IF(ISNA(MATCH(269,Engine!$C$2:$C$630,0)),"",INDEX('Compliance Database'!$E$2:$E$630,MATCH(269,Engine!$C$2:$C$630,0)))</f>
        <v/>
      </c>
      <c r="F282">
        <f>IF(ISNA(MATCH(269,Engine!$C$2:$C$630,0)),"",INDEX('Compliance Database'!$F$2:$F$630,MATCH(269,Engine!$C$2:$C$630,0)))</f>
        <v/>
      </c>
      <c r="G282">
        <f>IF(ISNA(MATCH(269,Engine!$C$2:$C$630,0)),"",INDEX('Compliance Database'!$G$2:$G$630,MATCH(269,Engine!$C$2:$C$630,0)))</f>
        <v/>
      </c>
      <c r="H282">
        <f>IF(ISNA(MATCH(269,Engine!$C$2:$C$630,0)),"",INDEX('Compliance Database'!$H$2:$H$630,MATCH(269,Engine!$C$2:$C$630,0)))</f>
        <v/>
      </c>
      <c r="I282" s="8">
        <f>IF(ISNA(MATCH(269,Engine!$C$2:$C$630,0)),"",INDEX('Compliance Database'!$I$2:$I$630,MATCH(269,Engine!$C$2:$C$630,0)))</f>
        <v/>
      </c>
      <c r="J282" s="8">
        <f>IF(ISNA(MATCH(269,Engine!$C$2:$C$630,0)),"",INDEX('Compliance Database'!$J$2:$J$630,MATCH(269,Engine!$C$2:$C$630,0)))</f>
        <v/>
      </c>
      <c r="K282">
        <f>IF(ISNA(MATCH(269,Engine!$C$2:$C$630,0)),"",INDEX('Compliance Database'!$K$2:$K$630,MATCH(269,Engine!$C$2:$C$630,0)))</f>
        <v/>
      </c>
      <c r="L282" s="8">
        <f>IF(ISNA(MATCH(269,Engine!$C$2:$C$630,0)),"",INDEX('Compliance Database'!$L$2:$L$630,MATCH(269,Engine!$C$2:$C$630,0)))</f>
        <v/>
      </c>
      <c r="M282" s="8">
        <f>IF(ISNA(MATCH(269,Engine!$C$2:$C$630,0)),"",INDEX('Compliance Database'!$M$2:$M$630,MATCH(269,Engine!$C$2:$C$630,0)))</f>
        <v/>
      </c>
      <c r="N282" s="8">
        <f>IF(ISNA(MATCH(269,Engine!$C$2:$C$630,0)),"",INDEX('Compliance Database'!$N$2:$N$630,MATCH(269,Engine!$C$2:$C$630,0)))</f>
        <v/>
      </c>
      <c r="O282" s="8">
        <f>IF(ISNA(MATCH(269,Engine!$C$2:$C$630,0)),"",INDEX('Compliance Database'!$O$2:$O$630,MATCH(269,Engine!$C$2:$C$630,0)))</f>
        <v/>
      </c>
    </row>
    <row r="283">
      <c r="A283">
        <f>IF(ISNA(MATCH(270,Engine!$C$2:$C$630,0)),"",INDEX('Compliance Database'!$A$2:$A$630,MATCH(270,Engine!$C$2:$C$630,0)))</f>
        <v/>
      </c>
      <c r="B283">
        <f>IF(ISNA(MATCH(270,Engine!$C$2:$C$630,0)),"",INDEX('Compliance Database'!$B$2:$B$630,MATCH(270,Engine!$C$2:$C$630,0)))</f>
        <v/>
      </c>
      <c r="C283">
        <f>IF(ISNA(MATCH(270,Engine!$C$2:$C$630,0)),"",INDEX('Compliance Database'!$C$2:$C$630,MATCH(270,Engine!$C$2:$C$630,0)))</f>
        <v/>
      </c>
      <c r="D283" s="8">
        <f>IF(ISNA(MATCH(270,Engine!$C$2:$C$630,0)),"",INDEX('Compliance Database'!$D$2:$D$630,MATCH(270,Engine!$C$2:$C$630,0)))</f>
        <v/>
      </c>
      <c r="E283">
        <f>IF(ISNA(MATCH(270,Engine!$C$2:$C$630,0)),"",INDEX('Compliance Database'!$E$2:$E$630,MATCH(270,Engine!$C$2:$C$630,0)))</f>
        <v/>
      </c>
      <c r="F283">
        <f>IF(ISNA(MATCH(270,Engine!$C$2:$C$630,0)),"",INDEX('Compliance Database'!$F$2:$F$630,MATCH(270,Engine!$C$2:$C$630,0)))</f>
        <v/>
      </c>
      <c r="G283">
        <f>IF(ISNA(MATCH(270,Engine!$C$2:$C$630,0)),"",INDEX('Compliance Database'!$G$2:$G$630,MATCH(270,Engine!$C$2:$C$630,0)))</f>
        <v/>
      </c>
      <c r="H283">
        <f>IF(ISNA(MATCH(270,Engine!$C$2:$C$630,0)),"",INDEX('Compliance Database'!$H$2:$H$630,MATCH(270,Engine!$C$2:$C$630,0)))</f>
        <v/>
      </c>
      <c r="I283" s="8">
        <f>IF(ISNA(MATCH(270,Engine!$C$2:$C$630,0)),"",INDEX('Compliance Database'!$I$2:$I$630,MATCH(270,Engine!$C$2:$C$630,0)))</f>
        <v/>
      </c>
      <c r="J283" s="8">
        <f>IF(ISNA(MATCH(270,Engine!$C$2:$C$630,0)),"",INDEX('Compliance Database'!$J$2:$J$630,MATCH(270,Engine!$C$2:$C$630,0)))</f>
        <v/>
      </c>
      <c r="K283">
        <f>IF(ISNA(MATCH(270,Engine!$C$2:$C$630,0)),"",INDEX('Compliance Database'!$K$2:$K$630,MATCH(270,Engine!$C$2:$C$630,0)))</f>
        <v/>
      </c>
      <c r="L283" s="8">
        <f>IF(ISNA(MATCH(270,Engine!$C$2:$C$630,0)),"",INDEX('Compliance Database'!$L$2:$L$630,MATCH(270,Engine!$C$2:$C$630,0)))</f>
        <v/>
      </c>
      <c r="M283" s="8">
        <f>IF(ISNA(MATCH(270,Engine!$C$2:$C$630,0)),"",INDEX('Compliance Database'!$M$2:$M$630,MATCH(270,Engine!$C$2:$C$630,0)))</f>
        <v/>
      </c>
      <c r="N283" s="8">
        <f>IF(ISNA(MATCH(270,Engine!$C$2:$C$630,0)),"",INDEX('Compliance Database'!$N$2:$N$630,MATCH(270,Engine!$C$2:$C$630,0)))</f>
        <v/>
      </c>
      <c r="O283" s="8">
        <f>IF(ISNA(MATCH(270,Engine!$C$2:$C$630,0)),"",INDEX('Compliance Database'!$O$2:$O$630,MATCH(270,Engine!$C$2:$C$630,0)))</f>
        <v/>
      </c>
    </row>
    <row r="284">
      <c r="A284">
        <f>IF(ISNA(MATCH(271,Engine!$C$2:$C$630,0)),"",INDEX('Compliance Database'!$A$2:$A$630,MATCH(271,Engine!$C$2:$C$630,0)))</f>
        <v/>
      </c>
      <c r="B284">
        <f>IF(ISNA(MATCH(271,Engine!$C$2:$C$630,0)),"",INDEX('Compliance Database'!$B$2:$B$630,MATCH(271,Engine!$C$2:$C$630,0)))</f>
        <v/>
      </c>
      <c r="C284">
        <f>IF(ISNA(MATCH(271,Engine!$C$2:$C$630,0)),"",INDEX('Compliance Database'!$C$2:$C$630,MATCH(271,Engine!$C$2:$C$630,0)))</f>
        <v/>
      </c>
      <c r="D284" s="8">
        <f>IF(ISNA(MATCH(271,Engine!$C$2:$C$630,0)),"",INDEX('Compliance Database'!$D$2:$D$630,MATCH(271,Engine!$C$2:$C$630,0)))</f>
        <v/>
      </c>
      <c r="E284">
        <f>IF(ISNA(MATCH(271,Engine!$C$2:$C$630,0)),"",INDEX('Compliance Database'!$E$2:$E$630,MATCH(271,Engine!$C$2:$C$630,0)))</f>
        <v/>
      </c>
      <c r="F284">
        <f>IF(ISNA(MATCH(271,Engine!$C$2:$C$630,0)),"",INDEX('Compliance Database'!$F$2:$F$630,MATCH(271,Engine!$C$2:$C$630,0)))</f>
        <v/>
      </c>
      <c r="G284">
        <f>IF(ISNA(MATCH(271,Engine!$C$2:$C$630,0)),"",INDEX('Compliance Database'!$G$2:$G$630,MATCH(271,Engine!$C$2:$C$630,0)))</f>
        <v/>
      </c>
      <c r="H284">
        <f>IF(ISNA(MATCH(271,Engine!$C$2:$C$630,0)),"",INDEX('Compliance Database'!$H$2:$H$630,MATCH(271,Engine!$C$2:$C$630,0)))</f>
        <v/>
      </c>
      <c r="I284" s="8">
        <f>IF(ISNA(MATCH(271,Engine!$C$2:$C$630,0)),"",INDEX('Compliance Database'!$I$2:$I$630,MATCH(271,Engine!$C$2:$C$630,0)))</f>
        <v/>
      </c>
      <c r="J284" s="8">
        <f>IF(ISNA(MATCH(271,Engine!$C$2:$C$630,0)),"",INDEX('Compliance Database'!$J$2:$J$630,MATCH(271,Engine!$C$2:$C$630,0)))</f>
        <v/>
      </c>
      <c r="K284">
        <f>IF(ISNA(MATCH(271,Engine!$C$2:$C$630,0)),"",INDEX('Compliance Database'!$K$2:$K$630,MATCH(271,Engine!$C$2:$C$630,0)))</f>
        <v/>
      </c>
      <c r="L284" s="8">
        <f>IF(ISNA(MATCH(271,Engine!$C$2:$C$630,0)),"",INDEX('Compliance Database'!$L$2:$L$630,MATCH(271,Engine!$C$2:$C$630,0)))</f>
        <v/>
      </c>
      <c r="M284" s="8">
        <f>IF(ISNA(MATCH(271,Engine!$C$2:$C$630,0)),"",INDEX('Compliance Database'!$M$2:$M$630,MATCH(271,Engine!$C$2:$C$630,0)))</f>
        <v/>
      </c>
      <c r="N284" s="8">
        <f>IF(ISNA(MATCH(271,Engine!$C$2:$C$630,0)),"",INDEX('Compliance Database'!$N$2:$N$630,MATCH(271,Engine!$C$2:$C$630,0)))</f>
        <v/>
      </c>
      <c r="O284" s="8">
        <f>IF(ISNA(MATCH(271,Engine!$C$2:$C$630,0)),"",INDEX('Compliance Database'!$O$2:$O$630,MATCH(271,Engine!$C$2:$C$630,0)))</f>
        <v/>
      </c>
    </row>
    <row r="285">
      <c r="A285">
        <f>IF(ISNA(MATCH(272,Engine!$C$2:$C$630,0)),"",INDEX('Compliance Database'!$A$2:$A$630,MATCH(272,Engine!$C$2:$C$630,0)))</f>
        <v/>
      </c>
      <c r="B285">
        <f>IF(ISNA(MATCH(272,Engine!$C$2:$C$630,0)),"",INDEX('Compliance Database'!$B$2:$B$630,MATCH(272,Engine!$C$2:$C$630,0)))</f>
        <v/>
      </c>
      <c r="C285">
        <f>IF(ISNA(MATCH(272,Engine!$C$2:$C$630,0)),"",INDEX('Compliance Database'!$C$2:$C$630,MATCH(272,Engine!$C$2:$C$630,0)))</f>
        <v/>
      </c>
      <c r="D285" s="8">
        <f>IF(ISNA(MATCH(272,Engine!$C$2:$C$630,0)),"",INDEX('Compliance Database'!$D$2:$D$630,MATCH(272,Engine!$C$2:$C$630,0)))</f>
        <v/>
      </c>
      <c r="E285">
        <f>IF(ISNA(MATCH(272,Engine!$C$2:$C$630,0)),"",INDEX('Compliance Database'!$E$2:$E$630,MATCH(272,Engine!$C$2:$C$630,0)))</f>
        <v/>
      </c>
      <c r="F285">
        <f>IF(ISNA(MATCH(272,Engine!$C$2:$C$630,0)),"",INDEX('Compliance Database'!$F$2:$F$630,MATCH(272,Engine!$C$2:$C$630,0)))</f>
        <v/>
      </c>
      <c r="G285">
        <f>IF(ISNA(MATCH(272,Engine!$C$2:$C$630,0)),"",INDEX('Compliance Database'!$G$2:$G$630,MATCH(272,Engine!$C$2:$C$630,0)))</f>
        <v/>
      </c>
      <c r="H285">
        <f>IF(ISNA(MATCH(272,Engine!$C$2:$C$630,0)),"",INDEX('Compliance Database'!$H$2:$H$630,MATCH(272,Engine!$C$2:$C$630,0)))</f>
        <v/>
      </c>
      <c r="I285" s="8">
        <f>IF(ISNA(MATCH(272,Engine!$C$2:$C$630,0)),"",INDEX('Compliance Database'!$I$2:$I$630,MATCH(272,Engine!$C$2:$C$630,0)))</f>
        <v/>
      </c>
      <c r="J285" s="8">
        <f>IF(ISNA(MATCH(272,Engine!$C$2:$C$630,0)),"",INDEX('Compliance Database'!$J$2:$J$630,MATCH(272,Engine!$C$2:$C$630,0)))</f>
        <v/>
      </c>
      <c r="K285">
        <f>IF(ISNA(MATCH(272,Engine!$C$2:$C$630,0)),"",INDEX('Compliance Database'!$K$2:$K$630,MATCH(272,Engine!$C$2:$C$630,0)))</f>
        <v/>
      </c>
      <c r="L285" s="8">
        <f>IF(ISNA(MATCH(272,Engine!$C$2:$C$630,0)),"",INDEX('Compliance Database'!$L$2:$L$630,MATCH(272,Engine!$C$2:$C$630,0)))</f>
        <v/>
      </c>
      <c r="M285" s="8">
        <f>IF(ISNA(MATCH(272,Engine!$C$2:$C$630,0)),"",INDEX('Compliance Database'!$M$2:$M$630,MATCH(272,Engine!$C$2:$C$630,0)))</f>
        <v/>
      </c>
      <c r="N285" s="8">
        <f>IF(ISNA(MATCH(272,Engine!$C$2:$C$630,0)),"",INDEX('Compliance Database'!$N$2:$N$630,MATCH(272,Engine!$C$2:$C$630,0)))</f>
        <v/>
      </c>
      <c r="O285" s="8">
        <f>IF(ISNA(MATCH(272,Engine!$C$2:$C$630,0)),"",INDEX('Compliance Database'!$O$2:$O$630,MATCH(272,Engine!$C$2:$C$630,0)))</f>
        <v/>
      </c>
    </row>
    <row r="286">
      <c r="A286">
        <f>IF(ISNA(MATCH(273,Engine!$C$2:$C$630,0)),"",INDEX('Compliance Database'!$A$2:$A$630,MATCH(273,Engine!$C$2:$C$630,0)))</f>
        <v/>
      </c>
      <c r="B286">
        <f>IF(ISNA(MATCH(273,Engine!$C$2:$C$630,0)),"",INDEX('Compliance Database'!$B$2:$B$630,MATCH(273,Engine!$C$2:$C$630,0)))</f>
        <v/>
      </c>
      <c r="C286">
        <f>IF(ISNA(MATCH(273,Engine!$C$2:$C$630,0)),"",INDEX('Compliance Database'!$C$2:$C$630,MATCH(273,Engine!$C$2:$C$630,0)))</f>
        <v/>
      </c>
      <c r="D286" s="8">
        <f>IF(ISNA(MATCH(273,Engine!$C$2:$C$630,0)),"",INDEX('Compliance Database'!$D$2:$D$630,MATCH(273,Engine!$C$2:$C$630,0)))</f>
        <v/>
      </c>
      <c r="E286">
        <f>IF(ISNA(MATCH(273,Engine!$C$2:$C$630,0)),"",INDEX('Compliance Database'!$E$2:$E$630,MATCH(273,Engine!$C$2:$C$630,0)))</f>
        <v/>
      </c>
      <c r="F286">
        <f>IF(ISNA(MATCH(273,Engine!$C$2:$C$630,0)),"",INDEX('Compliance Database'!$F$2:$F$630,MATCH(273,Engine!$C$2:$C$630,0)))</f>
        <v/>
      </c>
      <c r="G286">
        <f>IF(ISNA(MATCH(273,Engine!$C$2:$C$630,0)),"",INDEX('Compliance Database'!$G$2:$G$630,MATCH(273,Engine!$C$2:$C$630,0)))</f>
        <v/>
      </c>
      <c r="H286">
        <f>IF(ISNA(MATCH(273,Engine!$C$2:$C$630,0)),"",INDEX('Compliance Database'!$H$2:$H$630,MATCH(273,Engine!$C$2:$C$630,0)))</f>
        <v/>
      </c>
      <c r="I286" s="8">
        <f>IF(ISNA(MATCH(273,Engine!$C$2:$C$630,0)),"",INDEX('Compliance Database'!$I$2:$I$630,MATCH(273,Engine!$C$2:$C$630,0)))</f>
        <v/>
      </c>
      <c r="J286" s="8">
        <f>IF(ISNA(MATCH(273,Engine!$C$2:$C$630,0)),"",INDEX('Compliance Database'!$J$2:$J$630,MATCH(273,Engine!$C$2:$C$630,0)))</f>
        <v/>
      </c>
      <c r="K286">
        <f>IF(ISNA(MATCH(273,Engine!$C$2:$C$630,0)),"",INDEX('Compliance Database'!$K$2:$K$630,MATCH(273,Engine!$C$2:$C$630,0)))</f>
        <v/>
      </c>
      <c r="L286" s="8">
        <f>IF(ISNA(MATCH(273,Engine!$C$2:$C$630,0)),"",INDEX('Compliance Database'!$L$2:$L$630,MATCH(273,Engine!$C$2:$C$630,0)))</f>
        <v/>
      </c>
      <c r="M286" s="8">
        <f>IF(ISNA(MATCH(273,Engine!$C$2:$C$630,0)),"",INDEX('Compliance Database'!$M$2:$M$630,MATCH(273,Engine!$C$2:$C$630,0)))</f>
        <v/>
      </c>
      <c r="N286" s="8">
        <f>IF(ISNA(MATCH(273,Engine!$C$2:$C$630,0)),"",INDEX('Compliance Database'!$N$2:$N$630,MATCH(273,Engine!$C$2:$C$630,0)))</f>
        <v/>
      </c>
      <c r="O286" s="8">
        <f>IF(ISNA(MATCH(273,Engine!$C$2:$C$630,0)),"",INDEX('Compliance Database'!$O$2:$O$630,MATCH(273,Engine!$C$2:$C$630,0)))</f>
        <v/>
      </c>
    </row>
    <row r="287">
      <c r="A287">
        <f>IF(ISNA(MATCH(274,Engine!$C$2:$C$630,0)),"",INDEX('Compliance Database'!$A$2:$A$630,MATCH(274,Engine!$C$2:$C$630,0)))</f>
        <v/>
      </c>
      <c r="B287">
        <f>IF(ISNA(MATCH(274,Engine!$C$2:$C$630,0)),"",INDEX('Compliance Database'!$B$2:$B$630,MATCH(274,Engine!$C$2:$C$630,0)))</f>
        <v/>
      </c>
      <c r="C287">
        <f>IF(ISNA(MATCH(274,Engine!$C$2:$C$630,0)),"",INDEX('Compliance Database'!$C$2:$C$630,MATCH(274,Engine!$C$2:$C$630,0)))</f>
        <v/>
      </c>
      <c r="D287" s="8">
        <f>IF(ISNA(MATCH(274,Engine!$C$2:$C$630,0)),"",INDEX('Compliance Database'!$D$2:$D$630,MATCH(274,Engine!$C$2:$C$630,0)))</f>
        <v/>
      </c>
      <c r="E287">
        <f>IF(ISNA(MATCH(274,Engine!$C$2:$C$630,0)),"",INDEX('Compliance Database'!$E$2:$E$630,MATCH(274,Engine!$C$2:$C$630,0)))</f>
        <v/>
      </c>
      <c r="F287">
        <f>IF(ISNA(MATCH(274,Engine!$C$2:$C$630,0)),"",INDEX('Compliance Database'!$F$2:$F$630,MATCH(274,Engine!$C$2:$C$630,0)))</f>
        <v/>
      </c>
      <c r="G287">
        <f>IF(ISNA(MATCH(274,Engine!$C$2:$C$630,0)),"",INDEX('Compliance Database'!$G$2:$G$630,MATCH(274,Engine!$C$2:$C$630,0)))</f>
        <v/>
      </c>
      <c r="H287">
        <f>IF(ISNA(MATCH(274,Engine!$C$2:$C$630,0)),"",INDEX('Compliance Database'!$H$2:$H$630,MATCH(274,Engine!$C$2:$C$630,0)))</f>
        <v/>
      </c>
      <c r="I287" s="8">
        <f>IF(ISNA(MATCH(274,Engine!$C$2:$C$630,0)),"",INDEX('Compliance Database'!$I$2:$I$630,MATCH(274,Engine!$C$2:$C$630,0)))</f>
        <v/>
      </c>
      <c r="J287" s="8">
        <f>IF(ISNA(MATCH(274,Engine!$C$2:$C$630,0)),"",INDEX('Compliance Database'!$J$2:$J$630,MATCH(274,Engine!$C$2:$C$630,0)))</f>
        <v/>
      </c>
      <c r="K287">
        <f>IF(ISNA(MATCH(274,Engine!$C$2:$C$630,0)),"",INDEX('Compliance Database'!$K$2:$K$630,MATCH(274,Engine!$C$2:$C$630,0)))</f>
        <v/>
      </c>
      <c r="L287" s="8">
        <f>IF(ISNA(MATCH(274,Engine!$C$2:$C$630,0)),"",INDEX('Compliance Database'!$L$2:$L$630,MATCH(274,Engine!$C$2:$C$630,0)))</f>
        <v/>
      </c>
      <c r="M287" s="8">
        <f>IF(ISNA(MATCH(274,Engine!$C$2:$C$630,0)),"",INDEX('Compliance Database'!$M$2:$M$630,MATCH(274,Engine!$C$2:$C$630,0)))</f>
        <v/>
      </c>
      <c r="N287" s="8">
        <f>IF(ISNA(MATCH(274,Engine!$C$2:$C$630,0)),"",INDEX('Compliance Database'!$N$2:$N$630,MATCH(274,Engine!$C$2:$C$630,0)))</f>
        <v/>
      </c>
      <c r="O287" s="8">
        <f>IF(ISNA(MATCH(274,Engine!$C$2:$C$630,0)),"",INDEX('Compliance Database'!$O$2:$O$630,MATCH(274,Engine!$C$2:$C$630,0)))</f>
        <v/>
      </c>
    </row>
    <row r="288">
      <c r="A288">
        <f>IF(ISNA(MATCH(275,Engine!$C$2:$C$630,0)),"",INDEX('Compliance Database'!$A$2:$A$630,MATCH(275,Engine!$C$2:$C$630,0)))</f>
        <v/>
      </c>
      <c r="B288">
        <f>IF(ISNA(MATCH(275,Engine!$C$2:$C$630,0)),"",INDEX('Compliance Database'!$B$2:$B$630,MATCH(275,Engine!$C$2:$C$630,0)))</f>
        <v/>
      </c>
      <c r="C288">
        <f>IF(ISNA(MATCH(275,Engine!$C$2:$C$630,0)),"",INDEX('Compliance Database'!$C$2:$C$630,MATCH(275,Engine!$C$2:$C$630,0)))</f>
        <v/>
      </c>
      <c r="D288" s="8">
        <f>IF(ISNA(MATCH(275,Engine!$C$2:$C$630,0)),"",INDEX('Compliance Database'!$D$2:$D$630,MATCH(275,Engine!$C$2:$C$630,0)))</f>
        <v/>
      </c>
      <c r="E288">
        <f>IF(ISNA(MATCH(275,Engine!$C$2:$C$630,0)),"",INDEX('Compliance Database'!$E$2:$E$630,MATCH(275,Engine!$C$2:$C$630,0)))</f>
        <v/>
      </c>
      <c r="F288">
        <f>IF(ISNA(MATCH(275,Engine!$C$2:$C$630,0)),"",INDEX('Compliance Database'!$F$2:$F$630,MATCH(275,Engine!$C$2:$C$630,0)))</f>
        <v/>
      </c>
      <c r="G288">
        <f>IF(ISNA(MATCH(275,Engine!$C$2:$C$630,0)),"",INDEX('Compliance Database'!$G$2:$G$630,MATCH(275,Engine!$C$2:$C$630,0)))</f>
        <v/>
      </c>
      <c r="H288">
        <f>IF(ISNA(MATCH(275,Engine!$C$2:$C$630,0)),"",INDEX('Compliance Database'!$H$2:$H$630,MATCH(275,Engine!$C$2:$C$630,0)))</f>
        <v/>
      </c>
      <c r="I288" s="8">
        <f>IF(ISNA(MATCH(275,Engine!$C$2:$C$630,0)),"",INDEX('Compliance Database'!$I$2:$I$630,MATCH(275,Engine!$C$2:$C$630,0)))</f>
        <v/>
      </c>
      <c r="J288" s="8">
        <f>IF(ISNA(MATCH(275,Engine!$C$2:$C$630,0)),"",INDEX('Compliance Database'!$J$2:$J$630,MATCH(275,Engine!$C$2:$C$630,0)))</f>
        <v/>
      </c>
      <c r="K288">
        <f>IF(ISNA(MATCH(275,Engine!$C$2:$C$630,0)),"",INDEX('Compliance Database'!$K$2:$K$630,MATCH(275,Engine!$C$2:$C$630,0)))</f>
        <v/>
      </c>
      <c r="L288" s="8">
        <f>IF(ISNA(MATCH(275,Engine!$C$2:$C$630,0)),"",INDEX('Compliance Database'!$L$2:$L$630,MATCH(275,Engine!$C$2:$C$630,0)))</f>
        <v/>
      </c>
      <c r="M288" s="8">
        <f>IF(ISNA(MATCH(275,Engine!$C$2:$C$630,0)),"",INDEX('Compliance Database'!$M$2:$M$630,MATCH(275,Engine!$C$2:$C$630,0)))</f>
        <v/>
      </c>
      <c r="N288" s="8">
        <f>IF(ISNA(MATCH(275,Engine!$C$2:$C$630,0)),"",INDEX('Compliance Database'!$N$2:$N$630,MATCH(275,Engine!$C$2:$C$630,0)))</f>
        <v/>
      </c>
      <c r="O288" s="8">
        <f>IF(ISNA(MATCH(275,Engine!$C$2:$C$630,0)),"",INDEX('Compliance Database'!$O$2:$O$630,MATCH(275,Engine!$C$2:$C$630,0)))</f>
        <v/>
      </c>
    </row>
    <row r="289">
      <c r="A289">
        <f>IF(ISNA(MATCH(276,Engine!$C$2:$C$630,0)),"",INDEX('Compliance Database'!$A$2:$A$630,MATCH(276,Engine!$C$2:$C$630,0)))</f>
        <v/>
      </c>
      <c r="B289">
        <f>IF(ISNA(MATCH(276,Engine!$C$2:$C$630,0)),"",INDEX('Compliance Database'!$B$2:$B$630,MATCH(276,Engine!$C$2:$C$630,0)))</f>
        <v/>
      </c>
      <c r="C289">
        <f>IF(ISNA(MATCH(276,Engine!$C$2:$C$630,0)),"",INDEX('Compliance Database'!$C$2:$C$630,MATCH(276,Engine!$C$2:$C$630,0)))</f>
        <v/>
      </c>
      <c r="D289" s="8">
        <f>IF(ISNA(MATCH(276,Engine!$C$2:$C$630,0)),"",INDEX('Compliance Database'!$D$2:$D$630,MATCH(276,Engine!$C$2:$C$630,0)))</f>
        <v/>
      </c>
      <c r="E289">
        <f>IF(ISNA(MATCH(276,Engine!$C$2:$C$630,0)),"",INDEX('Compliance Database'!$E$2:$E$630,MATCH(276,Engine!$C$2:$C$630,0)))</f>
        <v/>
      </c>
      <c r="F289">
        <f>IF(ISNA(MATCH(276,Engine!$C$2:$C$630,0)),"",INDEX('Compliance Database'!$F$2:$F$630,MATCH(276,Engine!$C$2:$C$630,0)))</f>
        <v/>
      </c>
      <c r="G289">
        <f>IF(ISNA(MATCH(276,Engine!$C$2:$C$630,0)),"",INDEX('Compliance Database'!$G$2:$G$630,MATCH(276,Engine!$C$2:$C$630,0)))</f>
        <v/>
      </c>
      <c r="H289">
        <f>IF(ISNA(MATCH(276,Engine!$C$2:$C$630,0)),"",INDEX('Compliance Database'!$H$2:$H$630,MATCH(276,Engine!$C$2:$C$630,0)))</f>
        <v/>
      </c>
      <c r="I289" s="8">
        <f>IF(ISNA(MATCH(276,Engine!$C$2:$C$630,0)),"",INDEX('Compliance Database'!$I$2:$I$630,MATCH(276,Engine!$C$2:$C$630,0)))</f>
        <v/>
      </c>
      <c r="J289" s="8">
        <f>IF(ISNA(MATCH(276,Engine!$C$2:$C$630,0)),"",INDEX('Compliance Database'!$J$2:$J$630,MATCH(276,Engine!$C$2:$C$630,0)))</f>
        <v/>
      </c>
      <c r="K289">
        <f>IF(ISNA(MATCH(276,Engine!$C$2:$C$630,0)),"",INDEX('Compliance Database'!$K$2:$K$630,MATCH(276,Engine!$C$2:$C$630,0)))</f>
        <v/>
      </c>
      <c r="L289" s="8">
        <f>IF(ISNA(MATCH(276,Engine!$C$2:$C$630,0)),"",INDEX('Compliance Database'!$L$2:$L$630,MATCH(276,Engine!$C$2:$C$630,0)))</f>
        <v/>
      </c>
      <c r="M289" s="8">
        <f>IF(ISNA(MATCH(276,Engine!$C$2:$C$630,0)),"",INDEX('Compliance Database'!$M$2:$M$630,MATCH(276,Engine!$C$2:$C$630,0)))</f>
        <v/>
      </c>
      <c r="N289" s="8">
        <f>IF(ISNA(MATCH(276,Engine!$C$2:$C$630,0)),"",INDEX('Compliance Database'!$N$2:$N$630,MATCH(276,Engine!$C$2:$C$630,0)))</f>
        <v/>
      </c>
      <c r="O289" s="8">
        <f>IF(ISNA(MATCH(276,Engine!$C$2:$C$630,0)),"",INDEX('Compliance Database'!$O$2:$O$630,MATCH(276,Engine!$C$2:$C$630,0)))</f>
        <v/>
      </c>
    </row>
    <row r="290">
      <c r="A290">
        <f>IF(ISNA(MATCH(277,Engine!$C$2:$C$630,0)),"",INDEX('Compliance Database'!$A$2:$A$630,MATCH(277,Engine!$C$2:$C$630,0)))</f>
        <v/>
      </c>
      <c r="B290">
        <f>IF(ISNA(MATCH(277,Engine!$C$2:$C$630,0)),"",INDEX('Compliance Database'!$B$2:$B$630,MATCH(277,Engine!$C$2:$C$630,0)))</f>
        <v/>
      </c>
      <c r="C290">
        <f>IF(ISNA(MATCH(277,Engine!$C$2:$C$630,0)),"",INDEX('Compliance Database'!$C$2:$C$630,MATCH(277,Engine!$C$2:$C$630,0)))</f>
        <v/>
      </c>
      <c r="D290" s="8">
        <f>IF(ISNA(MATCH(277,Engine!$C$2:$C$630,0)),"",INDEX('Compliance Database'!$D$2:$D$630,MATCH(277,Engine!$C$2:$C$630,0)))</f>
        <v/>
      </c>
      <c r="E290">
        <f>IF(ISNA(MATCH(277,Engine!$C$2:$C$630,0)),"",INDEX('Compliance Database'!$E$2:$E$630,MATCH(277,Engine!$C$2:$C$630,0)))</f>
        <v/>
      </c>
      <c r="F290">
        <f>IF(ISNA(MATCH(277,Engine!$C$2:$C$630,0)),"",INDEX('Compliance Database'!$F$2:$F$630,MATCH(277,Engine!$C$2:$C$630,0)))</f>
        <v/>
      </c>
      <c r="G290">
        <f>IF(ISNA(MATCH(277,Engine!$C$2:$C$630,0)),"",INDEX('Compliance Database'!$G$2:$G$630,MATCH(277,Engine!$C$2:$C$630,0)))</f>
        <v/>
      </c>
      <c r="H290">
        <f>IF(ISNA(MATCH(277,Engine!$C$2:$C$630,0)),"",INDEX('Compliance Database'!$H$2:$H$630,MATCH(277,Engine!$C$2:$C$630,0)))</f>
        <v/>
      </c>
      <c r="I290" s="8">
        <f>IF(ISNA(MATCH(277,Engine!$C$2:$C$630,0)),"",INDEX('Compliance Database'!$I$2:$I$630,MATCH(277,Engine!$C$2:$C$630,0)))</f>
        <v/>
      </c>
      <c r="J290" s="8">
        <f>IF(ISNA(MATCH(277,Engine!$C$2:$C$630,0)),"",INDEX('Compliance Database'!$J$2:$J$630,MATCH(277,Engine!$C$2:$C$630,0)))</f>
        <v/>
      </c>
      <c r="K290">
        <f>IF(ISNA(MATCH(277,Engine!$C$2:$C$630,0)),"",INDEX('Compliance Database'!$K$2:$K$630,MATCH(277,Engine!$C$2:$C$630,0)))</f>
        <v/>
      </c>
      <c r="L290" s="8">
        <f>IF(ISNA(MATCH(277,Engine!$C$2:$C$630,0)),"",INDEX('Compliance Database'!$L$2:$L$630,MATCH(277,Engine!$C$2:$C$630,0)))</f>
        <v/>
      </c>
      <c r="M290" s="8">
        <f>IF(ISNA(MATCH(277,Engine!$C$2:$C$630,0)),"",INDEX('Compliance Database'!$M$2:$M$630,MATCH(277,Engine!$C$2:$C$630,0)))</f>
        <v/>
      </c>
      <c r="N290" s="8">
        <f>IF(ISNA(MATCH(277,Engine!$C$2:$C$630,0)),"",INDEX('Compliance Database'!$N$2:$N$630,MATCH(277,Engine!$C$2:$C$630,0)))</f>
        <v/>
      </c>
      <c r="O290" s="8">
        <f>IF(ISNA(MATCH(277,Engine!$C$2:$C$630,0)),"",INDEX('Compliance Database'!$O$2:$O$630,MATCH(277,Engine!$C$2:$C$630,0)))</f>
        <v/>
      </c>
    </row>
    <row r="291">
      <c r="A291">
        <f>IF(ISNA(MATCH(278,Engine!$C$2:$C$630,0)),"",INDEX('Compliance Database'!$A$2:$A$630,MATCH(278,Engine!$C$2:$C$630,0)))</f>
        <v/>
      </c>
      <c r="B291">
        <f>IF(ISNA(MATCH(278,Engine!$C$2:$C$630,0)),"",INDEX('Compliance Database'!$B$2:$B$630,MATCH(278,Engine!$C$2:$C$630,0)))</f>
        <v/>
      </c>
      <c r="C291">
        <f>IF(ISNA(MATCH(278,Engine!$C$2:$C$630,0)),"",INDEX('Compliance Database'!$C$2:$C$630,MATCH(278,Engine!$C$2:$C$630,0)))</f>
        <v/>
      </c>
      <c r="D291" s="8">
        <f>IF(ISNA(MATCH(278,Engine!$C$2:$C$630,0)),"",INDEX('Compliance Database'!$D$2:$D$630,MATCH(278,Engine!$C$2:$C$630,0)))</f>
        <v/>
      </c>
      <c r="E291">
        <f>IF(ISNA(MATCH(278,Engine!$C$2:$C$630,0)),"",INDEX('Compliance Database'!$E$2:$E$630,MATCH(278,Engine!$C$2:$C$630,0)))</f>
        <v/>
      </c>
      <c r="F291">
        <f>IF(ISNA(MATCH(278,Engine!$C$2:$C$630,0)),"",INDEX('Compliance Database'!$F$2:$F$630,MATCH(278,Engine!$C$2:$C$630,0)))</f>
        <v/>
      </c>
      <c r="G291">
        <f>IF(ISNA(MATCH(278,Engine!$C$2:$C$630,0)),"",INDEX('Compliance Database'!$G$2:$G$630,MATCH(278,Engine!$C$2:$C$630,0)))</f>
        <v/>
      </c>
      <c r="H291">
        <f>IF(ISNA(MATCH(278,Engine!$C$2:$C$630,0)),"",INDEX('Compliance Database'!$H$2:$H$630,MATCH(278,Engine!$C$2:$C$630,0)))</f>
        <v/>
      </c>
      <c r="I291" s="8">
        <f>IF(ISNA(MATCH(278,Engine!$C$2:$C$630,0)),"",INDEX('Compliance Database'!$I$2:$I$630,MATCH(278,Engine!$C$2:$C$630,0)))</f>
        <v/>
      </c>
      <c r="J291" s="8">
        <f>IF(ISNA(MATCH(278,Engine!$C$2:$C$630,0)),"",INDEX('Compliance Database'!$J$2:$J$630,MATCH(278,Engine!$C$2:$C$630,0)))</f>
        <v/>
      </c>
      <c r="K291">
        <f>IF(ISNA(MATCH(278,Engine!$C$2:$C$630,0)),"",INDEX('Compliance Database'!$K$2:$K$630,MATCH(278,Engine!$C$2:$C$630,0)))</f>
        <v/>
      </c>
      <c r="L291" s="8">
        <f>IF(ISNA(MATCH(278,Engine!$C$2:$C$630,0)),"",INDEX('Compliance Database'!$L$2:$L$630,MATCH(278,Engine!$C$2:$C$630,0)))</f>
        <v/>
      </c>
      <c r="M291" s="8">
        <f>IF(ISNA(MATCH(278,Engine!$C$2:$C$630,0)),"",INDEX('Compliance Database'!$M$2:$M$630,MATCH(278,Engine!$C$2:$C$630,0)))</f>
        <v/>
      </c>
      <c r="N291" s="8">
        <f>IF(ISNA(MATCH(278,Engine!$C$2:$C$630,0)),"",INDEX('Compliance Database'!$N$2:$N$630,MATCH(278,Engine!$C$2:$C$630,0)))</f>
        <v/>
      </c>
      <c r="O291" s="8">
        <f>IF(ISNA(MATCH(278,Engine!$C$2:$C$630,0)),"",INDEX('Compliance Database'!$O$2:$O$630,MATCH(278,Engine!$C$2:$C$630,0)))</f>
        <v/>
      </c>
    </row>
    <row r="292">
      <c r="A292">
        <f>IF(ISNA(MATCH(279,Engine!$C$2:$C$630,0)),"",INDEX('Compliance Database'!$A$2:$A$630,MATCH(279,Engine!$C$2:$C$630,0)))</f>
        <v/>
      </c>
      <c r="B292">
        <f>IF(ISNA(MATCH(279,Engine!$C$2:$C$630,0)),"",INDEX('Compliance Database'!$B$2:$B$630,MATCH(279,Engine!$C$2:$C$630,0)))</f>
        <v/>
      </c>
      <c r="C292">
        <f>IF(ISNA(MATCH(279,Engine!$C$2:$C$630,0)),"",INDEX('Compliance Database'!$C$2:$C$630,MATCH(279,Engine!$C$2:$C$630,0)))</f>
        <v/>
      </c>
      <c r="D292" s="8">
        <f>IF(ISNA(MATCH(279,Engine!$C$2:$C$630,0)),"",INDEX('Compliance Database'!$D$2:$D$630,MATCH(279,Engine!$C$2:$C$630,0)))</f>
        <v/>
      </c>
      <c r="E292">
        <f>IF(ISNA(MATCH(279,Engine!$C$2:$C$630,0)),"",INDEX('Compliance Database'!$E$2:$E$630,MATCH(279,Engine!$C$2:$C$630,0)))</f>
        <v/>
      </c>
      <c r="F292">
        <f>IF(ISNA(MATCH(279,Engine!$C$2:$C$630,0)),"",INDEX('Compliance Database'!$F$2:$F$630,MATCH(279,Engine!$C$2:$C$630,0)))</f>
        <v/>
      </c>
      <c r="G292">
        <f>IF(ISNA(MATCH(279,Engine!$C$2:$C$630,0)),"",INDEX('Compliance Database'!$G$2:$G$630,MATCH(279,Engine!$C$2:$C$630,0)))</f>
        <v/>
      </c>
      <c r="H292">
        <f>IF(ISNA(MATCH(279,Engine!$C$2:$C$630,0)),"",INDEX('Compliance Database'!$H$2:$H$630,MATCH(279,Engine!$C$2:$C$630,0)))</f>
        <v/>
      </c>
      <c r="I292" s="8">
        <f>IF(ISNA(MATCH(279,Engine!$C$2:$C$630,0)),"",INDEX('Compliance Database'!$I$2:$I$630,MATCH(279,Engine!$C$2:$C$630,0)))</f>
        <v/>
      </c>
      <c r="J292" s="8">
        <f>IF(ISNA(MATCH(279,Engine!$C$2:$C$630,0)),"",INDEX('Compliance Database'!$J$2:$J$630,MATCH(279,Engine!$C$2:$C$630,0)))</f>
        <v/>
      </c>
      <c r="K292">
        <f>IF(ISNA(MATCH(279,Engine!$C$2:$C$630,0)),"",INDEX('Compliance Database'!$K$2:$K$630,MATCH(279,Engine!$C$2:$C$630,0)))</f>
        <v/>
      </c>
      <c r="L292" s="8">
        <f>IF(ISNA(MATCH(279,Engine!$C$2:$C$630,0)),"",INDEX('Compliance Database'!$L$2:$L$630,MATCH(279,Engine!$C$2:$C$630,0)))</f>
        <v/>
      </c>
      <c r="M292" s="8">
        <f>IF(ISNA(MATCH(279,Engine!$C$2:$C$630,0)),"",INDEX('Compliance Database'!$M$2:$M$630,MATCH(279,Engine!$C$2:$C$630,0)))</f>
        <v/>
      </c>
      <c r="N292" s="8">
        <f>IF(ISNA(MATCH(279,Engine!$C$2:$C$630,0)),"",INDEX('Compliance Database'!$N$2:$N$630,MATCH(279,Engine!$C$2:$C$630,0)))</f>
        <v/>
      </c>
      <c r="O292" s="8">
        <f>IF(ISNA(MATCH(279,Engine!$C$2:$C$630,0)),"",INDEX('Compliance Database'!$O$2:$O$630,MATCH(279,Engine!$C$2:$C$630,0)))</f>
        <v/>
      </c>
    </row>
    <row r="293">
      <c r="A293">
        <f>IF(ISNA(MATCH(280,Engine!$C$2:$C$630,0)),"",INDEX('Compliance Database'!$A$2:$A$630,MATCH(280,Engine!$C$2:$C$630,0)))</f>
        <v/>
      </c>
      <c r="B293">
        <f>IF(ISNA(MATCH(280,Engine!$C$2:$C$630,0)),"",INDEX('Compliance Database'!$B$2:$B$630,MATCH(280,Engine!$C$2:$C$630,0)))</f>
        <v/>
      </c>
      <c r="C293">
        <f>IF(ISNA(MATCH(280,Engine!$C$2:$C$630,0)),"",INDEX('Compliance Database'!$C$2:$C$630,MATCH(280,Engine!$C$2:$C$630,0)))</f>
        <v/>
      </c>
      <c r="D293" s="8">
        <f>IF(ISNA(MATCH(280,Engine!$C$2:$C$630,0)),"",INDEX('Compliance Database'!$D$2:$D$630,MATCH(280,Engine!$C$2:$C$630,0)))</f>
        <v/>
      </c>
      <c r="E293">
        <f>IF(ISNA(MATCH(280,Engine!$C$2:$C$630,0)),"",INDEX('Compliance Database'!$E$2:$E$630,MATCH(280,Engine!$C$2:$C$630,0)))</f>
        <v/>
      </c>
      <c r="F293">
        <f>IF(ISNA(MATCH(280,Engine!$C$2:$C$630,0)),"",INDEX('Compliance Database'!$F$2:$F$630,MATCH(280,Engine!$C$2:$C$630,0)))</f>
        <v/>
      </c>
      <c r="G293">
        <f>IF(ISNA(MATCH(280,Engine!$C$2:$C$630,0)),"",INDEX('Compliance Database'!$G$2:$G$630,MATCH(280,Engine!$C$2:$C$630,0)))</f>
        <v/>
      </c>
      <c r="H293">
        <f>IF(ISNA(MATCH(280,Engine!$C$2:$C$630,0)),"",INDEX('Compliance Database'!$H$2:$H$630,MATCH(280,Engine!$C$2:$C$630,0)))</f>
        <v/>
      </c>
      <c r="I293" s="8">
        <f>IF(ISNA(MATCH(280,Engine!$C$2:$C$630,0)),"",INDEX('Compliance Database'!$I$2:$I$630,MATCH(280,Engine!$C$2:$C$630,0)))</f>
        <v/>
      </c>
      <c r="J293" s="8">
        <f>IF(ISNA(MATCH(280,Engine!$C$2:$C$630,0)),"",INDEX('Compliance Database'!$J$2:$J$630,MATCH(280,Engine!$C$2:$C$630,0)))</f>
        <v/>
      </c>
      <c r="K293">
        <f>IF(ISNA(MATCH(280,Engine!$C$2:$C$630,0)),"",INDEX('Compliance Database'!$K$2:$K$630,MATCH(280,Engine!$C$2:$C$630,0)))</f>
        <v/>
      </c>
      <c r="L293" s="8">
        <f>IF(ISNA(MATCH(280,Engine!$C$2:$C$630,0)),"",INDEX('Compliance Database'!$L$2:$L$630,MATCH(280,Engine!$C$2:$C$630,0)))</f>
        <v/>
      </c>
      <c r="M293" s="8">
        <f>IF(ISNA(MATCH(280,Engine!$C$2:$C$630,0)),"",INDEX('Compliance Database'!$M$2:$M$630,MATCH(280,Engine!$C$2:$C$630,0)))</f>
        <v/>
      </c>
      <c r="N293" s="8">
        <f>IF(ISNA(MATCH(280,Engine!$C$2:$C$630,0)),"",INDEX('Compliance Database'!$N$2:$N$630,MATCH(280,Engine!$C$2:$C$630,0)))</f>
        <v/>
      </c>
      <c r="O293" s="8">
        <f>IF(ISNA(MATCH(280,Engine!$C$2:$C$630,0)),"",INDEX('Compliance Database'!$O$2:$O$630,MATCH(280,Engine!$C$2:$C$630,0)))</f>
        <v/>
      </c>
    </row>
    <row r="294">
      <c r="A294">
        <f>IF(ISNA(MATCH(281,Engine!$C$2:$C$630,0)),"",INDEX('Compliance Database'!$A$2:$A$630,MATCH(281,Engine!$C$2:$C$630,0)))</f>
        <v/>
      </c>
      <c r="B294">
        <f>IF(ISNA(MATCH(281,Engine!$C$2:$C$630,0)),"",INDEX('Compliance Database'!$B$2:$B$630,MATCH(281,Engine!$C$2:$C$630,0)))</f>
        <v/>
      </c>
      <c r="C294">
        <f>IF(ISNA(MATCH(281,Engine!$C$2:$C$630,0)),"",INDEX('Compliance Database'!$C$2:$C$630,MATCH(281,Engine!$C$2:$C$630,0)))</f>
        <v/>
      </c>
      <c r="D294" s="8">
        <f>IF(ISNA(MATCH(281,Engine!$C$2:$C$630,0)),"",INDEX('Compliance Database'!$D$2:$D$630,MATCH(281,Engine!$C$2:$C$630,0)))</f>
        <v/>
      </c>
      <c r="E294">
        <f>IF(ISNA(MATCH(281,Engine!$C$2:$C$630,0)),"",INDEX('Compliance Database'!$E$2:$E$630,MATCH(281,Engine!$C$2:$C$630,0)))</f>
        <v/>
      </c>
      <c r="F294">
        <f>IF(ISNA(MATCH(281,Engine!$C$2:$C$630,0)),"",INDEX('Compliance Database'!$F$2:$F$630,MATCH(281,Engine!$C$2:$C$630,0)))</f>
        <v/>
      </c>
      <c r="G294">
        <f>IF(ISNA(MATCH(281,Engine!$C$2:$C$630,0)),"",INDEX('Compliance Database'!$G$2:$G$630,MATCH(281,Engine!$C$2:$C$630,0)))</f>
        <v/>
      </c>
      <c r="H294">
        <f>IF(ISNA(MATCH(281,Engine!$C$2:$C$630,0)),"",INDEX('Compliance Database'!$H$2:$H$630,MATCH(281,Engine!$C$2:$C$630,0)))</f>
        <v/>
      </c>
      <c r="I294" s="8">
        <f>IF(ISNA(MATCH(281,Engine!$C$2:$C$630,0)),"",INDEX('Compliance Database'!$I$2:$I$630,MATCH(281,Engine!$C$2:$C$630,0)))</f>
        <v/>
      </c>
      <c r="J294" s="8">
        <f>IF(ISNA(MATCH(281,Engine!$C$2:$C$630,0)),"",INDEX('Compliance Database'!$J$2:$J$630,MATCH(281,Engine!$C$2:$C$630,0)))</f>
        <v/>
      </c>
      <c r="K294">
        <f>IF(ISNA(MATCH(281,Engine!$C$2:$C$630,0)),"",INDEX('Compliance Database'!$K$2:$K$630,MATCH(281,Engine!$C$2:$C$630,0)))</f>
        <v/>
      </c>
      <c r="L294" s="8">
        <f>IF(ISNA(MATCH(281,Engine!$C$2:$C$630,0)),"",INDEX('Compliance Database'!$L$2:$L$630,MATCH(281,Engine!$C$2:$C$630,0)))</f>
        <v/>
      </c>
      <c r="M294" s="8">
        <f>IF(ISNA(MATCH(281,Engine!$C$2:$C$630,0)),"",INDEX('Compliance Database'!$M$2:$M$630,MATCH(281,Engine!$C$2:$C$630,0)))</f>
        <v/>
      </c>
      <c r="N294" s="8">
        <f>IF(ISNA(MATCH(281,Engine!$C$2:$C$630,0)),"",INDEX('Compliance Database'!$N$2:$N$630,MATCH(281,Engine!$C$2:$C$630,0)))</f>
        <v/>
      </c>
      <c r="O294" s="8">
        <f>IF(ISNA(MATCH(281,Engine!$C$2:$C$630,0)),"",INDEX('Compliance Database'!$O$2:$O$630,MATCH(281,Engine!$C$2:$C$630,0)))</f>
        <v/>
      </c>
    </row>
    <row r="295">
      <c r="A295">
        <f>IF(ISNA(MATCH(282,Engine!$C$2:$C$630,0)),"",INDEX('Compliance Database'!$A$2:$A$630,MATCH(282,Engine!$C$2:$C$630,0)))</f>
        <v/>
      </c>
      <c r="B295">
        <f>IF(ISNA(MATCH(282,Engine!$C$2:$C$630,0)),"",INDEX('Compliance Database'!$B$2:$B$630,MATCH(282,Engine!$C$2:$C$630,0)))</f>
        <v/>
      </c>
      <c r="C295">
        <f>IF(ISNA(MATCH(282,Engine!$C$2:$C$630,0)),"",INDEX('Compliance Database'!$C$2:$C$630,MATCH(282,Engine!$C$2:$C$630,0)))</f>
        <v/>
      </c>
      <c r="D295" s="8">
        <f>IF(ISNA(MATCH(282,Engine!$C$2:$C$630,0)),"",INDEX('Compliance Database'!$D$2:$D$630,MATCH(282,Engine!$C$2:$C$630,0)))</f>
        <v/>
      </c>
      <c r="E295">
        <f>IF(ISNA(MATCH(282,Engine!$C$2:$C$630,0)),"",INDEX('Compliance Database'!$E$2:$E$630,MATCH(282,Engine!$C$2:$C$630,0)))</f>
        <v/>
      </c>
      <c r="F295">
        <f>IF(ISNA(MATCH(282,Engine!$C$2:$C$630,0)),"",INDEX('Compliance Database'!$F$2:$F$630,MATCH(282,Engine!$C$2:$C$630,0)))</f>
        <v/>
      </c>
      <c r="G295">
        <f>IF(ISNA(MATCH(282,Engine!$C$2:$C$630,0)),"",INDEX('Compliance Database'!$G$2:$G$630,MATCH(282,Engine!$C$2:$C$630,0)))</f>
        <v/>
      </c>
      <c r="H295">
        <f>IF(ISNA(MATCH(282,Engine!$C$2:$C$630,0)),"",INDEX('Compliance Database'!$H$2:$H$630,MATCH(282,Engine!$C$2:$C$630,0)))</f>
        <v/>
      </c>
      <c r="I295" s="8">
        <f>IF(ISNA(MATCH(282,Engine!$C$2:$C$630,0)),"",INDEX('Compliance Database'!$I$2:$I$630,MATCH(282,Engine!$C$2:$C$630,0)))</f>
        <v/>
      </c>
      <c r="J295" s="8">
        <f>IF(ISNA(MATCH(282,Engine!$C$2:$C$630,0)),"",INDEX('Compliance Database'!$J$2:$J$630,MATCH(282,Engine!$C$2:$C$630,0)))</f>
        <v/>
      </c>
      <c r="K295">
        <f>IF(ISNA(MATCH(282,Engine!$C$2:$C$630,0)),"",INDEX('Compliance Database'!$K$2:$K$630,MATCH(282,Engine!$C$2:$C$630,0)))</f>
        <v/>
      </c>
      <c r="L295" s="8">
        <f>IF(ISNA(MATCH(282,Engine!$C$2:$C$630,0)),"",INDEX('Compliance Database'!$L$2:$L$630,MATCH(282,Engine!$C$2:$C$630,0)))</f>
        <v/>
      </c>
      <c r="M295" s="8">
        <f>IF(ISNA(MATCH(282,Engine!$C$2:$C$630,0)),"",INDEX('Compliance Database'!$M$2:$M$630,MATCH(282,Engine!$C$2:$C$630,0)))</f>
        <v/>
      </c>
      <c r="N295" s="8">
        <f>IF(ISNA(MATCH(282,Engine!$C$2:$C$630,0)),"",INDEX('Compliance Database'!$N$2:$N$630,MATCH(282,Engine!$C$2:$C$630,0)))</f>
        <v/>
      </c>
      <c r="O295" s="8">
        <f>IF(ISNA(MATCH(282,Engine!$C$2:$C$630,0)),"",INDEX('Compliance Database'!$O$2:$O$630,MATCH(282,Engine!$C$2:$C$630,0)))</f>
        <v/>
      </c>
    </row>
    <row r="296">
      <c r="A296">
        <f>IF(ISNA(MATCH(283,Engine!$C$2:$C$630,0)),"",INDEX('Compliance Database'!$A$2:$A$630,MATCH(283,Engine!$C$2:$C$630,0)))</f>
        <v/>
      </c>
      <c r="B296">
        <f>IF(ISNA(MATCH(283,Engine!$C$2:$C$630,0)),"",INDEX('Compliance Database'!$B$2:$B$630,MATCH(283,Engine!$C$2:$C$630,0)))</f>
        <v/>
      </c>
      <c r="C296">
        <f>IF(ISNA(MATCH(283,Engine!$C$2:$C$630,0)),"",INDEX('Compliance Database'!$C$2:$C$630,MATCH(283,Engine!$C$2:$C$630,0)))</f>
        <v/>
      </c>
      <c r="D296" s="8">
        <f>IF(ISNA(MATCH(283,Engine!$C$2:$C$630,0)),"",INDEX('Compliance Database'!$D$2:$D$630,MATCH(283,Engine!$C$2:$C$630,0)))</f>
        <v/>
      </c>
      <c r="E296">
        <f>IF(ISNA(MATCH(283,Engine!$C$2:$C$630,0)),"",INDEX('Compliance Database'!$E$2:$E$630,MATCH(283,Engine!$C$2:$C$630,0)))</f>
        <v/>
      </c>
      <c r="F296">
        <f>IF(ISNA(MATCH(283,Engine!$C$2:$C$630,0)),"",INDEX('Compliance Database'!$F$2:$F$630,MATCH(283,Engine!$C$2:$C$630,0)))</f>
        <v/>
      </c>
      <c r="G296">
        <f>IF(ISNA(MATCH(283,Engine!$C$2:$C$630,0)),"",INDEX('Compliance Database'!$G$2:$G$630,MATCH(283,Engine!$C$2:$C$630,0)))</f>
        <v/>
      </c>
      <c r="H296">
        <f>IF(ISNA(MATCH(283,Engine!$C$2:$C$630,0)),"",INDEX('Compliance Database'!$H$2:$H$630,MATCH(283,Engine!$C$2:$C$630,0)))</f>
        <v/>
      </c>
      <c r="I296" s="8">
        <f>IF(ISNA(MATCH(283,Engine!$C$2:$C$630,0)),"",INDEX('Compliance Database'!$I$2:$I$630,MATCH(283,Engine!$C$2:$C$630,0)))</f>
        <v/>
      </c>
      <c r="J296" s="8">
        <f>IF(ISNA(MATCH(283,Engine!$C$2:$C$630,0)),"",INDEX('Compliance Database'!$J$2:$J$630,MATCH(283,Engine!$C$2:$C$630,0)))</f>
        <v/>
      </c>
      <c r="K296">
        <f>IF(ISNA(MATCH(283,Engine!$C$2:$C$630,0)),"",INDEX('Compliance Database'!$K$2:$K$630,MATCH(283,Engine!$C$2:$C$630,0)))</f>
        <v/>
      </c>
      <c r="L296" s="8">
        <f>IF(ISNA(MATCH(283,Engine!$C$2:$C$630,0)),"",INDEX('Compliance Database'!$L$2:$L$630,MATCH(283,Engine!$C$2:$C$630,0)))</f>
        <v/>
      </c>
      <c r="M296" s="8">
        <f>IF(ISNA(MATCH(283,Engine!$C$2:$C$630,0)),"",INDEX('Compliance Database'!$M$2:$M$630,MATCH(283,Engine!$C$2:$C$630,0)))</f>
        <v/>
      </c>
      <c r="N296" s="8">
        <f>IF(ISNA(MATCH(283,Engine!$C$2:$C$630,0)),"",INDEX('Compliance Database'!$N$2:$N$630,MATCH(283,Engine!$C$2:$C$630,0)))</f>
        <v/>
      </c>
      <c r="O296" s="8">
        <f>IF(ISNA(MATCH(283,Engine!$C$2:$C$630,0)),"",INDEX('Compliance Database'!$O$2:$O$630,MATCH(283,Engine!$C$2:$C$630,0)))</f>
        <v/>
      </c>
    </row>
    <row r="297">
      <c r="A297">
        <f>IF(ISNA(MATCH(284,Engine!$C$2:$C$630,0)),"",INDEX('Compliance Database'!$A$2:$A$630,MATCH(284,Engine!$C$2:$C$630,0)))</f>
        <v/>
      </c>
      <c r="B297">
        <f>IF(ISNA(MATCH(284,Engine!$C$2:$C$630,0)),"",INDEX('Compliance Database'!$B$2:$B$630,MATCH(284,Engine!$C$2:$C$630,0)))</f>
        <v/>
      </c>
      <c r="C297">
        <f>IF(ISNA(MATCH(284,Engine!$C$2:$C$630,0)),"",INDEX('Compliance Database'!$C$2:$C$630,MATCH(284,Engine!$C$2:$C$630,0)))</f>
        <v/>
      </c>
      <c r="D297" s="8">
        <f>IF(ISNA(MATCH(284,Engine!$C$2:$C$630,0)),"",INDEX('Compliance Database'!$D$2:$D$630,MATCH(284,Engine!$C$2:$C$630,0)))</f>
        <v/>
      </c>
      <c r="E297">
        <f>IF(ISNA(MATCH(284,Engine!$C$2:$C$630,0)),"",INDEX('Compliance Database'!$E$2:$E$630,MATCH(284,Engine!$C$2:$C$630,0)))</f>
        <v/>
      </c>
      <c r="F297">
        <f>IF(ISNA(MATCH(284,Engine!$C$2:$C$630,0)),"",INDEX('Compliance Database'!$F$2:$F$630,MATCH(284,Engine!$C$2:$C$630,0)))</f>
        <v/>
      </c>
      <c r="G297">
        <f>IF(ISNA(MATCH(284,Engine!$C$2:$C$630,0)),"",INDEX('Compliance Database'!$G$2:$G$630,MATCH(284,Engine!$C$2:$C$630,0)))</f>
        <v/>
      </c>
      <c r="H297">
        <f>IF(ISNA(MATCH(284,Engine!$C$2:$C$630,0)),"",INDEX('Compliance Database'!$H$2:$H$630,MATCH(284,Engine!$C$2:$C$630,0)))</f>
        <v/>
      </c>
      <c r="I297" s="8">
        <f>IF(ISNA(MATCH(284,Engine!$C$2:$C$630,0)),"",INDEX('Compliance Database'!$I$2:$I$630,MATCH(284,Engine!$C$2:$C$630,0)))</f>
        <v/>
      </c>
      <c r="J297" s="8">
        <f>IF(ISNA(MATCH(284,Engine!$C$2:$C$630,0)),"",INDEX('Compliance Database'!$J$2:$J$630,MATCH(284,Engine!$C$2:$C$630,0)))</f>
        <v/>
      </c>
      <c r="K297">
        <f>IF(ISNA(MATCH(284,Engine!$C$2:$C$630,0)),"",INDEX('Compliance Database'!$K$2:$K$630,MATCH(284,Engine!$C$2:$C$630,0)))</f>
        <v/>
      </c>
      <c r="L297" s="8">
        <f>IF(ISNA(MATCH(284,Engine!$C$2:$C$630,0)),"",INDEX('Compliance Database'!$L$2:$L$630,MATCH(284,Engine!$C$2:$C$630,0)))</f>
        <v/>
      </c>
      <c r="M297" s="8">
        <f>IF(ISNA(MATCH(284,Engine!$C$2:$C$630,0)),"",INDEX('Compliance Database'!$M$2:$M$630,MATCH(284,Engine!$C$2:$C$630,0)))</f>
        <v/>
      </c>
      <c r="N297" s="8">
        <f>IF(ISNA(MATCH(284,Engine!$C$2:$C$630,0)),"",INDEX('Compliance Database'!$N$2:$N$630,MATCH(284,Engine!$C$2:$C$630,0)))</f>
        <v/>
      </c>
      <c r="O297" s="8">
        <f>IF(ISNA(MATCH(284,Engine!$C$2:$C$630,0)),"",INDEX('Compliance Database'!$O$2:$O$630,MATCH(284,Engine!$C$2:$C$630,0)))</f>
        <v/>
      </c>
    </row>
    <row r="298">
      <c r="A298">
        <f>IF(ISNA(MATCH(285,Engine!$C$2:$C$630,0)),"",INDEX('Compliance Database'!$A$2:$A$630,MATCH(285,Engine!$C$2:$C$630,0)))</f>
        <v/>
      </c>
      <c r="B298">
        <f>IF(ISNA(MATCH(285,Engine!$C$2:$C$630,0)),"",INDEX('Compliance Database'!$B$2:$B$630,MATCH(285,Engine!$C$2:$C$630,0)))</f>
        <v/>
      </c>
      <c r="C298">
        <f>IF(ISNA(MATCH(285,Engine!$C$2:$C$630,0)),"",INDEX('Compliance Database'!$C$2:$C$630,MATCH(285,Engine!$C$2:$C$630,0)))</f>
        <v/>
      </c>
      <c r="D298" s="8">
        <f>IF(ISNA(MATCH(285,Engine!$C$2:$C$630,0)),"",INDEX('Compliance Database'!$D$2:$D$630,MATCH(285,Engine!$C$2:$C$630,0)))</f>
        <v/>
      </c>
      <c r="E298">
        <f>IF(ISNA(MATCH(285,Engine!$C$2:$C$630,0)),"",INDEX('Compliance Database'!$E$2:$E$630,MATCH(285,Engine!$C$2:$C$630,0)))</f>
        <v/>
      </c>
      <c r="F298">
        <f>IF(ISNA(MATCH(285,Engine!$C$2:$C$630,0)),"",INDEX('Compliance Database'!$F$2:$F$630,MATCH(285,Engine!$C$2:$C$630,0)))</f>
        <v/>
      </c>
      <c r="G298">
        <f>IF(ISNA(MATCH(285,Engine!$C$2:$C$630,0)),"",INDEX('Compliance Database'!$G$2:$G$630,MATCH(285,Engine!$C$2:$C$630,0)))</f>
        <v/>
      </c>
      <c r="H298">
        <f>IF(ISNA(MATCH(285,Engine!$C$2:$C$630,0)),"",INDEX('Compliance Database'!$H$2:$H$630,MATCH(285,Engine!$C$2:$C$630,0)))</f>
        <v/>
      </c>
      <c r="I298" s="8">
        <f>IF(ISNA(MATCH(285,Engine!$C$2:$C$630,0)),"",INDEX('Compliance Database'!$I$2:$I$630,MATCH(285,Engine!$C$2:$C$630,0)))</f>
        <v/>
      </c>
      <c r="J298" s="8">
        <f>IF(ISNA(MATCH(285,Engine!$C$2:$C$630,0)),"",INDEX('Compliance Database'!$J$2:$J$630,MATCH(285,Engine!$C$2:$C$630,0)))</f>
        <v/>
      </c>
      <c r="K298">
        <f>IF(ISNA(MATCH(285,Engine!$C$2:$C$630,0)),"",INDEX('Compliance Database'!$K$2:$K$630,MATCH(285,Engine!$C$2:$C$630,0)))</f>
        <v/>
      </c>
      <c r="L298" s="8">
        <f>IF(ISNA(MATCH(285,Engine!$C$2:$C$630,0)),"",INDEX('Compliance Database'!$L$2:$L$630,MATCH(285,Engine!$C$2:$C$630,0)))</f>
        <v/>
      </c>
      <c r="M298" s="8">
        <f>IF(ISNA(MATCH(285,Engine!$C$2:$C$630,0)),"",INDEX('Compliance Database'!$M$2:$M$630,MATCH(285,Engine!$C$2:$C$630,0)))</f>
        <v/>
      </c>
      <c r="N298" s="8">
        <f>IF(ISNA(MATCH(285,Engine!$C$2:$C$630,0)),"",INDEX('Compliance Database'!$N$2:$N$630,MATCH(285,Engine!$C$2:$C$630,0)))</f>
        <v/>
      </c>
      <c r="O298" s="8">
        <f>IF(ISNA(MATCH(285,Engine!$C$2:$C$630,0)),"",INDEX('Compliance Database'!$O$2:$O$630,MATCH(285,Engine!$C$2:$C$630,0)))</f>
        <v/>
      </c>
    </row>
    <row r="299">
      <c r="A299">
        <f>IF(ISNA(MATCH(286,Engine!$C$2:$C$630,0)),"",INDEX('Compliance Database'!$A$2:$A$630,MATCH(286,Engine!$C$2:$C$630,0)))</f>
        <v/>
      </c>
      <c r="B299">
        <f>IF(ISNA(MATCH(286,Engine!$C$2:$C$630,0)),"",INDEX('Compliance Database'!$B$2:$B$630,MATCH(286,Engine!$C$2:$C$630,0)))</f>
        <v/>
      </c>
      <c r="C299">
        <f>IF(ISNA(MATCH(286,Engine!$C$2:$C$630,0)),"",INDEX('Compliance Database'!$C$2:$C$630,MATCH(286,Engine!$C$2:$C$630,0)))</f>
        <v/>
      </c>
      <c r="D299" s="8">
        <f>IF(ISNA(MATCH(286,Engine!$C$2:$C$630,0)),"",INDEX('Compliance Database'!$D$2:$D$630,MATCH(286,Engine!$C$2:$C$630,0)))</f>
        <v/>
      </c>
      <c r="E299">
        <f>IF(ISNA(MATCH(286,Engine!$C$2:$C$630,0)),"",INDEX('Compliance Database'!$E$2:$E$630,MATCH(286,Engine!$C$2:$C$630,0)))</f>
        <v/>
      </c>
      <c r="F299">
        <f>IF(ISNA(MATCH(286,Engine!$C$2:$C$630,0)),"",INDEX('Compliance Database'!$F$2:$F$630,MATCH(286,Engine!$C$2:$C$630,0)))</f>
        <v/>
      </c>
      <c r="G299">
        <f>IF(ISNA(MATCH(286,Engine!$C$2:$C$630,0)),"",INDEX('Compliance Database'!$G$2:$G$630,MATCH(286,Engine!$C$2:$C$630,0)))</f>
        <v/>
      </c>
      <c r="H299">
        <f>IF(ISNA(MATCH(286,Engine!$C$2:$C$630,0)),"",INDEX('Compliance Database'!$H$2:$H$630,MATCH(286,Engine!$C$2:$C$630,0)))</f>
        <v/>
      </c>
      <c r="I299" s="8">
        <f>IF(ISNA(MATCH(286,Engine!$C$2:$C$630,0)),"",INDEX('Compliance Database'!$I$2:$I$630,MATCH(286,Engine!$C$2:$C$630,0)))</f>
        <v/>
      </c>
      <c r="J299" s="8">
        <f>IF(ISNA(MATCH(286,Engine!$C$2:$C$630,0)),"",INDEX('Compliance Database'!$J$2:$J$630,MATCH(286,Engine!$C$2:$C$630,0)))</f>
        <v/>
      </c>
      <c r="K299">
        <f>IF(ISNA(MATCH(286,Engine!$C$2:$C$630,0)),"",INDEX('Compliance Database'!$K$2:$K$630,MATCH(286,Engine!$C$2:$C$630,0)))</f>
        <v/>
      </c>
      <c r="L299" s="8">
        <f>IF(ISNA(MATCH(286,Engine!$C$2:$C$630,0)),"",INDEX('Compliance Database'!$L$2:$L$630,MATCH(286,Engine!$C$2:$C$630,0)))</f>
        <v/>
      </c>
      <c r="M299" s="8">
        <f>IF(ISNA(MATCH(286,Engine!$C$2:$C$630,0)),"",INDEX('Compliance Database'!$M$2:$M$630,MATCH(286,Engine!$C$2:$C$630,0)))</f>
        <v/>
      </c>
      <c r="N299" s="8">
        <f>IF(ISNA(MATCH(286,Engine!$C$2:$C$630,0)),"",INDEX('Compliance Database'!$N$2:$N$630,MATCH(286,Engine!$C$2:$C$630,0)))</f>
        <v/>
      </c>
      <c r="O299" s="8">
        <f>IF(ISNA(MATCH(286,Engine!$C$2:$C$630,0)),"",INDEX('Compliance Database'!$O$2:$O$630,MATCH(286,Engine!$C$2:$C$630,0)))</f>
        <v/>
      </c>
    </row>
    <row r="300">
      <c r="A300">
        <f>IF(ISNA(MATCH(287,Engine!$C$2:$C$630,0)),"",INDEX('Compliance Database'!$A$2:$A$630,MATCH(287,Engine!$C$2:$C$630,0)))</f>
        <v/>
      </c>
      <c r="B300">
        <f>IF(ISNA(MATCH(287,Engine!$C$2:$C$630,0)),"",INDEX('Compliance Database'!$B$2:$B$630,MATCH(287,Engine!$C$2:$C$630,0)))</f>
        <v/>
      </c>
      <c r="C300">
        <f>IF(ISNA(MATCH(287,Engine!$C$2:$C$630,0)),"",INDEX('Compliance Database'!$C$2:$C$630,MATCH(287,Engine!$C$2:$C$630,0)))</f>
        <v/>
      </c>
      <c r="D300" s="8">
        <f>IF(ISNA(MATCH(287,Engine!$C$2:$C$630,0)),"",INDEX('Compliance Database'!$D$2:$D$630,MATCH(287,Engine!$C$2:$C$630,0)))</f>
        <v/>
      </c>
      <c r="E300">
        <f>IF(ISNA(MATCH(287,Engine!$C$2:$C$630,0)),"",INDEX('Compliance Database'!$E$2:$E$630,MATCH(287,Engine!$C$2:$C$630,0)))</f>
        <v/>
      </c>
      <c r="F300">
        <f>IF(ISNA(MATCH(287,Engine!$C$2:$C$630,0)),"",INDEX('Compliance Database'!$F$2:$F$630,MATCH(287,Engine!$C$2:$C$630,0)))</f>
        <v/>
      </c>
      <c r="G300">
        <f>IF(ISNA(MATCH(287,Engine!$C$2:$C$630,0)),"",INDEX('Compliance Database'!$G$2:$G$630,MATCH(287,Engine!$C$2:$C$630,0)))</f>
        <v/>
      </c>
      <c r="H300">
        <f>IF(ISNA(MATCH(287,Engine!$C$2:$C$630,0)),"",INDEX('Compliance Database'!$H$2:$H$630,MATCH(287,Engine!$C$2:$C$630,0)))</f>
        <v/>
      </c>
      <c r="I300" s="8">
        <f>IF(ISNA(MATCH(287,Engine!$C$2:$C$630,0)),"",INDEX('Compliance Database'!$I$2:$I$630,MATCH(287,Engine!$C$2:$C$630,0)))</f>
        <v/>
      </c>
      <c r="J300" s="8">
        <f>IF(ISNA(MATCH(287,Engine!$C$2:$C$630,0)),"",INDEX('Compliance Database'!$J$2:$J$630,MATCH(287,Engine!$C$2:$C$630,0)))</f>
        <v/>
      </c>
      <c r="K300">
        <f>IF(ISNA(MATCH(287,Engine!$C$2:$C$630,0)),"",INDEX('Compliance Database'!$K$2:$K$630,MATCH(287,Engine!$C$2:$C$630,0)))</f>
        <v/>
      </c>
      <c r="L300" s="8">
        <f>IF(ISNA(MATCH(287,Engine!$C$2:$C$630,0)),"",INDEX('Compliance Database'!$L$2:$L$630,MATCH(287,Engine!$C$2:$C$630,0)))</f>
        <v/>
      </c>
      <c r="M300" s="8">
        <f>IF(ISNA(MATCH(287,Engine!$C$2:$C$630,0)),"",INDEX('Compliance Database'!$M$2:$M$630,MATCH(287,Engine!$C$2:$C$630,0)))</f>
        <v/>
      </c>
      <c r="N300" s="8">
        <f>IF(ISNA(MATCH(287,Engine!$C$2:$C$630,0)),"",INDEX('Compliance Database'!$N$2:$N$630,MATCH(287,Engine!$C$2:$C$630,0)))</f>
        <v/>
      </c>
      <c r="O300" s="8">
        <f>IF(ISNA(MATCH(287,Engine!$C$2:$C$630,0)),"",INDEX('Compliance Database'!$O$2:$O$630,MATCH(287,Engine!$C$2:$C$630,0)))</f>
        <v/>
      </c>
    </row>
    <row r="301">
      <c r="A301">
        <f>IF(ISNA(MATCH(288,Engine!$C$2:$C$630,0)),"",INDEX('Compliance Database'!$A$2:$A$630,MATCH(288,Engine!$C$2:$C$630,0)))</f>
        <v/>
      </c>
      <c r="B301">
        <f>IF(ISNA(MATCH(288,Engine!$C$2:$C$630,0)),"",INDEX('Compliance Database'!$B$2:$B$630,MATCH(288,Engine!$C$2:$C$630,0)))</f>
        <v/>
      </c>
      <c r="C301">
        <f>IF(ISNA(MATCH(288,Engine!$C$2:$C$630,0)),"",INDEX('Compliance Database'!$C$2:$C$630,MATCH(288,Engine!$C$2:$C$630,0)))</f>
        <v/>
      </c>
      <c r="D301" s="8">
        <f>IF(ISNA(MATCH(288,Engine!$C$2:$C$630,0)),"",INDEX('Compliance Database'!$D$2:$D$630,MATCH(288,Engine!$C$2:$C$630,0)))</f>
        <v/>
      </c>
      <c r="E301">
        <f>IF(ISNA(MATCH(288,Engine!$C$2:$C$630,0)),"",INDEX('Compliance Database'!$E$2:$E$630,MATCH(288,Engine!$C$2:$C$630,0)))</f>
        <v/>
      </c>
      <c r="F301">
        <f>IF(ISNA(MATCH(288,Engine!$C$2:$C$630,0)),"",INDEX('Compliance Database'!$F$2:$F$630,MATCH(288,Engine!$C$2:$C$630,0)))</f>
        <v/>
      </c>
      <c r="G301">
        <f>IF(ISNA(MATCH(288,Engine!$C$2:$C$630,0)),"",INDEX('Compliance Database'!$G$2:$G$630,MATCH(288,Engine!$C$2:$C$630,0)))</f>
        <v/>
      </c>
      <c r="H301">
        <f>IF(ISNA(MATCH(288,Engine!$C$2:$C$630,0)),"",INDEX('Compliance Database'!$H$2:$H$630,MATCH(288,Engine!$C$2:$C$630,0)))</f>
        <v/>
      </c>
      <c r="I301" s="8">
        <f>IF(ISNA(MATCH(288,Engine!$C$2:$C$630,0)),"",INDEX('Compliance Database'!$I$2:$I$630,MATCH(288,Engine!$C$2:$C$630,0)))</f>
        <v/>
      </c>
      <c r="J301" s="8">
        <f>IF(ISNA(MATCH(288,Engine!$C$2:$C$630,0)),"",INDEX('Compliance Database'!$J$2:$J$630,MATCH(288,Engine!$C$2:$C$630,0)))</f>
        <v/>
      </c>
      <c r="K301">
        <f>IF(ISNA(MATCH(288,Engine!$C$2:$C$630,0)),"",INDEX('Compliance Database'!$K$2:$K$630,MATCH(288,Engine!$C$2:$C$630,0)))</f>
        <v/>
      </c>
      <c r="L301" s="8">
        <f>IF(ISNA(MATCH(288,Engine!$C$2:$C$630,0)),"",INDEX('Compliance Database'!$L$2:$L$630,MATCH(288,Engine!$C$2:$C$630,0)))</f>
        <v/>
      </c>
      <c r="M301" s="8">
        <f>IF(ISNA(MATCH(288,Engine!$C$2:$C$630,0)),"",INDEX('Compliance Database'!$M$2:$M$630,MATCH(288,Engine!$C$2:$C$630,0)))</f>
        <v/>
      </c>
      <c r="N301" s="8">
        <f>IF(ISNA(MATCH(288,Engine!$C$2:$C$630,0)),"",INDEX('Compliance Database'!$N$2:$N$630,MATCH(288,Engine!$C$2:$C$630,0)))</f>
        <v/>
      </c>
      <c r="O301" s="8">
        <f>IF(ISNA(MATCH(288,Engine!$C$2:$C$630,0)),"",INDEX('Compliance Database'!$O$2:$O$630,MATCH(288,Engine!$C$2:$C$630,0)))</f>
        <v/>
      </c>
    </row>
    <row r="302">
      <c r="A302">
        <f>IF(ISNA(MATCH(289,Engine!$C$2:$C$630,0)),"",INDEX('Compliance Database'!$A$2:$A$630,MATCH(289,Engine!$C$2:$C$630,0)))</f>
        <v/>
      </c>
      <c r="B302">
        <f>IF(ISNA(MATCH(289,Engine!$C$2:$C$630,0)),"",INDEX('Compliance Database'!$B$2:$B$630,MATCH(289,Engine!$C$2:$C$630,0)))</f>
        <v/>
      </c>
      <c r="C302">
        <f>IF(ISNA(MATCH(289,Engine!$C$2:$C$630,0)),"",INDEX('Compliance Database'!$C$2:$C$630,MATCH(289,Engine!$C$2:$C$630,0)))</f>
        <v/>
      </c>
      <c r="D302" s="8">
        <f>IF(ISNA(MATCH(289,Engine!$C$2:$C$630,0)),"",INDEX('Compliance Database'!$D$2:$D$630,MATCH(289,Engine!$C$2:$C$630,0)))</f>
        <v/>
      </c>
      <c r="E302">
        <f>IF(ISNA(MATCH(289,Engine!$C$2:$C$630,0)),"",INDEX('Compliance Database'!$E$2:$E$630,MATCH(289,Engine!$C$2:$C$630,0)))</f>
        <v/>
      </c>
      <c r="F302">
        <f>IF(ISNA(MATCH(289,Engine!$C$2:$C$630,0)),"",INDEX('Compliance Database'!$F$2:$F$630,MATCH(289,Engine!$C$2:$C$630,0)))</f>
        <v/>
      </c>
      <c r="G302">
        <f>IF(ISNA(MATCH(289,Engine!$C$2:$C$630,0)),"",INDEX('Compliance Database'!$G$2:$G$630,MATCH(289,Engine!$C$2:$C$630,0)))</f>
        <v/>
      </c>
      <c r="H302">
        <f>IF(ISNA(MATCH(289,Engine!$C$2:$C$630,0)),"",INDEX('Compliance Database'!$H$2:$H$630,MATCH(289,Engine!$C$2:$C$630,0)))</f>
        <v/>
      </c>
      <c r="I302" s="8">
        <f>IF(ISNA(MATCH(289,Engine!$C$2:$C$630,0)),"",INDEX('Compliance Database'!$I$2:$I$630,MATCH(289,Engine!$C$2:$C$630,0)))</f>
        <v/>
      </c>
      <c r="J302" s="8">
        <f>IF(ISNA(MATCH(289,Engine!$C$2:$C$630,0)),"",INDEX('Compliance Database'!$J$2:$J$630,MATCH(289,Engine!$C$2:$C$630,0)))</f>
        <v/>
      </c>
      <c r="K302">
        <f>IF(ISNA(MATCH(289,Engine!$C$2:$C$630,0)),"",INDEX('Compliance Database'!$K$2:$K$630,MATCH(289,Engine!$C$2:$C$630,0)))</f>
        <v/>
      </c>
      <c r="L302" s="8">
        <f>IF(ISNA(MATCH(289,Engine!$C$2:$C$630,0)),"",INDEX('Compliance Database'!$L$2:$L$630,MATCH(289,Engine!$C$2:$C$630,0)))</f>
        <v/>
      </c>
      <c r="M302" s="8">
        <f>IF(ISNA(MATCH(289,Engine!$C$2:$C$630,0)),"",INDEX('Compliance Database'!$M$2:$M$630,MATCH(289,Engine!$C$2:$C$630,0)))</f>
        <v/>
      </c>
      <c r="N302" s="8">
        <f>IF(ISNA(MATCH(289,Engine!$C$2:$C$630,0)),"",INDEX('Compliance Database'!$N$2:$N$630,MATCH(289,Engine!$C$2:$C$630,0)))</f>
        <v/>
      </c>
      <c r="O302" s="8">
        <f>IF(ISNA(MATCH(289,Engine!$C$2:$C$630,0)),"",INDEX('Compliance Database'!$O$2:$O$630,MATCH(289,Engine!$C$2:$C$630,0)))</f>
        <v/>
      </c>
    </row>
    <row r="303">
      <c r="A303">
        <f>IF(ISNA(MATCH(290,Engine!$C$2:$C$630,0)),"",INDEX('Compliance Database'!$A$2:$A$630,MATCH(290,Engine!$C$2:$C$630,0)))</f>
        <v/>
      </c>
      <c r="B303">
        <f>IF(ISNA(MATCH(290,Engine!$C$2:$C$630,0)),"",INDEX('Compliance Database'!$B$2:$B$630,MATCH(290,Engine!$C$2:$C$630,0)))</f>
        <v/>
      </c>
      <c r="C303">
        <f>IF(ISNA(MATCH(290,Engine!$C$2:$C$630,0)),"",INDEX('Compliance Database'!$C$2:$C$630,MATCH(290,Engine!$C$2:$C$630,0)))</f>
        <v/>
      </c>
      <c r="D303" s="8">
        <f>IF(ISNA(MATCH(290,Engine!$C$2:$C$630,0)),"",INDEX('Compliance Database'!$D$2:$D$630,MATCH(290,Engine!$C$2:$C$630,0)))</f>
        <v/>
      </c>
      <c r="E303">
        <f>IF(ISNA(MATCH(290,Engine!$C$2:$C$630,0)),"",INDEX('Compliance Database'!$E$2:$E$630,MATCH(290,Engine!$C$2:$C$630,0)))</f>
        <v/>
      </c>
      <c r="F303">
        <f>IF(ISNA(MATCH(290,Engine!$C$2:$C$630,0)),"",INDEX('Compliance Database'!$F$2:$F$630,MATCH(290,Engine!$C$2:$C$630,0)))</f>
        <v/>
      </c>
      <c r="G303">
        <f>IF(ISNA(MATCH(290,Engine!$C$2:$C$630,0)),"",INDEX('Compliance Database'!$G$2:$G$630,MATCH(290,Engine!$C$2:$C$630,0)))</f>
        <v/>
      </c>
      <c r="H303">
        <f>IF(ISNA(MATCH(290,Engine!$C$2:$C$630,0)),"",INDEX('Compliance Database'!$H$2:$H$630,MATCH(290,Engine!$C$2:$C$630,0)))</f>
        <v/>
      </c>
      <c r="I303" s="8">
        <f>IF(ISNA(MATCH(290,Engine!$C$2:$C$630,0)),"",INDEX('Compliance Database'!$I$2:$I$630,MATCH(290,Engine!$C$2:$C$630,0)))</f>
        <v/>
      </c>
      <c r="J303" s="8">
        <f>IF(ISNA(MATCH(290,Engine!$C$2:$C$630,0)),"",INDEX('Compliance Database'!$J$2:$J$630,MATCH(290,Engine!$C$2:$C$630,0)))</f>
        <v/>
      </c>
      <c r="K303">
        <f>IF(ISNA(MATCH(290,Engine!$C$2:$C$630,0)),"",INDEX('Compliance Database'!$K$2:$K$630,MATCH(290,Engine!$C$2:$C$630,0)))</f>
        <v/>
      </c>
      <c r="L303" s="8">
        <f>IF(ISNA(MATCH(290,Engine!$C$2:$C$630,0)),"",INDEX('Compliance Database'!$L$2:$L$630,MATCH(290,Engine!$C$2:$C$630,0)))</f>
        <v/>
      </c>
      <c r="M303" s="8">
        <f>IF(ISNA(MATCH(290,Engine!$C$2:$C$630,0)),"",INDEX('Compliance Database'!$M$2:$M$630,MATCH(290,Engine!$C$2:$C$630,0)))</f>
        <v/>
      </c>
      <c r="N303" s="8">
        <f>IF(ISNA(MATCH(290,Engine!$C$2:$C$630,0)),"",INDEX('Compliance Database'!$N$2:$N$630,MATCH(290,Engine!$C$2:$C$630,0)))</f>
        <v/>
      </c>
      <c r="O303" s="8">
        <f>IF(ISNA(MATCH(290,Engine!$C$2:$C$630,0)),"",INDEX('Compliance Database'!$O$2:$O$630,MATCH(290,Engine!$C$2:$C$630,0)))</f>
        <v/>
      </c>
    </row>
    <row r="304">
      <c r="A304">
        <f>IF(ISNA(MATCH(291,Engine!$C$2:$C$630,0)),"",INDEX('Compliance Database'!$A$2:$A$630,MATCH(291,Engine!$C$2:$C$630,0)))</f>
        <v/>
      </c>
      <c r="B304">
        <f>IF(ISNA(MATCH(291,Engine!$C$2:$C$630,0)),"",INDEX('Compliance Database'!$B$2:$B$630,MATCH(291,Engine!$C$2:$C$630,0)))</f>
        <v/>
      </c>
      <c r="C304">
        <f>IF(ISNA(MATCH(291,Engine!$C$2:$C$630,0)),"",INDEX('Compliance Database'!$C$2:$C$630,MATCH(291,Engine!$C$2:$C$630,0)))</f>
        <v/>
      </c>
      <c r="D304" s="8">
        <f>IF(ISNA(MATCH(291,Engine!$C$2:$C$630,0)),"",INDEX('Compliance Database'!$D$2:$D$630,MATCH(291,Engine!$C$2:$C$630,0)))</f>
        <v/>
      </c>
      <c r="E304">
        <f>IF(ISNA(MATCH(291,Engine!$C$2:$C$630,0)),"",INDEX('Compliance Database'!$E$2:$E$630,MATCH(291,Engine!$C$2:$C$630,0)))</f>
        <v/>
      </c>
      <c r="F304">
        <f>IF(ISNA(MATCH(291,Engine!$C$2:$C$630,0)),"",INDEX('Compliance Database'!$F$2:$F$630,MATCH(291,Engine!$C$2:$C$630,0)))</f>
        <v/>
      </c>
      <c r="G304">
        <f>IF(ISNA(MATCH(291,Engine!$C$2:$C$630,0)),"",INDEX('Compliance Database'!$G$2:$G$630,MATCH(291,Engine!$C$2:$C$630,0)))</f>
        <v/>
      </c>
      <c r="H304">
        <f>IF(ISNA(MATCH(291,Engine!$C$2:$C$630,0)),"",INDEX('Compliance Database'!$H$2:$H$630,MATCH(291,Engine!$C$2:$C$630,0)))</f>
        <v/>
      </c>
      <c r="I304" s="8">
        <f>IF(ISNA(MATCH(291,Engine!$C$2:$C$630,0)),"",INDEX('Compliance Database'!$I$2:$I$630,MATCH(291,Engine!$C$2:$C$630,0)))</f>
        <v/>
      </c>
      <c r="J304" s="8">
        <f>IF(ISNA(MATCH(291,Engine!$C$2:$C$630,0)),"",INDEX('Compliance Database'!$J$2:$J$630,MATCH(291,Engine!$C$2:$C$630,0)))</f>
        <v/>
      </c>
      <c r="K304">
        <f>IF(ISNA(MATCH(291,Engine!$C$2:$C$630,0)),"",INDEX('Compliance Database'!$K$2:$K$630,MATCH(291,Engine!$C$2:$C$630,0)))</f>
        <v/>
      </c>
      <c r="L304" s="8">
        <f>IF(ISNA(MATCH(291,Engine!$C$2:$C$630,0)),"",INDEX('Compliance Database'!$L$2:$L$630,MATCH(291,Engine!$C$2:$C$630,0)))</f>
        <v/>
      </c>
      <c r="M304" s="8">
        <f>IF(ISNA(MATCH(291,Engine!$C$2:$C$630,0)),"",INDEX('Compliance Database'!$M$2:$M$630,MATCH(291,Engine!$C$2:$C$630,0)))</f>
        <v/>
      </c>
      <c r="N304" s="8">
        <f>IF(ISNA(MATCH(291,Engine!$C$2:$C$630,0)),"",INDEX('Compliance Database'!$N$2:$N$630,MATCH(291,Engine!$C$2:$C$630,0)))</f>
        <v/>
      </c>
      <c r="O304" s="8">
        <f>IF(ISNA(MATCH(291,Engine!$C$2:$C$630,0)),"",INDEX('Compliance Database'!$O$2:$O$630,MATCH(291,Engine!$C$2:$C$630,0)))</f>
        <v/>
      </c>
    </row>
    <row r="305">
      <c r="A305">
        <f>IF(ISNA(MATCH(292,Engine!$C$2:$C$630,0)),"",INDEX('Compliance Database'!$A$2:$A$630,MATCH(292,Engine!$C$2:$C$630,0)))</f>
        <v/>
      </c>
      <c r="B305">
        <f>IF(ISNA(MATCH(292,Engine!$C$2:$C$630,0)),"",INDEX('Compliance Database'!$B$2:$B$630,MATCH(292,Engine!$C$2:$C$630,0)))</f>
        <v/>
      </c>
      <c r="C305">
        <f>IF(ISNA(MATCH(292,Engine!$C$2:$C$630,0)),"",INDEX('Compliance Database'!$C$2:$C$630,MATCH(292,Engine!$C$2:$C$630,0)))</f>
        <v/>
      </c>
      <c r="D305" s="8">
        <f>IF(ISNA(MATCH(292,Engine!$C$2:$C$630,0)),"",INDEX('Compliance Database'!$D$2:$D$630,MATCH(292,Engine!$C$2:$C$630,0)))</f>
        <v/>
      </c>
      <c r="E305">
        <f>IF(ISNA(MATCH(292,Engine!$C$2:$C$630,0)),"",INDEX('Compliance Database'!$E$2:$E$630,MATCH(292,Engine!$C$2:$C$630,0)))</f>
        <v/>
      </c>
      <c r="F305">
        <f>IF(ISNA(MATCH(292,Engine!$C$2:$C$630,0)),"",INDEX('Compliance Database'!$F$2:$F$630,MATCH(292,Engine!$C$2:$C$630,0)))</f>
        <v/>
      </c>
      <c r="G305">
        <f>IF(ISNA(MATCH(292,Engine!$C$2:$C$630,0)),"",INDEX('Compliance Database'!$G$2:$G$630,MATCH(292,Engine!$C$2:$C$630,0)))</f>
        <v/>
      </c>
      <c r="H305">
        <f>IF(ISNA(MATCH(292,Engine!$C$2:$C$630,0)),"",INDEX('Compliance Database'!$H$2:$H$630,MATCH(292,Engine!$C$2:$C$630,0)))</f>
        <v/>
      </c>
      <c r="I305" s="8">
        <f>IF(ISNA(MATCH(292,Engine!$C$2:$C$630,0)),"",INDEX('Compliance Database'!$I$2:$I$630,MATCH(292,Engine!$C$2:$C$630,0)))</f>
        <v/>
      </c>
      <c r="J305" s="8">
        <f>IF(ISNA(MATCH(292,Engine!$C$2:$C$630,0)),"",INDEX('Compliance Database'!$J$2:$J$630,MATCH(292,Engine!$C$2:$C$630,0)))</f>
        <v/>
      </c>
      <c r="K305">
        <f>IF(ISNA(MATCH(292,Engine!$C$2:$C$630,0)),"",INDEX('Compliance Database'!$K$2:$K$630,MATCH(292,Engine!$C$2:$C$630,0)))</f>
        <v/>
      </c>
      <c r="L305" s="8">
        <f>IF(ISNA(MATCH(292,Engine!$C$2:$C$630,0)),"",INDEX('Compliance Database'!$L$2:$L$630,MATCH(292,Engine!$C$2:$C$630,0)))</f>
        <v/>
      </c>
      <c r="M305" s="8">
        <f>IF(ISNA(MATCH(292,Engine!$C$2:$C$630,0)),"",INDEX('Compliance Database'!$M$2:$M$630,MATCH(292,Engine!$C$2:$C$630,0)))</f>
        <v/>
      </c>
      <c r="N305" s="8">
        <f>IF(ISNA(MATCH(292,Engine!$C$2:$C$630,0)),"",INDEX('Compliance Database'!$N$2:$N$630,MATCH(292,Engine!$C$2:$C$630,0)))</f>
        <v/>
      </c>
      <c r="O305" s="8">
        <f>IF(ISNA(MATCH(292,Engine!$C$2:$C$630,0)),"",INDEX('Compliance Database'!$O$2:$O$630,MATCH(292,Engine!$C$2:$C$630,0)))</f>
        <v/>
      </c>
    </row>
    <row r="306">
      <c r="A306">
        <f>IF(ISNA(MATCH(293,Engine!$C$2:$C$630,0)),"",INDEX('Compliance Database'!$A$2:$A$630,MATCH(293,Engine!$C$2:$C$630,0)))</f>
        <v/>
      </c>
      <c r="B306">
        <f>IF(ISNA(MATCH(293,Engine!$C$2:$C$630,0)),"",INDEX('Compliance Database'!$B$2:$B$630,MATCH(293,Engine!$C$2:$C$630,0)))</f>
        <v/>
      </c>
      <c r="C306">
        <f>IF(ISNA(MATCH(293,Engine!$C$2:$C$630,0)),"",INDEX('Compliance Database'!$C$2:$C$630,MATCH(293,Engine!$C$2:$C$630,0)))</f>
        <v/>
      </c>
      <c r="D306" s="8">
        <f>IF(ISNA(MATCH(293,Engine!$C$2:$C$630,0)),"",INDEX('Compliance Database'!$D$2:$D$630,MATCH(293,Engine!$C$2:$C$630,0)))</f>
        <v/>
      </c>
      <c r="E306">
        <f>IF(ISNA(MATCH(293,Engine!$C$2:$C$630,0)),"",INDEX('Compliance Database'!$E$2:$E$630,MATCH(293,Engine!$C$2:$C$630,0)))</f>
        <v/>
      </c>
      <c r="F306">
        <f>IF(ISNA(MATCH(293,Engine!$C$2:$C$630,0)),"",INDEX('Compliance Database'!$F$2:$F$630,MATCH(293,Engine!$C$2:$C$630,0)))</f>
        <v/>
      </c>
      <c r="G306">
        <f>IF(ISNA(MATCH(293,Engine!$C$2:$C$630,0)),"",INDEX('Compliance Database'!$G$2:$G$630,MATCH(293,Engine!$C$2:$C$630,0)))</f>
        <v/>
      </c>
      <c r="H306">
        <f>IF(ISNA(MATCH(293,Engine!$C$2:$C$630,0)),"",INDEX('Compliance Database'!$H$2:$H$630,MATCH(293,Engine!$C$2:$C$630,0)))</f>
        <v/>
      </c>
      <c r="I306" s="8">
        <f>IF(ISNA(MATCH(293,Engine!$C$2:$C$630,0)),"",INDEX('Compliance Database'!$I$2:$I$630,MATCH(293,Engine!$C$2:$C$630,0)))</f>
        <v/>
      </c>
      <c r="J306" s="8">
        <f>IF(ISNA(MATCH(293,Engine!$C$2:$C$630,0)),"",INDEX('Compliance Database'!$J$2:$J$630,MATCH(293,Engine!$C$2:$C$630,0)))</f>
        <v/>
      </c>
      <c r="K306">
        <f>IF(ISNA(MATCH(293,Engine!$C$2:$C$630,0)),"",INDEX('Compliance Database'!$K$2:$K$630,MATCH(293,Engine!$C$2:$C$630,0)))</f>
        <v/>
      </c>
      <c r="L306" s="8">
        <f>IF(ISNA(MATCH(293,Engine!$C$2:$C$630,0)),"",INDEX('Compliance Database'!$L$2:$L$630,MATCH(293,Engine!$C$2:$C$630,0)))</f>
        <v/>
      </c>
      <c r="M306" s="8">
        <f>IF(ISNA(MATCH(293,Engine!$C$2:$C$630,0)),"",INDEX('Compliance Database'!$M$2:$M$630,MATCH(293,Engine!$C$2:$C$630,0)))</f>
        <v/>
      </c>
      <c r="N306" s="8">
        <f>IF(ISNA(MATCH(293,Engine!$C$2:$C$630,0)),"",INDEX('Compliance Database'!$N$2:$N$630,MATCH(293,Engine!$C$2:$C$630,0)))</f>
        <v/>
      </c>
      <c r="O306" s="8">
        <f>IF(ISNA(MATCH(293,Engine!$C$2:$C$630,0)),"",INDEX('Compliance Database'!$O$2:$O$630,MATCH(293,Engine!$C$2:$C$630,0)))</f>
        <v/>
      </c>
    </row>
    <row r="307">
      <c r="A307">
        <f>IF(ISNA(MATCH(294,Engine!$C$2:$C$630,0)),"",INDEX('Compliance Database'!$A$2:$A$630,MATCH(294,Engine!$C$2:$C$630,0)))</f>
        <v/>
      </c>
      <c r="B307">
        <f>IF(ISNA(MATCH(294,Engine!$C$2:$C$630,0)),"",INDEX('Compliance Database'!$B$2:$B$630,MATCH(294,Engine!$C$2:$C$630,0)))</f>
        <v/>
      </c>
      <c r="C307">
        <f>IF(ISNA(MATCH(294,Engine!$C$2:$C$630,0)),"",INDEX('Compliance Database'!$C$2:$C$630,MATCH(294,Engine!$C$2:$C$630,0)))</f>
        <v/>
      </c>
      <c r="D307" s="8">
        <f>IF(ISNA(MATCH(294,Engine!$C$2:$C$630,0)),"",INDEX('Compliance Database'!$D$2:$D$630,MATCH(294,Engine!$C$2:$C$630,0)))</f>
        <v/>
      </c>
      <c r="E307">
        <f>IF(ISNA(MATCH(294,Engine!$C$2:$C$630,0)),"",INDEX('Compliance Database'!$E$2:$E$630,MATCH(294,Engine!$C$2:$C$630,0)))</f>
        <v/>
      </c>
      <c r="F307">
        <f>IF(ISNA(MATCH(294,Engine!$C$2:$C$630,0)),"",INDEX('Compliance Database'!$F$2:$F$630,MATCH(294,Engine!$C$2:$C$630,0)))</f>
        <v/>
      </c>
      <c r="G307">
        <f>IF(ISNA(MATCH(294,Engine!$C$2:$C$630,0)),"",INDEX('Compliance Database'!$G$2:$G$630,MATCH(294,Engine!$C$2:$C$630,0)))</f>
        <v/>
      </c>
      <c r="H307">
        <f>IF(ISNA(MATCH(294,Engine!$C$2:$C$630,0)),"",INDEX('Compliance Database'!$H$2:$H$630,MATCH(294,Engine!$C$2:$C$630,0)))</f>
        <v/>
      </c>
      <c r="I307" s="8">
        <f>IF(ISNA(MATCH(294,Engine!$C$2:$C$630,0)),"",INDEX('Compliance Database'!$I$2:$I$630,MATCH(294,Engine!$C$2:$C$630,0)))</f>
        <v/>
      </c>
      <c r="J307" s="8">
        <f>IF(ISNA(MATCH(294,Engine!$C$2:$C$630,0)),"",INDEX('Compliance Database'!$J$2:$J$630,MATCH(294,Engine!$C$2:$C$630,0)))</f>
        <v/>
      </c>
      <c r="K307">
        <f>IF(ISNA(MATCH(294,Engine!$C$2:$C$630,0)),"",INDEX('Compliance Database'!$K$2:$K$630,MATCH(294,Engine!$C$2:$C$630,0)))</f>
        <v/>
      </c>
      <c r="L307" s="8">
        <f>IF(ISNA(MATCH(294,Engine!$C$2:$C$630,0)),"",INDEX('Compliance Database'!$L$2:$L$630,MATCH(294,Engine!$C$2:$C$630,0)))</f>
        <v/>
      </c>
      <c r="M307" s="8">
        <f>IF(ISNA(MATCH(294,Engine!$C$2:$C$630,0)),"",INDEX('Compliance Database'!$M$2:$M$630,MATCH(294,Engine!$C$2:$C$630,0)))</f>
        <v/>
      </c>
      <c r="N307" s="8">
        <f>IF(ISNA(MATCH(294,Engine!$C$2:$C$630,0)),"",INDEX('Compliance Database'!$N$2:$N$630,MATCH(294,Engine!$C$2:$C$630,0)))</f>
        <v/>
      </c>
      <c r="O307" s="8">
        <f>IF(ISNA(MATCH(294,Engine!$C$2:$C$630,0)),"",INDEX('Compliance Database'!$O$2:$O$630,MATCH(294,Engine!$C$2:$C$630,0)))</f>
        <v/>
      </c>
    </row>
    <row r="308">
      <c r="A308">
        <f>IF(ISNA(MATCH(295,Engine!$C$2:$C$630,0)),"",INDEX('Compliance Database'!$A$2:$A$630,MATCH(295,Engine!$C$2:$C$630,0)))</f>
        <v/>
      </c>
      <c r="B308">
        <f>IF(ISNA(MATCH(295,Engine!$C$2:$C$630,0)),"",INDEX('Compliance Database'!$B$2:$B$630,MATCH(295,Engine!$C$2:$C$630,0)))</f>
        <v/>
      </c>
      <c r="C308">
        <f>IF(ISNA(MATCH(295,Engine!$C$2:$C$630,0)),"",INDEX('Compliance Database'!$C$2:$C$630,MATCH(295,Engine!$C$2:$C$630,0)))</f>
        <v/>
      </c>
      <c r="D308" s="8">
        <f>IF(ISNA(MATCH(295,Engine!$C$2:$C$630,0)),"",INDEX('Compliance Database'!$D$2:$D$630,MATCH(295,Engine!$C$2:$C$630,0)))</f>
        <v/>
      </c>
      <c r="E308">
        <f>IF(ISNA(MATCH(295,Engine!$C$2:$C$630,0)),"",INDEX('Compliance Database'!$E$2:$E$630,MATCH(295,Engine!$C$2:$C$630,0)))</f>
        <v/>
      </c>
      <c r="F308">
        <f>IF(ISNA(MATCH(295,Engine!$C$2:$C$630,0)),"",INDEX('Compliance Database'!$F$2:$F$630,MATCH(295,Engine!$C$2:$C$630,0)))</f>
        <v/>
      </c>
      <c r="G308">
        <f>IF(ISNA(MATCH(295,Engine!$C$2:$C$630,0)),"",INDEX('Compliance Database'!$G$2:$G$630,MATCH(295,Engine!$C$2:$C$630,0)))</f>
        <v/>
      </c>
      <c r="H308">
        <f>IF(ISNA(MATCH(295,Engine!$C$2:$C$630,0)),"",INDEX('Compliance Database'!$H$2:$H$630,MATCH(295,Engine!$C$2:$C$630,0)))</f>
        <v/>
      </c>
      <c r="I308" s="8">
        <f>IF(ISNA(MATCH(295,Engine!$C$2:$C$630,0)),"",INDEX('Compliance Database'!$I$2:$I$630,MATCH(295,Engine!$C$2:$C$630,0)))</f>
        <v/>
      </c>
      <c r="J308" s="8">
        <f>IF(ISNA(MATCH(295,Engine!$C$2:$C$630,0)),"",INDEX('Compliance Database'!$J$2:$J$630,MATCH(295,Engine!$C$2:$C$630,0)))</f>
        <v/>
      </c>
      <c r="K308">
        <f>IF(ISNA(MATCH(295,Engine!$C$2:$C$630,0)),"",INDEX('Compliance Database'!$K$2:$K$630,MATCH(295,Engine!$C$2:$C$630,0)))</f>
        <v/>
      </c>
      <c r="L308" s="8">
        <f>IF(ISNA(MATCH(295,Engine!$C$2:$C$630,0)),"",INDEX('Compliance Database'!$L$2:$L$630,MATCH(295,Engine!$C$2:$C$630,0)))</f>
        <v/>
      </c>
      <c r="M308" s="8">
        <f>IF(ISNA(MATCH(295,Engine!$C$2:$C$630,0)),"",INDEX('Compliance Database'!$M$2:$M$630,MATCH(295,Engine!$C$2:$C$630,0)))</f>
        <v/>
      </c>
      <c r="N308" s="8">
        <f>IF(ISNA(MATCH(295,Engine!$C$2:$C$630,0)),"",INDEX('Compliance Database'!$N$2:$N$630,MATCH(295,Engine!$C$2:$C$630,0)))</f>
        <v/>
      </c>
      <c r="O308" s="8">
        <f>IF(ISNA(MATCH(295,Engine!$C$2:$C$630,0)),"",INDEX('Compliance Database'!$O$2:$O$630,MATCH(295,Engine!$C$2:$C$630,0)))</f>
        <v/>
      </c>
    </row>
    <row r="309">
      <c r="A309">
        <f>IF(ISNA(MATCH(296,Engine!$C$2:$C$630,0)),"",INDEX('Compliance Database'!$A$2:$A$630,MATCH(296,Engine!$C$2:$C$630,0)))</f>
        <v/>
      </c>
      <c r="B309">
        <f>IF(ISNA(MATCH(296,Engine!$C$2:$C$630,0)),"",INDEX('Compliance Database'!$B$2:$B$630,MATCH(296,Engine!$C$2:$C$630,0)))</f>
        <v/>
      </c>
      <c r="C309">
        <f>IF(ISNA(MATCH(296,Engine!$C$2:$C$630,0)),"",INDEX('Compliance Database'!$C$2:$C$630,MATCH(296,Engine!$C$2:$C$630,0)))</f>
        <v/>
      </c>
      <c r="D309" s="8">
        <f>IF(ISNA(MATCH(296,Engine!$C$2:$C$630,0)),"",INDEX('Compliance Database'!$D$2:$D$630,MATCH(296,Engine!$C$2:$C$630,0)))</f>
        <v/>
      </c>
      <c r="E309">
        <f>IF(ISNA(MATCH(296,Engine!$C$2:$C$630,0)),"",INDEX('Compliance Database'!$E$2:$E$630,MATCH(296,Engine!$C$2:$C$630,0)))</f>
        <v/>
      </c>
      <c r="F309">
        <f>IF(ISNA(MATCH(296,Engine!$C$2:$C$630,0)),"",INDEX('Compliance Database'!$F$2:$F$630,MATCH(296,Engine!$C$2:$C$630,0)))</f>
        <v/>
      </c>
      <c r="G309">
        <f>IF(ISNA(MATCH(296,Engine!$C$2:$C$630,0)),"",INDEX('Compliance Database'!$G$2:$G$630,MATCH(296,Engine!$C$2:$C$630,0)))</f>
        <v/>
      </c>
      <c r="H309">
        <f>IF(ISNA(MATCH(296,Engine!$C$2:$C$630,0)),"",INDEX('Compliance Database'!$H$2:$H$630,MATCH(296,Engine!$C$2:$C$630,0)))</f>
        <v/>
      </c>
      <c r="I309" s="8">
        <f>IF(ISNA(MATCH(296,Engine!$C$2:$C$630,0)),"",INDEX('Compliance Database'!$I$2:$I$630,MATCH(296,Engine!$C$2:$C$630,0)))</f>
        <v/>
      </c>
      <c r="J309" s="8">
        <f>IF(ISNA(MATCH(296,Engine!$C$2:$C$630,0)),"",INDEX('Compliance Database'!$J$2:$J$630,MATCH(296,Engine!$C$2:$C$630,0)))</f>
        <v/>
      </c>
      <c r="K309">
        <f>IF(ISNA(MATCH(296,Engine!$C$2:$C$630,0)),"",INDEX('Compliance Database'!$K$2:$K$630,MATCH(296,Engine!$C$2:$C$630,0)))</f>
        <v/>
      </c>
      <c r="L309" s="8">
        <f>IF(ISNA(MATCH(296,Engine!$C$2:$C$630,0)),"",INDEX('Compliance Database'!$L$2:$L$630,MATCH(296,Engine!$C$2:$C$630,0)))</f>
        <v/>
      </c>
      <c r="M309" s="8">
        <f>IF(ISNA(MATCH(296,Engine!$C$2:$C$630,0)),"",INDEX('Compliance Database'!$M$2:$M$630,MATCH(296,Engine!$C$2:$C$630,0)))</f>
        <v/>
      </c>
      <c r="N309" s="8">
        <f>IF(ISNA(MATCH(296,Engine!$C$2:$C$630,0)),"",INDEX('Compliance Database'!$N$2:$N$630,MATCH(296,Engine!$C$2:$C$630,0)))</f>
        <v/>
      </c>
      <c r="O309" s="8">
        <f>IF(ISNA(MATCH(296,Engine!$C$2:$C$630,0)),"",INDEX('Compliance Database'!$O$2:$O$630,MATCH(296,Engine!$C$2:$C$630,0)))</f>
        <v/>
      </c>
    </row>
    <row r="310">
      <c r="A310">
        <f>IF(ISNA(MATCH(297,Engine!$C$2:$C$630,0)),"",INDEX('Compliance Database'!$A$2:$A$630,MATCH(297,Engine!$C$2:$C$630,0)))</f>
        <v/>
      </c>
      <c r="B310">
        <f>IF(ISNA(MATCH(297,Engine!$C$2:$C$630,0)),"",INDEX('Compliance Database'!$B$2:$B$630,MATCH(297,Engine!$C$2:$C$630,0)))</f>
        <v/>
      </c>
      <c r="C310">
        <f>IF(ISNA(MATCH(297,Engine!$C$2:$C$630,0)),"",INDEX('Compliance Database'!$C$2:$C$630,MATCH(297,Engine!$C$2:$C$630,0)))</f>
        <v/>
      </c>
      <c r="D310" s="8">
        <f>IF(ISNA(MATCH(297,Engine!$C$2:$C$630,0)),"",INDEX('Compliance Database'!$D$2:$D$630,MATCH(297,Engine!$C$2:$C$630,0)))</f>
        <v/>
      </c>
      <c r="E310">
        <f>IF(ISNA(MATCH(297,Engine!$C$2:$C$630,0)),"",INDEX('Compliance Database'!$E$2:$E$630,MATCH(297,Engine!$C$2:$C$630,0)))</f>
        <v/>
      </c>
      <c r="F310">
        <f>IF(ISNA(MATCH(297,Engine!$C$2:$C$630,0)),"",INDEX('Compliance Database'!$F$2:$F$630,MATCH(297,Engine!$C$2:$C$630,0)))</f>
        <v/>
      </c>
      <c r="G310">
        <f>IF(ISNA(MATCH(297,Engine!$C$2:$C$630,0)),"",INDEX('Compliance Database'!$G$2:$G$630,MATCH(297,Engine!$C$2:$C$630,0)))</f>
        <v/>
      </c>
      <c r="H310">
        <f>IF(ISNA(MATCH(297,Engine!$C$2:$C$630,0)),"",INDEX('Compliance Database'!$H$2:$H$630,MATCH(297,Engine!$C$2:$C$630,0)))</f>
        <v/>
      </c>
      <c r="I310" s="8">
        <f>IF(ISNA(MATCH(297,Engine!$C$2:$C$630,0)),"",INDEX('Compliance Database'!$I$2:$I$630,MATCH(297,Engine!$C$2:$C$630,0)))</f>
        <v/>
      </c>
      <c r="J310" s="8">
        <f>IF(ISNA(MATCH(297,Engine!$C$2:$C$630,0)),"",INDEX('Compliance Database'!$J$2:$J$630,MATCH(297,Engine!$C$2:$C$630,0)))</f>
        <v/>
      </c>
      <c r="K310">
        <f>IF(ISNA(MATCH(297,Engine!$C$2:$C$630,0)),"",INDEX('Compliance Database'!$K$2:$K$630,MATCH(297,Engine!$C$2:$C$630,0)))</f>
        <v/>
      </c>
      <c r="L310" s="8">
        <f>IF(ISNA(MATCH(297,Engine!$C$2:$C$630,0)),"",INDEX('Compliance Database'!$L$2:$L$630,MATCH(297,Engine!$C$2:$C$630,0)))</f>
        <v/>
      </c>
      <c r="M310" s="8">
        <f>IF(ISNA(MATCH(297,Engine!$C$2:$C$630,0)),"",INDEX('Compliance Database'!$M$2:$M$630,MATCH(297,Engine!$C$2:$C$630,0)))</f>
        <v/>
      </c>
      <c r="N310" s="8">
        <f>IF(ISNA(MATCH(297,Engine!$C$2:$C$630,0)),"",INDEX('Compliance Database'!$N$2:$N$630,MATCH(297,Engine!$C$2:$C$630,0)))</f>
        <v/>
      </c>
      <c r="O310" s="8">
        <f>IF(ISNA(MATCH(297,Engine!$C$2:$C$630,0)),"",INDEX('Compliance Database'!$O$2:$O$630,MATCH(297,Engine!$C$2:$C$630,0)))</f>
        <v/>
      </c>
    </row>
    <row r="311">
      <c r="A311">
        <f>IF(ISNA(MATCH(298,Engine!$C$2:$C$630,0)),"",INDEX('Compliance Database'!$A$2:$A$630,MATCH(298,Engine!$C$2:$C$630,0)))</f>
        <v/>
      </c>
      <c r="B311">
        <f>IF(ISNA(MATCH(298,Engine!$C$2:$C$630,0)),"",INDEX('Compliance Database'!$B$2:$B$630,MATCH(298,Engine!$C$2:$C$630,0)))</f>
        <v/>
      </c>
      <c r="C311">
        <f>IF(ISNA(MATCH(298,Engine!$C$2:$C$630,0)),"",INDEX('Compliance Database'!$C$2:$C$630,MATCH(298,Engine!$C$2:$C$630,0)))</f>
        <v/>
      </c>
      <c r="D311" s="8">
        <f>IF(ISNA(MATCH(298,Engine!$C$2:$C$630,0)),"",INDEX('Compliance Database'!$D$2:$D$630,MATCH(298,Engine!$C$2:$C$630,0)))</f>
        <v/>
      </c>
      <c r="E311">
        <f>IF(ISNA(MATCH(298,Engine!$C$2:$C$630,0)),"",INDEX('Compliance Database'!$E$2:$E$630,MATCH(298,Engine!$C$2:$C$630,0)))</f>
        <v/>
      </c>
      <c r="F311">
        <f>IF(ISNA(MATCH(298,Engine!$C$2:$C$630,0)),"",INDEX('Compliance Database'!$F$2:$F$630,MATCH(298,Engine!$C$2:$C$630,0)))</f>
        <v/>
      </c>
      <c r="G311">
        <f>IF(ISNA(MATCH(298,Engine!$C$2:$C$630,0)),"",INDEX('Compliance Database'!$G$2:$G$630,MATCH(298,Engine!$C$2:$C$630,0)))</f>
        <v/>
      </c>
      <c r="H311">
        <f>IF(ISNA(MATCH(298,Engine!$C$2:$C$630,0)),"",INDEX('Compliance Database'!$H$2:$H$630,MATCH(298,Engine!$C$2:$C$630,0)))</f>
        <v/>
      </c>
      <c r="I311" s="8">
        <f>IF(ISNA(MATCH(298,Engine!$C$2:$C$630,0)),"",INDEX('Compliance Database'!$I$2:$I$630,MATCH(298,Engine!$C$2:$C$630,0)))</f>
        <v/>
      </c>
      <c r="J311" s="8">
        <f>IF(ISNA(MATCH(298,Engine!$C$2:$C$630,0)),"",INDEX('Compliance Database'!$J$2:$J$630,MATCH(298,Engine!$C$2:$C$630,0)))</f>
        <v/>
      </c>
      <c r="K311">
        <f>IF(ISNA(MATCH(298,Engine!$C$2:$C$630,0)),"",INDEX('Compliance Database'!$K$2:$K$630,MATCH(298,Engine!$C$2:$C$630,0)))</f>
        <v/>
      </c>
      <c r="L311" s="8">
        <f>IF(ISNA(MATCH(298,Engine!$C$2:$C$630,0)),"",INDEX('Compliance Database'!$L$2:$L$630,MATCH(298,Engine!$C$2:$C$630,0)))</f>
        <v/>
      </c>
      <c r="M311" s="8">
        <f>IF(ISNA(MATCH(298,Engine!$C$2:$C$630,0)),"",INDEX('Compliance Database'!$M$2:$M$630,MATCH(298,Engine!$C$2:$C$630,0)))</f>
        <v/>
      </c>
      <c r="N311" s="8">
        <f>IF(ISNA(MATCH(298,Engine!$C$2:$C$630,0)),"",INDEX('Compliance Database'!$N$2:$N$630,MATCH(298,Engine!$C$2:$C$630,0)))</f>
        <v/>
      </c>
      <c r="O311" s="8">
        <f>IF(ISNA(MATCH(298,Engine!$C$2:$C$630,0)),"",INDEX('Compliance Database'!$O$2:$O$630,MATCH(298,Engine!$C$2:$C$630,0)))</f>
        <v/>
      </c>
    </row>
    <row r="312">
      <c r="A312">
        <f>IF(ISNA(MATCH(299,Engine!$C$2:$C$630,0)),"",INDEX('Compliance Database'!$A$2:$A$630,MATCH(299,Engine!$C$2:$C$630,0)))</f>
        <v/>
      </c>
      <c r="B312">
        <f>IF(ISNA(MATCH(299,Engine!$C$2:$C$630,0)),"",INDEX('Compliance Database'!$B$2:$B$630,MATCH(299,Engine!$C$2:$C$630,0)))</f>
        <v/>
      </c>
      <c r="C312">
        <f>IF(ISNA(MATCH(299,Engine!$C$2:$C$630,0)),"",INDEX('Compliance Database'!$C$2:$C$630,MATCH(299,Engine!$C$2:$C$630,0)))</f>
        <v/>
      </c>
      <c r="D312" s="8">
        <f>IF(ISNA(MATCH(299,Engine!$C$2:$C$630,0)),"",INDEX('Compliance Database'!$D$2:$D$630,MATCH(299,Engine!$C$2:$C$630,0)))</f>
        <v/>
      </c>
      <c r="E312">
        <f>IF(ISNA(MATCH(299,Engine!$C$2:$C$630,0)),"",INDEX('Compliance Database'!$E$2:$E$630,MATCH(299,Engine!$C$2:$C$630,0)))</f>
        <v/>
      </c>
      <c r="F312">
        <f>IF(ISNA(MATCH(299,Engine!$C$2:$C$630,0)),"",INDEX('Compliance Database'!$F$2:$F$630,MATCH(299,Engine!$C$2:$C$630,0)))</f>
        <v/>
      </c>
      <c r="G312">
        <f>IF(ISNA(MATCH(299,Engine!$C$2:$C$630,0)),"",INDEX('Compliance Database'!$G$2:$G$630,MATCH(299,Engine!$C$2:$C$630,0)))</f>
        <v/>
      </c>
      <c r="H312">
        <f>IF(ISNA(MATCH(299,Engine!$C$2:$C$630,0)),"",INDEX('Compliance Database'!$H$2:$H$630,MATCH(299,Engine!$C$2:$C$630,0)))</f>
        <v/>
      </c>
      <c r="I312" s="8">
        <f>IF(ISNA(MATCH(299,Engine!$C$2:$C$630,0)),"",INDEX('Compliance Database'!$I$2:$I$630,MATCH(299,Engine!$C$2:$C$630,0)))</f>
        <v/>
      </c>
      <c r="J312" s="8">
        <f>IF(ISNA(MATCH(299,Engine!$C$2:$C$630,0)),"",INDEX('Compliance Database'!$J$2:$J$630,MATCH(299,Engine!$C$2:$C$630,0)))</f>
        <v/>
      </c>
      <c r="K312">
        <f>IF(ISNA(MATCH(299,Engine!$C$2:$C$630,0)),"",INDEX('Compliance Database'!$K$2:$K$630,MATCH(299,Engine!$C$2:$C$630,0)))</f>
        <v/>
      </c>
      <c r="L312" s="8">
        <f>IF(ISNA(MATCH(299,Engine!$C$2:$C$630,0)),"",INDEX('Compliance Database'!$L$2:$L$630,MATCH(299,Engine!$C$2:$C$630,0)))</f>
        <v/>
      </c>
      <c r="M312" s="8">
        <f>IF(ISNA(MATCH(299,Engine!$C$2:$C$630,0)),"",INDEX('Compliance Database'!$M$2:$M$630,MATCH(299,Engine!$C$2:$C$630,0)))</f>
        <v/>
      </c>
      <c r="N312" s="8">
        <f>IF(ISNA(MATCH(299,Engine!$C$2:$C$630,0)),"",INDEX('Compliance Database'!$N$2:$N$630,MATCH(299,Engine!$C$2:$C$630,0)))</f>
        <v/>
      </c>
      <c r="O312" s="8">
        <f>IF(ISNA(MATCH(299,Engine!$C$2:$C$630,0)),"",INDEX('Compliance Database'!$O$2:$O$630,MATCH(299,Engine!$C$2:$C$630,0)))</f>
        <v/>
      </c>
    </row>
    <row r="313">
      <c r="A313">
        <f>IF(ISNA(MATCH(300,Engine!$C$2:$C$630,0)),"",INDEX('Compliance Database'!$A$2:$A$630,MATCH(300,Engine!$C$2:$C$630,0)))</f>
        <v/>
      </c>
      <c r="B313">
        <f>IF(ISNA(MATCH(300,Engine!$C$2:$C$630,0)),"",INDEX('Compliance Database'!$B$2:$B$630,MATCH(300,Engine!$C$2:$C$630,0)))</f>
        <v/>
      </c>
      <c r="C313">
        <f>IF(ISNA(MATCH(300,Engine!$C$2:$C$630,0)),"",INDEX('Compliance Database'!$C$2:$C$630,MATCH(300,Engine!$C$2:$C$630,0)))</f>
        <v/>
      </c>
      <c r="D313" s="8">
        <f>IF(ISNA(MATCH(300,Engine!$C$2:$C$630,0)),"",INDEX('Compliance Database'!$D$2:$D$630,MATCH(300,Engine!$C$2:$C$630,0)))</f>
        <v/>
      </c>
      <c r="E313">
        <f>IF(ISNA(MATCH(300,Engine!$C$2:$C$630,0)),"",INDEX('Compliance Database'!$E$2:$E$630,MATCH(300,Engine!$C$2:$C$630,0)))</f>
        <v/>
      </c>
      <c r="F313">
        <f>IF(ISNA(MATCH(300,Engine!$C$2:$C$630,0)),"",INDEX('Compliance Database'!$F$2:$F$630,MATCH(300,Engine!$C$2:$C$630,0)))</f>
        <v/>
      </c>
      <c r="G313">
        <f>IF(ISNA(MATCH(300,Engine!$C$2:$C$630,0)),"",INDEX('Compliance Database'!$G$2:$G$630,MATCH(300,Engine!$C$2:$C$630,0)))</f>
        <v/>
      </c>
      <c r="H313">
        <f>IF(ISNA(MATCH(300,Engine!$C$2:$C$630,0)),"",INDEX('Compliance Database'!$H$2:$H$630,MATCH(300,Engine!$C$2:$C$630,0)))</f>
        <v/>
      </c>
      <c r="I313" s="8">
        <f>IF(ISNA(MATCH(300,Engine!$C$2:$C$630,0)),"",INDEX('Compliance Database'!$I$2:$I$630,MATCH(300,Engine!$C$2:$C$630,0)))</f>
        <v/>
      </c>
      <c r="J313" s="8">
        <f>IF(ISNA(MATCH(300,Engine!$C$2:$C$630,0)),"",INDEX('Compliance Database'!$J$2:$J$630,MATCH(300,Engine!$C$2:$C$630,0)))</f>
        <v/>
      </c>
      <c r="K313">
        <f>IF(ISNA(MATCH(300,Engine!$C$2:$C$630,0)),"",INDEX('Compliance Database'!$K$2:$K$630,MATCH(300,Engine!$C$2:$C$630,0)))</f>
        <v/>
      </c>
      <c r="L313" s="8">
        <f>IF(ISNA(MATCH(300,Engine!$C$2:$C$630,0)),"",INDEX('Compliance Database'!$L$2:$L$630,MATCH(300,Engine!$C$2:$C$630,0)))</f>
        <v/>
      </c>
      <c r="M313" s="8">
        <f>IF(ISNA(MATCH(300,Engine!$C$2:$C$630,0)),"",INDEX('Compliance Database'!$M$2:$M$630,MATCH(300,Engine!$C$2:$C$630,0)))</f>
        <v/>
      </c>
      <c r="N313" s="8">
        <f>IF(ISNA(MATCH(300,Engine!$C$2:$C$630,0)),"",INDEX('Compliance Database'!$N$2:$N$630,MATCH(300,Engine!$C$2:$C$630,0)))</f>
        <v/>
      </c>
      <c r="O313" s="8">
        <f>IF(ISNA(MATCH(300,Engine!$C$2:$C$630,0)),"",INDEX('Compliance Database'!$O$2:$O$630,MATCH(300,Engine!$C$2:$C$630,0)))</f>
        <v/>
      </c>
    </row>
    <row r="314">
      <c r="A314">
        <f>IF(ISNA(MATCH(301,Engine!$C$2:$C$630,0)),"",INDEX('Compliance Database'!$A$2:$A$630,MATCH(301,Engine!$C$2:$C$630,0)))</f>
        <v/>
      </c>
      <c r="B314">
        <f>IF(ISNA(MATCH(301,Engine!$C$2:$C$630,0)),"",INDEX('Compliance Database'!$B$2:$B$630,MATCH(301,Engine!$C$2:$C$630,0)))</f>
        <v/>
      </c>
      <c r="C314">
        <f>IF(ISNA(MATCH(301,Engine!$C$2:$C$630,0)),"",INDEX('Compliance Database'!$C$2:$C$630,MATCH(301,Engine!$C$2:$C$630,0)))</f>
        <v/>
      </c>
      <c r="D314" s="8">
        <f>IF(ISNA(MATCH(301,Engine!$C$2:$C$630,0)),"",INDEX('Compliance Database'!$D$2:$D$630,MATCH(301,Engine!$C$2:$C$630,0)))</f>
        <v/>
      </c>
      <c r="E314">
        <f>IF(ISNA(MATCH(301,Engine!$C$2:$C$630,0)),"",INDEX('Compliance Database'!$E$2:$E$630,MATCH(301,Engine!$C$2:$C$630,0)))</f>
        <v/>
      </c>
      <c r="F314">
        <f>IF(ISNA(MATCH(301,Engine!$C$2:$C$630,0)),"",INDEX('Compliance Database'!$F$2:$F$630,MATCH(301,Engine!$C$2:$C$630,0)))</f>
        <v/>
      </c>
      <c r="G314">
        <f>IF(ISNA(MATCH(301,Engine!$C$2:$C$630,0)),"",INDEX('Compliance Database'!$G$2:$G$630,MATCH(301,Engine!$C$2:$C$630,0)))</f>
        <v/>
      </c>
      <c r="H314">
        <f>IF(ISNA(MATCH(301,Engine!$C$2:$C$630,0)),"",INDEX('Compliance Database'!$H$2:$H$630,MATCH(301,Engine!$C$2:$C$630,0)))</f>
        <v/>
      </c>
      <c r="I314" s="8">
        <f>IF(ISNA(MATCH(301,Engine!$C$2:$C$630,0)),"",INDEX('Compliance Database'!$I$2:$I$630,MATCH(301,Engine!$C$2:$C$630,0)))</f>
        <v/>
      </c>
      <c r="J314" s="8">
        <f>IF(ISNA(MATCH(301,Engine!$C$2:$C$630,0)),"",INDEX('Compliance Database'!$J$2:$J$630,MATCH(301,Engine!$C$2:$C$630,0)))</f>
        <v/>
      </c>
      <c r="K314">
        <f>IF(ISNA(MATCH(301,Engine!$C$2:$C$630,0)),"",INDEX('Compliance Database'!$K$2:$K$630,MATCH(301,Engine!$C$2:$C$630,0)))</f>
        <v/>
      </c>
      <c r="L314" s="8">
        <f>IF(ISNA(MATCH(301,Engine!$C$2:$C$630,0)),"",INDEX('Compliance Database'!$L$2:$L$630,MATCH(301,Engine!$C$2:$C$630,0)))</f>
        <v/>
      </c>
      <c r="M314" s="8">
        <f>IF(ISNA(MATCH(301,Engine!$C$2:$C$630,0)),"",INDEX('Compliance Database'!$M$2:$M$630,MATCH(301,Engine!$C$2:$C$630,0)))</f>
        <v/>
      </c>
      <c r="N314" s="8">
        <f>IF(ISNA(MATCH(301,Engine!$C$2:$C$630,0)),"",INDEX('Compliance Database'!$N$2:$N$630,MATCH(301,Engine!$C$2:$C$630,0)))</f>
        <v/>
      </c>
      <c r="O314" s="8">
        <f>IF(ISNA(MATCH(301,Engine!$C$2:$C$630,0)),"",INDEX('Compliance Database'!$O$2:$O$630,MATCH(301,Engine!$C$2:$C$630,0)))</f>
        <v/>
      </c>
    </row>
    <row r="315">
      <c r="A315">
        <f>IF(ISNA(MATCH(302,Engine!$C$2:$C$630,0)),"",INDEX('Compliance Database'!$A$2:$A$630,MATCH(302,Engine!$C$2:$C$630,0)))</f>
        <v/>
      </c>
      <c r="B315">
        <f>IF(ISNA(MATCH(302,Engine!$C$2:$C$630,0)),"",INDEX('Compliance Database'!$B$2:$B$630,MATCH(302,Engine!$C$2:$C$630,0)))</f>
        <v/>
      </c>
      <c r="C315">
        <f>IF(ISNA(MATCH(302,Engine!$C$2:$C$630,0)),"",INDEX('Compliance Database'!$C$2:$C$630,MATCH(302,Engine!$C$2:$C$630,0)))</f>
        <v/>
      </c>
      <c r="D315" s="8">
        <f>IF(ISNA(MATCH(302,Engine!$C$2:$C$630,0)),"",INDEX('Compliance Database'!$D$2:$D$630,MATCH(302,Engine!$C$2:$C$630,0)))</f>
        <v/>
      </c>
      <c r="E315">
        <f>IF(ISNA(MATCH(302,Engine!$C$2:$C$630,0)),"",INDEX('Compliance Database'!$E$2:$E$630,MATCH(302,Engine!$C$2:$C$630,0)))</f>
        <v/>
      </c>
      <c r="F315">
        <f>IF(ISNA(MATCH(302,Engine!$C$2:$C$630,0)),"",INDEX('Compliance Database'!$F$2:$F$630,MATCH(302,Engine!$C$2:$C$630,0)))</f>
        <v/>
      </c>
      <c r="G315">
        <f>IF(ISNA(MATCH(302,Engine!$C$2:$C$630,0)),"",INDEX('Compliance Database'!$G$2:$G$630,MATCH(302,Engine!$C$2:$C$630,0)))</f>
        <v/>
      </c>
      <c r="H315">
        <f>IF(ISNA(MATCH(302,Engine!$C$2:$C$630,0)),"",INDEX('Compliance Database'!$H$2:$H$630,MATCH(302,Engine!$C$2:$C$630,0)))</f>
        <v/>
      </c>
      <c r="I315" s="8">
        <f>IF(ISNA(MATCH(302,Engine!$C$2:$C$630,0)),"",INDEX('Compliance Database'!$I$2:$I$630,MATCH(302,Engine!$C$2:$C$630,0)))</f>
        <v/>
      </c>
      <c r="J315" s="8">
        <f>IF(ISNA(MATCH(302,Engine!$C$2:$C$630,0)),"",INDEX('Compliance Database'!$J$2:$J$630,MATCH(302,Engine!$C$2:$C$630,0)))</f>
        <v/>
      </c>
      <c r="K315">
        <f>IF(ISNA(MATCH(302,Engine!$C$2:$C$630,0)),"",INDEX('Compliance Database'!$K$2:$K$630,MATCH(302,Engine!$C$2:$C$630,0)))</f>
        <v/>
      </c>
      <c r="L315" s="8">
        <f>IF(ISNA(MATCH(302,Engine!$C$2:$C$630,0)),"",INDEX('Compliance Database'!$L$2:$L$630,MATCH(302,Engine!$C$2:$C$630,0)))</f>
        <v/>
      </c>
      <c r="M315" s="8">
        <f>IF(ISNA(MATCH(302,Engine!$C$2:$C$630,0)),"",INDEX('Compliance Database'!$M$2:$M$630,MATCH(302,Engine!$C$2:$C$630,0)))</f>
        <v/>
      </c>
      <c r="N315" s="8">
        <f>IF(ISNA(MATCH(302,Engine!$C$2:$C$630,0)),"",INDEX('Compliance Database'!$N$2:$N$630,MATCH(302,Engine!$C$2:$C$630,0)))</f>
        <v/>
      </c>
      <c r="O315" s="8">
        <f>IF(ISNA(MATCH(302,Engine!$C$2:$C$630,0)),"",INDEX('Compliance Database'!$O$2:$O$630,MATCH(302,Engine!$C$2:$C$630,0)))</f>
        <v/>
      </c>
    </row>
    <row r="316">
      <c r="A316">
        <f>IF(ISNA(MATCH(303,Engine!$C$2:$C$630,0)),"",INDEX('Compliance Database'!$A$2:$A$630,MATCH(303,Engine!$C$2:$C$630,0)))</f>
        <v/>
      </c>
      <c r="B316">
        <f>IF(ISNA(MATCH(303,Engine!$C$2:$C$630,0)),"",INDEX('Compliance Database'!$B$2:$B$630,MATCH(303,Engine!$C$2:$C$630,0)))</f>
        <v/>
      </c>
      <c r="C316">
        <f>IF(ISNA(MATCH(303,Engine!$C$2:$C$630,0)),"",INDEX('Compliance Database'!$C$2:$C$630,MATCH(303,Engine!$C$2:$C$630,0)))</f>
        <v/>
      </c>
      <c r="D316" s="8">
        <f>IF(ISNA(MATCH(303,Engine!$C$2:$C$630,0)),"",INDEX('Compliance Database'!$D$2:$D$630,MATCH(303,Engine!$C$2:$C$630,0)))</f>
        <v/>
      </c>
      <c r="E316">
        <f>IF(ISNA(MATCH(303,Engine!$C$2:$C$630,0)),"",INDEX('Compliance Database'!$E$2:$E$630,MATCH(303,Engine!$C$2:$C$630,0)))</f>
        <v/>
      </c>
      <c r="F316">
        <f>IF(ISNA(MATCH(303,Engine!$C$2:$C$630,0)),"",INDEX('Compliance Database'!$F$2:$F$630,MATCH(303,Engine!$C$2:$C$630,0)))</f>
        <v/>
      </c>
      <c r="G316">
        <f>IF(ISNA(MATCH(303,Engine!$C$2:$C$630,0)),"",INDEX('Compliance Database'!$G$2:$G$630,MATCH(303,Engine!$C$2:$C$630,0)))</f>
        <v/>
      </c>
      <c r="H316">
        <f>IF(ISNA(MATCH(303,Engine!$C$2:$C$630,0)),"",INDEX('Compliance Database'!$H$2:$H$630,MATCH(303,Engine!$C$2:$C$630,0)))</f>
        <v/>
      </c>
      <c r="I316" s="8">
        <f>IF(ISNA(MATCH(303,Engine!$C$2:$C$630,0)),"",INDEX('Compliance Database'!$I$2:$I$630,MATCH(303,Engine!$C$2:$C$630,0)))</f>
        <v/>
      </c>
      <c r="J316" s="8">
        <f>IF(ISNA(MATCH(303,Engine!$C$2:$C$630,0)),"",INDEX('Compliance Database'!$J$2:$J$630,MATCH(303,Engine!$C$2:$C$630,0)))</f>
        <v/>
      </c>
      <c r="K316">
        <f>IF(ISNA(MATCH(303,Engine!$C$2:$C$630,0)),"",INDEX('Compliance Database'!$K$2:$K$630,MATCH(303,Engine!$C$2:$C$630,0)))</f>
        <v/>
      </c>
      <c r="L316" s="8">
        <f>IF(ISNA(MATCH(303,Engine!$C$2:$C$630,0)),"",INDEX('Compliance Database'!$L$2:$L$630,MATCH(303,Engine!$C$2:$C$630,0)))</f>
        <v/>
      </c>
      <c r="M316" s="8">
        <f>IF(ISNA(MATCH(303,Engine!$C$2:$C$630,0)),"",INDEX('Compliance Database'!$M$2:$M$630,MATCH(303,Engine!$C$2:$C$630,0)))</f>
        <v/>
      </c>
      <c r="N316" s="8">
        <f>IF(ISNA(MATCH(303,Engine!$C$2:$C$630,0)),"",INDEX('Compliance Database'!$N$2:$N$630,MATCH(303,Engine!$C$2:$C$630,0)))</f>
        <v/>
      </c>
      <c r="O316" s="8">
        <f>IF(ISNA(MATCH(303,Engine!$C$2:$C$630,0)),"",INDEX('Compliance Database'!$O$2:$O$630,MATCH(303,Engine!$C$2:$C$630,0)))</f>
        <v/>
      </c>
    </row>
    <row r="317">
      <c r="A317">
        <f>IF(ISNA(MATCH(304,Engine!$C$2:$C$630,0)),"",INDEX('Compliance Database'!$A$2:$A$630,MATCH(304,Engine!$C$2:$C$630,0)))</f>
        <v/>
      </c>
      <c r="B317">
        <f>IF(ISNA(MATCH(304,Engine!$C$2:$C$630,0)),"",INDEX('Compliance Database'!$B$2:$B$630,MATCH(304,Engine!$C$2:$C$630,0)))</f>
        <v/>
      </c>
      <c r="C317">
        <f>IF(ISNA(MATCH(304,Engine!$C$2:$C$630,0)),"",INDEX('Compliance Database'!$C$2:$C$630,MATCH(304,Engine!$C$2:$C$630,0)))</f>
        <v/>
      </c>
      <c r="D317" s="8">
        <f>IF(ISNA(MATCH(304,Engine!$C$2:$C$630,0)),"",INDEX('Compliance Database'!$D$2:$D$630,MATCH(304,Engine!$C$2:$C$630,0)))</f>
        <v/>
      </c>
      <c r="E317">
        <f>IF(ISNA(MATCH(304,Engine!$C$2:$C$630,0)),"",INDEX('Compliance Database'!$E$2:$E$630,MATCH(304,Engine!$C$2:$C$630,0)))</f>
        <v/>
      </c>
      <c r="F317">
        <f>IF(ISNA(MATCH(304,Engine!$C$2:$C$630,0)),"",INDEX('Compliance Database'!$F$2:$F$630,MATCH(304,Engine!$C$2:$C$630,0)))</f>
        <v/>
      </c>
      <c r="G317">
        <f>IF(ISNA(MATCH(304,Engine!$C$2:$C$630,0)),"",INDEX('Compliance Database'!$G$2:$G$630,MATCH(304,Engine!$C$2:$C$630,0)))</f>
        <v/>
      </c>
      <c r="H317">
        <f>IF(ISNA(MATCH(304,Engine!$C$2:$C$630,0)),"",INDEX('Compliance Database'!$H$2:$H$630,MATCH(304,Engine!$C$2:$C$630,0)))</f>
        <v/>
      </c>
      <c r="I317" s="8">
        <f>IF(ISNA(MATCH(304,Engine!$C$2:$C$630,0)),"",INDEX('Compliance Database'!$I$2:$I$630,MATCH(304,Engine!$C$2:$C$630,0)))</f>
        <v/>
      </c>
      <c r="J317" s="8">
        <f>IF(ISNA(MATCH(304,Engine!$C$2:$C$630,0)),"",INDEX('Compliance Database'!$J$2:$J$630,MATCH(304,Engine!$C$2:$C$630,0)))</f>
        <v/>
      </c>
      <c r="K317">
        <f>IF(ISNA(MATCH(304,Engine!$C$2:$C$630,0)),"",INDEX('Compliance Database'!$K$2:$K$630,MATCH(304,Engine!$C$2:$C$630,0)))</f>
        <v/>
      </c>
      <c r="L317" s="8">
        <f>IF(ISNA(MATCH(304,Engine!$C$2:$C$630,0)),"",INDEX('Compliance Database'!$L$2:$L$630,MATCH(304,Engine!$C$2:$C$630,0)))</f>
        <v/>
      </c>
      <c r="M317" s="8">
        <f>IF(ISNA(MATCH(304,Engine!$C$2:$C$630,0)),"",INDEX('Compliance Database'!$M$2:$M$630,MATCH(304,Engine!$C$2:$C$630,0)))</f>
        <v/>
      </c>
      <c r="N317" s="8">
        <f>IF(ISNA(MATCH(304,Engine!$C$2:$C$630,0)),"",INDEX('Compliance Database'!$N$2:$N$630,MATCH(304,Engine!$C$2:$C$630,0)))</f>
        <v/>
      </c>
      <c r="O317" s="8">
        <f>IF(ISNA(MATCH(304,Engine!$C$2:$C$630,0)),"",INDEX('Compliance Database'!$O$2:$O$630,MATCH(304,Engine!$C$2:$C$630,0)))</f>
        <v/>
      </c>
    </row>
    <row r="318">
      <c r="A318">
        <f>IF(ISNA(MATCH(305,Engine!$C$2:$C$630,0)),"",INDEX('Compliance Database'!$A$2:$A$630,MATCH(305,Engine!$C$2:$C$630,0)))</f>
        <v/>
      </c>
      <c r="B318">
        <f>IF(ISNA(MATCH(305,Engine!$C$2:$C$630,0)),"",INDEX('Compliance Database'!$B$2:$B$630,MATCH(305,Engine!$C$2:$C$630,0)))</f>
        <v/>
      </c>
      <c r="C318">
        <f>IF(ISNA(MATCH(305,Engine!$C$2:$C$630,0)),"",INDEX('Compliance Database'!$C$2:$C$630,MATCH(305,Engine!$C$2:$C$630,0)))</f>
        <v/>
      </c>
      <c r="D318" s="8">
        <f>IF(ISNA(MATCH(305,Engine!$C$2:$C$630,0)),"",INDEX('Compliance Database'!$D$2:$D$630,MATCH(305,Engine!$C$2:$C$630,0)))</f>
        <v/>
      </c>
      <c r="E318">
        <f>IF(ISNA(MATCH(305,Engine!$C$2:$C$630,0)),"",INDEX('Compliance Database'!$E$2:$E$630,MATCH(305,Engine!$C$2:$C$630,0)))</f>
        <v/>
      </c>
      <c r="F318">
        <f>IF(ISNA(MATCH(305,Engine!$C$2:$C$630,0)),"",INDEX('Compliance Database'!$F$2:$F$630,MATCH(305,Engine!$C$2:$C$630,0)))</f>
        <v/>
      </c>
      <c r="G318">
        <f>IF(ISNA(MATCH(305,Engine!$C$2:$C$630,0)),"",INDEX('Compliance Database'!$G$2:$G$630,MATCH(305,Engine!$C$2:$C$630,0)))</f>
        <v/>
      </c>
      <c r="H318">
        <f>IF(ISNA(MATCH(305,Engine!$C$2:$C$630,0)),"",INDEX('Compliance Database'!$H$2:$H$630,MATCH(305,Engine!$C$2:$C$630,0)))</f>
        <v/>
      </c>
      <c r="I318" s="8">
        <f>IF(ISNA(MATCH(305,Engine!$C$2:$C$630,0)),"",INDEX('Compliance Database'!$I$2:$I$630,MATCH(305,Engine!$C$2:$C$630,0)))</f>
        <v/>
      </c>
      <c r="J318" s="8">
        <f>IF(ISNA(MATCH(305,Engine!$C$2:$C$630,0)),"",INDEX('Compliance Database'!$J$2:$J$630,MATCH(305,Engine!$C$2:$C$630,0)))</f>
        <v/>
      </c>
      <c r="K318">
        <f>IF(ISNA(MATCH(305,Engine!$C$2:$C$630,0)),"",INDEX('Compliance Database'!$K$2:$K$630,MATCH(305,Engine!$C$2:$C$630,0)))</f>
        <v/>
      </c>
      <c r="L318" s="8">
        <f>IF(ISNA(MATCH(305,Engine!$C$2:$C$630,0)),"",INDEX('Compliance Database'!$L$2:$L$630,MATCH(305,Engine!$C$2:$C$630,0)))</f>
        <v/>
      </c>
      <c r="M318" s="8">
        <f>IF(ISNA(MATCH(305,Engine!$C$2:$C$630,0)),"",INDEX('Compliance Database'!$M$2:$M$630,MATCH(305,Engine!$C$2:$C$630,0)))</f>
        <v/>
      </c>
      <c r="N318" s="8">
        <f>IF(ISNA(MATCH(305,Engine!$C$2:$C$630,0)),"",INDEX('Compliance Database'!$N$2:$N$630,MATCH(305,Engine!$C$2:$C$630,0)))</f>
        <v/>
      </c>
      <c r="O318" s="8">
        <f>IF(ISNA(MATCH(305,Engine!$C$2:$C$630,0)),"",INDEX('Compliance Database'!$O$2:$O$630,MATCH(305,Engine!$C$2:$C$630,0)))</f>
        <v/>
      </c>
    </row>
    <row r="319">
      <c r="A319">
        <f>IF(ISNA(MATCH(306,Engine!$C$2:$C$630,0)),"",INDEX('Compliance Database'!$A$2:$A$630,MATCH(306,Engine!$C$2:$C$630,0)))</f>
        <v/>
      </c>
      <c r="B319">
        <f>IF(ISNA(MATCH(306,Engine!$C$2:$C$630,0)),"",INDEX('Compliance Database'!$B$2:$B$630,MATCH(306,Engine!$C$2:$C$630,0)))</f>
        <v/>
      </c>
      <c r="C319">
        <f>IF(ISNA(MATCH(306,Engine!$C$2:$C$630,0)),"",INDEX('Compliance Database'!$C$2:$C$630,MATCH(306,Engine!$C$2:$C$630,0)))</f>
        <v/>
      </c>
      <c r="D319" s="8">
        <f>IF(ISNA(MATCH(306,Engine!$C$2:$C$630,0)),"",INDEX('Compliance Database'!$D$2:$D$630,MATCH(306,Engine!$C$2:$C$630,0)))</f>
        <v/>
      </c>
      <c r="E319">
        <f>IF(ISNA(MATCH(306,Engine!$C$2:$C$630,0)),"",INDEX('Compliance Database'!$E$2:$E$630,MATCH(306,Engine!$C$2:$C$630,0)))</f>
        <v/>
      </c>
      <c r="F319">
        <f>IF(ISNA(MATCH(306,Engine!$C$2:$C$630,0)),"",INDEX('Compliance Database'!$F$2:$F$630,MATCH(306,Engine!$C$2:$C$630,0)))</f>
        <v/>
      </c>
      <c r="G319">
        <f>IF(ISNA(MATCH(306,Engine!$C$2:$C$630,0)),"",INDEX('Compliance Database'!$G$2:$G$630,MATCH(306,Engine!$C$2:$C$630,0)))</f>
        <v/>
      </c>
      <c r="H319">
        <f>IF(ISNA(MATCH(306,Engine!$C$2:$C$630,0)),"",INDEX('Compliance Database'!$H$2:$H$630,MATCH(306,Engine!$C$2:$C$630,0)))</f>
        <v/>
      </c>
      <c r="I319" s="8">
        <f>IF(ISNA(MATCH(306,Engine!$C$2:$C$630,0)),"",INDEX('Compliance Database'!$I$2:$I$630,MATCH(306,Engine!$C$2:$C$630,0)))</f>
        <v/>
      </c>
      <c r="J319" s="8">
        <f>IF(ISNA(MATCH(306,Engine!$C$2:$C$630,0)),"",INDEX('Compliance Database'!$J$2:$J$630,MATCH(306,Engine!$C$2:$C$630,0)))</f>
        <v/>
      </c>
      <c r="K319">
        <f>IF(ISNA(MATCH(306,Engine!$C$2:$C$630,0)),"",INDEX('Compliance Database'!$K$2:$K$630,MATCH(306,Engine!$C$2:$C$630,0)))</f>
        <v/>
      </c>
      <c r="L319" s="8">
        <f>IF(ISNA(MATCH(306,Engine!$C$2:$C$630,0)),"",INDEX('Compliance Database'!$L$2:$L$630,MATCH(306,Engine!$C$2:$C$630,0)))</f>
        <v/>
      </c>
      <c r="M319" s="8">
        <f>IF(ISNA(MATCH(306,Engine!$C$2:$C$630,0)),"",INDEX('Compliance Database'!$M$2:$M$630,MATCH(306,Engine!$C$2:$C$630,0)))</f>
        <v/>
      </c>
      <c r="N319" s="8">
        <f>IF(ISNA(MATCH(306,Engine!$C$2:$C$630,0)),"",INDEX('Compliance Database'!$N$2:$N$630,MATCH(306,Engine!$C$2:$C$630,0)))</f>
        <v/>
      </c>
      <c r="O319" s="8">
        <f>IF(ISNA(MATCH(306,Engine!$C$2:$C$630,0)),"",INDEX('Compliance Database'!$O$2:$O$630,MATCH(306,Engine!$C$2:$C$630,0)))</f>
        <v/>
      </c>
    </row>
    <row r="320">
      <c r="A320">
        <f>IF(ISNA(MATCH(307,Engine!$C$2:$C$630,0)),"",INDEX('Compliance Database'!$A$2:$A$630,MATCH(307,Engine!$C$2:$C$630,0)))</f>
        <v/>
      </c>
      <c r="B320">
        <f>IF(ISNA(MATCH(307,Engine!$C$2:$C$630,0)),"",INDEX('Compliance Database'!$B$2:$B$630,MATCH(307,Engine!$C$2:$C$630,0)))</f>
        <v/>
      </c>
      <c r="C320">
        <f>IF(ISNA(MATCH(307,Engine!$C$2:$C$630,0)),"",INDEX('Compliance Database'!$C$2:$C$630,MATCH(307,Engine!$C$2:$C$630,0)))</f>
        <v/>
      </c>
      <c r="D320" s="8">
        <f>IF(ISNA(MATCH(307,Engine!$C$2:$C$630,0)),"",INDEX('Compliance Database'!$D$2:$D$630,MATCH(307,Engine!$C$2:$C$630,0)))</f>
        <v/>
      </c>
      <c r="E320">
        <f>IF(ISNA(MATCH(307,Engine!$C$2:$C$630,0)),"",INDEX('Compliance Database'!$E$2:$E$630,MATCH(307,Engine!$C$2:$C$630,0)))</f>
        <v/>
      </c>
      <c r="F320">
        <f>IF(ISNA(MATCH(307,Engine!$C$2:$C$630,0)),"",INDEX('Compliance Database'!$F$2:$F$630,MATCH(307,Engine!$C$2:$C$630,0)))</f>
        <v/>
      </c>
      <c r="G320">
        <f>IF(ISNA(MATCH(307,Engine!$C$2:$C$630,0)),"",INDEX('Compliance Database'!$G$2:$G$630,MATCH(307,Engine!$C$2:$C$630,0)))</f>
        <v/>
      </c>
      <c r="H320">
        <f>IF(ISNA(MATCH(307,Engine!$C$2:$C$630,0)),"",INDEX('Compliance Database'!$H$2:$H$630,MATCH(307,Engine!$C$2:$C$630,0)))</f>
        <v/>
      </c>
      <c r="I320" s="8">
        <f>IF(ISNA(MATCH(307,Engine!$C$2:$C$630,0)),"",INDEX('Compliance Database'!$I$2:$I$630,MATCH(307,Engine!$C$2:$C$630,0)))</f>
        <v/>
      </c>
      <c r="J320" s="8">
        <f>IF(ISNA(MATCH(307,Engine!$C$2:$C$630,0)),"",INDEX('Compliance Database'!$J$2:$J$630,MATCH(307,Engine!$C$2:$C$630,0)))</f>
        <v/>
      </c>
      <c r="K320">
        <f>IF(ISNA(MATCH(307,Engine!$C$2:$C$630,0)),"",INDEX('Compliance Database'!$K$2:$K$630,MATCH(307,Engine!$C$2:$C$630,0)))</f>
        <v/>
      </c>
      <c r="L320" s="8">
        <f>IF(ISNA(MATCH(307,Engine!$C$2:$C$630,0)),"",INDEX('Compliance Database'!$L$2:$L$630,MATCH(307,Engine!$C$2:$C$630,0)))</f>
        <v/>
      </c>
      <c r="M320" s="8">
        <f>IF(ISNA(MATCH(307,Engine!$C$2:$C$630,0)),"",INDEX('Compliance Database'!$M$2:$M$630,MATCH(307,Engine!$C$2:$C$630,0)))</f>
        <v/>
      </c>
      <c r="N320" s="8">
        <f>IF(ISNA(MATCH(307,Engine!$C$2:$C$630,0)),"",INDEX('Compliance Database'!$N$2:$N$630,MATCH(307,Engine!$C$2:$C$630,0)))</f>
        <v/>
      </c>
      <c r="O320" s="8">
        <f>IF(ISNA(MATCH(307,Engine!$C$2:$C$630,0)),"",INDEX('Compliance Database'!$O$2:$O$630,MATCH(307,Engine!$C$2:$C$630,0)))</f>
        <v/>
      </c>
    </row>
    <row r="321">
      <c r="A321">
        <f>IF(ISNA(MATCH(308,Engine!$C$2:$C$630,0)),"",INDEX('Compliance Database'!$A$2:$A$630,MATCH(308,Engine!$C$2:$C$630,0)))</f>
        <v/>
      </c>
      <c r="B321">
        <f>IF(ISNA(MATCH(308,Engine!$C$2:$C$630,0)),"",INDEX('Compliance Database'!$B$2:$B$630,MATCH(308,Engine!$C$2:$C$630,0)))</f>
        <v/>
      </c>
      <c r="C321">
        <f>IF(ISNA(MATCH(308,Engine!$C$2:$C$630,0)),"",INDEX('Compliance Database'!$C$2:$C$630,MATCH(308,Engine!$C$2:$C$630,0)))</f>
        <v/>
      </c>
      <c r="D321" s="8">
        <f>IF(ISNA(MATCH(308,Engine!$C$2:$C$630,0)),"",INDEX('Compliance Database'!$D$2:$D$630,MATCH(308,Engine!$C$2:$C$630,0)))</f>
        <v/>
      </c>
      <c r="E321">
        <f>IF(ISNA(MATCH(308,Engine!$C$2:$C$630,0)),"",INDEX('Compliance Database'!$E$2:$E$630,MATCH(308,Engine!$C$2:$C$630,0)))</f>
        <v/>
      </c>
      <c r="F321">
        <f>IF(ISNA(MATCH(308,Engine!$C$2:$C$630,0)),"",INDEX('Compliance Database'!$F$2:$F$630,MATCH(308,Engine!$C$2:$C$630,0)))</f>
        <v/>
      </c>
      <c r="G321">
        <f>IF(ISNA(MATCH(308,Engine!$C$2:$C$630,0)),"",INDEX('Compliance Database'!$G$2:$G$630,MATCH(308,Engine!$C$2:$C$630,0)))</f>
        <v/>
      </c>
      <c r="H321">
        <f>IF(ISNA(MATCH(308,Engine!$C$2:$C$630,0)),"",INDEX('Compliance Database'!$H$2:$H$630,MATCH(308,Engine!$C$2:$C$630,0)))</f>
        <v/>
      </c>
      <c r="I321" s="8">
        <f>IF(ISNA(MATCH(308,Engine!$C$2:$C$630,0)),"",INDEX('Compliance Database'!$I$2:$I$630,MATCH(308,Engine!$C$2:$C$630,0)))</f>
        <v/>
      </c>
      <c r="J321" s="8">
        <f>IF(ISNA(MATCH(308,Engine!$C$2:$C$630,0)),"",INDEX('Compliance Database'!$J$2:$J$630,MATCH(308,Engine!$C$2:$C$630,0)))</f>
        <v/>
      </c>
      <c r="K321">
        <f>IF(ISNA(MATCH(308,Engine!$C$2:$C$630,0)),"",INDEX('Compliance Database'!$K$2:$K$630,MATCH(308,Engine!$C$2:$C$630,0)))</f>
        <v/>
      </c>
      <c r="L321" s="8">
        <f>IF(ISNA(MATCH(308,Engine!$C$2:$C$630,0)),"",INDEX('Compliance Database'!$L$2:$L$630,MATCH(308,Engine!$C$2:$C$630,0)))</f>
        <v/>
      </c>
      <c r="M321" s="8">
        <f>IF(ISNA(MATCH(308,Engine!$C$2:$C$630,0)),"",INDEX('Compliance Database'!$M$2:$M$630,MATCH(308,Engine!$C$2:$C$630,0)))</f>
        <v/>
      </c>
      <c r="N321" s="8">
        <f>IF(ISNA(MATCH(308,Engine!$C$2:$C$630,0)),"",INDEX('Compliance Database'!$N$2:$N$630,MATCH(308,Engine!$C$2:$C$630,0)))</f>
        <v/>
      </c>
      <c r="O321" s="8">
        <f>IF(ISNA(MATCH(308,Engine!$C$2:$C$630,0)),"",INDEX('Compliance Database'!$O$2:$O$630,MATCH(308,Engine!$C$2:$C$630,0)))</f>
        <v/>
      </c>
    </row>
    <row r="322">
      <c r="A322">
        <f>IF(ISNA(MATCH(309,Engine!$C$2:$C$630,0)),"",INDEX('Compliance Database'!$A$2:$A$630,MATCH(309,Engine!$C$2:$C$630,0)))</f>
        <v/>
      </c>
      <c r="B322">
        <f>IF(ISNA(MATCH(309,Engine!$C$2:$C$630,0)),"",INDEX('Compliance Database'!$B$2:$B$630,MATCH(309,Engine!$C$2:$C$630,0)))</f>
        <v/>
      </c>
      <c r="C322">
        <f>IF(ISNA(MATCH(309,Engine!$C$2:$C$630,0)),"",INDEX('Compliance Database'!$C$2:$C$630,MATCH(309,Engine!$C$2:$C$630,0)))</f>
        <v/>
      </c>
      <c r="D322" s="8">
        <f>IF(ISNA(MATCH(309,Engine!$C$2:$C$630,0)),"",INDEX('Compliance Database'!$D$2:$D$630,MATCH(309,Engine!$C$2:$C$630,0)))</f>
        <v/>
      </c>
      <c r="E322">
        <f>IF(ISNA(MATCH(309,Engine!$C$2:$C$630,0)),"",INDEX('Compliance Database'!$E$2:$E$630,MATCH(309,Engine!$C$2:$C$630,0)))</f>
        <v/>
      </c>
      <c r="F322">
        <f>IF(ISNA(MATCH(309,Engine!$C$2:$C$630,0)),"",INDEX('Compliance Database'!$F$2:$F$630,MATCH(309,Engine!$C$2:$C$630,0)))</f>
        <v/>
      </c>
      <c r="G322">
        <f>IF(ISNA(MATCH(309,Engine!$C$2:$C$630,0)),"",INDEX('Compliance Database'!$G$2:$G$630,MATCH(309,Engine!$C$2:$C$630,0)))</f>
        <v/>
      </c>
      <c r="H322">
        <f>IF(ISNA(MATCH(309,Engine!$C$2:$C$630,0)),"",INDEX('Compliance Database'!$H$2:$H$630,MATCH(309,Engine!$C$2:$C$630,0)))</f>
        <v/>
      </c>
      <c r="I322" s="8">
        <f>IF(ISNA(MATCH(309,Engine!$C$2:$C$630,0)),"",INDEX('Compliance Database'!$I$2:$I$630,MATCH(309,Engine!$C$2:$C$630,0)))</f>
        <v/>
      </c>
      <c r="J322" s="8">
        <f>IF(ISNA(MATCH(309,Engine!$C$2:$C$630,0)),"",INDEX('Compliance Database'!$J$2:$J$630,MATCH(309,Engine!$C$2:$C$630,0)))</f>
        <v/>
      </c>
      <c r="K322">
        <f>IF(ISNA(MATCH(309,Engine!$C$2:$C$630,0)),"",INDEX('Compliance Database'!$K$2:$K$630,MATCH(309,Engine!$C$2:$C$630,0)))</f>
        <v/>
      </c>
      <c r="L322" s="8">
        <f>IF(ISNA(MATCH(309,Engine!$C$2:$C$630,0)),"",INDEX('Compliance Database'!$L$2:$L$630,MATCH(309,Engine!$C$2:$C$630,0)))</f>
        <v/>
      </c>
      <c r="M322" s="8">
        <f>IF(ISNA(MATCH(309,Engine!$C$2:$C$630,0)),"",INDEX('Compliance Database'!$M$2:$M$630,MATCH(309,Engine!$C$2:$C$630,0)))</f>
        <v/>
      </c>
      <c r="N322" s="8">
        <f>IF(ISNA(MATCH(309,Engine!$C$2:$C$630,0)),"",INDEX('Compliance Database'!$N$2:$N$630,MATCH(309,Engine!$C$2:$C$630,0)))</f>
        <v/>
      </c>
      <c r="O322" s="8">
        <f>IF(ISNA(MATCH(309,Engine!$C$2:$C$630,0)),"",INDEX('Compliance Database'!$O$2:$O$630,MATCH(309,Engine!$C$2:$C$630,0)))</f>
        <v/>
      </c>
    </row>
    <row r="323">
      <c r="A323">
        <f>IF(ISNA(MATCH(310,Engine!$C$2:$C$630,0)),"",INDEX('Compliance Database'!$A$2:$A$630,MATCH(310,Engine!$C$2:$C$630,0)))</f>
        <v/>
      </c>
      <c r="B323">
        <f>IF(ISNA(MATCH(310,Engine!$C$2:$C$630,0)),"",INDEX('Compliance Database'!$B$2:$B$630,MATCH(310,Engine!$C$2:$C$630,0)))</f>
        <v/>
      </c>
      <c r="C323">
        <f>IF(ISNA(MATCH(310,Engine!$C$2:$C$630,0)),"",INDEX('Compliance Database'!$C$2:$C$630,MATCH(310,Engine!$C$2:$C$630,0)))</f>
        <v/>
      </c>
      <c r="D323" s="8">
        <f>IF(ISNA(MATCH(310,Engine!$C$2:$C$630,0)),"",INDEX('Compliance Database'!$D$2:$D$630,MATCH(310,Engine!$C$2:$C$630,0)))</f>
        <v/>
      </c>
      <c r="E323">
        <f>IF(ISNA(MATCH(310,Engine!$C$2:$C$630,0)),"",INDEX('Compliance Database'!$E$2:$E$630,MATCH(310,Engine!$C$2:$C$630,0)))</f>
        <v/>
      </c>
      <c r="F323">
        <f>IF(ISNA(MATCH(310,Engine!$C$2:$C$630,0)),"",INDEX('Compliance Database'!$F$2:$F$630,MATCH(310,Engine!$C$2:$C$630,0)))</f>
        <v/>
      </c>
      <c r="G323">
        <f>IF(ISNA(MATCH(310,Engine!$C$2:$C$630,0)),"",INDEX('Compliance Database'!$G$2:$G$630,MATCH(310,Engine!$C$2:$C$630,0)))</f>
        <v/>
      </c>
      <c r="H323">
        <f>IF(ISNA(MATCH(310,Engine!$C$2:$C$630,0)),"",INDEX('Compliance Database'!$H$2:$H$630,MATCH(310,Engine!$C$2:$C$630,0)))</f>
        <v/>
      </c>
      <c r="I323" s="8">
        <f>IF(ISNA(MATCH(310,Engine!$C$2:$C$630,0)),"",INDEX('Compliance Database'!$I$2:$I$630,MATCH(310,Engine!$C$2:$C$630,0)))</f>
        <v/>
      </c>
      <c r="J323" s="8">
        <f>IF(ISNA(MATCH(310,Engine!$C$2:$C$630,0)),"",INDEX('Compliance Database'!$J$2:$J$630,MATCH(310,Engine!$C$2:$C$630,0)))</f>
        <v/>
      </c>
      <c r="K323">
        <f>IF(ISNA(MATCH(310,Engine!$C$2:$C$630,0)),"",INDEX('Compliance Database'!$K$2:$K$630,MATCH(310,Engine!$C$2:$C$630,0)))</f>
        <v/>
      </c>
      <c r="L323" s="8">
        <f>IF(ISNA(MATCH(310,Engine!$C$2:$C$630,0)),"",INDEX('Compliance Database'!$L$2:$L$630,MATCH(310,Engine!$C$2:$C$630,0)))</f>
        <v/>
      </c>
      <c r="M323" s="8">
        <f>IF(ISNA(MATCH(310,Engine!$C$2:$C$630,0)),"",INDEX('Compliance Database'!$M$2:$M$630,MATCH(310,Engine!$C$2:$C$630,0)))</f>
        <v/>
      </c>
      <c r="N323" s="8">
        <f>IF(ISNA(MATCH(310,Engine!$C$2:$C$630,0)),"",INDEX('Compliance Database'!$N$2:$N$630,MATCH(310,Engine!$C$2:$C$630,0)))</f>
        <v/>
      </c>
      <c r="O323" s="8">
        <f>IF(ISNA(MATCH(310,Engine!$C$2:$C$630,0)),"",INDEX('Compliance Database'!$O$2:$O$630,MATCH(310,Engine!$C$2:$C$630,0)))</f>
        <v/>
      </c>
    </row>
    <row r="324">
      <c r="A324">
        <f>IF(ISNA(MATCH(311,Engine!$C$2:$C$630,0)),"",INDEX('Compliance Database'!$A$2:$A$630,MATCH(311,Engine!$C$2:$C$630,0)))</f>
        <v/>
      </c>
      <c r="B324">
        <f>IF(ISNA(MATCH(311,Engine!$C$2:$C$630,0)),"",INDEX('Compliance Database'!$B$2:$B$630,MATCH(311,Engine!$C$2:$C$630,0)))</f>
        <v/>
      </c>
      <c r="C324">
        <f>IF(ISNA(MATCH(311,Engine!$C$2:$C$630,0)),"",INDEX('Compliance Database'!$C$2:$C$630,MATCH(311,Engine!$C$2:$C$630,0)))</f>
        <v/>
      </c>
      <c r="D324" s="8">
        <f>IF(ISNA(MATCH(311,Engine!$C$2:$C$630,0)),"",INDEX('Compliance Database'!$D$2:$D$630,MATCH(311,Engine!$C$2:$C$630,0)))</f>
        <v/>
      </c>
      <c r="E324">
        <f>IF(ISNA(MATCH(311,Engine!$C$2:$C$630,0)),"",INDEX('Compliance Database'!$E$2:$E$630,MATCH(311,Engine!$C$2:$C$630,0)))</f>
        <v/>
      </c>
      <c r="F324">
        <f>IF(ISNA(MATCH(311,Engine!$C$2:$C$630,0)),"",INDEX('Compliance Database'!$F$2:$F$630,MATCH(311,Engine!$C$2:$C$630,0)))</f>
        <v/>
      </c>
      <c r="G324">
        <f>IF(ISNA(MATCH(311,Engine!$C$2:$C$630,0)),"",INDEX('Compliance Database'!$G$2:$G$630,MATCH(311,Engine!$C$2:$C$630,0)))</f>
        <v/>
      </c>
      <c r="H324">
        <f>IF(ISNA(MATCH(311,Engine!$C$2:$C$630,0)),"",INDEX('Compliance Database'!$H$2:$H$630,MATCH(311,Engine!$C$2:$C$630,0)))</f>
        <v/>
      </c>
      <c r="I324" s="8">
        <f>IF(ISNA(MATCH(311,Engine!$C$2:$C$630,0)),"",INDEX('Compliance Database'!$I$2:$I$630,MATCH(311,Engine!$C$2:$C$630,0)))</f>
        <v/>
      </c>
      <c r="J324" s="8">
        <f>IF(ISNA(MATCH(311,Engine!$C$2:$C$630,0)),"",INDEX('Compliance Database'!$J$2:$J$630,MATCH(311,Engine!$C$2:$C$630,0)))</f>
        <v/>
      </c>
      <c r="K324">
        <f>IF(ISNA(MATCH(311,Engine!$C$2:$C$630,0)),"",INDEX('Compliance Database'!$K$2:$K$630,MATCH(311,Engine!$C$2:$C$630,0)))</f>
        <v/>
      </c>
      <c r="L324" s="8">
        <f>IF(ISNA(MATCH(311,Engine!$C$2:$C$630,0)),"",INDEX('Compliance Database'!$L$2:$L$630,MATCH(311,Engine!$C$2:$C$630,0)))</f>
        <v/>
      </c>
      <c r="M324" s="8">
        <f>IF(ISNA(MATCH(311,Engine!$C$2:$C$630,0)),"",INDEX('Compliance Database'!$M$2:$M$630,MATCH(311,Engine!$C$2:$C$630,0)))</f>
        <v/>
      </c>
      <c r="N324" s="8">
        <f>IF(ISNA(MATCH(311,Engine!$C$2:$C$630,0)),"",INDEX('Compliance Database'!$N$2:$N$630,MATCH(311,Engine!$C$2:$C$630,0)))</f>
        <v/>
      </c>
      <c r="O324" s="8">
        <f>IF(ISNA(MATCH(311,Engine!$C$2:$C$630,0)),"",INDEX('Compliance Database'!$O$2:$O$630,MATCH(311,Engine!$C$2:$C$630,0)))</f>
        <v/>
      </c>
    </row>
    <row r="325">
      <c r="A325">
        <f>IF(ISNA(MATCH(312,Engine!$C$2:$C$630,0)),"",INDEX('Compliance Database'!$A$2:$A$630,MATCH(312,Engine!$C$2:$C$630,0)))</f>
        <v/>
      </c>
      <c r="B325">
        <f>IF(ISNA(MATCH(312,Engine!$C$2:$C$630,0)),"",INDEX('Compliance Database'!$B$2:$B$630,MATCH(312,Engine!$C$2:$C$630,0)))</f>
        <v/>
      </c>
      <c r="C325">
        <f>IF(ISNA(MATCH(312,Engine!$C$2:$C$630,0)),"",INDEX('Compliance Database'!$C$2:$C$630,MATCH(312,Engine!$C$2:$C$630,0)))</f>
        <v/>
      </c>
      <c r="D325" s="8">
        <f>IF(ISNA(MATCH(312,Engine!$C$2:$C$630,0)),"",INDEX('Compliance Database'!$D$2:$D$630,MATCH(312,Engine!$C$2:$C$630,0)))</f>
        <v/>
      </c>
      <c r="E325">
        <f>IF(ISNA(MATCH(312,Engine!$C$2:$C$630,0)),"",INDEX('Compliance Database'!$E$2:$E$630,MATCH(312,Engine!$C$2:$C$630,0)))</f>
        <v/>
      </c>
      <c r="F325">
        <f>IF(ISNA(MATCH(312,Engine!$C$2:$C$630,0)),"",INDEX('Compliance Database'!$F$2:$F$630,MATCH(312,Engine!$C$2:$C$630,0)))</f>
        <v/>
      </c>
      <c r="G325">
        <f>IF(ISNA(MATCH(312,Engine!$C$2:$C$630,0)),"",INDEX('Compliance Database'!$G$2:$G$630,MATCH(312,Engine!$C$2:$C$630,0)))</f>
        <v/>
      </c>
      <c r="H325">
        <f>IF(ISNA(MATCH(312,Engine!$C$2:$C$630,0)),"",INDEX('Compliance Database'!$H$2:$H$630,MATCH(312,Engine!$C$2:$C$630,0)))</f>
        <v/>
      </c>
      <c r="I325" s="8">
        <f>IF(ISNA(MATCH(312,Engine!$C$2:$C$630,0)),"",INDEX('Compliance Database'!$I$2:$I$630,MATCH(312,Engine!$C$2:$C$630,0)))</f>
        <v/>
      </c>
      <c r="J325" s="8">
        <f>IF(ISNA(MATCH(312,Engine!$C$2:$C$630,0)),"",INDEX('Compliance Database'!$J$2:$J$630,MATCH(312,Engine!$C$2:$C$630,0)))</f>
        <v/>
      </c>
      <c r="K325">
        <f>IF(ISNA(MATCH(312,Engine!$C$2:$C$630,0)),"",INDEX('Compliance Database'!$K$2:$K$630,MATCH(312,Engine!$C$2:$C$630,0)))</f>
        <v/>
      </c>
      <c r="L325" s="8">
        <f>IF(ISNA(MATCH(312,Engine!$C$2:$C$630,0)),"",INDEX('Compliance Database'!$L$2:$L$630,MATCH(312,Engine!$C$2:$C$630,0)))</f>
        <v/>
      </c>
      <c r="M325" s="8">
        <f>IF(ISNA(MATCH(312,Engine!$C$2:$C$630,0)),"",INDEX('Compliance Database'!$M$2:$M$630,MATCH(312,Engine!$C$2:$C$630,0)))</f>
        <v/>
      </c>
      <c r="N325" s="8">
        <f>IF(ISNA(MATCH(312,Engine!$C$2:$C$630,0)),"",INDEX('Compliance Database'!$N$2:$N$630,MATCH(312,Engine!$C$2:$C$630,0)))</f>
        <v/>
      </c>
      <c r="O325" s="8">
        <f>IF(ISNA(MATCH(312,Engine!$C$2:$C$630,0)),"",INDEX('Compliance Database'!$O$2:$O$630,MATCH(312,Engine!$C$2:$C$630,0)))</f>
        <v/>
      </c>
    </row>
    <row r="326">
      <c r="A326">
        <f>IF(ISNA(MATCH(313,Engine!$C$2:$C$630,0)),"",INDEX('Compliance Database'!$A$2:$A$630,MATCH(313,Engine!$C$2:$C$630,0)))</f>
        <v/>
      </c>
      <c r="B326">
        <f>IF(ISNA(MATCH(313,Engine!$C$2:$C$630,0)),"",INDEX('Compliance Database'!$B$2:$B$630,MATCH(313,Engine!$C$2:$C$630,0)))</f>
        <v/>
      </c>
      <c r="C326">
        <f>IF(ISNA(MATCH(313,Engine!$C$2:$C$630,0)),"",INDEX('Compliance Database'!$C$2:$C$630,MATCH(313,Engine!$C$2:$C$630,0)))</f>
        <v/>
      </c>
      <c r="D326" s="8">
        <f>IF(ISNA(MATCH(313,Engine!$C$2:$C$630,0)),"",INDEX('Compliance Database'!$D$2:$D$630,MATCH(313,Engine!$C$2:$C$630,0)))</f>
        <v/>
      </c>
      <c r="E326">
        <f>IF(ISNA(MATCH(313,Engine!$C$2:$C$630,0)),"",INDEX('Compliance Database'!$E$2:$E$630,MATCH(313,Engine!$C$2:$C$630,0)))</f>
        <v/>
      </c>
      <c r="F326">
        <f>IF(ISNA(MATCH(313,Engine!$C$2:$C$630,0)),"",INDEX('Compliance Database'!$F$2:$F$630,MATCH(313,Engine!$C$2:$C$630,0)))</f>
        <v/>
      </c>
      <c r="G326">
        <f>IF(ISNA(MATCH(313,Engine!$C$2:$C$630,0)),"",INDEX('Compliance Database'!$G$2:$G$630,MATCH(313,Engine!$C$2:$C$630,0)))</f>
        <v/>
      </c>
      <c r="H326">
        <f>IF(ISNA(MATCH(313,Engine!$C$2:$C$630,0)),"",INDEX('Compliance Database'!$H$2:$H$630,MATCH(313,Engine!$C$2:$C$630,0)))</f>
        <v/>
      </c>
      <c r="I326" s="8">
        <f>IF(ISNA(MATCH(313,Engine!$C$2:$C$630,0)),"",INDEX('Compliance Database'!$I$2:$I$630,MATCH(313,Engine!$C$2:$C$630,0)))</f>
        <v/>
      </c>
      <c r="J326" s="8">
        <f>IF(ISNA(MATCH(313,Engine!$C$2:$C$630,0)),"",INDEX('Compliance Database'!$J$2:$J$630,MATCH(313,Engine!$C$2:$C$630,0)))</f>
        <v/>
      </c>
      <c r="K326">
        <f>IF(ISNA(MATCH(313,Engine!$C$2:$C$630,0)),"",INDEX('Compliance Database'!$K$2:$K$630,MATCH(313,Engine!$C$2:$C$630,0)))</f>
        <v/>
      </c>
      <c r="L326" s="8">
        <f>IF(ISNA(MATCH(313,Engine!$C$2:$C$630,0)),"",INDEX('Compliance Database'!$L$2:$L$630,MATCH(313,Engine!$C$2:$C$630,0)))</f>
        <v/>
      </c>
      <c r="M326" s="8">
        <f>IF(ISNA(MATCH(313,Engine!$C$2:$C$630,0)),"",INDEX('Compliance Database'!$M$2:$M$630,MATCH(313,Engine!$C$2:$C$630,0)))</f>
        <v/>
      </c>
      <c r="N326" s="8">
        <f>IF(ISNA(MATCH(313,Engine!$C$2:$C$630,0)),"",INDEX('Compliance Database'!$N$2:$N$630,MATCH(313,Engine!$C$2:$C$630,0)))</f>
        <v/>
      </c>
      <c r="O326" s="8">
        <f>IF(ISNA(MATCH(313,Engine!$C$2:$C$630,0)),"",INDEX('Compliance Database'!$O$2:$O$630,MATCH(313,Engine!$C$2:$C$630,0)))</f>
        <v/>
      </c>
    </row>
    <row r="327">
      <c r="A327">
        <f>IF(ISNA(MATCH(314,Engine!$C$2:$C$630,0)),"",INDEX('Compliance Database'!$A$2:$A$630,MATCH(314,Engine!$C$2:$C$630,0)))</f>
        <v/>
      </c>
      <c r="B327">
        <f>IF(ISNA(MATCH(314,Engine!$C$2:$C$630,0)),"",INDEX('Compliance Database'!$B$2:$B$630,MATCH(314,Engine!$C$2:$C$630,0)))</f>
        <v/>
      </c>
      <c r="C327">
        <f>IF(ISNA(MATCH(314,Engine!$C$2:$C$630,0)),"",INDEX('Compliance Database'!$C$2:$C$630,MATCH(314,Engine!$C$2:$C$630,0)))</f>
        <v/>
      </c>
      <c r="D327" s="8">
        <f>IF(ISNA(MATCH(314,Engine!$C$2:$C$630,0)),"",INDEX('Compliance Database'!$D$2:$D$630,MATCH(314,Engine!$C$2:$C$630,0)))</f>
        <v/>
      </c>
      <c r="E327">
        <f>IF(ISNA(MATCH(314,Engine!$C$2:$C$630,0)),"",INDEX('Compliance Database'!$E$2:$E$630,MATCH(314,Engine!$C$2:$C$630,0)))</f>
        <v/>
      </c>
      <c r="F327">
        <f>IF(ISNA(MATCH(314,Engine!$C$2:$C$630,0)),"",INDEX('Compliance Database'!$F$2:$F$630,MATCH(314,Engine!$C$2:$C$630,0)))</f>
        <v/>
      </c>
      <c r="G327">
        <f>IF(ISNA(MATCH(314,Engine!$C$2:$C$630,0)),"",INDEX('Compliance Database'!$G$2:$G$630,MATCH(314,Engine!$C$2:$C$630,0)))</f>
        <v/>
      </c>
      <c r="H327">
        <f>IF(ISNA(MATCH(314,Engine!$C$2:$C$630,0)),"",INDEX('Compliance Database'!$H$2:$H$630,MATCH(314,Engine!$C$2:$C$630,0)))</f>
        <v/>
      </c>
      <c r="I327" s="8">
        <f>IF(ISNA(MATCH(314,Engine!$C$2:$C$630,0)),"",INDEX('Compliance Database'!$I$2:$I$630,MATCH(314,Engine!$C$2:$C$630,0)))</f>
        <v/>
      </c>
      <c r="J327" s="8">
        <f>IF(ISNA(MATCH(314,Engine!$C$2:$C$630,0)),"",INDEX('Compliance Database'!$J$2:$J$630,MATCH(314,Engine!$C$2:$C$630,0)))</f>
        <v/>
      </c>
      <c r="K327">
        <f>IF(ISNA(MATCH(314,Engine!$C$2:$C$630,0)),"",INDEX('Compliance Database'!$K$2:$K$630,MATCH(314,Engine!$C$2:$C$630,0)))</f>
        <v/>
      </c>
      <c r="L327" s="8">
        <f>IF(ISNA(MATCH(314,Engine!$C$2:$C$630,0)),"",INDEX('Compliance Database'!$L$2:$L$630,MATCH(314,Engine!$C$2:$C$630,0)))</f>
        <v/>
      </c>
      <c r="M327" s="8">
        <f>IF(ISNA(MATCH(314,Engine!$C$2:$C$630,0)),"",INDEX('Compliance Database'!$M$2:$M$630,MATCH(314,Engine!$C$2:$C$630,0)))</f>
        <v/>
      </c>
      <c r="N327" s="8">
        <f>IF(ISNA(MATCH(314,Engine!$C$2:$C$630,0)),"",INDEX('Compliance Database'!$N$2:$N$630,MATCH(314,Engine!$C$2:$C$630,0)))</f>
        <v/>
      </c>
      <c r="O327" s="8">
        <f>IF(ISNA(MATCH(314,Engine!$C$2:$C$630,0)),"",INDEX('Compliance Database'!$O$2:$O$630,MATCH(314,Engine!$C$2:$C$630,0)))</f>
        <v/>
      </c>
    </row>
    <row r="328">
      <c r="A328">
        <f>IF(ISNA(MATCH(315,Engine!$C$2:$C$630,0)),"",INDEX('Compliance Database'!$A$2:$A$630,MATCH(315,Engine!$C$2:$C$630,0)))</f>
        <v/>
      </c>
      <c r="B328">
        <f>IF(ISNA(MATCH(315,Engine!$C$2:$C$630,0)),"",INDEX('Compliance Database'!$B$2:$B$630,MATCH(315,Engine!$C$2:$C$630,0)))</f>
        <v/>
      </c>
      <c r="C328">
        <f>IF(ISNA(MATCH(315,Engine!$C$2:$C$630,0)),"",INDEX('Compliance Database'!$C$2:$C$630,MATCH(315,Engine!$C$2:$C$630,0)))</f>
        <v/>
      </c>
      <c r="D328" s="8">
        <f>IF(ISNA(MATCH(315,Engine!$C$2:$C$630,0)),"",INDEX('Compliance Database'!$D$2:$D$630,MATCH(315,Engine!$C$2:$C$630,0)))</f>
        <v/>
      </c>
      <c r="E328">
        <f>IF(ISNA(MATCH(315,Engine!$C$2:$C$630,0)),"",INDEX('Compliance Database'!$E$2:$E$630,MATCH(315,Engine!$C$2:$C$630,0)))</f>
        <v/>
      </c>
      <c r="F328">
        <f>IF(ISNA(MATCH(315,Engine!$C$2:$C$630,0)),"",INDEX('Compliance Database'!$F$2:$F$630,MATCH(315,Engine!$C$2:$C$630,0)))</f>
        <v/>
      </c>
      <c r="G328">
        <f>IF(ISNA(MATCH(315,Engine!$C$2:$C$630,0)),"",INDEX('Compliance Database'!$G$2:$G$630,MATCH(315,Engine!$C$2:$C$630,0)))</f>
        <v/>
      </c>
      <c r="H328">
        <f>IF(ISNA(MATCH(315,Engine!$C$2:$C$630,0)),"",INDEX('Compliance Database'!$H$2:$H$630,MATCH(315,Engine!$C$2:$C$630,0)))</f>
        <v/>
      </c>
      <c r="I328" s="8">
        <f>IF(ISNA(MATCH(315,Engine!$C$2:$C$630,0)),"",INDEX('Compliance Database'!$I$2:$I$630,MATCH(315,Engine!$C$2:$C$630,0)))</f>
        <v/>
      </c>
      <c r="J328" s="8">
        <f>IF(ISNA(MATCH(315,Engine!$C$2:$C$630,0)),"",INDEX('Compliance Database'!$J$2:$J$630,MATCH(315,Engine!$C$2:$C$630,0)))</f>
        <v/>
      </c>
      <c r="K328">
        <f>IF(ISNA(MATCH(315,Engine!$C$2:$C$630,0)),"",INDEX('Compliance Database'!$K$2:$K$630,MATCH(315,Engine!$C$2:$C$630,0)))</f>
        <v/>
      </c>
      <c r="L328" s="8">
        <f>IF(ISNA(MATCH(315,Engine!$C$2:$C$630,0)),"",INDEX('Compliance Database'!$L$2:$L$630,MATCH(315,Engine!$C$2:$C$630,0)))</f>
        <v/>
      </c>
      <c r="M328" s="8">
        <f>IF(ISNA(MATCH(315,Engine!$C$2:$C$630,0)),"",INDEX('Compliance Database'!$M$2:$M$630,MATCH(315,Engine!$C$2:$C$630,0)))</f>
        <v/>
      </c>
      <c r="N328" s="8">
        <f>IF(ISNA(MATCH(315,Engine!$C$2:$C$630,0)),"",INDEX('Compliance Database'!$N$2:$N$630,MATCH(315,Engine!$C$2:$C$630,0)))</f>
        <v/>
      </c>
      <c r="O328" s="8">
        <f>IF(ISNA(MATCH(315,Engine!$C$2:$C$630,0)),"",INDEX('Compliance Database'!$O$2:$O$630,MATCH(315,Engine!$C$2:$C$630,0)))</f>
        <v/>
      </c>
    </row>
    <row r="329">
      <c r="A329">
        <f>IF(ISNA(MATCH(316,Engine!$C$2:$C$630,0)),"",INDEX('Compliance Database'!$A$2:$A$630,MATCH(316,Engine!$C$2:$C$630,0)))</f>
        <v/>
      </c>
      <c r="B329">
        <f>IF(ISNA(MATCH(316,Engine!$C$2:$C$630,0)),"",INDEX('Compliance Database'!$B$2:$B$630,MATCH(316,Engine!$C$2:$C$630,0)))</f>
        <v/>
      </c>
      <c r="C329">
        <f>IF(ISNA(MATCH(316,Engine!$C$2:$C$630,0)),"",INDEX('Compliance Database'!$C$2:$C$630,MATCH(316,Engine!$C$2:$C$630,0)))</f>
        <v/>
      </c>
      <c r="D329" s="8">
        <f>IF(ISNA(MATCH(316,Engine!$C$2:$C$630,0)),"",INDEX('Compliance Database'!$D$2:$D$630,MATCH(316,Engine!$C$2:$C$630,0)))</f>
        <v/>
      </c>
      <c r="E329">
        <f>IF(ISNA(MATCH(316,Engine!$C$2:$C$630,0)),"",INDEX('Compliance Database'!$E$2:$E$630,MATCH(316,Engine!$C$2:$C$630,0)))</f>
        <v/>
      </c>
      <c r="F329">
        <f>IF(ISNA(MATCH(316,Engine!$C$2:$C$630,0)),"",INDEX('Compliance Database'!$F$2:$F$630,MATCH(316,Engine!$C$2:$C$630,0)))</f>
        <v/>
      </c>
      <c r="G329">
        <f>IF(ISNA(MATCH(316,Engine!$C$2:$C$630,0)),"",INDEX('Compliance Database'!$G$2:$G$630,MATCH(316,Engine!$C$2:$C$630,0)))</f>
        <v/>
      </c>
      <c r="H329">
        <f>IF(ISNA(MATCH(316,Engine!$C$2:$C$630,0)),"",INDEX('Compliance Database'!$H$2:$H$630,MATCH(316,Engine!$C$2:$C$630,0)))</f>
        <v/>
      </c>
      <c r="I329" s="8">
        <f>IF(ISNA(MATCH(316,Engine!$C$2:$C$630,0)),"",INDEX('Compliance Database'!$I$2:$I$630,MATCH(316,Engine!$C$2:$C$630,0)))</f>
        <v/>
      </c>
      <c r="J329" s="8">
        <f>IF(ISNA(MATCH(316,Engine!$C$2:$C$630,0)),"",INDEX('Compliance Database'!$J$2:$J$630,MATCH(316,Engine!$C$2:$C$630,0)))</f>
        <v/>
      </c>
      <c r="K329">
        <f>IF(ISNA(MATCH(316,Engine!$C$2:$C$630,0)),"",INDEX('Compliance Database'!$K$2:$K$630,MATCH(316,Engine!$C$2:$C$630,0)))</f>
        <v/>
      </c>
      <c r="L329" s="8">
        <f>IF(ISNA(MATCH(316,Engine!$C$2:$C$630,0)),"",INDEX('Compliance Database'!$L$2:$L$630,MATCH(316,Engine!$C$2:$C$630,0)))</f>
        <v/>
      </c>
      <c r="M329" s="8">
        <f>IF(ISNA(MATCH(316,Engine!$C$2:$C$630,0)),"",INDEX('Compliance Database'!$M$2:$M$630,MATCH(316,Engine!$C$2:$C$630,0)))</f>
        <v/>
      </c>
      <c r="N329" s="8">
        <f>IF(ISNA(MATCH(316,Engine!$C$2:$C$630,0)),"",INDEX('Compliance Database'!$N$2:$N$630,MATCH(316,Engine!$C$2:$C$630,0)))</f>
        <v/>
      </c>
      <c r="O329" s="8">
        <f>IF(ISNA(MATCH(316,Engine!$C$2:$C$630,0)),"",INDEX('Compliance Database'!$O$2:$O$630,MATCH(316,Engine!$C$2:$C$630,0)))</f>
        <v/>
      </c>
    </row>
    <row r="330">
      <c r="A330">
        <f>IF(ISNA(MATCH(317,Engine!$C$2:$C$630,0)),"",INDEX('Compliance Database'!$A$2:$A$630,MATCH(317,Engine!$C$2:$C$630,0)))</f>
        <v/>
      </c>
      <c r="B330">
        <f>IF(ISNA(MATCH(317,Engine!$C$2:$C$630,0)),"",INDEX('Compliance Database'!$B$2:$B$630,MATCH(317,Engine!$C$2:$C$630,0)))</f>
        <v/>
      </c>
      <c r="C330">
        <f>IF(ISNA(MATCH(317,Engine!$C$2:$C$630,0)),"",INDEX('Compliance Database'!$C$2:$C$630,MATCH(317,Engine!$C$2:$C$630,0)))</f>
        <v/>
      </c>
      <c r="D330" s="8">
        <f>IF(ISNA(MATCH(317,Engine!$C$2:$C$630,0)),"",INDEX('Compliance Database'!$D$2:$D$630,MATCH(317,Engine!$C$2:$C$630,0)))</f>
        <v/>
      </c>
      <c r="E330">
        <f>IF(ISNA(MATCH(317,Engine!$C$2:$C$630,0)),"",INDEX('Compliance Database'!$E$2:$E$630,MATCH(317,Engine!$C$2:$C$630,0)))</f>
        <v/>
      </c>
      <c r="F330">
        <f>IF(ISNA(MATCH(317,Engine!$C$2:$C$630,0)),"",INDEX('Compliance Database'!$F$2:$F$630,MATCH(317,Engine!$C$2:$C$630,0)))</f>
        <v/>
      </c>
      <c r="G330">
        <f>IF(ISNA(MATCH(317,Engine!$C$2:$C$630,0)),"",INDEX('Compliance Database'!$G$2:$G$630,MATCH(317,Engine!$C$2:$C$630,0)))</f>
        <v/>
      </c>
      <c r="H330">
        <f>IF(ISNA(MATCH(317,Engine!$C$2:$C$630,0)),"",INDEX('Compliance Database'!$H$2:$H$630,MATCH(317,Engine!$C$2:$C$630,0)))</f>
        <v/>
      </c>
      <c r="I330" s="8">
        <f>IF(ISNA(MATCH(317,Engine!$C$2:$C$630,0)),"",INDEX('Compliance Database'!$I$2:$I$630,MATCH(317,Engine!$C$2:$C$630,0)))</f>
        <v/>
      </c>
      <c r="J330" s="8">
        <f>IF(ISNA(MATCH(317,Engine!$C$2:$C$630,0)),"",INDEX('Compliance Database'!$J$2:$J$630,MATCH(317,Engine!$C$2:$C$630,0)))</f>
        <v/>
      </c>
      <c r="K330">
        <f>IF(ISNA(MATCH(317,Engine!$C$2:$C$630,0)),"",INDEX('Compliance Database'!$K$2:$K$630,MATCH(317,Engine!$C$2:$C$630,0)))</f>
        <v/>
      </c>
      <c r="L330" s="8">
        <f>IF(ISNA(MATCH(317,Engine!$C$2:$C$630,0)),"",INDEX('Compliance Database'!$L$2:$L$630,MATCH(317,Engine!$C$2:$C$630,0)))</f>
        <v/>
      </c>
      <c r="M330" s="8">
        <f>IF(ISNA(MATCH(317,Engine!$C$2:$C$630,0)),"",INDEX('Compliance Database'!$M$2:$M$630,MATCH(317,Engine!$C$2:$C$630,0)))</f>
        <v/>
      </c>
      <c r="N330" s="8">
        <f>IF(ISNA(MATCH(317,Engine!$C$2:$C$630,0)),"",INDEX('Compliance Database'!$N$2:$N$630,MATCH(317,Engine!$C$2:$C$630,0)))</f>
        <v/>
      </c>
      <c r="O330" s="8">
        <f>IF(ISNA(MATCH(317,Engine!$C$2:$C$630,0)),"",INDEX('Compliance Database'!$O$2:$O$630,MATCH(317,Engine!$C$2:$C$630,0)))</f>
        <v/>
      </c>
    </row>
    <row r="331">
      <c r="A331">
        <f>IF(ISNA(MATCH(318,Engine!$C$2:$C$630,0)),"",INDEX('Compliance Database'!$A$2:$A$630,MATCH(318,Engine!$C$2:$C$630,0)))</f>
        <v/>
      </c>
      <c r="B331">
        <f>IF(ISNA(MATCH(318,Engine!$C$2:$C$630,0)),"",INDEX('Compliance Database'!$B$2:$B$630,MATCH(318,Engine!$C$2:$C$630,0)))</f>
        <v/>
      </c>
      <c r="C331">
        <f>IF(ISNA(MATCH(318,Engine!$C$2:$C$630,0)),"",INDEX('Compliance Database'!$C$2:$C$630,MATCH(318,Engine!$C$2:$C$630,0)))</f>
        <v/>
      </c>
      <c r="D331" s="8">
        <f>IF(ISNA(MATCH(318,Engine!$C$2:$C$630,0)),"",INDEX('Compliance Database'!$D$2:$D$630,MATCH(318,Engine!$C$2:$C$630,0)))</f>
        <v/>
      </c>
      <c r="E331">
        <f>IF(ISNA(MATCH(318,Engine!$C$2:$C$630,0)),"",INDEX('Compliance Database'!$E$2:$E$630,MATCH(318,Engine!$C$2:$C$630,0)))</f>
        <v/>
      </c>
      <c r="F331">
        <f>IF(ISNA(MATCH(318,Engine!$C$2:$C$630,0)),"",INDEX('Compliance Database'!$F$2:$F$630,MATCH(318,Engine!$C$2:$C$630,0)))</f>
        <v/>
      </c>
      <c r="G331">
        <f>IF(ISNA(MATCH(318,Engine!$C$2:$C$630,0)),"",INDEX('Compliance Database'!$G$2:$G$630,MATCH(318,Engine!$C$2:$C$630,0)))</f>
        <v/>
      </c>
      <c r="H331">
        <f>IF(ISNA(MATCH(318,Engine!$C$2:$C$630,0)),"",INDEX('Compliance Database'!$H$2:$H$630,MATCH(318,Engine!$C$2:$C$630,0)))</f>
        <v/>
      </c>
      <c r="I331" s="8">
        <f>IF(ISNA(MATCH(318,Engine!$C$2:$C$630,0)),"",INDEX('Compliance Database'!$I$2:$I$630,MATCH(318,Engine!$C$2:$C$630,0)))</f>
        <v/>
      </c>
      <c r="J331" s="8">
        <f>IF(ISNA(MATCH(318,Engine!$C$2:$C$630,0)),"",INDEX('Compliance Database'!$J$2:$J$630,MATCH(318,Engine!$C$2:$C$630,0)))</f>
        <v/>
      </c>
      <c r="K331">
        <f>IF(ISNA(MATCH(318,Engine!$C$2:$C$630,0)),"",INDEX('Compliance Database'!$K$2:$K$630,MATCH(318,Engine!$C$2:$C$630,0)))</f>
        <v/>
      </c>
      <c r="L331" s="8">
        <f>IF(ISNA(MATCH(318,Engine!$C$2:$C$630,0)),"",INDEX('Compliance Database'!$L$2:$L$630,MATCH(318,Engine!$C$2:$C$630,0)))</f>
        <v/>
      </c>
      <c r="M331" s="8">
        <f>IF(ISNA(MATCH(318,Engine!$C$2:$C$630,0)),"",INDEX('Compliance Database'!$M$2:$M$630,MATCH(318,Engine!$C$2:$C$630,0)))</f>
        <v/>
      </c>
      <c r="N331" s="8">
        <f>IF(ISNA(MATCH(318,Engine!$C$2:$C$630,0)),"",INDEX('Compliance Database'!$N$2:$N$630,MATCH(318,Engine!$C$2:$C$630,0)))</f>
        <v/>
      </c>
      <c r="O331" s="8">
        <f>IF(ISNA(MATCH(318,Engine!$C$2:$C$630,0)),"",INDEX('Compliance Database'!$O$2:$O$630,MATCH(318,Engine!$C$2:$C$630,0)))</f>
        <v/>
      </c>
    </row>
    <row r="332">
      <c r="A332">
        <f>IF(ISNA(MATCH(319,Engine!$C$2:$C$630,0)),"",INDEX('Compliance Database'!$A$2:$A$630,MATCH(319,Engine!$C$2:$C$630,0)))</f>
        <v/>
      </c>
      <c r="B332">
        <f>IF(ISNA(MATCH(319,Engine!$C$2:$C$630,0)),"",INDEX('Compliance Database'!$B$2:$B$630,MATCH(319,Engine!$C$2:$C$630,0)))</f>
        <v/>
      </c>
      <c r="C332">
        <f>IF(ISNA(MATCH(319,Engine!$C$2:$C$630,0)),"",INDEX('Compliance Database'!$C$2:$C$630,MATCH(319,Engine!$C$2:$C$630,0)))</f>
        <v/>
      </c>
      <c r="D332" s="8">
        <f>IF(ISNA(MATCH(319,Engine!$C$2:$C$630,0)),"",INDEX('Compliance Database'!$D$2:$D$630,MATCH(319,Engine!$C$2:$C$630,0)))</f>
        <v/>
      </c>
      <c r="E332">
        <f>IF(ISNA(MATCH(319,Engine!$C$2:$C$630,0)),"",INDEX('Compliance Database'!$E$2:$E$630,MATCH(319,Engine!$C$2:$C$630,0)))</f>
        <v/>
      </c>
      <c r="F332">
        <f>IF(ISNA(MATCH(319,Engine!$C$2:$C$630,0)),"",INDEX('Compliance Database'!$F$2:$F$630,MATCH(319,Engine!$C$2:$C$630,0)))</f>
        <v/>
      </c>
      <c r="G332">
        <f>IF(ISNA(MATCH(319,Engine!$C$2:$C$630,0)),"",INDEX('Compliance Database'!$G$2:$G$630,MATCH(319,Engine!$C$2:$C$630,0)))</f>
        <v/>
      </c>
      <c r="H332">
        <f>IF(ISNA(MATCH(319,Engine!$C$2:$C$630,0)),"",INDEX('Compliance Database'!$H$2:$H$630,MATCH(319,Engine!$C$2:$C$630,0)))</f>
        <v/>
      </c>
      <c r="I332" s="8">
        <f>IF(ISNA(MATCH(319,Engine!$C$2:$C$630,0)),"",INDEX('Compliance Database'!$I$2:$I$630,MATCH(319,Engine!$C$2:$C$630,0)))</f>
        <v/>
      </c>
      <c r="J332" s="8">
        <f>IF(ISNA(MATCH(319,Engine!$C$2:$C$630,0)),"",INDEX('Compliance Database'!$J$2:$J$630,MATCH(319,Engine!$C$2:$C$630,0)))</f>
        <v/>
      </c>
      <c r="K332">
        <f>IF(ISNA(MATCH(319,Engine!$C$2:$C$630,0)),"",INDEX('Compliance Database'!$K$2:$K$630,MATCH(319,Engine!$C$2:$C$630,0)))</f>
        <v/>
      </c>
      <c r="L332" s="8">
        <f>IF(ISNA(MATCH(319,Engine!$C$2:$C$630,0)),"",INDEX('Compliance Database'!$L$2:$L$630,MATCH(319,Engine!$C$2:$C$630,0)))</f>
        <v/>
      </c>
      <c r="M332" s="8">
        <f>IF(ISNA(MATCH(319,Engine!$C$2:$C$630,0)),"",INDEX('Compliance Database'!$M$2:$M$630,MATCH(319,Engine!$C$2:$C$630,0)))</f>
        <v/>
      </c>
      <c r="N332" s="8">
        <f>IF(ISNA(MATCH(319,Engine!$C$2:$C$630,0)),"",INDEX('Compliance Database'!$N$2:$N$630,MATCH(319,Engine!$C$2:$C$630,0)))</f>
        <v/>
      </c>
      <c r="O332" s="8">
        <f>IF(ISNA(MATCH(319,Engine!$C$2:$C$630,0)),"",INDEX('Compliance Database'!$O$2:$O$630,MATCH(319,Engine!$C$2:$C$630,0)))</f>
        <v/>
      </c>
    </row>
    <row r="333">
      <c r="A333">
        <f>IF(ISNA(MATCH(320,Engine!$C$2:$C$630,0)),"",INDEX('Compliance Database'!$A$2:$A$630,MATCH(320,Engine!$C$2:$C$630,0)))</f>
        <v/>
      </c>
      <c r="B333">
        <f>IF(ISNA(MATCH(320,Engine!$C$2:$C$630,0)),"",INDEX('Compliance Database'!$B$2:$B$630,MATCH(320,Engine!$C$2:$C$630,0)))</f>
        <v/>
      </c>
      <c r="C333">
        <f>IF(ISNA(MATCH(320,Engine!$C$2:$C$630,0)),"",INDEX('Compliance Database'!$C$2:$C$630,MATCH(320,Engine!$C$2:$C$630,0)))</f>
        <v/>
      </c>
      <c r="D333" s="8">
        <f>IF(ISNA(MATCH(320,Engine!$C$2:$C$630,0)),"",INDEX('Compliance Database'!$D$2:$D$630,MATCH(320,Engine!$C$2:$C$630,0)))</f>
        <v/>
      </c>
      <c r="E333">
        <f>IF(ISNA(MATCH(320,Engine!$C$2:$C$630,0)),"",INDEX('Compliance Database'!$E$2:$E$630,MATCH(320,Engine!$C$2:$C$630,0)))</f>
        <v/>
      </c>
      <c r="F333">
        <f>IF(ISNA(MATCH(320,Engine!$C$2:$C$630,0)),"",INDEX('Compliance Database'!$F$2:$F$630,MATCH(320,Engine!$C$2:$C$630,0)))</f>
        <v/>
      </c>
      <c r="G333">
        <f>IF(ISNA(MATCH(320,Engine!$C$2:$C$630,0)),"",INDEX('Compliance Database'!$G$2:$G$630,MATCH(320,Engine!$C$2:$C$630,0)))</f>
        <v/>
      </c>
      <c r="H333">
        <f>IF(ISNA(MATCH(320,Engine!$C$2:$C$630,0)),"",INDEX('Compliance Database'!$H$2:$H$630,MATCH(320,Engine!$C$2:$C$630,0)))</f>
        <v/>
      </c>
      <c r="I333" s="8">
        <f>IF(ISNA(MATCH(320,Engine!$C$2:$C$630,0)),"",INDEX('Compliance Database'!$I$2:$I$630,MATCH(320,Engine!$C$2:$C$630,0)))</f>
        <v/>
      </c>
      <c r="J333" s="8">
        <f>IF(ISNA(MATCH(320,Engine!$C$2:$C$630,0)),"",INDEX('Compliance Database'!$J$2:$J$630,MATCH(320,Engine!$C$2:$C$630,0)))</f>
        <v/>
      </c>
      <c r="K333">
        <f>IF(ISNA(MATCH(320,Engine!$C$2:$C$630,0)),"",INDEX('Compliance Database'!$K$2:$K$630,MATCH(320,Engine!$C$2:$C$630,0)))</f>
        <v/>
      </c>
      <c r="L333" s="8">
        <f>IF(ISNA(MATCH(320,Engine!$C$2:$C$630,0)),"",INDEX('Compliance Database'!$L$2:$L$630,MATCH(320,Engine!$C$2:$C$630,0)))</f>
        <v/>
      </c>
      <c r="M333" s="8">
        <f>IF(ISNA(MATCH(320,Engine!$C$2:$C$630,0)),"",INDEX('Compliance Database'!$M$2:$M$630,MATCH(320,Engine!$C$2:$C$630,0)))</f>
        <v/>
      </c>
      <c r="N333" s="8">
        <f>IF(ISNA(MATCH(320,Engine!$C$2:$C$630,0)),"",INDEX('Compliance Database'!$N$2:$N$630,MATCH(320,Engine!$C$2:$C$630,0)))</f>
        <v/>
      </c>
      <c r="O333" s="8">
        <f>IF(ISNA(MATCH(320,Engine!$C$2:$C$630,0)),"",INDEX('Compliance Database'!$O$2:$O$630,MATCH(320,Engine!$C$2:$C$630,0)))</f>
        <v/>
      </c>
    </row>
    <row r="334">
      <c r="A334">
        <f>IF(ISNA(MATCH(321,Engine!$C$2:$C$630,0)),"",INDEX('Compliance Database'!$A$2:$A$630,MATCH(321,Engine!$C$2:$C$630,0)))</f>
        <v/>
      </c>
      <c r="B334">
        <f>IF(ISNA(MATCH(321,Engine!$C$2:$C$630,0)),"",INDEX('Compliance Database'!$B$2:$B$630,MATCH(321,Engine!$C$2:$C$630,0)))</f>
        <v/>
      </c>
      <c r="C334">
        <f>IF(ISNA(MATCH(321,Engine!$C$2:$C$630,0)),"",INDEX('Compliance Database'!$C$2:$C$630,MATCH(321,Engine!$C$2:$C$630,0)))</f>
        <v/>
      </c>
      <c r="D334" s="8">
        <f>IF(ISNA(MATCH(321,Engine!$C$2:$C$630,0)),"",INDEX('Compliance Database'!$D$2:$D$630,MATCH(321,Engine!$C$2:$C$630,0)))</f>
        <v/>
      </c>
      <c r="E334">
        <f>IF(ISNA(MATCH(321,Engine!$C$2:$C$630,0)),"",INDEX('Compliance Database'!$E$2:$E$630,MATCH(321,Engine!$C$2:$C$630,0)))</f>
        <v/>
      </c>
      <c r="F334">
        <f>IF(ISNA(MATCH(321,Engine!$C$2:$C$630,0)),"",INDEX('Compliance Database'!$F$2:$F$630,MATCH(321,Engine!$C$2:$C$630,0)))</f>
        <v/>
      </c>
      <c r="G334">
        <f>IF(ISNA(MATCH(321,Engine!$C$2:$C$630,0)),"",INDEX('Compliance Database'!$G$2:$G$630,MATCH(321,Engine!$C$2:$C$630,0)))</f>
        <v/>
      </c>
      <c r="H334">
        <f>IF(ISNA(MATCH(321,Engine!$C$2:$C$630,0)),"",INDEX('Compliance Database'!$H$2:$H$630,MATCH(321,Engine!$C$2:$C$630,0)))</f>
        <v/>
      </c>
      <c r="I334" s="8">
        <f>IF(ISNA(MATCH(321,Engine!$C$2:$C$630,0)),"",INDEX('Compliance Database'!$I$2:$I$630,MATCH(321,Engine!$C$2:$C$630,0)))</f>
        <v/>
      </c>
      <c r="J334" s="8">
        <f>IF(ISNA(MATCH(321,Engine!$C$2:$C$630,0)),"",INDEX('Compliance Database'!$J$2:$J$630,MATCH(321,Engine!$C$2:$C$630,0)))</f>
        <v/>
      </c>
      <c r="K334">
        <f>IF(ISNA(MATCH(321,Engine!$C$2:$C$630,0)),"",INDEX('Compliance Database'!$K$2:$K$630,MATCH(321,Engine!$C$2:$C$630,0)))</f>
        <v/>
      </c>
      <c r="L334" s="8">
        <f>IF(ISNA(MATCH(321,Engine!$C$2:$C$630,0)),"",INDEX('Compliance Database'!$L$2:$L$630,MATCH(321,Engine!$C$2:$C$630,0)))</f>
        <v/>
      </c>
      <c r="M334" s="8">
        <f>IF(ISNA(MATCH(321,Engine!$C$2:$C$630,0)),"",INDEX('Compliance Database'!$M$2:$M$630,MATCH(321,Engine!$C$2:$C$630,0)))</f>
        <v/>
      </c>
      <c r="N334" s="8">
        <f>IF(ISNA(MATCH(321,Engine!$C$2:$C$630,0)),"",INDEX('Compliance Database'!$N$2:$N$630,MATCH(321,Engine!$C$2:$C$630,0)))</f>
        <v/>
      </c>
      <c r="O334" s="8">
        <f>IF(ISNA(MATCH(321,Engine!$C$2:$C$630,0)),"",INDEX('Compliance Database'!$O$2:$O$630,MATCH(321,Engine!$C$2:$C$630,0)))</f>
        <v/>
      </c>
    </row>
    <row r="335">
      <c r="A335">
        <f>IF(ISNA(MATCH(322,Engine!$C$2:$C$630,0)),"",INDEX('Compliance Database'!$A$2:$A$630,MATCH(322,Engine!$C$2:$C$630,0)))</f>
        <v/>
      </c>
      <c r="B335">
        <f>IF(ISNA(MATCH(322,Engine!$C$2:$C$630,0)),"",INDEX('Compliance Database'!$B$2:$B$630,MATCH(322,Engine!$C$2:$C$630,0)))</f>
        <v/>
      </c>
      <c r="C335">
        <f>IF(ISNA(MATCH(322,Engine!$C$2:$C$630,0)),"",INDEX('Compliance Database'!$C$2:$C$630,MATCH(322,Engine!$C$2:$C$630,0)))</f>
        <v/>
      </c>
      <c r="D335" s="8">
        <f>IF(ISNA(MATCH(322,Engine!$C$2:$C$630,0)),"",INDEX('Compliance Database'!$D$2:$D$630,MATCH(322,Engine!$C$2:$C$630,0)))</f>
        <v/>
      </c>
      <c r="E335">
        <f>IF(ISNA(MATCH(322,Engine!$C$2:$C$630,0)),"",INDEX('Compliance Database'!$E$2:$E$630,MATCH(322,Engine!$C$2:$C$630,0)))</f>
        <v/>
      </c>
      <c r="F335">
        <f>IF(ISNA(MATCH(322,Engine!$C$2:$C$630,0)),"",INDEX('Compliance Database'!$F$2:$F$630,MATCH(322,Engine!$C$2:$C$630,0)))</f>
        <v/>
      </c>
      <c r="G335">
        <f>IF(ISNA(MATCH(322,Engine!$C$2:$C$630,0)),"",INDEX('Compliance Database'!$G$2:$G$630,MATCH(322,Engine!$C$2:$C$630,0)))</f>
        <v/>
      </c>
      <c r="H335">
        <f>IF(ISNA(MATCH(322,Engine!$C$2:$C$630,0)),"",INDEX('Compliance Database'!$H$2:$H$630,MATCH(322,Engine!$C$2:$C$630,0)))</f>
        <v/>
      </c>
      <c r="I335" s="8">
        <f>IF(ISNA(MATCH(322,Engine!$C$2:$C$630,0)),"",INDEX('Compliance Database'!$I$2:$I$630,MATCH(322,Engine!$C$2:$C$630,0)))</f>
        <v/>
      </c>
      <c r="J335" s="8">
        <f>IF(ISNA(MATCH(322,Engine!$C$2:$C$630,0)),"",INDEX('Compliance Database'!$J$2:$J$630,MATCH(322,Engine!$C$2:$C$630,0)))</f>
        <v/>
      </c>
      <c r="K335">
        <f>IF(ISNA(MATCH(322,Engine!$C$2:$C$630,0)),"",INDEX('Compliance Database'!$K$2:$K$630,MATCH(322,Engine!$C$2:$C$630,0)))</f>
        <v/>
      </c>
      <c r="L335" s="8">
        <f>IF(ISNA(MATCH(322,Engine!$C$2:$C$630,0)),"",INDEX('Compliance Database'!$L$2:$L$630,MATCH(322,Engine!$C$2:$C$630,0)))</f>
        <v/>
      </c>
      <c r="M335" s="8">
        <f>IF(ISNA(MATCH(322,Engine!$C$2:$C$630,0)),"",INDEX('Compliance Database'!$M$2:$M$630,MATCH(322,Engine!$C$2:$C$630,0)))</f>
        <v/>
      </c>
      <c r="N335" s="8">
        <f>IF(ISNA(MATCH(322,Engine!$C$2:$C$630,0)),"",INDEX('Compliance Database'!$N$2:$N$630,MATCH(322,Engine!$C$2:$C$630,0)))</f>
        <v/>
      </c>
      <c r="O335" s="8">
        <f>IF(ISNA(MATCH(322,Engine!$C$2:$C$630,0)),"",INDEX('Compliance Database'!$O$2:$O$630,MATCH(322,Engine!$C$2:$C$630,0)))</f>
        <v/>
      </c>
    </row>
    <row r="336">
      <c r="A336">
        <f>IF(ISNA(MATCH(323,Engine!$C$2:$C$630,0)),"",INDEX('Compliance Database'!$A$2:$A$630,MATCH(323,Engine!$C$2:$C$630,0)))</f>
        <v/>
      </c>
      <c r="B336">
        <f>IF(ISNA(MATCH(323,Engine!$C$2:$C$630,0)),"",INDEX('Compliance Database'!$B$2:$B$630,MATCH(323,Engine!$C$2:$C$630,0)))</f>
        <v/>
      </c>
      <c r="C336">
        <f>IF(ISNA(MATCH(323,Engine!$C$2:$C$630,0)),"",INDEX('Compliance Database'!$C$2:$C$630,MATCH(323,Engine!$C$2:$C$630,0)))</f>
        <v/>
      </c>
      <c r="D336" s="8">
        <f>IF(ISNA(MATCH(323,Engine!$C$2:$C$630,0)),"",INDEX('Compliance Database'!$D$2:$D$630,MATCH(323,Engine!$C$2:$C$630,0)))</f>
        <v/>
      </c>
      <c r="E336">
        <f>IF(ISNA(MATCH(323,Engine!$C$2:$C$630,0)),"",INDEX('Compliance Database'!$E$2:$E$630,MATCH(323,Engine!$C$2:$C$630,0)))</f>
        <v/>
      </c>
      <c r="F336">
        <f>IF(ISNA(MATCH(323,Engine!$C$2:$C$630,0)),"",INDEX('Compliance Database'!$F$2:$F$630,MATCH(323,Engine!$C$2:$C$630,0)))</f>
        <v/>
      </c>
      <c r="G336">
        <f>IF(ISNA(MATCH(323,Engine!$C$2:$C$630,0)),"",INDEX('Compliance Database'!$G$2:$G$630,MATCH(323,Engine!$C$2:$C$630,0)))</f>
        <v/>
      </c>
      <c r="H336">
        <f>IF(ISNA(MATCH(323,Engine!$C$2:$C$630,0)),"",INDEX('Compliance Database'!$H$2:$H$630,MATCH(323,Engine!$C$2:$C$630,0)))</f>
        <v/>
      </c>
      <c r="I336" s="8">
        <f>IF(ISNA(MATCH(323,Engine!$C$2:$C$630,0)),"",INDEX('Compliance Database'!$I$2:$I$630,MATCH(323,Engine!$C$2:$C$630,0)))</f>
        <v/>
      </c>
      <c r="J336" s="8">
        <f>IF(ISNA(MATCH(323,Engine!$C$2:$C$630,0)),"",INDEX('Compliance Database'!$J$2:$J$630,MATCH(323,Engine!$C$2:$C$630,0)))</f>
        <v/>
      </c>
      <c r="K336">
        <f>IF(ISNA(MATCH(323,Engine!$C$2:$C$630,0)),"",INDEX('Compliance Database'!$K$2:$K$630,MATCH(323,Engine!$C$2:$C$630,0)))</f>
        <v/>
      </c>
      <c r="L336" s="8">
        <f>IF(ISNA(MATCH(323,Engine!$C$2:$C$630,0)),"",INDEX('Compliance Database'!$L$2:$L$630,MATCH(323,Engine!$C$2:$C$630,0)))</f>
        <v/>
      </c>
      <c r="M336" s="8">
        <f>IF(ISNA(MATCH(323,Engine!$C$2:$C$630,0)),"",INDEX('Compliance Database'!$M$2:$M$630,MATCH(323,Engine!$C$2:$C$630,0)))</f>
        <v/>
      </c>
      <c r="N336" s="8">
        <f>IF(ISNA(MATCH(323,Engine!$C$2:$C$630,0)),"",INDEX('Compliance Database'!$N$2:$N$630,MATCH(323,Engine!$C$2:$C$630,0)))</f>
        <v/>
      </c>
      <c r="O336" s="8">
        <f>IF(ISNA(MATCH(323,Engine!$C$2:$C$630,0)),"",INDEX('Compliance Database'!$O$2:$O$630,MATCH(323,Engine!$C$2:$C$630,0)))</f>
        <v/>
      </c>
    </row>
    <row r="337">
      <c r="A337">
        <f>IF(ISNA(MATCH(324,Engine!$C$2:$C$630,0)),"",INDEX('Compliance Database'!$A$2:$A$630,MATCH(324,Engine!$C$2:$C$630,0)))</f>
        <v/>
      </c>
      <c r="B337">
        <f>IF(ISNA(MATCH(324,Engine!$C$2:$C$630,0)),"",INDEX('Compliance Database'!$B$2:$B$630,MATCH(324,Engine!$C$2:$C$630,0)))</f>
        <v/>
      </c>
      <c r="C337">
        <f>IF(ISNA(MATCH(324,Engine!$C$2:$C$630,0)),"",INDEX('Compliance Database'!$C$2:$C$630,MATCH(324,Engine!$C$2:$C$630,0)))</f>
        <v/>
      </c>
      <c r="D337" s="8">
        <f>IF(ISNA(MATCH(324,Engine!$C$2:$C$630,0)),"",INDEX('Compliance Database'!$D$2:$D$630,MATCH(324,Engine!$C$2:$C$630,0)))</f>
        <v/>
      </c>
      <c r="E337">
        <f>IF(ISNA(MATCH(324,Engine!$C$2:$C$630,0)),"",INDEX('Compliance Database'!$E$2:$E$630,MATCH(324,Engine!$C$2:$C$630,0)))</f>
        <v/>
      </c>
      <c r="F337">
        <f>IF(ISNA(MATCH(324,Engine!$C$2:$C$630,0)),"",INDEX('Compliance Database'!$F$2:$F$630,MATCH(324,Engine!$C$2:$C$630,0)))</f>
        <v/>
      </c>
      <c r="G337">
        <f>IF(ISNA(MATCH(324,Engine!$C$2:$C$630,0)),"",INDEX('Compliance Database'!$G$2:$G$630,MATCH(324,Engine!$C$2:$C$630,0)))</f>
        <v/>
      </c>
      <c r="H337">
        <f>IF(ISNA(MATCH(324,Engine!$C$2:$C$630,0)),"",INDEX('Compliance Database'!$H$2:$H$630,MATCH(324,Engine!$C$2:$C$630,0)))</f>
        <v/>
      </c>
      <c r="I337" s="8">
        <f>IF(ISNA(MATCH(324,Engine!$C$2:$C$630,0)),"",INDEX('Compliance Database'!$I$2:$I$630,MATCH(324,Engine!$C$2:$C$630,0)))</f>
        <v/>
      </c>
      <c r="J337" s="8">
        <f>IF(ISNA(MATCH(324,Engine!$C$2:$C$630,0)),"",INDEX('Compliance Database'!$J$2:$J$630,MATCH(324,Engine!$C$2:$C$630,0)))</f>
        <v/>
      </c>
      <c r="K337">
        <f>IF(ISNA(MATCH(324,Engine!$C$2:$C$630,0)),"",INDEX('Compliance Database'!$K$2:$K$630,MATCH(324,Engine!$C$2:$C$630,0)))</f>
        <v/>
      </c>
      <c r="L337" s="8">
        <f>IF(ISNA(MATCH(324,Engine!$C$2:$C$630,0)),"",INDEX('Compliance Database'!$L$2:$L$630,MATCH(324,Engine!$C$2:$C$630,0)))</f>
        <v/>
      </c>
      <c r="M337" s="8">
        <f>IF(ISNA(MATCH(324,Engine!$C$2:$C$630,0)),"",INDEX('Compliance Database'!$M$2:$M$630,MATCH(324,Engine!$C$2:$C$630,0)))</f>
        <v/>
      </c>
      <c r="N337" s="8">
        <f>IF(ISNA(MATCH(324,Engine!$C$2:$C$630,0)),"",INDEX('Compliance Database'!$N$2:$N$630,MATCH(324,Engine!$C$2:$C$630,0)))</f>
        <v/>
      </c>
      <c r="O337" s="8">
        <f>IF(ISNA(MATCH(324,Engine!$C$2:$C$630,0)),"",INDEX('Compliance Database'!$O$2:$O$630,MATCH(324,Engine!$C$2:$C$630,0)))</f>
        <v/>
      </c>
    </row>
    <row r="338">
      <c r="A338">
        <f>IF(ISNA(MATCH(325,Engine!$C$2:$C$630,0)),"",INDEX('Compliance Database'!$A$2:$A$630,MATCH(325,Engine!$C$2:$C$630,0)))</f>
        <v/>
      </c>
      <c r="B338">
        <f>IF(ISNA(MATCH(325,Engine!$C$2:$C$630,0)),"",INDEX('Compliance Database'!$B$2:$B$630,MATCH(325,Engine!$C$2:$C$630,0)))</f>
        <v/>
      </c>
      <c r="C338">
        <f>IF(ISNA(MATCH(325,Engine!$C$2:$C$630,0)),"",INDEX('Compliance Database'!$C$2:$C$630,MATCH(325,Engine!$C$2:$C$630,0)))</f>
        <v/>
      </c>
      <c r="D338" s="8">
        <f>IF(ISNA(MATCH(325,Engine!$C$2:$C$630,0)),"",INDEX('Compliance Database'!$D$2:$D$630,MATCH(325,Engine!$C$2:$C$630,0)))</f>
        <v/>
      </c>
      <c r="E338">
        <f>IF(ISNA(MATCH(325,Engine!$C$2:$C$630,0)),"",INDEX('Compliance Database'!$E$2:$E$630,MATCH(325,Engine!$C$2:$C$630,0)))</f>
        <v/>
      </c>
      <c r="F338">
        <f>IF(ISNA(MATCH(325,Engine!$C$2:$C$630,0)),"",INDEX('Compliance Database'!$F$2:$F$630,MATCH(325,Engine!$C$2:$C$630,0)))</f>
        <v/>
      </c>
      <c r="G338">
        <f>IF(ISNA(MATCH(325,Engine!$C$2:$C$630,0)),"",INDEX('Compliance Database'!$G$2:$G$630,MATCH(325,Engine!$C$2:$C$630,0)))</f>
        <v/>
      </c>
      <c r="H338">
        <f>IF(ISNA(MATCH(325,Engine!$C$2:$C$630,0)),"",INDEX('Compliance Database'!$H$2:$H$630,MATCH(325,Engine!$C$2:$C$630,0)))</f>
        <v/>
      </c>
      <c r="I338" s="8">
        <f>IF(ISNA(MATCH(325,Engine!$C$2:$C$630,0)),"",INDEX('Compliance Database'!$I$2:$I$630,MATCH(325,Engine!$C$2:$C$630,0)))</f>
        <v/>
      </c>
      <c r="J338" s="8">
        <f>IF(ISNA(MATCH(325,Engine!$C$2:$C$630,0)),"",INDEX('Compliance Database'!$J$2:$J$630,MATCH(325,Engine!$C$2:$C$630,0)))</f>
        <v/>
      </c>
      <c r="K338">
        <f>IF(ISNA(MATCH(325,Engine!$C$2:$C$630,0)),"",INDEX('Compliance Database'!$K$2:$K$630,MATCH(325,Engine!$C$2:$C$630,0)))</f>
        <v/>
      </c>
      <c r="L338" s="8">
        <f>IF(ISNA(MATCH(325,Engine!$C$2:$C$630,0)),"",INDEX('Compliance Database'!$L$2:$L$630,MATCH(325,Engine!$C$2:$C$630,0)))</f>
        <v/>
      </c>
      <c r="M338" s="8">
        <f>IF(ISNA(MATCH(325,Engine!$C$2:$C$630,0)),"",INDEX('Compliance Database'!$M$2:$M$630,MATCH(325,Engine!$C$2:$C$630,0)))</f>
        <v/>
      </c>
      <c r="N338" s="8">
        <f>IF(ISNA(MATCH(325,Engine!$C$2:$C$630,0)),"",INDEX('Compliance Database'!$N$2:$N$630,MATCH(325,Engine!$C$2:$C$630,0)))</f>
        <v/>
      </c>
      <c r="O338" s="8">
        <f>IF(ISNA(MATCH(325,Engine!$C$2:$C$630,0)),"",INDEX('Compliance Database'!$O$2:$O$630,MATCH(325,Engine!$C$2:$C$630,0)))</f>
        <v/>
      </c>
    </row>
    <row r="339">
      <c r="A339">
        <f>IF(ISNA(MATCH(326,Engine!$C$2:$C$630,0)),"",INDEX('Compliance Database'!$A$2:$A$630,MATCH(326,Engine!$C$2:$C$630,0)))</f>
        <v/>
      </c>
      <c r="B339">
        <f>IF(ISNA(MATCH(326,Engine!$C$2:$C$630,0)),"",INDEX('Compliance Database'!$B$2:$B$630,MATCH(326,Engine!$C$2:$C$630,0)))</f>
        <v/>
      </c>
      <c r="C339">
        <f>IF(ISNA(MATCH(326,Engine!$C$2:$C$630,0)),"",INDEX('Compliance Database'!$C$2:$C$630,MATCH(326,Engine!$C$2:$C$630,0)))</f>
        <v/>
      </c>
      <c r="D339" s="8">
        <f>IF(ISNA(MATCH(326,Engine!$C$2:$C$630,0)),"",INDEX('Compliance Database'!$D$2:$D$630,MATCH(326,Engine!$C$2:$C$630,0)))</f>
        <v/>
      </c>
      <c r="E339">
        <f>IF(ISNA(MATCH(326,Engine!$C$2:$C$630,0)),"",INDEX('Compliance Database'!$E$2:$E$630,MATCH(326,Engine!$C$2:$C$630,0)))</f>
        <v/>
      </c>
      <c r="F339">
        <f>IF(ISNA(MATCH(326,Engine!$C$2:$C$630,0)),"",INDEX('Compliance Database'!$F$2:$F$630,MATCH(326,Engine!$C$2:$C$630,0)))</f>
        <v/>
      </c>
      <c r="G339">
        <f>IF(ISNA(MATCH(326,Engine!$C$2:$C$630,0)),"",INDEX('Compliance Database'!$G$2:$G$630,MATCH(326,Engine!$C$2:$C$630,0)))</f>
        <v/>
      </c>
      <c r="H339">
        <f>IF(ISNA(MATCH(326,Engine!$C$2:$C$630,0)),"",INDEX('Compliance Database'!$H$2:$H$630,MATCH(326,Engine!$C$2:$C$630,0)))</f>
        <v/>
      </c>
      <c r="I339" s="8">
        <f>IF(ISNA(MATCH(326,Engine!$C$2:$C$630,0)),"",INDEX('Compliance Database'!$I$2:$I$630,MATCH(326,Engine!$C$2:$C$630,0)))</f>
        <v/>
      </c>
      <c r="J339" s="8">
        <f>IF(ISNA(MATCH(326,Engine!$C$2:$C$630,0)),"",INDEX('Compliance Database'!$J$2:$J$630,MATCH(326,Engine!$C$2:$C$630,0)))</f>
        <v/>
      </c>
      <c r="K339">
        <f>IF(ISNA(MATCH(326,Engine!$C$2:$C$630,0)),"",INDEX('Compliance Database'!$K$2:$K$630,MATCH(326,Engine!$C$2:$C$630,0)))</f>
        <v/>
      </c>
      <c r="L339" s="8">
        <f>IF(ISNA(MATCH(326,Engine!$C$2:$C$630,0)),"",INDEX('Compliance Database'!$L$2:$L$630,MATCH(326,Engine!$C$2:$C$630,0)))</f>
        <v/>
      </c>
      <c r="M339" s="8">
        <f>IF(ISNA(MATCH(326,Engine!$C$2:$C$630,0)),"",INDEX('Compliance Database'!$M$2:$M$630,MATCH(326,Engine!$C$2:$C$630,0)))</f>
        <v/>
      </c>
      <c r="N339" s="8">
        <f>IF(ISNA(MATCH(326,Engine!$C$2:$C$630,0)),"",INDEX('Compliance Database'!$N$2:$N$630,MATCH(326,Engine!$C$2:$C$630,0)))</f>
        <v/>
      </c>
      <c r="O339" s="8">
        <f>IF(ISNA(MATCH(326,Engine!$C$2:$C$630,0)),"",INDEX('Compliance Database'!$O$2:$O$630,MATCH(326,Engine!$C$2:$C$630,0)))</f>
        <v/>
      </c>
    </row>
    <row r="340">
      <c r="A340">
        <f>IF(ISNA(MATCH(327,Engine!$C$2:$C$630,0)),"",INDEX('Compliance Database'!$A$2:$A$630,MATCH(327,Engine!$C$2:$C$630,0)))</f>
        <v/>
      </c>
      <c r="B340">
        <f>IF(ISNA(MATCH(327,Engine!$C$2:$C$630,0)),"",INDEX('Compliance Database'!$B$2:$B$630,MATCH(327,Engine!$C$2:$C$630,0)))</f>
        <v/>
      </c>
      <c r="C340">
        <f>IF(ISNA(MATCH(327,Engine!$C$2:$C$630,0)),"",INDEX('Compliance Database'!$C$2:$C$630,MATCH(327,Engine!$C$2:$C$630,0)))</f>
        <v/>
      </c>
      <c r="D340" s="8">
        <f>IF(ISNA(MATCH(327,Engine!$C$2:$C$630,0)),"",INDEX('Compliance Database'!$D$2:$D$630,MATCH(327,Engine!$C$2:$C$630,0)))</f>
        <v/>
      </c>
      <c r="E340">
        <f>IF(ISNA(MATCH(327,Engine!$C$2:$C$630,0)),"",INDEX('Compliance Database'!$E$2:$E$630,MATCH(327,Engine!$C$2:$C$630,0)))</f>
        <v/>
      </c>
      <c r="F340">
        <f>IF(ISNA(MATCH(327,Engine!$C$2:$C$630,0)),"",INDEX('Compliance Database'!$F$2:$F$630,MATCH(327,Engine!$C$2:$C$630,0)))</f>
        <v/>
      </c>
      <c r="G340">
        <f>IF(ISNA(MATCH(327,Engine!$C$2:$C$630,0)),"",INDEX('Compliance Database'!$G$2:$G$630,MATCH(327,Engine!$C$2:$C$630,0)))</f>
        <v/>
      </c>
      <c r="H340">
        <f>IF(ISNA(MATCH(327,Engine!$C$2:$C$630,0)),"",INDEX('Compliance Database'!$H$2:$H$630,MATCH(327,Engine!$C$2:$C$630,0)))</f>
        <v/>
      </c>
      <c r="I340" s="8">
        <f>IF(ISNA(MATCH(327,Engine!$C$2:$C$630,0)),"",INDEX('Compliance Database'!$I$2:$I$630,MATCH(327,Engine!$C$2:$C$630,0)))</f>
        <v/>
      </c>
      <c r="J340" s="8">
        <f>IF(ISNA(MATCH(327,Engine!$C$2:$C$630,0)),"",INDEX('Compliance Database'!$J$2:$J$630,MATCH(327,Engine!$C$2:$C$630,0)))</f>
        <v/>
      </c>
      <c r="K340">
        <f>IF(ISNA(MATCH(327,Engine!$C$2:$C$630,0)),"",INDEX('Compliance Database'!$K$2:$K$630,MATCH(327,Engine!$C$2:$C$630,0)))</f>
        <v/>
      </c>
      <c r="L340" s="8">
        <f>IF(ISNA(MATCH(327,Engine!$C$2:$C$630,0)),"",INDEX('Compliance Database'!$L$2:$L$630,MATCH(327,Engine!$C$2:$C$630,0)))</f>
        <v/>
      </c>
      <c r="M340" s="8">
        <f>IF(ISNA(MATCH(327,Engine!$C$2:$C$630,0)),"",INDEX('Compliance Database'!$M$2:$M$630,MATCH(327,Engine!$C$2:$C$630,0)))</f>
        <v/>
      </c>
      <c r="N340" s="8">
        <f>IF(ISNA(MATCH(327,Engine!$C$2:$C$630,0)),"",INDEX('Compliance Database'!$N$2:$N$630,MATCH(327,Engine!$C$2:$C$630,0)))</f>
        <v/>
      </c>
      <c r="O340" s="8">
        <f>IF(ISNA(MATCH(327,Engine!$C$2:$C$630,0)),"",INDEX('Compliance Database'!$O$2:$O$630,MATCH(327,Engine!$C$2:$C$630,0)))</f>
        <v/>
      </c>
    </row>
    <row r="341">
      <c r="A341">
        <f>IF(ISNA(MATCH(328,Engine!$C$2:$C$630,0)),"",INDEX('Compliance Database'!$A$2:$A$630,MATCH(328,Engine!$C$2:$C$630,0)))</f>
        <v/>
      </c>
      <c r="B341">
        <f>IF(ISNA(MATCH(328,Engine!$C$2:$C$630,0)),"",INDEX('Compliance Database'!$B$2:$B$630,MATCH(328,Engine!$C$2:$C$630,0)))</f>
        <v/>
      </c>
      <c r="C341">
        <f>IF(ISNA(MATCH(328,Engine!$C$2:$C$630,0)),"",INDEX('Compliance Database'!$C$2:$C$630,MATCH(328,Engine!$C$2:$C$630,0)))</f>
        <v/>
      </c>
      <c r="D341" s="8">
        <f>IF(ISNA(MATCH(328,Engine!$C$2:$C$630,0)),"",INDEX('Compliance Database'!$D$2:$D$630,MATCH(328,Engine!$C$2:$C$630,0)))</f>
        <v/>
      </c>
      <c r="E341">
        <f>IF(ISNA(MATCH(328,Engine!$C$2:$C$630,0)),"",INDEX('Compliance Database'!$E$2:$E$630,MATCH(328,Engine!$C$2:$C$630,0)))</f>
        <v/>
      </c>
      <c r="F341">
        <f>IF(ISNA(MATCH(328,Engine!$C$2:$C$630,0)),"",INDEX('Compliance Database'!$F$2:$F$630,MATCH(328,Engine!$C$2:$C$630,0)))</f>
        <v/>
      </c>
      <c r="G341">
        <f>IF(ISNA(MATCH(328,Engine!$C$2:$C$630,0)),"",INDEX('Compliance Database'!$G$2:$G$630,MATCH(328,Engine!$C$2:$C$630,0)))</f>
        <v/>
      </c>
      <c r="H341">
        <f>IF(ISNA(MATCH(328,Engine!$C$2:$C$630,0)),"",INDEX('Compliance Database'!$H$2:$H$630,MATCH(328,Engine!$C$2:$C$630,0)))</f>
        <v/>
      </c>
      <c r="I341" s="8">
        <f>IF(ISNA(MATCH(328,Engine!$C$2:$C$630,0)),"",INDEX('Compliance Database'!$I$2:$I$630,MATCH(328,Engine!$C$2:$C$630,0)))</f>
        <v/>
      </c>
      <c r="J341" s="8">
        <f>IF(ISNA(MATCH(328,Engine!$C$2:$C$630,0)),"",INDEX('Compliance Database'!$J$2:$J$630,MATCH(328,Engine!$C$2:$C$630,0)))</f>
        <v/>
      </c>
      <c r="K341">
        <f>IF(ISNA(MATCH(328,Engine!$C$2:$C$630,0)),"",INDEX('Compliance Database'!$K$2:$K$630,MATCH(328,Engine!$C$2:$C$630,0)))</f>
        <v/>
      </c>
      <c r="L341" s="8">
        <f>IF(ISNA(MATCH(328,Engine!$C$2:$C$630,0)),"",INDEX('Compliance Database'!$L$2:$L$630,MATCH(328,Engine!$C$2:$C$630,0)))</f>
        <v/>
      </c>
      <c r="M341" s="8">
        <f>IF(ISNA(MATCH(328,Engine!$C$2:$C$630,0)),"",INDEX('Compliance Database'!$M$2:$M$630,MATCH(328,Engine!$C$2:$C$630,0)))</f>
        <v/>
      </c>
      <c r="N341" s="8">
        <f>IF(ISNA(MATCH(328,Engine!$C$2:$C$630,0)),"",INDEX('Compliance Database'!$N$2:$N$630,MATCH(328,Engine!$C$2:$C$630,0)))</f>
        <v/>
      </c>
      <c r="O341" s="8">
        <f>IF(ISNA(MATCH(328,Engine!$C$2:$C$630,0)),"",INDEX('Compliance Database'!$O$2:$O$630,MATCH(328,Engine!$C$2:$C$630,0)))</f>
        <v/>
      </c>
    </row>
    <row r="342">
      <c r="A342">
        <f>IF(ISNA(MATCH(329,Engine!$C$2:$C$630,0)),"",INDEX('Compliance Database'!$A$2:$A$630,MATCH(329,Engine!$C$2:$C$630,0)))</f>
        <v/>
      </c>
      <c r="B342">
        <f>IF(ISNA(MATCH(329,Engine!$C$2:$C$630,0)),"",INDEX('Compliance Database'!$B$2:$B$630,MATCH(329,Engine!$C$2:$C$630,0)))</f>
        <v/>
      </c>
      <c r="C342">
        <f>IF(ISNA(MATCH(329,Engine!$C$2:$C$630,0)),"",INDEX('Compliance Database'!$C$2:$C$630,MATCH(329,Engine!$C$2:$C$630,0)))</f>
        <v/>
      </c>
      <c r="D342" s="8">
        <f>IF(ISNA(MATCH(329,Engine!$C$2:$C$630,0)),"",INDEX('Compliance Database'!$D$2:$D$630,MATCH(329,Engine!$C$2:$C$630,0)))</f>
        <v/>
      </c>
      <c r="E342">
        <f>IF(ISNA(MATCH(329,Engine!$C$2:$C$630,0)),"",INDEX('Compliance Database'!$E$2:$E$630,MATCH(329,Engine!$C$2:$C$630,0)))</f>
        <v/>
      </c>
      <c r="F342">
        <f>IF(ISNA(MATCH(329,Engine!$C$2:$C$630,0)),"",INDEX('Compliance Database'!$F$2:$F$630,MATCH(329,Engine!$C$2:$C$630,0)))</f>
        <v/>
      </c>
      <c r="G342">
        <f>IF(ISNA(MATCH(329,Engine!$C$2:$C$630,0)),"",INDEX('Compliance Database'!$G$2:$G$630,MATCH(329,Engine!$C$2:$C$630,0)))</f>
        <v/>
      </c>
      <c r="H342">
        <f>IF(ISNA(MATCH(329,Engine!$C$2:$C$630,0)),"",INDEX('Compliance Database'!$H$2:$H$630,MATCH(329,Engine!$C$2:$C$630,0)))</f>
        <v/>
      </c>
      <c r="I342" s="8">
        <f>IF(ISNA(MATCH(329,Engine!$C$2:$C$630,0)),"",INDEX('Compliance Database'!$I$2:$I$630,MATCH(329,Engine!$C$2:$C$630,0)))</f>
        <v/>
      </c>
      <c r="J342" s="8">
        <f>IF(ISNA(MATCH(329,Engine!$C$2:$C$630,0)),"",INDEX('Compliance Database'!$J$2:$J$630,MATCH(329,Engine!$C$2:$C$630,0)))</f>
        <v/>
      </c>
      <c r="K342">
        <f>IF(ISNA(MATCH(329,Engine!$C$2:$C$630,0)),"",INDEX('Compliance Database'!$K$2:$K$630,MATCH(329,Engine!$C$2:$C$630,0)))</f>
        <v/>
      </c>
      <c r="L342" s="8">
        <f>IF(ISNA(MATCH(329,Engine!$C$2:$C$630,0)),"",INDEX('Compliance Database'!$L$2:$L$630,MATCH(329,Engine!$C$2:$C$630,0)))</f>
        <v/>
      </c>
      <c r="M342" s="8">
        <f>IF(ISNA(MATCH(329,Engine!$C$2:$C$630,0)),"",INDEX('Compliance Database'!$M$2:$M$630,MATCH(329,Engine!$C$2:$C$630,0)))</f>
        <v/>
      </c>
      <c r="N342" s="8">
        <f>IF(ISNA(MATCH(329,Engine!$C$2:$C$630,0)),"",INDEX('Compliance Database'!$N$2:$N$630,MATCH(329,Engine!$C$2:$C$630,0)))</f>
        <v/>
      </c>
      <c r="O342" s="8">
        <f>IF(ISNA(MATCH(329,Engine!$C$2:$C$630,0)),"",INDEX('Compliance Database'!$O$2:$O$630,MATCH(329,Engine!$C$2:$C$630,0)))</f>
        <v/>
      </c>
    </row>
    <row r="343">
      <c r="A343">
        <f>IF(ISNA(MATCH(330,Engine!$C$2:$C$630,0)),"",INDEX('Compliance Database'!$A$2:$A$630,MATCH(330,Engine!$C$2:$C$630,0)))</f>
        <v/>
      </c>
      <c r="B343">
        <f>IF(ISNA(MATCH(330,Engine!$C$2:$C$630,0)),"",INDEX('Compliance Database'!$B$2:$B$630,MATCH(330,Engine!$C$2:$C$630,0)))</f>
        <v/>
      </c>
      <c r="C343">
        <f>IF(ISNA(MATCH(330,Engine!$C$2:$C$630,0)),"",INDEX('Compliance Database'!$C$2:$C$630,MATCH(330,Engine!$C$2:$C$630,0)))</f>
        <v/>
      </c>
      <c r="D343" s="8">
        <f>IF(ISNA(MATCH(330,Engine!$C$2:$C$630,0)),"",INDEX('Compliance Database'!$D$2:$D$630,MATCH(330,Engine!$C$2:$C$630,0)))</f>
        <v/>
      </c>
      <c r="E343">
        <f>IF(ISNA(MATCH(330,Engine!$C$2:$C$630,0)),"",INDEX('Compliance Database'!$E$2:$E$630,MATCH(330,Engine!$C$2:$C$630,0)))</f>
        <v/>
      </c>
      <c r="F343">
        <f>IF(ISNA(MATCH(330,Engine!$C$2:$C$630,0)),"",INDEX('Compliance Database'!$F$2:$F$630,MATCH(330,Engine!$C$2:$C$630,0)))</f>
        <v/>
      </c>
      <c r="G343">
        <f>IF(ISNA(MATCH(330,Engine!$C$2:$C$630,0)),"",INDEX('Compliance Database'!$G$2:$G$630,MATCH(330,Engine!$C$2:$C$630,0)))</f>
        <v/>
      </c>
      <c r="H343">
        <f>IF(ISNA(MATCH(330,Engine!$C$2:$C$630,0)),"",INDEX('Compliance Database'!$H$2:$H$630,MATCH(330,Engine!$C$2:$C$630,0)))</f>
        <v/>
      </c>
      <c r="I343" s="8">
        <f>IF(ISNA(MATCH(330,Engine!$C$2:$C$630,0)),"",INDEX('Compliance Database'!$I$2:$I$630,MATCH(330,Engine!$C$2:$C$630,0)))</f>
        <v/>
      </c>
      <c r="J343" s="8">
        <f>IF(ISNA(MATCH(330,Engine!$C$2:$C$630,0)),"",INDEX('Compliance Database'!$J$2:$J$630,MATCH(330,Engine!$C$2:$C$630,0)))</f>
        <v/>
      </c>
      <c r="K343">
        <f>IF(ISNA(MATCH(330,Engine!$C$2:$C$630,0)),"",INDEX('Compliance Database'!$K$2:$K$630,MATCH(330,Engine!$C$2:$C$630,0)))</f>
        <v/>
      </c>
      <c r="L343" s="8">
        <f>IF(ISNA(MATCH(330,Engine!$C$2:$C$630,0)),"",INDEX('Compliance Database'!$L$2:$L$630,MATCH(330,Engine!$C$2:$C$630,0)))</f>
        <v/>
      </c>
      <c r="M343" s="8">
        <f>IF(ISNA(MATCH(330,Engine!$C$2:$C$630,0)),"",INDEX('Compliance Database'!$M$2:$M$630,MATCH(330,Engine!$C$2:$C$630,0)))</f>
        <v/>
      </c>
      <c r="N343" s="8">
        <f>IF(ISNA(MATCH(330,Engine!$C$2:$C$630,0)),"",INDEX('Compliance Database'!$N$2:$N$630,MATCH(330,Engine!$C$2:$C$630,0)))</f>
        <v/>
      </c>
      <c r="O343" s="8">
        <f>IF(ISNA(MATCH(330,Engine!$C$2:$C$630,0)),"",INDEX('Compliance Database'!$O$2:$O$630,MATCH(330,Engine!$C$2:$C$630,0)))</f>
        <v/>
      </c>
    </row>
    <row r="344">
      <c r="A344">
        <f>IF(ISNA(MATCH(331,Engine!$C$2:$C$630,0)),"",INDEX('Compliance Database'!$A$2:$A$630,MATCH(331,Engine!$C$2:$C$630,0)))</f>
        <v/>
      </c>
      <c r="B344">
        <f>IF(ISNA(MATCH(331,Engine!$C$2:$C$630,0)),"",INDEX('Compliance Database'!$B$2:$B$630,MATCH(331,Engine!$C$2:$C$630,0)))</f>
        <v/>
      </c>
      <c r="C344">
        <f>IF(ISNA(MATCH(331,Engine!$C$2:$C$630,0)),"",INDEX('Compliance Database'!$C$2:$C$630,MATCH(331,Engine!$C$2:$C$630,0)))</f>
        <v/>
      </c>
      <c r="D344" s="8">
        <f>IF(ISNA(MATCH(331,Engine!$C$2:$C$630,0)),"",INDEX('Compliance Database'!$D$2:$D$630,MATCH(331,Engine!$C$2:$C$630,0)))</f>
        <v/>
      </c>
      <c r="E344">
        <f>IF(ISNA(MATCH(331,Engine!$C$2:$C$630,0)),"",INDEX('Compliance Database'!$E$2:$E$630,MATCH(331,Engine!$C$2:$C$630,0)))</f>
        <v/>
      </c>
      <c r="F344">
        <f>IF(ISNA(MATCH(331,Engine!$C$2:$C$630,0)),"",INDEX('Compliance Database'!$F$2:$F$630,MATCH(331,Engine!$C$2:$C$630,0)))</f>
        <v/>
      </c>
      <c r="G344">
        <f>IF(ISNA(MATCH(331,Engine!$C$2:$C$630,0)),"",INDEX('Compliance Database'!$G$2:$G$630,MATCH(331,Engine!$C$2:$C$630,0)))</f>
        <v/>
      </c>
      <c r="H344">
        <f>IF(ISNA(MATCH(331,Engine!$C$2:$C$630,0)),"",INDEX('Compliance Database'!$H$2:$H$630,MATCH(331,Engine!$C$2:$C$630,0)))</f>
        <v/>
      </c>
      <c r="I344" s="8">
        <f>IF(ISNA(MATCH(331,Engine!$C$2:$C$630,0)),"",INDEX('Compliance Database'!$I$2:$I$630,MATCH(331,Engine!$C$2:$C$630,0)))</f>
        <v/>
      </c>
      <c r="J344" s="8">
        <f>IF(ISNA(MATCH(331,Engine!$C$2:$C$630,0)),"",INDEX('Compliance Database'!$J$2:$J$630,MATCH(331,Engine!$C$2:$C$630,0)))</f>
        <v/>
      </c>
      <c r="K344">
        <f>IF(ISNA(MATCH(331,Engine!$C$2:$C$630,0)),"",INDEX('Compliance Database'!$K$2:$K$630,MATCH(331,Engine!$C$2:$C$630,0)))</f>
        <v/>
      </c>
      <c r="L344" s="8">
        <f>IF(ISNA(MATCH(331,Engine!$C$2:$C$630,0)),"",INDEX('Compliance Database'!$L$2:$L$630,MATCH(331,Engine!$C$2:$C$630,0)))</f>
        <v/>
      </c>
      <c r="M344" s="8">
        <f>IF(ISNA(MATCH(331,Engine!$C$2:$C$630,0)),"",INDEX('Compliance Database'!$M$2:$M$630,MATCH(331,Engine!$C$2:$C$630,0)))</f>
        <v/>
      </c>
      <c r="N344" s="8">
        <f>IF(ISNA(MATCH(331,Engine!$C$2:$C$630,0)),"",INDEX('Compliance Database'!$N$2:$N$630,MATCH(331,Engine!$C$2:$C$630,0)))</f>
        <v/>
      </c>
      <c r="O344" s="8">
        <f>IF(ISNA(MATCH(331,Engine!$C$2:$C$630,0)),"",INDEX('Compliance Database'!$O$2:$O$630,MATCH(331,Engine!$C$2:$C$630,0)))</f>
        <v/>
      </c>
    </row>
    <row r="345">
      <c r="A345">
        <f>IF(ISNA(MATCH(332,Engine!$C$2:$C$630,0)),"",INDEX('Compliance Database'!$A$2:$A$630,MATCH(332,Engine!$C$2:$C$630,0)))</f>
        <v/>
      </c>
      <c r="B345">
        <f>IF(ISNA(MATCH(332,Engine!$C$2:$C$630,0)),"",INDEX('Compliance Database'!$B$2:$B$630,MATCH(332,Engine!$C$2:$C$630,0)))</f>
        <v/>
      </c>
      <c r="C345">
        <f>IF(ISNA(MATCH(332,Engine!$C$2:$C$630,0)),"",INDEX('Compliance Database'!$C$2:$C$630,MATCH(332,Engine!$C$2:$C$630,0)))</f>
        <v/>
      </c>
      <c r="D345" s="8">
        <f>IF(ISNA(MATCH(332,Engine!$C$2:$C$630,0)),"",INDEX('Compliance Database'!$D$2:$D$630,MATCH(332,Engine!$C$2:$C$630,0)))</f>
        <v/>
      </c>
      <c r="E345">
        <f>IF(ISNA(MATCH(332,Engine!$C$2:$C$630,0)),"",INDEX('Compliance Database'!$E$2:$E$630,MATCH(332,Engine!$C$2:$C$630,0)))</f>
        <v/>
      </c>
      <c r="F345">
        <f>IF(ISNA(MATCH(332,Engine!$C$2:$C$630,0)),"",INDEX('Compliance Database'!$F$2:$F$630,MATCH(332,Engine!$C$2:$C$630,0)))</f>
        <v/>
      </c>
      <c r="G345">
        <f>IF(ISNA(MATCH(332,Engine!$C$2:$C$630,0)),"",INDEX('Compliance Database'!$G$2:$G$630,MATCH(332,Engine!$C$2:$C$630,0)))</f>
        <v/>
      </c>
      <c r="H345">
        <f>IF(ISNA(MATCH(332,Engine!$C$2:$C$630,0)),"",INDEX('Compliance Database'!$H$2:$H$630,MATCH(332,Engine!$C$2:$C$630,0)))</f>
        <v/>
      </c>
      <c r="I345" s="8">
        <f>IF(ISNA(MATCH(332,Engine!$C$2:$C$630,0)),"",INDEX('Compliance Database'!$I$2:$I$630,MATCH(332,Engine!$C$2:$C$630,0)))</f>
        <v/>
      </c>
      <c r="J345" s="8">
        <f>IF(ISNA(MATCH(332,Engine!$C$2:$C$630,0)),"",INDEX('Compliance Database'!$J$2:$J$630,MATCH(332,Engine!$C$2:$C$630,0)))</f>
        <v/>
      </c>
      <c r="K345">
        <f>IF(ISNA(MATCH(332,Engine!$C$2:$C$630,0)),"",INDEX('Compliance Database'!$K$2:$K$630,MATCH(332,Engine!$C$2:$C$630,0)))</f>
        <v/>
      </c>
      <c r="L345" s="8">
        <f>IF(ISNA(MATCH(332,Engine!$C$2:$C$630,0)),"",INDEX('Compliance Database'!$L$2:$L$630,MATCH(332,Engine!$C$2:$C$630,0)))</f>
        <v/>
      </c>
      <c r="M345" s="8">
        <f>IF(ISNA(MATCH(332,Engine!$C$2:$C$630,0)),"",INDEX('Compliance Database'!$M$2:$M$630,MATCH(332,Engine!$C$2:$C$630,0)))</f>
        <v/>
      </c>
      <c r="N345" s="8">
        <f>IF(ISNA(MATCH(332,Engine!$C$2:$C$630,0)),"",INDEX('Compliance Database'!$N$2:$N$630,MATCH(332,Engine!$C$2:$C$630,0)))</f>
        <v/>
      </c>
      <c r="O345" s="8">
        <f>IF(ISNA(MATCH(332,Engine!$C$2:$C$630,0)),"",INDEX('Compliance Database'!$O$2:$O$630,MATCH(332,Engine!$C$2:$C$630,0)))</f>
        <v/>
      </c>
    </row>
    <row r="346">
      <c r="A346">
        <f>IF(ISNA(MATCH(333,Engine!$C$2:$C$630,0)),"",INDEX('Compliance Database'!$A$2:$A$630,MATCH(333,Engine!$C$2:$C$630,0)))</f>
        <v/>
      </c>
      <c r="B346">
        <f>IF(ISNA(MATCH(333,Engine!$C$2:$C$630,0)),"",INDEX('Compliance Database'!$B$2:$B$630,MATCH(333,Engine!$C$2:$C$630,0)))</f>
        <v/>
      </c>
      <c r="C346">
        <f>IF(ISNA(MATCH(333,Engine!$C$2:$C$630,0)),"",INDEX('Compliance Database'!$C$2:$C$630,MATCH(333,Engine!$C$2:$C$630,0)))</f>
        <v/>
      </c>
      <c r="D346" s="8">
        <f>IF(ISNA(MATCH(333,Engine!$C$2:$C$630,0)),"",INDEX('Compliance Database'!$D$2:$D$630,MATCH(333,Engine!$C$2:$C$630,0)))</f>
        <v/>
      </c>
      <c r="E346">
        <f>IF(ISNA(MATCH(333,Engine!$C$2:$C$630,0)),"",INDEX('Compliance Database'!$E$2:$E$630,MATCH(333,Engine!$C$2:$C$630,0)))</f>
        <v/>
      </c>
      <c r="F346">
        <f>IF(ISNA(MATCH(333,Engine!$C$2:$C$630,0)),"",INDEX('Compliance Database'!$F$2:$F$630,MATCH(333,Engine!$C$2:$C$630,0)))</f>
        <v/>
      </c>
      <c r="G346">
        <f>IF(ISNA(MATCH(333,Engine!$C$2:$C$630,0)),"",INDEX('Compliance Database'!$G$2:$G$630,MATCH(333,Engine!$C$2:$C$630,0)))</f>
        <v/>
      </c>
      <c r="H346">
        <f>IF(ISNA(MATCH(333,Engine!$C$2:$C$630,0)),"",INDEX('Compliance Database'!$H$2:$H$630,MATCH(333,Engine!$C$2:$C$630,0)))</f>
        <v/>
      </c>
      <c r="I346" s="8">
        <f>IF(ISNA(MATCH(333,Engine!$C$2:$C$630,0)),"",INDEX('Compliance Database'!$I$2:$I$630,MATCH(333,Engine!$C$2:$C$630,0)))</f>
        <v/>
      </c>
      <c r="J346" s="8">
        <f>IF(ISNA(MATCH(333,Engine!$C$2:$C$630,0)),"",INDEX('Compliance Database'!$J$2:$J$630,MATCH(333,Engine!$C$2:$C$630,0)))</f>
        <v/>
      </c>
      <c r="K346">
        <f>IF(ISNA(MATCH(333,Engine!$C$2:$C$630,0)),"",INDEX('Compliance Database'!$K$2:$K$630,MATCH(333,Engine!$C$2:$C$630,0)))</f>
        <v/>
      </c>
      <c r="L346" s="8">
        <f>IF(ISNA(MATCH(333,Engine!$C$2:$C$630,0)),"",INDEX('Compliance Database'!$L$2:$L$630,MATCH(333,Engine!$C$2:$C$630,0)))</f>
        <v/>
      </c>
      <c r="M346" s="8">
        <f>IF(ISNA(MATCH(333,Engine!$C$2:$C$630,0)),"",INDEX('Compliance Database'!$M$2:$M$630,MATCH(333,Engine!$C$2:$C$630,0)))</f>
        <v/>
      </c>
      <c r="N346" s="8">
        <f>IF(ISNA(MATCH(333,Engine!$C$2:$C$630,0)),"",INDEX('Compliance Database'!$N$2:$N$630,MATCH(333,Engine!$C$2:$C$630,0)))</f>
        <v/>
      </c>
      <c r="O346" s="8">
        <f>IF(ISNA(MATCH(333,Engine!$C$2:$C$630,0)),"",INDEX('Compliance Database'!$O$2:$O$630,MATCH(333,Engine!$C$2:$C$630,0)))</f>
        <v/>
      </c>
    </row>
    <row r="347">
      <c r="A347">
        <f>IF(ISNA(MATCH(334,Engine!$C$2:$C$630,0)),"",INDEX('Compliance Database'!$A$2:$A$630,MATCH(334,Engine!$C$2:$C$630,0)))</f>
        <v/>
      </c>
      <c r="B347">
        <f>IF(ISNA(MATCH(334,Engine!$C$2:$C$630,0)),"",INDEX('Compliance Database'!$B$2:$B$630,MATCH(334,Engine!$C$2:$C$630,0)))</f>
        <v/>
      </c>
      <c r="C347">
        <f>IF(ISNA(MATCH(334,Engine!$C$2:$C$630,0)),"",INDEX('Compliance Database'!$C$2:$C$630,MATCH(334,Engine!$C$2:$C$630,0)))</f>
        <v/>
      </c>
      <c r="D347" s="8">
        <f>IF(ISNA(MATCH(334,Engine!$C$2:$C$630,0)),"",INDEX('Compliance Database'!$D$2:$D$630,MATCH(334,Engine!$C$2:$C$630,0)))</f>
        <v/>
      </c>
      <c r="E347">
        <f>IF(ISNA(MATCH(334,Engine!$C$2:$C$630,0)),"",INDEX('Compliance Database'!$E$2:$E$630,MATCH(334,Engine!$C$2:$C$630,0)))</f>
        <v/>
      </c>
      <c r="F347">
        <f>IF(ISNA(MATCH(334,Engine!$C$2:$C$630,0)),"",INDEX('Compliance Database'!$F$2:$F$630,MATCH(334,Engine!$C$2:$C$630,0)))</f>
        <v/>
      </c>
      <c r="G347">
        <f>IF(ISNA(MATCH(334,Engine!$C$2:$C$630,0)),"",INDEX('Compliance Database'!$G$2:$G$630,MATCH(334,Engine!$C$2:$C$630,0)))</f>
        <v/>
      </c>
      <c r="H347">
        <f>IF(ISNA(MATCH(334,Engine!$C$2:$C$630,0)),"",INDEX('Compliance Database'!$H$2:$H$630,MATCH(334,Engine!$C$2:$C$630,0)))</f>
        <v/>
      </c>
      <c r="I347" s="8">
        <f>IF(ISNA(MATCH(334,Engine!$C$2:$C$630,0)),"",INDEX('Compliance Database'!$I$2:$I$630,MATCH(334,Engine!$C$2:$C$630,0)))</f>
        <v/>
      </c>
      <c r="J347" s="8">
        <f>IF(ISNA(MATCH(334,Engine!$C$2:$C$630,0)),"",INDEX('Compliance Database'!$J$2:$J$630,MATCH(334,Engine!$C$2:$C$630,0)))</f>
        <v/>
      </c>
      <c r="K347">
        <f>IF(ISNA(MATCH(334,Engine!$C$2:$C$630,0)),"",INDEX('Compliance Database'!$K$2:$K$630,MATCH(334,Engine!$C$2:$C$630,0)))</f>
        <v/>
      </c>
      <c r="L347" s="8">
        <f>IF(ISNA(MATCH(334,Engine!$C$2:$C$630,0)),"",INDEX('Compliance Database'!$L$2:$L$630,MATCH(334,Engine!$C$2:$C$630,0)))</f>
        <v/>
      </c>
      <c r="M347" s="8">
        <f>IF(ISNA(MATCH(334,Engine!$C$2:$C$630,0)),"",INDEX('Compliance Database'!$M$2:$M$630,MATCH(334,Engine!$C$2:$C$630,0)))</f>
        <v/>
      </c>
      <c r="N347" s="8">
        <f>IF(ISNA(MATCH(334,Engine!$C$2:$C$630,0)),"",INDEX('Compliance Database'!$N$2:$N$630,MATCH(334,Engine!$C$2:$C$630,0)))</f>
        <v/>
      </c>
      <c r="O347" s="8">
        <f>IF(ISNA(MATCH(334,Engine!$C$2:$C$630,0)),"",INDEX('Compliance Database'!$O$2:$O$630,MATCH(334,Engine!$C$2:$C$630,0)))</f>
        <v/>
      </c>
    </row>
    <row r="348">
      <c r="A348">
        <f>IF(ISNA(MATCH(335,Engine!$C$2:$C$630,0)),"",INDEX('Compliance Database'!$A$2:$A$630,MATCH(335,Engine!$C$2:$C$630,0)))</f>
        <v/>
      </c>
      <c r="B348">
        <f>IF(ISNA(MATCH(335,Engine!$C$2:$C$630,0)),"",INDEX('Compliance Database'!$B$2:$B$630,MATCH(335,Engine!$C$2:$C$630,0)))</f>
        <v/>
      </c>
      <c r="C348">
        <f>IF(ISNA(MATCH(335,Engine!$C$2:$C$630,0)),"",INDEX('Compliance Database'!$C$2:$C$630,MATCH(335,Engine!$C$2:$C$630,0)))</f>
        <v/>
      </c>
      <c r="D348" s="8">
        <f>IF(ISNA(MATCH(335,Engine!$C$2:$C$630,0)),"",INDEX('Compliance Database'!$D$2:$D$630,MATCH(335,Engine!$C$2:$C$630,0)))</f>
        <v/>
      </c>
      <c r="E348">
        <f>IF(ISNA(MATCH(335,Engine!$C$2:$C$630,0)),"",INDEX('Compliance Database'!$E$2:$E$630,MATCH(335,Engine!$C$2:$C$630,0)))</f>
        <v/>
      </c>
      <c r="F348">
        <f>IF(ISNA(MATCH(335,Engine!$C$2:$C$630,0)),"",INDEX('Compliance Database'!$F$2:$F$630,MATCH(335,Engine!$C$2:$C$630,0)))</f>
        <v/>
      </c>
      <c r="G348">
        <f>IF(ISNA(MATCH(335,Engine!$C$2:$C$630,0)),"",INDEX('Compliance Database'!$G$2:$G$630,MATCH(335,Engine!$C$2:$C$630,0)))</f>
        <v/>
      </c>
      <c r="H348">
        <f>IF(ISNA(MATCH(335,Engine!$C$2:$C$630,0)),"",INDEX('Compliance Database'!$H$2:$H$630,MATCH(335,Engine!$C$2:$C$630,0)))</f>
        <v/>
      </c>
      <c r="I348" s="8">
        <f>IF(ISNA(MATCH(335,Engine!$C$2:$C$630,0)),"",INDEX('Compliance Database'!$I$2:$I$630,MATCH(335,Engine!$C$2:$C$630,0)))</f>
        <v/>
      </c>
      <c r="J348" s="8">
        <f>IF(ISNA(MATCH(335,Engine!$C$2:$C$630,0)),"",INDEX('Compliance Database'!$J$2:$J$630,MATCH(335,Engine!$C$2:$C$630,0)))</f>
        <v/>
      </c>
      <c r="K348">
        <f>IF(ISNA(MATCH(335,Engine!$C$2:$C$630,0)),"",INDEX('Compliance Database'!$K$2:$K$630,MATCH(335,Engine!$C$2:$C$630,0)))</f>
        <v/>
      </c>
      <c r="L348" s="8">
        <f>IF(ISNA(MATCH(335,Engine!$C$2:$C$630,0)),"",INDEX('Compliance Database'!$L$2:$L$630,MATCH(335,Engine!$C$2:$C$630,0)))</f>
        <v/>
      </c>
      <c r="M348" s="8">
        <f>IF(ISNA(MATCH(335,Engine!$C$2:$C$630,0)),"",INDEX('Compliance Database'!$M$2:$M$630,MATCH(335,Engine!$C$2:$C$630,0)))</f>
        <v/>
      </c>
      <c r="N348" s="8">
        <f>IF(ISNA(MATCH(335,Engine!$C$2:$C$630,0)),"",INDEX('Compliance Database'!$N$2:$N$630,MATCH(335,Engine!$C$2:$C$630,0)))</f>
        <v/>
      </c>
      <c r="O348" s="8">
        <f>IF(ISNA(MATCH(335,Engine!$C$2:$C$630,0)),"",INDEX('Compliance Database'!$O$2:$O$630,MATCH(335,Engine!$C$2:$C$630,0)))</f>
        <v/>
      </c>
    </row>
    <row r="349">
      <c r="A349">
        <f>IF(ISNA(MATCH(336,Engine!$C$2:$C$630,0)),"",INDEX('Compliance Database'!$A$2:$A$630,MATCH(336,Engine!$C$2:$C$630,0)))</f>
        <v/>
      </c>
      <c r="B349">
        <f>IF(ISNA(MATCH(336,Engine!$C$2:$C$630,0)),"",INDEX('Compliance Database'!$B$2:$B$630,MATCH(336,Engine!$C$2:$C$630,0)))</f>
        <v/>
      </c>
      <c r="C349">
        <f>IF(ISNA(MATCH(336,Engine!$C$2:$C$630,0)),"",INDEX('Compliance Database'!$C$2:$C$630,MATCH(336,Engine!$C$2:$C$630,0)))</f>
        <v/>
      </c>
      <c r="D349" s="8">
        <f>IF(ISNA(MATCH(336,Engine!$C$2:$C$630,0)),"",INDEX('Compliance Database'!$D$2:$D$630,MATCH(336,Engine!$C$2:$C$630,0)))</f>
        <v/>
      </c>
      <c r="E349">
        <f>IF(ISNA(MATCH(336,Engine!$C$2:$C$630,0)),"",INDEX('Compliance Database'!$E$2:$E$630,MATCH(336,Engine!$C$2:$C$630,0)))</f>
        <v/>
      </c>
      <c r="F349">
        <f>IF(ISNA(MATCH(336,Engine!$C$2:$C$630,0)),"",INDEX('Compliance Database'!$F$2:$F$630,MATCH(336,Engine!$C$2:$C$630,0)))</f>
        <v/>
      </c>
      <c r="G349">
        <f>IF(ISNA(MATCH(336,Engine!$C$2:$C$630,0)),"",INDEX('Compliance Database'!$G$2:$G$630,MATCH(336,Engine!$C$2:$C$630,0)))</f>
        <v/>
      </c>
      <c r="H349">
        <f>IF(ISNA(MATCH(336,Engine!$C$2:$C$630,0)),"",INDEX('Compliance Database'!$H$2:$H$630,MATCH(336,Engine!$C$2:$C$630,0)))</f>
        <v/>
      </c>
      <c r="I349" s="8">
        <f>IF(ISNA(MATCH(336,Engine!$C$2:$C$630,0)),"",INDEX('Compliance Database'!$I$2:$I$630,MATCH(336,Engine!$C$2:$C$630,0)))</f>
        <v/>
      </c>
      <c r="J349" s="8">
        <f>IF(ISNA(MATCH(336,Engine!$C$2:$C$630,0)),"",INDEX('Compliance Database'!$J$2:$J$630,MATCH(336,Engine!$C$2:$C$630,0)))</f>
        <v/>
      </c>
      <c r="K349">
        <f>IF(ISNA(MATCH(336,Engine!$C$2:$C$630,0)),"",INDEX('Compliance Database'!$K$2:$K$630,MATCH(336,Engine!$C$2:$C$630,0)))</f>
        <v/>
      </c>
      <c r="L349" s="8">
        <f>IF(ISNA(MATCH(336,Engine!$C$2:$C$630,0)),"",INDEX('Compliance Database'!$L$2:$L$630,MATCH(336,Engine!$C$2:$C$630,0)))</f>
        <v/>
      </c>
      <c r="M349" s="8">
        <f>IF(ISNA(MATCH(336,Engine!$C$2:$C$630,0)),"",INDEX('Compliance Database'!$M$2:$M$630,MATCH(336,Engine!$C$2:$C$630,0)))</f>
        <v/>
      </c>
      <c r="N349" s="8">
        <f>IF(ISNA(MATCH(336,Engine!$C$2:$C$630,0)),"",INDEX('Compliance Database'!$N$2:$N$630,MATCH(336,Engine!$C$2:$C$630,0)))</f>
        <v/>
      </c>
      <c r="O349" s="8">
        <f>IF(ISNA(MATCH(336,Engine!$C$2:$C$630,0)),"",INDEX('Compliance Database'!$O$2:$O$630,MATCH(336,Engine!$C$2:$C$630,0)))</f>
        <v/>
      </c>
    </row>
    <row r="350">
      <c r="A350">
        <f>IF(ISNA(MATCH(337,Engine!$C$2:$C$630,0)),"",INDEX('Compliance Database'!$A$2:$A$630,MATCH(337,Engine!$C$2:$C$630,0)))</f>
        <v/>
      </c>
      <c r="B350">
        <f>IF(ISNA(MATCH(337,Engine!$C$2:$C$630,0)),"",INDEX('Compliance Database'!$B$2:$B$630,MATCH(337,Engine!$C$2:$C$630,0)))</f>
        <v/>
      </c>
      <c r="C350">
        <f>IF(ISNA(MATCH(337,Engine!$C$2:$C$630,0)),"",INDEX('Compliance Database'!$C$2:$C$630,MATCH(337,Engine!$C$2:$C$630,0)))</f>
        <v/>
      </c>
      <c r="D350" s="8">
        <f>IF(ISNA(MATCH(337,Engine!$C$2:$C$630,0)),"",INDEX('Compliance Database'!$D$2:$D$630,MATCH(337,Engine!$C$2:$C$630,0)))</f>
        <v/>
      </c>
      <c r="E350">
        <f>IF(ISNA(MATCH(337,Engine!$C$2:$C$630,0)),"",INDEX('Compliance Database'!$E$2:$E$630,MATCH(337,Engine!$C$2:$C$630,0)))</f>
        <v/>
      </c>
      <c r="F350">
        <f>IF(ISNA(MATCH(337,Engine!$C$2:$C$630,0)),"",INDEX('Compliance Database'!$F$2:$F$630,MATCH(337,Engine!$C$2:$C$630,0)))</f>
        <v/>
      </c>
      <c r="G350">
        <f>IF(ISNA(MATCH(337,Engine!$C$2:$C$630,0)),"",INDEX('Compliance Database'!$G$2:$G$630,MATCH(337,Engine!$C$2:$C$630,0)))</f>
        <v/>
      </c>
      <c r="H350">
        <f>IF(ISNA(MATCH(337,Engine!$C$2:$C$630,0)),"",INDEX('Compliance Database'!$H$2:$H$630,MATCH(337,Engine!$C$2:$C$630,0)))</f>
        <v/>
      </c>
      <c r="I350" s="8">
        <f>IF(ISNA(MATCH(337,Engine!$C$2:$C$630,0)),"",INDEX('Compliance Database'!$I$2:$I$630,MATCH(337,Engine!$C$2:$C$630,0)))</f>
        <v/>
      </c>
      <c r="J350" s="8">
        <f>IF(ISNA(MATCH(337,Engine!$C$2:$C$630,0)),"",INDEX('Compliance Database'!$J$2:$J$630,MATCH(337,Engine!$C$2:$C$630,0)))</f>
        <v/>
      </c>
      <c r="K350">
        <f>IF(ISNA(MATCH(337,Engine!$C$2:$C$630,0)),"",INDEX('Compliance Database'!$K$2:$K$630,MATCH(337,Engine!$C$2:$C$630,0)))</f>
        <v/>
      </c>
      <c r="L350" s="8">
        <f>IF(ISNA(MATCH(337,Engine!$C$2:$C$630,0)),"",INDEX('Compliance Database'!$L$2:$L$630,MATCH(337,Engine!$C$2:$C$630,0)))</f>
        <v/>
      </c>
      <c r="M350" s="8">
        <f>IF(ISNA(MATCH(337,Engine!$C$2:$C$630,0)),"",INDEX('Compliance Database'!$M$2:$M$630,MATCH(337,Engine!$C$2:$C$630,0)))</f>
        <v/>
      </c>
      <c r="N350" s="8">
        <f>IF(ISNA(MATCH(337,Engine!$C$2:$C$630,0)),"",INDEX('Compliance Database'!$N$2:$N$630,MATCH(337,Engine!$C$2:$C$630,0)))</f>
        <v/>
      </c>
      <c r="O350" s="8">
        <f>IF(ISNA(MATCH(337,Engine!$C$2:$C$630,0)),"",INDEX('Compliance Database'!$O$2:$O$630,MATCH(337,Engine!$C$2:$C$630,0)))</f>
        <v/>
      </c>
    </row>
    <row r="351">
      <c r="A351">
        <f>IF(ISNA(MATCH(338,Engine!$C$2:$C$630,0)),"",INDEX('Compliance Database'!$A$2:$A$630,MATCH(338,Engine!$C$2:$C$630,0)))</f>
        <v/>
      </c>
      <c r="B351">
        <f>IF(ISNA(MATCH(338,Engine!$C$2:$C$630,0)),"",INDEX('Compliance Database'!$B$2:$B$630,MATCH(338,Engine!$C$2:$C$630,0)))</f>
        <v/>
      </c>
      <c r="C351">
        <f>IF(ISNA(MATCH(338,Engine!$C$2:$C$630,0)),"",INDEX('Compliance Database'!$C$2:$C$630,MATCH(338,Engine!$C$2:$C$630,0)))</f>
        <v/>
      </c>
      <c r="D351" s="8">
        <f>IF(ISNA(MATCH(338,Engine!$C$2:$C$630,0)),"",INDEX('Compliance Database'!$D$2:$D$630,MATCH(338,Engine!$C$2:$C$630,0)))</f>
        <v/>
      </c>
      <c r="E351">
        <f>IF(ISNA(MATCH(338,Engine!$C$2:$C$630,0)),"",INDEX('Compliance Database'!$E$2:$E$630,MATCH(338,Engine!$C$2:$C$630,0)))</f>
        <v/>
      </c>
      <c r="F351">
        <f>IF(ISNA(MATCH(338,Engine!$C$2:$C$630,0)),"",INDEX('Compliance Database'!$F$2:$F$630,MATCH(338,Engine!$C$2:$C$630,0)))</f>
        <v/>
      </c>
      <c r="G351">
        <f>IF(ISNA(MATCH(338,Engine!$C$2:$C$630,0)),"",INDEX('Compliance Database'!$G$2:$G$630,MATCH(338,Engine!$C$2:$C$630,0)))</f>
        <v/>
      </c>
      <c r="H351">
        <f>IF(ISNA(MATCH(338,Engine!$C$2:$C$630,0)),"",INDEX('Compliance Database'!$H$2:$H$630,MATCH(338,Engine!$C$2:$C$630,0)))</f>
        <v/>
      </c>
      <c r="I351" s="8">
        <f>IF(ISNA(MATCH(338,Engine!$C$2:$C$630,0)),"",INDEX('Compliance Database'!$I$2:$I$630,MATCH(338,Engine!$C$2:$C$630,0)))</f>
        <v/>
      </c>
      <c r="J351" s="8">
        <f>IF(ISNA(MATCH(338,Engine!$C$2:$C$630,0)),"",INDEX('Compliance Database'!$J$2:$J$630,MATCH(338,Engine!$C$2:$C$630,0)))</f>
        <v/>
      </c>
      <c r="K351">
        <f>IF(ISNA(MATCH(338,Engine!$C$2:$C$630,0)),"",INDEX('Compliance Database'!$K$2:$K$630,MATCH(338,Engine!$C$2:$C$630,0)))</f>
        <v/>
      </c>
      <c r="L351" s="8">
        <f>IF(ISNA(MATCH(338,Engine!$C$2:$C$630,0)),"",INDEX('Compliance Database'!$L$2:$L$630,MATCH(338,Engine!$C$2:$C$630,0)))</f>
        <v/>
      </c>
      <c r="M351" s="8">
        <f>IF(ISNA(MATCH(338,Engine!$C$2:$C$630,0)),"",INDEX('Compliance Database'!$M$2:$M$630,MATCH(338,Engine!$C$2:$C$630,0)))</f>
        <v/>
      </c>
      <c r="N351" s="8">
        <f>IF(ISNA(MATCH(338,Engine!$C$2:$C$630,0)),"",INDEX('Compliance Database'!$N$2:$N$630,MATCH(338,Engine!$C$2:$C$630,0)))</f>
        <v/>
      </c>
      <c r="O351" s="8">
        <f>IF(ISNA(MATCH(338,Engine!$C$2:$C$630,0)),"",INDEX('Compliance Database'!$O$2:$O$630,MATCH(338,Engine!$C$2:$C$630,0)))</f>
        <v/>
      </c>
    </row>
    <row r="352">
      <c r="A352">
        <f>IF(ISNA(MATCH(339,Engine!$C$2:$C$630,0)),"",INDEX('Compliance Database'!$A$2:$A$630,MATCH(339,Engine!$C$2:$C$630,0)))</f>
        <v/>
      </c>
      <c r="B352">
        <f>IF(ISNA(MATCH(339,Engine!$C$2:$C$630,0)),"",INDEX('Compliance Database'!$B$2:$B$630,MATCH(339,Engine!$C$2:$C$630,0)))</f>
        <v/>
      </c>
      <c r="C352">
        <f>IF(ISNA(MATCH(339,Engine!$C$2:$C$630,0)),"",INDEX('Compliance Database'!$C$2:$C$630,MATCH(339,Engine!$C$2:$C$630,0)))</f>
        <v/>
      </c>
      <c r="D352" s="8">
        <f>IF(ISNA(MATCH(339,Engine!$C$2:$C$630,0)),"",INDEX('Compliance Database'!$D$2:$D$630,MATCH(339,Engine!$C$2:$C$630,0)))</f>
        <v/>
      </c>
      <c r="E352">
        <f>IF(ISNA(MATCH(339,Engine!$C$2:$C$630,0)),"",INDEX('Compliance Database'!$E$2:$E$630,MATCH(339,Engine!$C$2:$C$630,0)))</f>
        <v/>
      </c>
      <c r="F352">
        <f>IF(ISNA(MATCH(339,Engine!$C$2:$C$630,0)),"",INDEX('Compliance Database'!$F$2:$F$630,MATCH(339,Engine!$C$2:$C$630,0)))</f>
        <v/>
      </c>
      <c r="G352">
        <f>IF(ISNA(MATCH(339,Engine!$C$2:$C$630,0)),"",INDEX('Compliance Database'!$G$2:$G$630,MATCH(339,Engine!$C$2:$C$630,0)))</f>
        <v/>
      </c>
      <c r="H352">
        <f>IF(ISNA(MATCH(339,Engine!$C$2:$C$630,0)),"",INDEX('Compliance Database'!$H$2:$H$630,MATCH(339,Engine!$C$2:$C$630,0)))</f>
        <v/>
      </c>
      <c r="I352" s="8">
        <f>IF(ISNA(MATCH(339,Engine!$C$2:$C$630,0)),"",INDEX('Compliance Database'!$I$2:$I$630,MATCH(339,Engine!$C$2:$C$630,0)))</f>
        <v/>
      </c>
      <c r="J352" s="8">
        <f>IF(ISNA(MATCH(339,Engine!$C$2:$C$630,0)),"",INDEX('Compliance Database'!$J$2:$J$630,MATCH(339,Engine!$C$2:$C$630,0)))</f>
        <v/>
      </c>
      <c r="K352">
        <f>IF(ISNA(MATCH(339,Engine!$C$2:$C$630,0)),"",INDEX('Compliance Database'!$K$2:$K$630,MATCH(339,Engine!$C$2:$C$630,0)))</f>
        <v/>
      </c>
      <c r="L352" s="8">
        <f>IF(ISNA(MATCH(339,Engine!$C$2:$C$630,0)),"",INDEX('Compliance Database'!$L$2:$L$630,MATCH(339,Engine!$C$2:$C$630,0)))</f>
        <v/>
      </c>
      <c r="M352" s="8">
        <f>IF(ISNA(MATCH(339,Engine!$C$2:$C$630,0)),"",INDEX('Compliance Database'!$M$2:$M$630,MATCH(339,Engine!$C$2:$C$630,0)))</f>
        <v/>
      </c>
      <c r="N352" s="8">
        <f>IF(ISNA(MATCH(339,Engine!$C$2:$C$630,0)),"",INDEX('Compliance Database'!$N$2:$N$630,MATCH(339,Engine!$C$2:$C$630,0)))</f>
        <v/>
      </c>
      <c r="O352" s="8">
        <f>IF(ISNA(MATCH(339,Engine!$C$2:$C$630,0)),"",INDEX('Compliance Database'!$O$2:$O$630,MATCH(339,Engine!$C$2:$C$630,0)))</f>
        <v/>
      </c>
    </row>
    <row r="353">
      <c r="A353">
        <f>IF(ISNA(MATCH(340,Engine!$C$2:$C$630,0)),"",INDEX('Compliance Database'!$A$2:$A$630,MATCH(340,Engine!$C$2:$C$630,0)))</f>
        <v/>
      </c>
      <c r="B353">
        <f>IF(ISNA(MATCH(340,Engine!$C$2:$C$630,0)),"",INDEX('Compliance Database'!$B$2:$B$630,MATCH(340,Engine!$C$2:$C$630,0)))</f>
        <v/>
      </c>
      <c r="C353">
        <f>IF(ISNA(MATCH(340,Engine!$C$2:$C$630,0)),"",INDEX('Compliance Database'!$C$2:$C$630,MATCH(340,Engine!$C$2:$C$630,0)))</f>
        <v/>
      </c>
      <c r="D353" s="8">
        <f>IF(ISNA(MATCH(340,Engine!$C$2:$C$630,0)),"",INDEX('Compliance Database'!$D$2:$D$630,MATCH(340,Engine!$C$2:$C$630,0)))</f>
        <v/>
      </c>
      <c r="E353">
        <f>IF(ISNA(MATCH(340,Engine!$C$2:$C$630,0)),"",INDEX('Compliance Database'!$E$2:$E$630,MATCH(340,Engine!$C$2:$C$630,0)))</f>
        <v/>
      </c>
      <c r="F353">
        <f>IF(ISNA(MATCH(340,Engine!$C$2:$C$630,0)),"",INDEX('Compliance Database'!$F$2:$F$630,MATCH(340,Engine!$C$2:$C$630,0)))</f>
        <v/>
      </c>
      <c r="G353">
        <f>IF(ISNA(MATCH(340,Engine!$C$2:$C$630,0)),"",INDEX('Compliance Database'!$G$2:$G$630,MATCH(340,Engine!$C$2:$C$630,0)))</f>
        <v/>
      </c>
      <c r="H353">
        <f>IF(ISNA(MATCH(340,Engine!$C$2:$C$630,0)),"",INDEX('Compliance Database'!$H$2:$H$630,MATCH(340,Engine!$C$2:$C$630,0)))</f>
        <v/>
      </c>
      <c r="I353" s="8">
        <f>IF(ISNA(MATCH(340,Engine!$C$2:$C$630,0)),"",INDEX('Compliance Database'!$I$2:$I$630,MATCH(340,Engine!$C$2:$C$630,0)))</f>
        <v/>
      </c>
      <c r="J353" s="8">
        <f>IF(ISNA(MATCH(340,Engine!$C$2:$C$630,0)),"",INDEX('Compliance Database'!$J$2:$J$630,MATCH(340,Engine!$C$2:$C$630,0)))</f>
        <v/>
      </c>
      <c r="K353">
        <f>IF(ISNA(MATCH(340,Engine!$C$2:$C$630,0)),"",INDEX('Compliance Database'!$K$2:$K$630,MATCH(340,Engine!$C$2:$C$630,0)))</f>
        <v/>
      </c>
      <c r="L353" s="8">
        <f>IF(ISNA(MATCH(340,Engine!$C$2:$C$630,0)),"",INDEX('Compliance Database'!$L$2:$L$630,MATCH(340,Engine!$C$2:$C$630,0)))</f>
        <v/>
      </c>
      <c r="M353" s="8">
        <f>IF(ISNA(MATCH(340,Engine!$C$2:$C$630,0)),"",INDEX('Compliance Database'!$M$2:$M$630,MATCH(340,Engine!$C$2:$C$630,0)))</f>
        <v/>
      </c>
      <c r="N353" s="8">
        <f>IF(ISNA(MATCH(340,Engine!$C$2:$C$630,0)),"",INDEX('Compliance Database'!$N$2:$N$630,MATCH(340,Engine!$C$2:$C$630,0)))</f>
        <v/>
      </c>
      <c r="O353" s="8">
        <f>IF(ISNA(MATCH(340,Engine!$C$2:$C$630,0)),"",INDEX('Compliance Database'!$O$2:$O$630,MATCH(340,Engine!$C$2:$C$630,0)))</f>
        <v/>
      </c>
    </row>
    <row r="354">
      <c r="A354">
        <f>IF(ISNA(MATCH(341,Engine!$C$2:$C$630,0)),"",INDEX('Compliance Database'!$A$2:$A$630,MATCH(341,Engine!$C$2:$C$630,0)))</f>
        <v/>
      </c>
      <c r="B354">
        <f>IF(ISNA(MATCH(341,Engine!$C$2:$C$630,0)),"",INDEX('Compliance Database'!$B$2:$B$630,MATCH(341,Engine!$C$2:$C$630,0)))</f>
        <v/>
      </c>
      <c r="C354">
        <f>IF(ISNA(MATCH(341,Engine!$C$2:$C$630,0)),"",INDEX('Compliance Database'!$C$2:$C$630,MATCH(341,Engine!$C$2:$C$630,0)))</f>
        <v/>
      </c>
      <c r="D354" s="8">
        <f>IF(ISNA(MATCH(341,Engine!$C$2:$C$630,0)),"",INDEX('Compliance Database'!$D$2:$D$630,MATCH(341,Engine!$C$2:$C$630,0)))</f>
        <v/>
      </c>
      <c r="E354">
        <f>IF(ISNA(MATCH(341,Engine!$C$2:$C$630,0)),"",INDEX('Compliance Database'!$E$2:$E$630,MATCH(341,Engine!$C$2:$C$630,0)))</f>
        <v/>
      </c>
      <c r="F354">
        <f>IF(ISNA(MATCH(341,Engine!$C$2:$C$630,0)),"",INDEX('Compliance Database'!$F$2:$F$630,MATCH(341,Engine!$C$2:$C$630,0)))</f>
        <v/>
      </c>
      <c r="G354">
        <f>IF(ISNA(MATCH(341,Engine!$C$2:$C$630,0)),"",INDEX('Compliance Database'!$G$2:$G$630,MATCH(341,Engine!$C$2:$C$630,0)))</f>
        <v/>
      </c>
      <c r="H354">
        <f>IF(ISNA(MATCH(341,Engine!$C$2:$C$630,0)),"",INDEX('Compliance Database'!$H$2:$H$630,MATCH(341,Engine!$C$2:$C$630,0)))</f>
        <v/>
      </c>
      <c r="I354" s="8">
        <f>IF(ISNA(MATCH(341,Engine!$C$2:$C$630,0)),"",INDEX('Compliance Database'!$I$2:$I$630,MATCH(341,Engine!$C$2:$C$630,0)))</f>
        <v/>
      </c>
      <c r="J354" s="8">
        <f>IF(ISNA(MATCH(341,Engine!$C$2:$C$630,0)),"",INDEX('Compliance Database'!$J$2:$J$630,MATCH(341,Engine!$C$2:$C$630,0)))</f>
        <v/>
      </c>
      <c r="K354">
        <f>IF(ISNA(MATCH(341,Engine!$C$2:$C$630,0)),"",INDEX('Compliance Database'!$K$2:$K$630,MATCH(341,Engine!$C$2:$C$630,0)))</f>
        <v/>
      </c>
      <c r="L354" s="8">
        <f>IF(ISNA(MATCH(341,Engine!$C$2:$C$630,0)),"",INDEX('Compliance Database'!$L$2:$L$630,MATCH(341,Engine!$C$2:$C$630,0)))</f>
        <v/>
      </c>
      <c r="M354" s="8">
        <f>IF(ISNA(MATCH(341,Engine!$C$2:$C$630,0)),"",INDEX('Compliance Database'!$M$2:$M$630,MATCH(341,Engine!$C$2:$C$630,0)))</f>
        <v/>
      </c>
      <c r="N354" s="8">
        <f>IF(ISNA(MATCH(341,Engine!$C$2:$C$630,0)),"",INDEX('Compliance Database'!$N$2:$N$630,MATCH(341,Engine!$C$2:$C$630,0)))</f>
        <v/>
      </c>
      <c r="O354" s="8">
        <f>IF(ISNA(MATCH(341,Engine!$C$2:$C$630,0)),"",INDEX('Compliance Database'!$O$2:$O$630,MATCH(341,Engine!$C$2:$C$630,0)))</f>
        <v/>
      </c>
    </row>
    <row r="355">
      <c r="A355">
        <f>IF(ISNA(MATCH(342,Engine!$C$2:$C$630,0)),"",INDEX('Compliance Database'!$A$2:$A$630,MATCH(342,Engine!$C$2:$C$630,0)))</f>
        <v/>
      </c>
      <c r="B355">
        <f>IF(ISNA(MATCH(342,Engine!$C$2:$C$630,0)),"",INDEX('Compliance Database'!$B$2:$B$630,MATCH(342,Engine!$C$2:$C$630,0)))</f>
        <v/>
      </c>
      <c r="C355">
        <f>IF(ISNA(MATCH(342,Engine!$C$2:$C$630,0)),"",INDEX('Compliance Database'!$C$2:$C$630,MATCH(342,Engine!$C$2:$C$630,0)))</f>
        <v/>
      </c>
      <c r="D355" s="8">
        <f>IF(ISNA(MATCH(342,Engine!$C$2:$C$630,0)),"",INDEX('Compliance Database'!$D$2:$D$630,MATCH(342,Engine!$C$2:$C$630,0)))</f>
        <v/>
      </c>
      <c r="E355">
        <f>IF(ISNA(MATCH(342,Engine!$C$2:$C$630,0)),"",INDEX('Compliance Database'!$E$2:$E$630,MATCH(342,Engine!$C$2:$C$630,0)))</f>
        <v/>
      </c>
      <c r="F355">
        <f>IF(ISNA(MATCH(342,Engine!$C$2:$C$630,0)),"",INDEX('Compliance Database'!$F$2:$F$630,MATCH(342,Engine!$C$2:$C$630,0)))</f>
        <v/>
      </c>
      <c r="G355">
        <f>IF(ISNA(MATCH(342,Engine!$C$2:$C$630,0)),"",INDEX('Compliance Database'!$G$2:$G$630,MATCH(342,Engine!$C$2:$C$630,0)))</f>
        <v/>
      </c>
      <c r="H355">
        <f>IF(ISNA(MATCH(342,Engine!$C$2:$C$630,0)),"",INDEX('Compliance Database'!$H$2:$H$630,MATCH(342,Engine!$C$2:$C$630,0)))</f>
        <v/>
      </c>
      <c r="I355" s="8">
        <f>IF(ISNA(MATCH(342,Engine!$C$2:$C$630,0)),"",INDEX('Compliance Database'!$I$2:$I$630,MATCH(342,Engine!$C$2:$C$630,0)))</f>
        <v/>
      </c>
      <c r="J355" s="8">
        <f>IF(ISNA(MATCH(342,Engine!$C$2:$C$630,0)),"",INDEX('Compliance Database'!$J$2:$J$630,MATCH(342,Engine!$C$2:$C$630,0)))</f>
        <v/>
      </c>
      <c r="K355">
        <f>IF(ISNA(MATCH(342,Engine!$C$2:$C$630,0)),"",INDEX('Compliance Database'!$K$2:$K$630,MATCH(342,Engine!$C$2:$C$630,0)))</f>
        <v/>
      </c>
      <c r="L355" s="8">
        <f>IF(ISNA(MATCH(342,Engine!$C$2:$C$630,0)),"",INDEX('Compliance Database'!$L$2:$L$630,MATCH(342,Engine!$C$2:$C$630,0)))</f>
        <v/>
      </c>
      <c r="M355" s="8">
        <f>IF(ISNA(MATCH(342,Engine!$C$2:$C$630,0)),"",INDEX('Compliance Database'!$M$2:$M$630,MATCH(342,Engine!$C$2:$C$630,0)))</f>
        <v/>
      </c>
      <c r="N355" s="8">
        <f>IF(ISNA(MATCH(342,Engine!$C$2:$C$630,0)),"",INDEX('Compliance Database'!$N$2:$N$630,MATCH(342,Engine!$C$2:$C$630,0)))</f>
        <v/>
      </c>
      <c r="O355" s="8">
        <f>IF(ISNA(MATCH(342,Engine!$C$2:$C$630,0)),"",INDEX('Compliance Database'!$O$2:$O$630,MATCH(342,Engine!$C$2:$C$630,0)))</f>
        <v/>
      </c>
    </row>
    <row r="356">
      <c r="A356">
        <f>IF(ISNA(MATCH(343,Engine!$C$2:$C$630,0)),"",INDEX('Compliance Database'!$A$2:$A$630,MATCH(343,Engine!$C$2:$C$630,0)))</f>
        <v/>
      </c>
      <c r="B356">
        <f>IF(ISNA(MATCH(343,Engine!$C$2:$C$630,0)),"",INDEX('Compliance Database'!$B$2:$B$630,MATCH(343,Engine!$C$2:$C$630,0)))</f>
        <v/>
      </c>
      <c r="C356">
        <f>IF(ISNA(MATCH(343,Engine!$C$2:$C$630,0)),"",INDEX('Compliance Database'!$C$2:$C$630,MATCH(343,Engine!$C$2:$C$630,0)))</f>
        <v/>
      </c>
      <c r="D356" s="8">
        <f>IF(ISNA(MATCH(343,Engine!$C$2:$C$630,0)),"",INDEX('Compliance Database'!$D$2:$D$630,MATCH(343,Engine!$C$2:$C$630,0)))</f>
        <v/>
      </c>
      <c r="E356">
        <f>IF(ISNA(MATCH(343,Engine!$C$2:$C$630,0)),"",INDEX('Compliance Database'!$E$2:$E$630,MATCH(343,Engine!$C$2:$C$630,0)))</f>
        <v/>
      </c>
      <c r="F356">
        <f>IF(ISNA(MATCH(343,Engine!$C$2:$C$630,0)),"",INDEX('Compliance Database'!$F$2:$F$630,MATCH(343,Engine!$C$2:$C$630,0)))</f>
        <v/>
      </c>
      <c r="G356">
        <f>IF(ISNA(MATCH(343,Engine!$C$2:$C$630,0)),"",INDEX('Compliance Database'!$G$2:$G$630,MATCH(343,Engine!$C$2:$C$630,0)))</f>
        <v/>
      </c>
      <c r="H356">
        <f>IF(ISNA(MATCH(343,Engine!$C$2:$C$630,0)),"",INDEX('Compliance Database'!$H$2:$H$630,MATCH(343,Engine!$C$2:$C$630,0)))</f>
        <v/>
      </c>
      <c r="I356" s="8">
        <f>IF(ISNA(MATCH(343,Engine!$C$2:$C$630,0)),"",INDEX('Compliance Database'!$I$2:$I$630,MATCH(343,Engine!$C$2:$C$630,0)))</f>
        <v/>
      </c>
      <c r="J356" s="8">
        <f>IF(ISNA(MATCH(343,Engine!$C$2:$C$630,0)),"",INDEX('Compliance Database'!$J$2:$J$630,MATCH(343,Engine!$C$2:$C$630,0)))</f>
        <v/>
      </c>
      <c r="K356">
        <f>IF(ISNA(MATCH(343,Engine!$C$2:$C$630,0)),"",INDEX('Compliance Database'!$K$2:$K$630,MATCH(343,Engine!$C$2:$C$630,0)))</f>
        <v/>
      </c>
      <c r="L356" s="8">
        <f>IF(ISNA(MATCH(343,Engine!$C$2:$C$630,0)),"",INDEX('Compliance Database'!$L$2:$L$630,MATCH(343,Engine!$C$2:$C$630,0)))</f>
        <v/>
      </c>
      <c r="M356" s="8">
        <f>IF(ISNA(MATCH(343,Engine!$C$2:$C$630,0)),"",INDEX('Compliance Database'!$M$2:$M$630,MATCH(343,Engine!$C$2:$C$630,0)))</f>
        <v/>
      </c>
      <c r="N356" s="8">
        <f>IF(ISNA(MATCH(343,Engine!$C$2:$C$630,0)),"",INDEX('Compliance Database'!$N$2:$N$630,MATCH(343,Engine!$C$2:$C$630,0)))</f>
        <v/>
      </c>
      <c r="O356" s="8">
        <f>IF(ISNA(MATCH(343,Engine!$C$2:$C$630,0)),"",INDEX('Compliance Database'!$O$2:$O$630,MATCH(343,Engine!$C$2:$C$630,0)))</f>
        <v/>
      </c>
    </row>
    <row r="357">
      <c r="A357">
        <f>IF(ISNA(MATCH(344,Engine!$C$2:$C$630,0)),"",INDEX('Compliance Database'!$A$2:$A$630,MATCH(344,Engine!$C$2:$C$630,0)))</f>
        <v/>
      </c>
      <c r="B357">
        <f>IF(ISNA(MATCH(344,Engine!$C$2:$C$630,0)),"",INDEX('Compliance Database'!$B$2:$B$630,MATCH(344,Engine!$C$2:$C$630,0)))</f>
        <v/>
      </c>
      <c r="C357">
        <f>IF(ISNA(MATCH(344,Engine!$C$2:$C$630,0)),"",INDEX('Compliance Database'!$C$2:$C$630,MATCH(344,Engine!$C$2:$C$630,0)))</f>
        <v/>
      </c>
      <c r="D357" s="8">
        <f>IF(ISNA(MATCH(344,Engine!$C$2:$C$630,0)),"",INDEX('Compliance Database'!$D$2:$D$630,MATCH(344,Engine!$C$2:$C$630,0)))</f>
        <v/>
      </c>
      <c r="E357">
        <f>IF(ISNA(MATCH(344,Engine!$C$2:$C$630,0)),"",INDEX('Compliance Database'!$E$2:$E$630,MATCH(344,Engine!$C$2:$C$630,0)))</f>
        <v/>
      </c>
      <c r="F357">
        <f>IF(ISNA(MATCH(344,Engine!$C$2:$C$630,0)),"",INDEX('Compliance Database'!$F$2:$F$630,MATCH(344,Engine!$C$2:$C$630,0)))</f>
        <v/>
      </c>
      <c r="G357">
        <f>IF(ISNA(MATCH(344,Engine!$C$2:$C$630,0)),"",INDEX('Compliance Database'!$G$2:$G$630,MATCH(344,Engine!$C$2:$C$630,0)))</f>
        <v/>
      </c>
      <c r="H357">
        <f>IF(ISNA(MATCH(344,Engine!$C$2:$C$630,0)),"",INDEX('Compliance Database'!$H$2:$H$630,MATCH(344,Engine!$C$2:$C$630,0)))</f>
        <v/>
      </c>
      <c r="I357" s="8">
        <f>IF(ISNA(MATCH(344,Engine!$C$2:$C$630,0)),"",INDEX('Compliance Database'!$I$2:$I$630,MATCH(344,Engine!$C$2:$C$630,0)))</f>
        <v/>
      </c>
      <c r="J357" s="8">
        <f>IF(ISNA(MATCH(344,Engine!$C$2:$C$630,0)),"",INDEX('Compliance Database'!$J$2:$J$630,MATCH(344,Engine!$C$2:$C$630,0)))</f>
        <v/>
      </c>
      <c r="K357">
        <f>IF(ISNA(MATCH(344,Engine!$C$2:$C$630,0)),"",INDEX('Compliance Database'!$K$2:$K$630,MATCH(344,Engine!$C$2:$C$630,0)))</f>
        <v/>
      </c>
      <c r="L357" s="8">
        <f>IF(ISNA(MATCH(344,Engine!$C$2:$C$630,0)),"",INDEX('Compliance Database'!$L$2:$L$630,MATCH(344,Engine!$C$2:$C$630,0)))</f>
        <v/>
      </c>
      <c r="M357" s="8">
        <f>IF(ISNA(MATCH(344,Engine!$C$2:$C$630,0)),"",INDEX('Compliance Database'!$M$2:$M$630,MATCH(344,Engine!$C$2:$C$630,0)))</f>
        <v/>
      </c>
      <c r="N357" s="8">
        <f>IF(ISNA(MATCH(344,Engine!$C$2:$C$630,0)),"",INDEX('Compliance Database'!$N$2:$N$630,MATCH(344,Engine!$C$2:$C$630,0)))</f>
        <v/>
      </c>
      <c r="O357" s="8">
        <f>IF(ISNA(MATCH(344,Engine!$C$2:$C$630,0)),"",INDEX('Compliance Database'!$O$2:$O$630,MATCH(344,Engine!$C$2:$C$630,0)))</f>
        <v/>
      </c>
    </row>
    <row r="358">
      <c r="A358">
        <f>IF(ISNA(MATCH(345,Engine!$C$2:$C$630,0)),"",INDEX('Compliance Database'!$A$2:$A$630,MATCH(345,Engine!$C$2:$C$630,0)))</f>
        <v/>
      </c>
      <c r="B358">
        <f>IF(ISNA(MATCH(345,Engine!$C$2:$C$630,0)),"",INDEX('Compliance Database'!$B$2:$B$630,MATCH(345,Engine!$C$2:$C$630,0)))</f>
        <v/>
      </c>
      <c r="C358">
        <f>IF(ISNA(MATCH(345,Engine!$C$2:$C$630,0)),"",INDEX('Compliance Database'!$C$2:$C$630,MATCH(345,Engine!$C$2:$C$630,0)))</f>
        <v/>
      </c>
      <c r="D358" s="8">
        <f>IF(ISNA(MATCH(345,Engine!$C$2:$C$630,0)),"",INDEX('Compliance Database'!$D$2:$D$630,MATCH(345,Engine!$C$2:$C$630,0)))</f>
        <v/>
      </c>
      <c r="E358">
        <f>IF(ISNA(MATCH(345,Engine!$C$2:$C$630,0)),"",INDEX('Compliance Database'!$E$2:$E$630,MATCH(345,Engine!$C$2:$C$630,0)))</f>
        <v/>
      </c>
      <c r="F358">
        <f>IF(ISNA(MATCH(345,Engine!$C$2:$C$630,0)),"",INDEX('Compliance Database'!$F$2:$F$630,MATCH(345,Engine!$C$2:$C$630,0)))</f>
        <v/>
      </c>
      <c r="G358">
        <f>IF(ISNA(MATCH(345,Engine!$C$2:$C$630,0)),"",INDEX('Compliance Database'!$G$2:$G$630,MATCH(345,Engine!$C$2:$C$630,0)))</f>
        <v/>
      </c>
      <c r="H358">
        <f>IF(ISNA(MATCH(345,Engine!$C$2:$C$630,0)),"",INDEX('Compliance Database'!$H$2:$H$630,MATCH(345,Engine!$C$2:$C$630,0)))</f>
        <v/>
      </c>
      <c r="I358" s="8">
        <f>IF(ISNA(MATCH(345,Engine!$C$2:$C$630,0)),"",INDEX('Compliance Database'!$I$2:$I$630,MATCH(345,Engine!$C$2:$C$630,0)))</f>
        <v/>
      </c>
      <c r="J358" s="8">
        <f>IF(ISNA(MATCH(345,Engine!$C$2:$C$630,0)),"",INDEX('Compliance Database'!$J$2:$J$630,MATCH(345,Engine!$C$2:$C$630,0)))</f>
        <v/>
      </c>
      <c r="K358">
        <f>IF(ISNA(MATCH(345,Engine!$C$2:$C$630,0)),"",INDEX('Compliance Database'!$K$2:$K$630,MATCH(345,Engine!$C$2:$C$630,0)))</f>
        <v/>
      </c>
      <c r="L358" s="8">
        <f>IF(ISNA(MATCH(345,Engine!$C$2:$C$630,0)),"",INDEX('Compliance Database'!$L$2:$L$630,MATCH(345,Engine!$C$2:$C$630,0)))</f>
        <v/>
      </c>
      <c r="M358" s="8">
        <f>IF(ISNA(MATCH(345,Engine!$C$2:$C$630,0)),"",INDEX('Compliance Database'!$M$2:$M$630,MATCH(345,Engine!$C$2:$C$630,0)))</f>
        <v/>
      </c>
      <c r="N358" s="8">
        <f>IF(ISNA(MATCH(345,Engine!$C$2:$C$630,0)),"",INDEX('Compliance Database'!$N$2:$N$630,MATCH(345,Engine!$C$2:$C$630,0)))</f>
        <v/>
      </c>
      <c r="O358" s="8">
        <f>IF(ISNA(MATCH(345,Engine!$C$2:$C$630,0)),"",INDEX('Compliance Database'!$O$2:$O$630,MATCH(345,Engine!$C$2:$C$630,0)))</f>
        <v/>
      </c>
    </row>
    <row r="359">
      <c r="A359">
        <f>IF(ISNA(MATCH(346,Engine!$C$2:$C$630,0)),"",INDEX('Compliance Database'!$A$2:$A$630,MATCH(346,Engine!$C$2:$C$630,0)))</f>
        <v/>
      </c>
      <c r="B359">
        <f>IF(ISNA(MATCH(346,Engine!$C$2:$C$630,0)),"",INDEX('Compliance Database'!$B$2:$B$630,MATCH(346,Engine!$C$2:$C$630,0)))</f>
        <v/>
      </c>
      <c r="C359">
        <f>IF(ISNA(MATCH(346,Engine!$C$2:$C$630,0)),"",INDEX('Compliance Database'!$C$2:$C$630,MATCH(346,Engine!$C$2:$C$630,0)))</f>
        <v/>
      </c>
      <c r="D359" s="8">
        <f>IF(ISNA(MATCH(346,Engine!$C$2:$C$630,0)),"",INDEX('Compliance Database'!$D$2:$D$630,MATCH(346,Engine!$C$2:$C$630,0)))</f>
        <v/>
      </c>
      <c r="E359">
        <f>IF(ISNA(MATCH(346,Engine!$C$2:$C$630,0)),"",INDEX('Compliance Database'!$E$2:$E$630,MATCH(346,Engine!$C$2:$C$630,0)))</f>
        <v/>
      </c>
      <c r="F359">
        <f>IF(ISNA(MATCH(346,Engine!$C$2:$C$630,0)),"",INDEX('Compliance Database'!$F$2:$F$630,MATCH(346,Engine!$C$2:$C$630,0)))</f>
        <v/>
      </c>
      <c r="G359">
        <f>IF(ISNA(MATCH(346,Engine!$C$2:$C$630,0)),"",INDEX('Compliance Database'!$G$2:$G$630,MATCH(346,Engine!$C$2:$C$630,0)))</f>
        <v/>
      </c>
      <c r="H359">
        <f>IF(ISNA(MATCH(346,Engine!$C$2:$C$630,0)),"",INDEX('Compliance Database'!$H$2:$H$630,MATCH(346,Engine!$C$2:$C$630,0)))</f>
        <v/>
      </c>
      <c r="I359" s="8">
        <f>IF(ISNA(MATCH(346,Engine!$C$2:$C$630,0)),"",INDEX('Compliance Database'!$I$2:$I$630,MATCH(346,Engine!$C$2:$C$630,0)))</f>
        <v/>
      </c>
      <c r="J359" s="8">
        <f>IF(ISNA(MATCH(346,Engine!$C$2:$C$630,0)),"",INDEX('Compliance Database'!$J$2:$J$630,MATCH(346,Engine!$C$2:$C$630,0)))</f>
        <v/>
      </c>
      <c r="K359">
        <f>IF(ISNA(MATCH(346,Engine!$C$2:$C$630,0)),"",INDEX('Compliance Database'!$K$2:$K$630,MATCH(346,Engine!$C$2:$C$630,0)))</f>
        <v/>
      </c>
      <c r="L359" s="8">
        <f>IF(ISNA(MATCH(346,Engine!$C$2:$C$630,0)),"",INDEX('Compliance Database'!$L$2:$L$630,MATCH(346,Engine!$C$2:$C$630,0)))</f>
        <v/>
      </c>
      <c r="M359" s="8">
        <f>IF(ISNA(MATCH(346,Engine!$C$2:$C$630,0)),"",INDEX('Compliance Database'!$M$2:$M$630,MATCH(346,Engine!$C$2:$C$630,0)))</f>
        <v/>
      </c>
      <c r="N359" s="8">
        <f>IF(ISNA(MATCH(346,Engine!$C$2:$C$630,0)),"",INDEX('Compliance Database'!$N$2:$N$630,MATCH(346,Engine!$C$2:$C$630,0)))</f>
        <v/>
      </c>
      <c r="O359" s="8">
        <f>IF(ISNA(MATCH(346,Engine!$C$2:$C$630,0)),"",INDEX('Compliance Database'!$O$2:$O$630,MATCH(346,Engine!$C$2:$C$630,0)))</f>
        <v/>
      </c>
    </row>
    <row r="360">
      <c r="A360">
        <f>IF(ISNA(MATCH(347,Engine!$C$2:$C$630,0)),"",INDEX('Compliance Database'!$A$2:$A$630,MATCH(347,Engine!$C$2:$C$630,0)))</f>
        <v/>
      </c>
      <c r="B360">
        <f>IF(ISNA(MATCH(347,Engine!$C$2:$C$630,0)),"",INDEX('Compliance Database'!$B$2:$B$630,MATCH(347,Engine!$C$2:$C$630,0)))</f>
        <v/>
      </c>
      <c r="C360">
        <f>IF(ISNA(MATCH(347,Engine!$C$2:$C$630,0)),"",INDEX('Compliance Database'!$C$2:$C$630,MATCH(347,Engine!$C$2:$C$630,0)))</f>
        <v/>
      </c>
      <c r="D360" s="8">
        <f>IF(ISNA(MATCH(347,Engine!$C$2:$C$630,0)),"",INDEX('Compliance Database'!$D$2:$D$630,MATCH(347,Engine!$C$2:$C$630,0)))</f>
        <v/>
      </c>
      <c r="E360">
        <f>IF(ISNA(MATCH(347,Engine!$C$2:$C$630,0)),"",INDEX('Compliance Database'!$E$2:$E$630,MATCH(347,Engine!$C$2:$C$630,0)))</f>
        <v/>
      </c>
      <c r="F360">
        <f>IF(ISNA(MATCH(347,Engine!$C$2:$C$630,0)),"",INDEX('Compliance Database'!$F$2:$F$630,MATCH(347,Engine!$C$2:$C$630,0)))</f>
        <v/>
      </c>
      <c r="G360">
        <f>IF(ISNA(MATCH(347,Engine!$C$2:$C$630,0)),"",INDEX('Compliance Database'!$G$2:$G$630,MATCH(347,Engine!$C$2:$C$630,0)))</f>
        <v/>
      </c>
      <c r="H360">
        <f>IF(ISNA(MATCH(347,Engine!$C$2:$C$630,0)),"",INDEX('Compliance Database'!$H$2:$H$630,MATCH(347,Engine!$C$2:$C$630,0)))</f>
        <v/>
      </c>
      <c r="I360" s="8">
        <f>IF(ISNA(MATCH(347,Engine!$C$2:$C$630,0)),"",INDEX('Compliance Database'!$I$2:$I$630,MATCH(347,Engine!$C$2:$C$630,0)))</f>
        <v/>
      </c>
      <c r="J360" s="8">
        <f>IF(ISNA(MATCH(347,Engine!$C$2:$C$630,0)),"",INDEX('Compliance Database'!$J$2:$J$630,MATCH(347,Engine!$C$2:$C$630,0)))</f>
        <v/>
      </c>
      <c r="K360">
        <f>IF(ISNA(MATCH(347,Engine!$C$2:$C$630,0)),"",INDEX('Compliance Database'!$K$2:$K$630,MATCH(347,Engine!$C$2:$C$630,0)))</f>
        <v/>
      </c>
      <c r="L360" s="8">
        <f>IF(ISNA(MATCH(347,Engine!$C$2:$C$630,0)),"",INDEX('Compliance Database'!$L$2:$L$630,MATCH(347,Engine!$C$2:$C$630,0)))</f>
        <v/>
      </c>
      <c r="M360" s="8">
        <f>IF(ISNA(MATCH(347,Engine!$C$2:$C$630,0)),"",INDEX('Compliance Database'!$M$2:$M$630,MATCH(347,Engine!$C$2:$C$630,0)))</f>
        <v/>
      </c>
      <c r="N360" s="8">
        <f>IF(ISNA(MATCH(347,Engine!$C$2:$C$630,0)),"",INDEX('Compliance Database'!$N$2:$N$630,MATCH(347,Engine!$C$2:$C$630,0)))</f>
        <v/>
      </c>
      <c r="O360" s="8">
        <f>IF(ISNA(MATCH(347,Engine!$C$2:$C$630,0)),"",INDEX('Compliance Database'!$O$2:$O$630,MATCH(347,Engine!$C$2:$C$630,0)))</f>
        <v/>
      </c>
    </row>
    <row r="361">
      <c r="A361">
        <f>IF(ISNA(MATCH(348,Engine!$C$2:$C$630,0)),"",INDEX('Compliance Database'!$A$2:$A$630,MATCH(348,Engine!$C$2:$C$630,0)))</f>
        <v/>
      </c>
      <c r="B361">
        <f>IF(ISNA(MATCH(348,Engine!$C$2:$C$630,0)),"",INDEX('Compliance Database'!$B$2:$B$630,MATCH(348,Engine!$C$2:$C$630,0)))</f>
        <v/>
      </c>
      <c r="C361">
        <f>IF(ISNA(MATCH(348,Engine!$C$2:$C$630,0)),"",INDEX('Compliance Database'!$C$2:$C$630,MATCH(348,Engine!$C$2:$C$630,0)))</f>
        <v/>
      </c>
      <c r="D361" s="8">
        <f>IF(ISNA(MATCH(348,Engine!$C$2:$C$630,0)),"",INDEX('Compliance Database'!$D$2:$D$630,MATCH(348,Engine!$C$2:$C$630,0)))</f>
        <v/>
      </c>
      <c r="E361">
        <f>IF(ISNA(MATCH(348,Engine!$C$2:$C$630,0)),"",INDEX('Compliance Database'!$E$2:$E$630,MATCH(348,Engine!$C$2:$C$630,0)))</f>
        <v/>
      </c>
      <c r="F361">
        <f>IF(ISNA(MATCH(348,Engine!$C$2:$C$630,0)),"",INDEX('Compliance Database'!$F$2:$F$630,MATCH(348,Engine!$C$2:$C$630,0)))</f>
        <v/>
      </c>
      <c r="G361">
        <f>IF(ISNA(MATCH(348,Engine!$C$2:$C$630,0)),"",INDEX('Compliance Database'!$G$2:$G$630,MATCH(348,Engine!$C$2:$C$630,0)))</f>
        <v/>
      </c>
      <c r="H361">
        <f>IF(ISNA(MATCH(348,Engine!$C$2:$C$630,0)),"",INDEX('Compliance Database'!$H$2:$H$630,MATCH(348,Engine!$C$2:$C$630,0)))</f>
        <v/>
      </c>
      <c r="I361" s="8">
        <f>IF(ISNA(MATCH(348,Engine!$C$2:$C$630,0)),"",INDEX('Compliance Database'!$I$2:$I$630,MATCH(348,Engine!$C$2:$C$630,0)))</f>
        <v/>
      </c>
      <c r="J361" s="8">
        <f>IF(ISNA(MATCH(348,Engine!$C$2:$C$630,0)),"",INDEX('Compliance Database'!$J$2:$J$630,MATCH(348,Engine!$C$2:$C$630,0)))</f>
        <v/>
      </c>
      <c r="K361">
        <f>IF(ISNA(MATCH(348,Engine!$C$2:$C$630,0)),"",INDEX('Compliance Database'!$K$2:$K$630,MATCH(348,Engine!$C$2:$C$630,0)))</f>
        <v/>
      </c>
      <c r="L361" s="8">
        <f>IF(ISNA(MATCH(348,Engine!$C$2:$C$630,0)),"",INDEX('Compliance Database'!$L$2:$L$630,MATCH(348,Engine!$C$2:$C$630,0)))</f>
        <v/>
      </c>
      <c r="M361" s="8">
        <f>IF(ISNA(MATCH(348,Engine!$C$2:$C$630,0)),"",INDEX('Compliance Database'!$M$2:$M$630,MATCH(348,Engine!$C$2:$C$630,0)))</f>
        <v/>
      </c>
      <c r="N361" s="8">
        <f>IF(ISNA(MATCH(348,Engine!$C$2:$C$630,0)),"",INDEX('Compliance Database'!$N$2:$N$630,MATCH(348,Engine!$C$2:$C$630,0)))</f>
        <v/>
      </c>
      <c r="O361" s="8">
        <f>IF(ISNA(MATCH(348,Engine!$C$2:$C$630,0)),"",INDEX('Compliance Database'!$O$2:$O$630,MATCH(348,Engine!$C$2:$C$630,0)))</f>
        <v/>
      </c>
    </row>
    <row r="362">
      <c r="A362">
        <f>IF(ISNA(MATCH(349,Engine!$C$2:$C$630,0)),"",INDEX('Compliance Database'!$A$2:$A$630,MATCH(349,Engine!$C$2:$C$630,0)))</f>
        <v/>
      </c>
      <c r="B362">
        <f>IF(ISNA(MATCH(349,Engine!$C$2:$C$630,0)),"",INDEX('Compliance Database'!$B$2:$B$630,MATCH(349,Engine!$C$2:$C$630,0)))</f>
        <v/>
      </c>
      <c r="C362">
        <f>IF(ISNA(MATCH(349,Engine!$C$2:$C$630,0)),"",INDEX('Compliance Database'!$C$2:$C$630,MATCH(349,Engine!$C$2:$C$630,0)))</f>
        <v/>
      </c>
      <c r="D362" s="8">
        <f>IF(ISNA(MATCH(349,Engine!$C$2:$C$630,0)),"",INDEX('Compliance Database'!$D$2:$D$630,MATCH(349,Engine!$C$2:$C$630,0)))</f>
        <v/>
      </c>
      <c r="E362">
        <f>IF(ISNA(MATCH(349,Engine!$C$2:$C$630,0)),"",INDEX('Compliance Database'!$E$2:$E$630,MATCH(349,Engine!$C$2:$C$630,0)))</f>
        <v/>
      </c>
      <c r="F362">
        <f>IF(ISNA(MATCH(349,Engine!$C$2:$C$630,0)),"",INDEX('Compliance Database'!$F$2:$F$630,MATCH(349,Engine!$C$2:$C$630,0)))</f>
        <v/>
      </c>
      <c r="G362">
        <f>IF(ISNA(MATCH(349,Engine!$C$2:$C$630,0)),"",INDEX('Compliance Database'!$G$2:$G$630,MATCH(349,Engine!$C$2:$C$630,0)))</f>
        <v/>
      </c>
      <c r="H362">
        <f>IF(ISNA(MATCH(349,Engine!$C$2:$C$630,0)),"",INDEX('Compliance Database'!$H$2:$H$630,MATCH(349,Engine!$C$2:$C$630,0)))</f>
        <v/>
      </c>
      <c r="I362" s="8">
        <f>IF(ISNA(MATCH(349,Engine!$C$2:$C$630,0)),"",INDEX('Compliance Database'!$I$2:$I$630,MATCH(349,Engine!$C$2:$C$630,0)))</f>
        <v/>
      </c>
      <c r="J362" s="8">
        <f>IF(ISNA(MATCH(349,Engine!$C$2:$C$630,0)),"",INDEX('Compliance Database'!$J$2:$J$630,MATCH(349,Engine!$C$2:$C$630,0)))</f>
        <v/>
      </c>
      <c r="K362">
        <f>IF(ISNA(MATCH(349,Engine!$C$2:$C$630,0)),"",INDEX('Compliance Database'!$K$2:$K$630,MATCH(349,Engine!$C$2:$C$630,0)))</f>
        <v/>
      </c>
      <c r="L362" s="8">
        <f>IF(ISNA(MATCH(349,Engine!$C$2:$C$630,0)),"",INDEX('Compliance Database'!$L$2:$L$630,MATCH(349,Engine!$C$2:$C$630,0)))</f>
        <v/>
      </c>
      <c r="M362" s="8">
        <f>IF(ISNA(MATCH(349,Engine!$C$2:$C$630,0)),"",INDEX('Compliance Database'!$M$2:$M$630,MATCH(349,Engine!$C$2:$C$630,0)))</f>
        <v/>
      </c>
      <c r="N362" s="8">
        <f>IF(ISNA(MATCH(349,Engine!$C$2:$C$630,0)),"",INDEX('Compliance Database'!$N$2:$N$630,MATCH(349,Engine!$C$2:$C$630,0)))</f>
        <v/>
      </c>
      <c r="O362" s="8">
        <f>IF(ISNA(MATCH(349,Engine!$C$2:$C$630,0)),"",INDEX('Compliance Database'!$O$2:$O$630,MATCH(349,Engine!$C$2:$C$630,0)))</f>
        <v/>
      </c>
    </row>
    <row r="363">
      <c r="A363">
        <f>IF(ISNA(MATCH(350,Engine!$C$2:$C$630,0)),"",INDEX('Compliance Database'!$A$2:$A$630,MATCH(350,Engine!$C$2:$C$630,0)))</f>
        <v/>
      </c>
      <c r="B363">
        <f>IF(ISNA(MATCH(350,Engine!$C$2:$C$630,0)),"",INDEX('Compliance Database'!$B$2:$B$630,MATCH(350,Engine!$C$2:$C$630,0)))</f>
        <v/>
      </c>
      <c r="C363">
        <f>IF(ISNA(MATCH(350,Engine!$C$2:$C$630,0)),"",INDEX('Compliance Database'!$C$2:$C$630,MATCH(350,Engine!$C$2:$C$630,0)))</f>
        <v/>
      </c>
      <c r="D363" s="8">
        <f>IF(ISNA(MATCH(350,Engine!$C$2:$C$630,0)),"",INDEX('Compliance Database'!$D$2:$D$630,MATCH(350,Engine!$C$2:$C$630,0)))</f>
        <v/>
      </c>
      <c r="E363">
        <f>IF(ISNA(MATCH(350,Engine!$C$2:$C$630,0)),"",INDEX('Compliance Database'!$E$2:$E$630,MATCH(350,Engine!$C$2:$C$630,0)))</f>
        <v/>
      </c>
      <c r="F363">
        <f>IF(ISNA(MATCH(350,Engine!$C$2:$C$630,0)),"",INDEX('Compliance Database'!$F$2:$F$630,MATCH(350,Engine!$C$2:$C$630,0)))</f>
        <v/>
      </c>
      <c r="G363">
        <f>IF(ISNA(MATCH(350,Engine!$C$2:$C$630,0)),"",INDEX('Compliance Database'!$G$2:$G$630,MATCH(350,Engine!$C$2:$C$630,0)))</f>
        <v/>
      </c>
      <c r="H363">
        <f>IF(ISNA(MATCH(350,Engine!$C$2:$C$630,0)),"",INDEX('Compliance Database'!$H$2:$H$630,MATCH(350,Engine!$C$2:$C$630,0)))</f>
        <v/>
      </c>
      <c r="I363" s="8">
        <f>IF(ISNA(MATCH(350,Engine!$C$2:$C$630,0)),"",INDEX('Compliance Database'!$I$2:$I$630,MATCH(350,Engine!$C$2:$C$630,0)))</f>
        <v/>
      </c>
      <c r="J363" s="8">
        <f>IF(ISNA(MATCH(350,Engine!$C$2:$C$630,0)),"",INDEX('Compliance Database'!$J$2:$J$630,MATCH(350,Engine!$C$2:$C$630,0)))</f>
        <v/>
      </c>
      <c r="K363">
        <f>IF(ISNA(MATCH(350,Engine!$C$2:$C$630,0)),"",INDEX('Compliance Database'!$K$2:$K$630,MATCH(350,Engine!$C$2:$C$630,0)))</f>
        <v/>
      </c>
      <c r="L363" s="8">
        <f>IF(ISNA(MATCH(350,Engine!$C$2:$C$630,0)),"",INDEX('Compliance Database'!$L$2:$L$630,MATCH(350,Engine!$C$2:$C$630,0)))</f>
        <v/>
      </c>
      <c r="M363" s="8">
        <f>IF(ISNA(MATCH(350,Engine!$C$2:$C$630,0)),"",INDEX('Compliance Database'!$M$2:$M$630,MATCH(350,Engine!$C$2:$C$630,0)))</f>
        <v/>
      </c>
      <c r="N363" s="8">
        <f>IF(ISNA(MATCH(350,Engine!$C$2:$C$630,0)),"",INDEX('Compliance Database'!$N$2:$N$630,MATCH(350,Engine!$C$2:$C$630,0)))</f>
        <v/>
      </c>
      <c r="O363" s="8">
        <f>IF(ISNA(MATCH(350,Engine!$C$2:$C$630,0)),"",INDEX('Compliance Database'!$O$2:$O$630,MATCH(350,Engine!$C$2:$C$630,0)))</f>
        <v/>
      </c>
    </row>
    <row r="364">
      <c r="A364">
        <f>IF(ISNA(MATCH(351,Engine!$C$2:$C$630,0)),"",INDEX('Compliance Database'!$A$2:$A$630,MATCH(351,Engine!$C$2:$C$630,0)))</f>
        <v/>
      </c>
      <c r="B364">
        <f>IF(ISNA(MATCH(351,Engine!$C$2:$C$630,0)),"",INDEX('Compliance Database'!$B$2:$B$630,MATCH(351,Engine!$C$2:$C$630,0)))</f>
        <v/>
      </c>
      <c r="C364">
        <f>IF(ISNA(MATCH(351,Engine!$C$2:$C$630,0)),"",INDEX('Compliance Database'!$C$2:$C$630,MATCH(351,Engine!$C$2:$C$630,0)))</f>
        <v/>
      </c>
      <c r="D364" s="8">
        <f>IF(ISNA(MATCH(351,Engine!$C$2:$C$630,0)),"",INDEX('Compliance Database'!$D$2:$D$630,MATCH(351,Engine!$C$2:$C$630,0)))</f>
        <v/>
      </c>
      <c r="E364">
        <f>IF(ISNA(MATCH(351,Engine!$C$2:$C$630,0)),"",INDEX('Compliance Database'!$E$2:$E$630,MATCH(351,Engine!$C$2:$C$630,0)))</f>
        <v/>
      </c>
      <c r="F364">
        <f>IF(ISNA(MATCH(351,Engine!$C$2:$C$630,0)),"",INDEX('Compliance Database'!$F$2:$F$630,MATCH(351,Engine!$C$2:$C$630,0)))</f>
        <v/>
      </c>
      <c r="G364">
        <f>IF(ISNA(MATCH(351,Engine!$C$2:$C$630,0)),"",INDEX('Compliance Database'!$G$2:$G$630,MATCH(351,Engine!$C$2:$C$630,0)))</f>
        <v/>
      </c>
      <c r="H364">
        <f>IF(ISNA(MATCH(351,Engine!$C$2:$C$630,0)),"",INDEX('Compliance Database'!$H$2:$H$630,MATCH(351,Engine!$C$2:$C$630,0)))</f>
        <v/>
      </c>
      <c r="I364" s="8">
        <f>IF(ISNA(MATCH(351,Engine!$C$2:$C$630,0)),"",INDEX('Compliance Database'!$I$2:$I$630,MATCH(351,Engine!$C$2:$C$630,0)))</f>
        <v/>
      </c>
      <c r="J364" s="8">
        <f>IF(ISNA(MATCH(351,Engine!$C$2:$C$630,0)),"",INDEX('Compliance Database'!$J$2:$J$630,MATCH(351,Engine!$C$2:$C$630,0)))</f>
        <v/>
      </c>
      <c r="K364">
        <f>IF(ISNA(MATCH(351,Engine!$C$2:$C$630,0)),"",INDEX('Compliance Database'!$K$2:$K$630,MATCH(351,Engine!$C$2:$C$630,0)))</f>
        <v/>
      </c>
      <c r="L364" s="8">
        <f>IF(ISNA(MATCH(351,Engine!$C$2:$C$630,0)),"",INDEX('Compliance Database'!$L$2:$L$630,MATCH(351,Engine!$C$2:$C$630,0)))</f>
        <v/>
      </c>
      <c r="M364" s="8">
        <f>IF(ISNA(MATCH(351,Engine!$C$2:$C$630,0)),"",INDEX('Compliance Database'!$M$2:$M$630,MATCH(351,Engine!$C$2:$C$630,0)))</f>
        <v/>
      </c>
      <c r="N364" s="8">
        <f>IF(ISNA(MATCH(351,Engine!$C$2:$C$630,0)),"",INDEX('Compliance Database'!$N$2:$N$630,MATCH(351,Engine!$C$2:$C$630,0)))</f>
        <v/>
      </c>
      <c r="O364" s="8">
        <f>IF(ISNA(MATCH(351,Engine!$C$2:$C$630,0)),"",INDEX('Compliance Database'!$O$2:$O$630,MATCH(351,Engine!$C$2:$C$630,0)))</f>
        <v/>
      </c>
    </row>
    <row r="365">
      <c r="A365">
        <f>IF(ISNA(MATCH(352,Engine!$C$2:$C$630,0)),"",INDEX('Compliance Database'!$A$2:$A$630,MATCH(352,Engine!$C$2:$C$630,0)))</f>
        <v/>
      </c>
      <c r="B365">
        <f>IF(ISNA(MATCH(352,Engine!$C$2:$C$630,0)),"",INDEX('Compliance Database'!$B$2:$B$630,MATCH(352,Engine!$C$2:$C$630,0)))</f>
        <v/>
      </c>
      <c r="C365">
        <f>IF(ISNA(MATCH(352,Engine!$C$2:$C$630,0)),"",INDEX('Compliance Database'!$C$2:$C$630,MATCH(352,Engine!$C$2:$C$630,0)))</f>
        <v/>
      </c>
      <c r="D365" s="8">
        <f>IF(ISNA(MATCH(352,Engine!$C$2:$C$630,0)),"",INDEX('Compliance Database'!$D$2:$D$630,MATCH(352,Engine!$C$2:$C$630,0)))</f>
        <v/>
      </c>
      <c r="E365">
        <f>IF(ISNA(MATCH(352,Engine!$C$2:$C$630,0)),"",INDEX('Compliance Database'!$E$2:$E$630,MATCH(352,Engine!$C$2:$C$630,0)))</f>
        <v/>
      </c>
      <c r="F365">
        <f>IF(ISNA(MATCH(352,Engine!$C$2:$C$630,0)),"",INDEX('Compliance Database'!$F$2:$F$630,MATCH(352,Engine!$C$2:$C$630,0)))</f>
        <v/>
      </c>
      <c r="G365">
        <f>IF(ISNA(MATCH(352,Engine!$C$2:$C$630,0)),"",INDEX('Compliance Database'!$G$2:$G$630,MATCH(352,Engine!$C$2:$C$630,0)))</f>
        <v/>
      </c>
      <c r="H365">
        <f>IF(ISNA(MATCH(352,Engine!$C$2:$C$630,0)),"",INDEX('Compliance Database'!$H$2:$H$630,MATCH(352,Engine!$C$2:$C$630,0)))</f>
        <v/>
      </c>
      <c r="I365" s="8">
        <f>IF(ISNA(MATCH(352,Engine!$C$2:$C$630,0)),"",INDEX('Compliance Database'!$I$2:$I$630,MATCH(352,Engine!$C$2:$C$630,0)))</f>
        <v/>
      </c>
      <c r="J365" s="8">
        <f>IF(ISNA(MATCH(352,Engine!$C$2:$C$630,0)),"",INDEX('Compliance Database'!$J$2:$J$630,MATCH(352,Engine!$C$2:$C$630,0)))</f>
        <v/>
      </c>
      <c r="K365">
        <f>IF(ISNA(MATCH(352,Engine!$C$2:$C$630,0)),"",INDEX('Compliance Database'!$K$2:$K$630,MATCH(352,Engine!$C$2:$C$630,0)))</f>
        <v/>
      </c>
      <c r="L365" s="8">
        <f>IF(ISNA(MATCH(352,Engine!$C$2:$C$630,0)),"",INDEX('Compliance Database'!$L$2:$L$630,MATCH(352,Engine!$C$2:$C$630,0)))</f>
        <v/>
      </c>
      <c r="M365" s="8">
        <f>IF(ISNA(MATCH(352,Engine!$C$2:$C$630,0)),"",INDEX('Compliance Database'!$M$2:$M$630,MATCH(352,Engine!$C$2:$C$630,0)))</f>
        <v/>
      </c>
      <c r="N365" s="8">
        <f>IF(ISNA(MATCH(352,Engine!$C$2:$C$630,0)),"",INDEX('Compliance Database'!$N$2:$N$630,MATCH(352,Engine!$C$2:$C$630,0)))</f>
        <v/>
      </c>
      <c r="O365" s="8">
        <f>IF(ISNA(MATCH(352,Engine!$C$2:$C$630,0)),"",INDEX('Compliance Database'!$O$2:$O$630,MATCH(352,Engine!$C$2:$C$630,0)))</f>
        <v/>
      </c>
    </row>
    <row r="366">
      <c r="A366">
        <f>IF(ISNA(MATCH(353,Engine!$C$2:$C$630,0)),"",INDEX('Compliance Database'!$A$2:$A$630,MATCH(353,Engine!$C$2:$C$630,0)))</f>
        <v/>
      </c>
      <c r="B366">
        <f>IF(ISNA(MATCH(353,Engine!$C$2:$C$630,0)),"",INDEX('Compliance Database'!$B$2:$B$630,MATCH(353,Engine!$C$2:$C$630,0)))</f>
        <v/>
      </c>
      <c r="C366">
        <f>IF(ISNA(MATCH(353,Engine!$C$2:$C$630,0)),"",INDEX('Compliance Database'!$C$2:$C$630,MATCH(353,Engine!$C$2:$C$630,0)))</f>
        <v/>
      </c>
      <c r="D366" s="8">
        <f>IF(ISNA(MATCH(353,Engine!$C$2:$C$630,0)),"",INDEX('Compliance Database'!$D$2:$D$630,MATCH(353,Engine!$C$2:$C$630,0)))</f>
        <v/>
      </c>
      <c r="E366">
        <f>IF(ISNA(MATCH(353,Engine!$C$2:$C$630,0)),"",INDEX('Compliance Database'!$E$2:$E$630,MATCH(353,Engine!$C$2:$C$630,0)))</f>
        <v/>
      </c>
      <c r="F366">
        <f>IF(ISNA(MATCH(353,Engine!$C$2:$C$630,0)),"",INDEX('Compliance Database'!$F$2:$F$630,MATCH(353,Engine!$C$2:$C$630,0)))</f>
        <v/>
      </c>
      <c r="G366">
        <f>IF(ISNA(MATCH(353,Engine!$C$2:$C$630,0)),"",INDEX('Compliance Database'!$G$2:$G$630,MATCH(353,Engine!$C$2:$C$630,0)))</f>
        <v/>
      </c>
      <c r="H366">
        <f>IF(ISNA(MATCH(353,Engine!$C$2:$C$630,0)),"",INDEX('Compliance Database'!$H$2:$H$630,MATCH(353,Engine!$C$2:$C$630,0)))</f>
        <v/>
      </c>
      <c r="I366" s="8">
        <f>IF(ISNA(MATCH(353,Engine!$C$2:$C$630,0)),"",INDEX('Compliance Database'!$I$2:$I$630,MATCH(353,Engine!$C$2:$C$630,0)))</f>
        <v/>
      </c>
      <c r="J366" s="8">
        <f>IF(ISNA(MATCH(353,Engine!$C$2:$C$630,0)),"",INDEX('Compliance Database'!$J$2:$J$630,MATCH(353,Engine!$C$2:$C$630,0)))</f>
        <v/>
      </c>
      <c r="K366">
        <f>IF(ISNA(MATCH(353,Engine!$C$2:$C$630,0)),"",INDEX('Compliance Database'!$K$2:$K$630,MATCH(353,Engine!$C$2:$C$630,0)))</f>
        <v/>
      </c>
      <c r="L366" s="8">
        <f>IF(ISNA(MATCH(353,Engine!$C$2:$C$630,0)),"",INDEX('Compliance Database'!$L$2:$L$630,MATCH(353,Engine!$C$2:$C$630,0)))</f>
        <v/>
      </c>
      <c r="M366" s="8">
        <f>IF(ISNA(MATCH(353,Engine!$C$2:$C$630,0)),"",INDEX('Compliance Database'!$M$2:$M$630,MATCH(353,Engine!$C$2:$C$630,0)))</f>
        <v/>
      </c>
      <c r="N366" s="8">
        <f>IF(ISNA(MATCH(353,Engine!$C$2:$C$630,0)),"",INDEX('Compliance Database'!$N$2:$N$630,MATCH(353,Engine!$C$2:$C$630,0)))</f>
        <v/>
      </c>
      <c r="O366" s="8">
        <f>IF(ISNA(MATCH(353,Engine!$C$2:$C$630,0)),"",INDEX('Compliance Database'!$O$2:$O$630,MATCH(353,Engine!$C$2:$C$630,0)))</f>
        <v/>
      </c>
    </row>
    <row r="367">
      <c r="A367">
        <f>IF(ISNA(MATCH(354,Engine!$C$2:$C$630,0)),"",INDEX('Compliance Database'!$A$2:$A$630,MATCH(354,Engine!$C$2:$C$630,0)))</f>
        <v/>
      </c>
      <c r="B367">
        <f>IF(ISNA(MATCH(354,Engine!$C$2:$C$630,0)),"",INDEX('Compliance Database'!$B$2:$B$630,MATCH(354,Engine!$C$2:$C$630,0)))</f>
        <v/>
      </c>
      <c r="C367">
        <f>IF(ISNA(MATCH(354,Engine!$C$2:$C$630,0)),"",INDEX('Compliance Database'!$C$2:$C$630,MATCH(354,Engine!$C$2:$C$630,0)))</f>
        <v/>
      </c>
      <c r="D367" s="8">
        <f>IF(ISNA(MATCH(354,Engine!$C$2:$C$630,0)),"",INDEX('Compliance Database'!$D$2:$D$630,MATCH(354,Engine!$C$2:$C$630,0)))</f>
        <v/>
      </c>
      <c r="E367">
        <f>IF(ISNA(MATCH(354,Engine!$C$2:$C$630,0)),"",INDEX('Compliance Database'!$E$2:$E$630,MATCH(354,Engine!$C$2:$C$630,0)))</f>
        <v/>
      </c>
      <c r="F367">
        <f>IF(ISNA(MATCH(354,Engine!$C$2:$C$630,0)),"",INDEX('Compliance Database'!$F$2:$F$630,MATCH(354,Engine!$C$2:$C$630,0)))</f>
        <v/>
      </c>
      <c r="G367">
        <f>IF(ISNA(MATCH(354,Engine!$C$2:$C$630,0)),"",INDEX('Compliance Database'!$G$2:$G$630,MATCH(354,Engine!$C$2:$C$630,0)))</f>
        <v/>
      </c>
      <c r="H367">
        <f>IF(ISNA(MATCH(354,Engine!$C$2:$C$630,0)),"",INDEX('Compliance Database'!$H$2:$H$630,MATCH(354,Engine!$C$2:$C$630,0)))</f>
        <v/>
      </c>
      <c r="I367" s="8">
        <f>IF(ISNA(MATCH(354,Engine!$C$2:$C$630,0)),"",INDEX('Compliance Database'!$I$2:$I$630,MATCH(354,Engine!$C$2:$C$630,0)))</f>
        <v/>
      </c>
      <c r="J367" s="8">
        <f>IF(ISNA(MATCH(354,Engine!$C$2:$C$630,0)),"",INDEX('Compliance Database'!$J$2:$J$630,MATCH(354,Engine!$C$2:$C$630,0)))</f>
        <v/>
      </c>
      <c r="K367">
        <f>IF(ISNA(MATCH(354,Engine!$C$2:$C$630,0)),"",INDEX('Compliance Database'!$K$2:$K$630,MATCH(354,Engine!$C$2:$C$630,0)))</f>
        <v/>
      </c>
      <c r="L367" s="8">
        <f>IF(ISNA(MATCH(354,Engine!$C$2:$C$630,0)),"",INDEX('Compliance Database'!$L$2:$L$630,MATCH(354,Engine!$C$2:$C$630,0)))</f>
        <v/>
      </c>
      <c r="M367" s="8">
        <f>IF(ISNA(MATCH(354,Engine!$C$2:$C$630,0)),"",INDEX('Compliance Database'!$M$2:$M$630,MATCH(354,Engine!$C$2:$C$630,0)))</f>
        <v/>
      </c>
      <c r="N367" s="8">
        <f>IF(ISNA(MATCH(354,Engine!$C$2:$C$630,0)),"",INDEX('Compliance Database'!$N$2:$N$630,MATCH(354,Engine!$C$2:$C$630,0)))</f>
        <v/>
      </c>
      <c r="O367" s="8">
        <f>IF(ISNA(MATCH(354,Engine!$C$2:$C$630,0)),"",INDEX('Compliance Database'!$O$2:$O$630,MATCH(354,Engine!$C$2:$C$630,0)))</f>
        <v/>
      </c>
    </row>
    <row r="368">
      <c r="A368">
        <f>IF(ISNA(MATCH(355,Engine!$C$2:$C$630,0)),"",INDEX('Compliance Database'!$A$2:$A$630,MATCH(355,Engine!$C$2:$C$630,0)))</f>
        <v/>
      </c>
      <c r="B368">
        <f>IF(ISNA(MATCH(355,Engine!$C$2:$C$630,0)),"",INDEX('Compliance Database'!$B$2:$B$630,MATCH(355,Engine!$C$2:$C$630,0)))</f>
        <v/>
      </c>
      <c r="C368">
        <f>IF(ISNA(MATCH(355,Engine!$C$2:$C$630,0)),"",INDEX('Compliance Database'!$C$2:$C$630,MATCH(355,Engine!$C$2:$C$630,0)))</f>
        <v/>
      </c>
      <c r="D368" s="8">
        <f>IF(ISNA(MATCH(355,Engine!$C$2:$C$630,0)),"",INDEX('Compliance Database'!$D$2:$D$630,MATCH(355,Engine!$C$2:$C$630,0)))</f>
        <v/>
      </c>
      <c r="E368">
        <f>IF(ISNA(MATCH(355,Engine!$C$2:$C$630,0)),"",INDEX('Compliance Database'!$E$2:$E$630,MATCH(355,Engine!$C$2:$C$630,0)))</f>
        <v/>
      </c>
      <c r="F368">
        <f>IF(ISNA(MATCH(355,Engine!$C$2:$C$630,0)),"",INDEX('Compliance Database'!$F$2:$F$630,MATCH(355,Engine!$C$2:$C$630,0)))</f>
        <v/>
      </c>
      <c r="G368">
        <f>IF(ISNA(MATCH(355,Engine!$C$2:$C$630,0)),"",INDEX('Compliance Database'!$G$2:$G$630,MATCH(355,Engine!$C$2:$C$630,0)))</f>
        <v/>
      </c>
      <c r="H368">
        <f>IF(ISNA(MATCH(355,Engine!$C$2:$C$630,0)),"",INDEX('Compliance Database'!$H$2:$H$630,MATCH(355,Engine!$C$2:$C$630,0)))</f>
        <v/>
      </c>
      <c r="I368" s="8">
        <f>IF(ISNA(MATCH(355,Engine!$C$2:$C$630,0)),"",INDEX('Compliance Database'!$I$2:$I$630,MATCH(355,Engine!$C$2:$C$630,0)))</f>
        <v/>
      </c>
      <c r="J368" s="8">
        <f>IF(ISNA(MATCH(355,Engine!$C$2:$C$630,0)),"",INDEX('Compliance Database'!$J$2:$J$630,MATCH(355,Engine!$C$2:$C$630,0)))</f>
        <v/>
      </c>
      <c r="K368">
        <f>IF(ISNA(MATCH(355,Engine!$C$2:$C$630,0)),"",INDEX('Compliance Database'!$K$2:$K$630,MATCH(355,Engine!$C$2:$C$630,0)))</f>
        <v/>
      </c>
      <c r="L368" s="8">
        <f>IF(ISNA(MATCH(355,Engine!$C$2:$C$630,0)),"",INDEX('Compliance Database'!$L$2:$L$630,MATCH(355,Engine!$C$2:$C$630,0)))</f>
        <v/>
      </c>
      <c r="M368" s="8">
        <f>IF(ISNA(MATCH(355,Engine!$C$2:$C$630,0)),"",INDEX('Compliance Database'!$M$2:$M$630,MATCH(355,Engine!$C$2:$C$630,0)))</f>
        <v/>
      </c>
      <c r="N368" s="8">
        <f>IF(ISNA(MATCH(355,Engine!$C$2:$C$630,0)),"",INDEX('Compliance Database'!$N$2:$N$630,MATCH(355,Engine!$C$2:$C$630,0)))</f>
        <v/>
      </c>
      <c r="O368" s="8">
        <f>IF(ISNA(MATCH(355,Engine!$C$2:$C$630,0)),"",INDEX('Compliance Database'!$O$2:$O$630,MATCH(355,Engine!$C$2:$C$630,0)))</f>
        <v/>
      </c>
    </row>
    <row r="369">
      <c r="A369">
        <f>IF(ISNA(MATCH(356,Engine!$C$2:$C$630,0)),"",INDEX('Compliance Database'!$A$2:$A$630,MATCH(356,Engine!$C$2:$C$630,0)))</f>
        <v/>
      </c>
      <c r="B369">
        <f>IF(ISNA(MATCH(356,Engine!$C$2:$C$630,0)),"",INDEX('Compliance Database'!$B$2:$B$630,MATCH(356,Engine!$C$2:$C$630,0)))</f>
        <v/>
      </c>
      <c r="C369">
        <f>IF(ISNA(MATCH(356,Engine!$C$2:$C$630,0)),"",INDEX('Compliance Database'!$C$2:$C$630,MATCH(356,Engine!$C$2:$C$630,0)))</f>
        <v/>
      </c>
      <c r="D369" s="8">
        <f>IF(ISNA(MATCH(356,Engine!$C$2:$C$630,0)),"",INDEX('Compliance Database'!$D$2:$D$630,MATCH(356,Engine!$C$2:$C$630,0)))</f>
        <v/>
      </c>
      <c r="E369">
        <f>IF(ISNA(MATCH(356,Engine!$C$2:$C$630,0)),"",INDEX('Compliance Database'!$E$2:$E$630,MATCH(356,Engine!$C$2:$C$630,0)))</f>
        <v/>
      </c>
      <c r="F369">
        <f>IF(ISNA(MATCH(356,Engine!$C$2:$C$630,0)),"",INDEX('Compliance Database'!$F$2:$F$630,MATCH(356,Engine!$C$2:$C$630,0)))</f>
        <v/>
      </c>
      <c r="G369">
        <f>IF(ISNA(MATCH(356,Engine!$C$2:$C$630,0)),"",INDEX('Compliance Database'!$G$2:$G$630,MATCH(356,Engine!$C$2:$C$630,0)))</f>
        <v/>
      </c>
      <c r="H369">
        <f>IF(ISNA(MATCH(356,Engine!$C$2:$C$630,0)),"",INDEX('Compliance Database'!$H$2:$H$630,MATCH(356,Engine!$C$2:$C$630,0)))</f>
        <v/>
      </c>
      <c r="I369" s="8">
        <f>IF(ISNA(MATCH(356,Engine!$C$2:$C$630,0)),"",INDEX('Compliance Database'!$I$2:$I$630,MATCH(356,Engine!$C$2:$C$630,0)))</f>
        <v/>
      </c>
      <c r="J369" s="8">
        <f>IF(ISNA(MATCH(356,Engine!$C$2:$C$630,0)),"",INDEX('Compliance Database'!$J$2:$J$630,MATCH(356,Engine!$C$2:$C$630,0)))</f>
        <v/>
      </c>
      <c r="K369">
        <f>IF(ISNA(MATCH(356,Engine!$C$2:$C$630,0)),"",INDEX('Compliance Database'!$K$2:$K$630,MATCH(356,Engine!$C$2:$C$630,0)))</f>
        <v/>
      </c>
      <c r="L369" s="8">
        <f>IF(ISNA(MATCH(356,Engine!$C$2:$C$630,0)),"",INDEX('Compliance Database'!$L$2:$L$630,MATCH(356,Engine!$C$2:$C$630,0)))</f>
        <v/>
      </c>
      <c r="M369" s="8">
        <f>IF(ISNA(MATCH(356,Engine!$C$2:$C$630,0)),"",INDEX('Compliance Database'!$M$2:$M$630,MATCH(356,Engine!$C$2:$C$630,0)))</f>
        <v/>
      </c>
      <c r="N369" s="8">
        <f>IF(ISNA(MATCH(356,Engine!$C$2:$C$630,0)),"",INDEX('Compliance Database'!$N$2:$N$630,MATCH(356,Engine!$C$2:$C$630,0)))</f>
        <v/>
      </c>
      <c r="O369" s="8">
        <f>IF(ISNA(MATCH(356,Engine!$C$2:$C$630,0)),"",INDEX('Compliance Database'!$O$2:$O$630,MATCH(356,Engine!$C$2:$C$630,0)))</f>
        <v/>
      </c>
    </row>
    <row r="370">
      <c r="A370">
        <f>IF(ISNA(MATCH(357,Engine!$C$2:$C$630,0)),"",INDEX('Compliance Database'!$A$2:$A$630,MATCH(357,Engine!$C$2:$C$630,0)))</f>
        <v/>
      </c>
      <c r="B370">
        <f>IF(ISNA(MATCH(357,Engine!$C$2:$C$630,0)),"",INDEX('Compliance Database'!$B$2:$B$630,MATCH(357,Engine!$C$2:$C$630,0)))</f>
        <v/>
      </c>
      <c r="C370">
        <f>IF(ISNA(MATCH(357,Engine!$C$2:$C$630,0)),"",INDEX('Compliance Database'!$C$2:$C$630,MATCH(357,Engine!$C$2:$C$630,0)))</f>
        <v/>
      </c>
      <c r="D370" s="8">
        <f>IF(ISNA(MATCH(357,Engine!$C$2:$C$630,0)),"",INDEX('Compliance Database'!$D$2:$D$630,MATCH(357,Engine!$C$2:$C$630,0)))</f>
        <v/>
      </c>
      <c r="E370">
        <f>IF(ISNA(MATCH(357,Engine!$C$2:$C$630,0)),"",INDEX('Compliance Database'!$E$2:$E$630,MATCH(357,Engine!$C$2:$C$630,0)))</f>
        <v/>
      </c>
      <c r="F370">
        <f>IF(ISNA(MATCH(357,Engine!$C$2:$C$630,0)),"",INDEX('Compliance Database'!$F$2:$F$630,MATCH(357,Engine!$C$2:$C$630,0)))</f>
        <v/>
      </c>
      <c r="G370">
        <f>IF(ISNA(MATCH(357,Engine!$C$2:$C$630,0)),"",INDEX('Compliance Database'!$G$2:$G$630,MATCH(357,Engine!$C$2:$C$630,0)))</f>
        <v/>
      </c>
      <c r="H370">
        <f>IF(ISNA(MATCH(357,Engine!$C$2:$C$630,0)),"",INDEX('Compliance Database'!$H$2:$H$630,MATCH(357,Engine!$C$2:$C$630,0)))</f>
        <v/>
      </c>
      <c r="I370" s="8">
        <f>IF(ISNA(MATCH(357,Engine!$C$2:$C$630,0)),"",INDEX('Compliance Database'!$I$2:$I$630,MATCH(357,Engine!$C$2:$C$630,0)))</f>
        <v/>
      </c>
      <c r="J370" s="8">
        <f>IF(ISNA(MATCH(357,Engine!$C$2:$C$630,0)),"",INDEX('Compliance Database'!$J$2:$J$630,MATCH(357,Engine!$C$2:$C$630,0)))</f>
        <v/>
      </c>
      <c r="K370">
        <f>IF(ISNA(MATCH(357,Engine!$C$2:$C$630,0)),"",INDEX('Compliance Database'!$K$2:$K$630,MATCH(357,Engine!$C$2:$C$630,0)))</f>
        <v/>
      </c>
      <c r="L370" s="8">
        <f>IF(ISNA(MATCH(357,Engine!$C$2:$C$630,0)),"",INDEX('Compliance Database'!$L$2:$L$630,MATCH(357,Engine!$C$2:$C$630,0)))</f>
        <v/>
      </c>
      <c r="M370" s="8">
        <f>IF(ISNA(MATCH(357,Engine!$C$2:$C$630,0)),"",INDEX('Compliance Database'!$M$2:$M$630,MATCH(357,Engine!$C$2:$C$630,0)))</f>
        <v/>
      </c>
      <c r="N370" s="8">
        <f>IF(ISNA(MATCH(357,Engine!$C$2:$C$630,0)),"",INDEX('Compliance Database'!$N$2:$N$630,MATCH(357,Engine!$C$2:$C$630,0)))</f>
        <v/>
      </c>
      <c r="O370" s="8">
        <f>IF(ISNA(MATCH(357,Engine!$C$2:$C$630,0)),"",INDEX('Compliance Database'!$O$2:$O$630,MATCH(357,Engine!$C$2:$C$630,0)))</f>
        <v/>
      </c>
    </row>
    <row r="371">
      <c r="A371">
        <f>IF(ISNA(MATCH(358,Engine!$C$2:$C$630,0)),"",INDEX('Compliance Database'!$A$2:$A$630,MATCH(358,Engine!$C$2:$C$630,0)))</f>
        <v/>
      </c>
      <c r="B371">
        <f>IF(ISNA(MATCH(358,Engine!$C$2:$C$630,0)),"",INDEX('Compliance Database'!$B$2:$B$630,MATCH(358,Engine!$C$2:$C$630,0)))</f>
        <v/>
      </c>
      <c r="C371">
        <f>IF(ISNA(MATCH(358,Engine!$C$2:$C$630,0)),"",INDEX('Compliance Database'!$C$2:$C$630,MATCH(358,Engine!$C$2:$C$630,0)))</f>
        <v/>
      </c>
      <c r="D371" s="8">
        <f>IF(ISNA(MATCH(358,Engine!$C$2:$C$630,0)),"",INDEX('Compliance Database'!$D$2:$D$630,MATCH(358,Engine!$C$2:$C$630,0)))</f>
        <v/>
      </c>
      <c r="E371">
        <f>IF(ISNA(MATCH(358,Engine!$C$2:$C$630,0)),"",INDEX('Compliance Database'!$E$2:$E$630,MATCH(358,Engine!$C$2:$C$630,0)))</f>
        <v/>
      </c>
      <c r="F371">
        <f>IF(ISNA(MATCH(358,Engine!$C$2:$C$630,0)),"",INDEX('Compliance Database'!$F$2:$F$630,MATCH(358,Engine!$C$2:$C$630,0)))</f>
        <v/>
      </c>
      <c r="G371">
        <f>IF(ISNA(MATCH(358,Engine!$C$2:$C$630,0)),"",INDEX('Compliance Database'!$G$2:$G$630,MATCH(358,Engine!$C$2:$C$630,0)))</f>
        <v/>
      </c>
      <c r="H371">
        <f>IF(ISNA(MATCH(358,Engine!$C$2:$C$630,0)),"",INDEX('Compliance Database'!$H$2:$H$630,MATCH(358,Engine!$C$2:$C$630,0)))</f>
        <v/>
      </c>
      <c r="I371" s="8">
        <f>IF(ISNA(MATCH(358,Engine!$C$2:$C$630,0)),"",INDEX('Compliance Database'!$I$2:$I$630,MATCH(358,Engine!$C$2:$C$630,0)))</f>
        <v/>
      </c>
      <c r="J371" s="8">
        <f>IF(ISNA(MATCH(358,Engine!$C$2:$C$630,0)),"",INDEX('Compliance Database'!$J$2:$J$630,MATCH(358,Engine!$C$2:$C$630,0)))</f>
        <v/>
      </c>
      <c r="K371">
        <f>IF(ISNA(MATCH(358,Engine!$C$2:$C$630,0)),"",INDEX('Compliance Database'!$K$2:$K$630,MATCH(358,Engine!$C$2:$C$630,0)))</f>
        <v/>
      </c>
      <c r="L371" s="8">
        <f>IF(ISNA(MATCH(358,Engine!$C$2:$C$630,0)),"",INDEX('Compliance Database'!$L$2:$L$630,MATCH(358,Engine!$C$2:$C$630,0)))</f>
        <v/>
      </c>
      <c r="M371" s="8">
        <f>IF(ISNA(MATCH(358,Engine!$C$2:$C$630,0)),"",INDEX('Compliance Database'!$M$2:$M$630,MATCH(358,Engine!$C$2:$C$630,0)))</f>
        <v/>
      </c>
      <c r="N371" s="8">
        <f>IF(ISNA(MATCH(358,Engine!$C$2:$C$630,0)),"",INDEX('Compliance Database'!$N$2:$N$630,MATCH(358,Engine!$C$2:$C$630,0)))</f>
        <v/>
      </c>
      <c r="O371" s="8">
        <f>IF(ISNA(MATCH(358,Engine!$C$2:$C$630,0)),"",INDEX('Compliance Database'!$O$2:$O$630,MATCH(358,Engine!$C$2:$C$630,0)))</f>
        <v/>
      </c>
    </row>
    <row r="372">
      <c r="A372">
        <f>IF(ISNA(MATCH(359,Engine!$C$2:$C$630,0)),"",INDEX('Compliance Database'!$A$2:$A$630,MATCH(359,Engine!$C$2:$C$630,0)))</f>
        <v/>
      </c>
      <c r="B372">
        <f>IF(ISNA(MATCH(359,Engine!$C$2:$C$630,0)),"",INDEX('Compliance Database'!$B$2:$B$630,MATCH(359,Engine!$C$2:$C$630,0)))</f>
        <v/>
      </c>
      <c r="C372">
        <f>IF(ISNA(MATCH(359,Engine!$C$2:$C$630,0)),"",INDEX('Compliance Database'!$C$2:$C$630,MATCH(359,Engine!$C$2:$C$630,0)))</f>
        <v/>
      </c>
      <c r="D372" s="8">
        <f>IF(ISNA(MATCH(359,Engine!$C$2:$C$630,0)),"",INDEX('Compliance Database'!$D$2:$D$630,MATCH(359,Engine!$C$2:$C$630,0)))</f>
        <v/>
      </c>
      <c r="E372">
        <f>IF(ISNA(MATCH(359,Engine!$C$2:$C$630,0)),"",INDEX('Compliance Database'!$E$2:$E$630,MATCH(359,Engine!$C$2:$C$630,0)))</f>
        <v/>
      </c>
      <c r="F372">
        <f>IF(ISNA(MATCH(359,Engine!$C$2:$C$630,0)),"",INDEX('Compliance Database'!$F$2:$F$630,MATCH(359,Engine!$C$2:$C$630,0)))</f>
        <v/>
      </c>
      <c r="G372">
        <f>IF(ISNA(MATCH(359,Engine!$C$2:$C$630,0)),"",INDEX('Compliance Database'!$G$2:$G$630,MATCH(359,Engine!$C$2:$C$630,0)))</f>
        <v/>
      </c>
      <c r="H372">
        <f>IF(ISNA(MATCH(359,Engine!$C$2:$C$630,0)),"",INDEX('Compliance Database'!$H$2:$H$630,MATCH(359,Engine!$C$2:$C$630,0)))</f>
        <v/>
      </c>
      <c r="I372" s="8">
        <f>IF(ISNA(MATCH(359,Engine!$C$2:$C$630,0)),"",INDEX('Compliance Database'!$I$2:$I$630,MATCH(359,Engine!$C$2:$C$630,0)))</f>
        <v/>
      </c>
      <c r="J372" s="8">
        <f>IF(ISNA(MATCH(359,Engine!$C$2:$C$630,0)),"",INDEX('Compliance Database'!$J$2:$J$630,MATCH(359,Engine!$C$2:$C$630,0)))</f>
        <v/>
      </c>
      <c r="K372">
        <f>IF(ISNA(MATCH(359,Engine!$C$2:$C$630,0)),"",INDEX('Compliance Database'!$K$2:$K$630,MATCH(359,Engine!$C$2:$C$630,0)))</f>
        <v/>
      </c>
      <c r="L372" s="8">
        <f>IF(ISNA(MATCH(359,Engine!$C$2:$C$630,0)),"",INDEX('Compliance Database'!$L$2:$L$630,MATCH(359,Engine!$C$2:$C$630,0)))</f>
        <v/>
      </c>
      <c r="M372" s="8">
        <f>IF(ISNA(MATCH(359,Engine!$C$2:$C$630,0)),"",INDEX('Compliance Database'!$M$2:$M$630,MATCH(359,Engine!$C$2:$C$630,0)))</f>
        <v/>
      </c>
      <c r="N372" s="8">
        <f>IF(ISNA(MATCH(359,Engine!$C$2:$C$630,0)),"",INDEX('Compliance Database'!$N$2:$N$630,MATCH(359,Engine!$C$2:$C$630,0)))</f>
        <v/>
      </c>
      <c r="O372" s="8">
        <f>IF(ISNA(MATCH(359,Engine!$C$2:$C$630,0)),"",INDEX('Compliance Database'!$O$2:$O$630,MATCH(359,Engine!$C$2:$C$630,0)))</f>
        <v/>
      </c>
    </row>
    <row r="373">
      <c r="A373">
        <f>IF(ISNA(MATCH(360,Engine!$C$2:$C$630,0)),"",INDEX('Compliance Database'!$A$2:$A$630,MATCH(360,Engine!$C$2:$C$630,0)))</f>
        <v/>
      </c>
      <c r="B373">
        <f>IF(ISNA(MATCH(360,Engine!$C$2:$C$630,0)),"",INDEX('Compliance Database'!$B$2:$B$630,MATCH(360,Engine!$C$2:$C$630,0)))</f>
        <v/>
      </c>
      <c r="C373">
        <f>IF(ISNA(MATCH(360,Engine!$C$2:$C$630,0)),"",INDEX('Compliance Database'!$C$2:$C$630,MATCH(360,Engine!$C$2:$C$630,0)))</f>
        <v/>
      </c>
      <c r="D373" s="8">
        <f>IF(ISNA(MATCH(360,Engine!$C$2:$C$630,0)),"",INDEX('Compliance Database'!$D$2:$D$630,MATCH(360,Engine!$C$2:$C$630,0)))</f>
        <v/>
      </c>
      <c r="E373">
        <f>IF(ISNA(MATCH(360,Engine!$C$2:$C$630,0)),"",INDEX('Compliance Database'!$E$2:$E$630,MATCH(360,Engine!$C$2:$C$630,0)))</f>
        <v/>
      </c>
      <c r="F373">
        <f>IF(ISNA(MATCH(360,Engine!$C$2:$C$630,0)),"",INDEX('Compliance Database'!$F$2:$F$630,MATCH(360,Engine!$C$2:$C$630,0)))</f>
        <v/>
      </c>
      <c r="G373">
        <f>IF(ISNA(MATCH(360,Engine!$C$2:$C$630,0)),"",INDEX('Compliance Database'!$G$2:$G$630,MATCH(360,Engine!$C$2:$C$630,0)))</f>
        <v/>
      </c>
      <c r="H373">
        <f>IF(ISNA(MATCH(360,Engine!$C$2:$C$630,0)),"",INDEX('Compliance Database'!$H$2:$H$630,MATCH(360,Engine!$C$2:$C$630,0)))</f>
        <v/>
      </c>
      <c r="I373" s="8">
        <f>IF(ISNA(MATCH(360,Engine!$C$2:$C$630,0)),"",INDEX('Compliance Database'!$I$2:$I$630,MATCH(360,Engine!$C$2:$C$630,0)))</f>
        <v/>
      </c>
      <c r="J373" s="8">
        <f>IF(ISNA(MATCH(360,Engine!$C$2:$C$630,0)),"",INDEX('Compliance Database'!$J$2:$J$630,MATCH(360,Engine!$C$2:$C$630,0)))</f>
        <v/>
      </c>
      <c r="K373">
        <f>IF(ISNA(MATCH(360,Engine!$C$2:$C$630,0)),"",INDEX('Compliance Database'!$K$2:$K$630,MATCH(360,Engine!$C$2:$C$630,0)))</f>
        <v/>
      </c>
      <c r="L373" s="8">
        <f>IF(ISNA(MATCH(360,Engine!$C$2:$C$630,0)),"",INDEX('Compliance Database'!$L$2:$L$630,MATCH(360,Engine!$C$2:$C$630,0)))</f>
        <v/>
      </c>
      <c r="M373" s="8">
        <f>IF(ISNA(MATCH(360,Engine!$C$2:$C$630,0)),"",INDEX('Compliance Database'!$M$2:$M$630,MATCH(360,Engine!$C$2:$C$630,0)))</f>
        <v/>
      </c>
      <c r="N373" s="8">
        <f>IF(ISNA(MATCH(360,Engine!$C$2:$C$630,0)),"",INDEX('Compliance Database'!$N$2:$N$630,MATCH(360,Engine!$C$2:$C$630,0)))</f>
        <v/>
      </c>
      <c r="O373" s="8">
        <f>IF(ISNA(MATCH(360,Engine!$C$2:$C$630,0)),"",INDEX('Compliance Database'!$O$2:$O$630,MATCH(360,Engine!$C$2:$C$630,0)))</f>
        <v/>
      </c>
    </row>
    <row r="374">
      <c r="A374">
        <f>IF(ISNA(MATCH(361,Engine!$C$2:$C$630,0)),"",INDEX('Compliance Database'!$A$2:$A$630,MATCH(361,Engine!$C$2:$C$630,0)))</f>
        <v/>
      </c>
      <c r="B374">
        <f>IF(ISNA(MATCH(361,Engine!$C$2:$C$630,0)),"",INDEX('Compliance Database'!$B$2:$B$630,MATCH(361,Engine!$C$2:$C$630,0)))</f>
        <v/>
      </c>
      <c r="C374">
        <f>IF(ISNA(MATCH(361,Engine!$C$2:$C$630,0)),"",INDEX('Compliance Database'!$C$2:$C$630,MATCH(361,Engine!$C$2:$C$630,0)))</f>
        <v/>
      </c>
      <c r="D374" s="8">
        <f>IF(ISNA(MATCH(361,Engine!$C$2:$C$630,0)),"",INDEX('Compliance Database'!$D$2:$D$630,MATCH(361,Engine!$C$2:$C$630,0)))</f>
        <v/>
      </c>
      <c r="E374">
        <f>IF(ISNA(MATCH(361,Engine!$C$2:$C$630,0)),"",INDEX('Compliance Database'!$E$2:$E$630,MATCH(361,Engine!$C$2:$C$630,0)))</f>
        <v/>
      </c>
      <c r="F374">
        <f>IF(ISNA(MATCH(361,Engine!$C$2:$C$630,0)),"",INDEX('Compliance Database'!$F$2:$F$630,MATCH(361,Engine!$C$2:$C$630,0)))</f>
        <v/>
      </c>
      <c r="G374">
        <f>IF(ISNA(MATCH(361,Engine!$C$2:$C$630,0)),"",INDEX('Compliance Database'!$G$2:$G$630,MATCH(361,Engine!$C$2:$C$630,0)))</f>
        <v/>
      </c>
      <c r="H374">
        <f>IF(ISNA(MATCH(361,Engine!$C$2:$C$630,0)),"",INDEX('Compliance Database'!$H$2:$H$630,MATCH(361,Engine!$C$2:$C$630,0)))</f>
        <v/>
      </c>
      <c r="I374" s="8">
        <f>IF(ISNA(MATCH(361,Engine!$C$2:$C$630,0)),"",INDEX('Compliance Database'!$I$2:$I$630,MATCH(361,Engine!$C$2:$C$630,0)))</f>
        <v/>
      </c>
      <c r="J374" s="8">
        <f>IF(ISNA(MATCH(361,Engine!$C$2:$C$630,0)),"",INDEX('Compliance Database'!$J$2:$J$630,MATCH(361,Engine!$C$2:$C$630,0)))</f>
        <v/>
      </c>
      <c r="K374">
        <f>IF(ISNA(MATCH(361,Engine!$C$2:$C$630,0)),"",INDEX('Compliance Database'!$K$2:$K$630,MATCH(361,Engine!$C$2:$C$630,0)))</f>
        <v/>
      </c>
      <c r="L374" s="8">
        <f>IF(ISNA(MATCH(361,Engine!$C$2:$C$630,0)),"",INDEX('Compliance Database'!$L$2:$L$630,MATCH(361,Engine!$C$2:$C$630,0)))</f>
        <v/>
      </c>
      <c r="M374" s="8">
        <f>IF(ISNA(MATCH(361,Engine!$C$2:$C$630,0)),"",INDEX('Compliance Database'!$M$2:$M$630,MATCH(361,Engine!$C$2:$C$630,0)))</f>
        <v/>
      </c>
      <c r="N374" s="8">
        <f>IF(ISNA(MATCH(361,Engine!$C$2:$C$630,0)),"",INDEX('Compliance Database'!$N$2:$N$630,MATCH(361,Engine!$C$2:$C$630,0)))</f>
        <v/>
      </c>
      <c r="O374" s="8">
        <f>IF(ISNA(MATCH(361,Engine!$C$2:$C$630,0)),"",INDEX('Compliance Database'!$O$2:$O$630,MATCH(361,Engine!$C$2:$C$630,0)))</f>
        <v/>
      </c>
    </row>
    <row r="375">
      <c r="A375">
        <f>IF(ISNA(MATCH(362,Engine!$C$2:$C$630,0)),"",INDEX('Compliance Database'!$A$2:$A$630,MATCH(362,Engine!$C$2:$C$630,0)))</f>
        <v/>
      </c>
      <c r="B375">
        <f>IF(ISNA(MATCH(362,Engine!$C$2:$C$630,0)),"",INDEX('Compliance Database'!$B$2:$B$630,MATCH(362,Engine!$C$2:$C$630,0)))</f>
        <v/>
      </c>
      <c r="C375">
        <f>IF(ISNA(MATCH(362,Engine!$C$2:$C$630,0)),"",INDEX('Compliance Database'!$C$2:$C$630,MATCH(362,Engine!$C$2:$C$630,0)))</f>
        <v/>
      </c>
      <c r="D375" s="8">
        <f>IF(ISNA(MATCH(362,Engine!$C$2:$C$630,0)),"",INDEX('Compliance Database'!$D$2:$D$630,MATCH(362,Engine!$C$2:$C$630,0)))</f>
        <v/>
      </c>
      <c r="E375">
        <f>IF(ISNA(MATCH(362,Engine!$C$2:$C$630,0)),"",INDEX('Compliance Database'!$E$2:$E$630,MATCH(362,Engine!$C$2:$C$630,0)))</f>
        <v/>
      </c>
      <c r="F375">
        <f>IF(ISNA(MATCH(362,Engine!$C$2:$C$630,0)),"",INDEX('Compliance Database'!$F$2:$F$630,MATCH(362,Engine!$C$2:$C$630,0)))</f>
        <v/>
      </c>
      <c r="G375">
        <f>IF(ISNA(MATCH(362,Engine!$C$2:$C$630,0)),"",INDEX('Compliance Database'!$G$2:$G$630,MATCH(362,Engine!$C$2:$C$630,0)))</f>
        <v/>
      </c>
      <c r="H375">
        <f>IF(ISNA(MATCH(362,Engine!$C$2:$C$630,0)),"",INDEX('Compliance Database'!$H$2:$H$630,MATCH(362,Engine!$C$2:$C$630,0)))</f>
        <v/>
      </c>
      <c r="I375" s="8">
        <f>IF(ISNA(MATCH(362,Engine!$C$2:$C$630,0)),"",INDEX('Compliance Database'!$I$2:$I$630,MATCH(362,Engine!$C$2:$C$630,0)))</f>
        <v/>
      </c>
      <c r="J375" s="8">
        <f>IF(ISNA(MATCH(362,Engine!$C$2:$C$630,0)),"",INDEX('Compliance Database'!$J$2:$J$630,MATCH(362,Engine!$C$2:$C$630,0)))</f>
        <v/>
      </c>
      <c r="K375">
        <f>IF(ISNA(MATCH(362,Engine!$C$2:$C$630,0)),"",INDEX('Compliance Database'!$K$2:$K$630,MATCH(362,Engine!$C$2:$C$630,0)))</f>
        <v/>
      </c>
      <c r="L375" s="8">
        <f>IF(ISNA(MATCH(362,Engine!$C$2:$C$630,0)),"",INDEX('Compliance Database'!$L$2:$L$630,MATCH(362,Engine!$C$2:$C$630,0)))</f>
        <v/>
      </c>
      <c r="M375" s="8">
        <f>IF(ISNA(MATCH(362,Engine!$C$2:$C$630,0)),"",INDEX('Compliance Database'!$M$2:$M$630,MATCH(362,Engine!$C$2:$C$630,0)))</f>
        <v/>
      </c>
      <c r="N375" s="8">
        <f>IF(ISNA(MATCH(362,Engine!$C$2:$C$630,0)),"",INDEX('Compliance Database'!$N$2:$N$630,MATCH(362,Engine!$C$2:$C$630,0)))</f>
        <v/>
      </c>
      <c r="O375" s="8">
        <f>IF(ISNA(MATCH(362,Engine!$C$2:$C$630,0)),"",INDEX('Compliance Database'!$O$2:$O$630,MATCH(362,Engine!$C$2:$C$630,0)))</f>
        <v/>
      </c>
    </row>
    <row r="376">
      <c r="A376">
        <f>IF(ISNA(MATCH(363,Engine!$C$2:$C$630,0)),"",INDEX('Compliance Database'!$A$2:$A$630,MATCH(363,Engine!$C$2:$C$630,0)))</f>
        <v/>
      </c>
      <c r="B376">
        <f>IF(ISNA(MATCH(363,Engine!$C$2:$C$630,0)),"",INDEX('Compliance Database'!$B$2:$B$630,MATCH(363,Engine!$C$2:$C$630,0)))</f>
        <v/>
      </c>
      <c r="C376">
        <f>IF(ISNA(MATCH(363,Engine!$C$2:$C$630,0)),"",INDEX('Compliance Database'!$C$2:$C$630,MATCH(363,Engine!$C$2:$C$630,0)))</f>
        <v/>
      </c>
      <c r="D376" s="8">
        <f>IF(ISNA(MATCH(363,Engine!$C$2:$C$630,0)),"",INDEX('Compliance Database'!$D$2:$D$630,MATCH(363,Engine!$C$2:$C$630,0)))</f>
        <v/>
      </c>
      <c r="E376">
        <f>IF(ISNA(MATCH(363,Engine!$C$2:$C$630,0)),"",INDEX('Compliance Database'!$E$2:$E$630,MATCH(363,Engine!$C$2:$C$630,0)))</f>
        <v/>
      </c>
      <c r="F376">
        <f>IF(ISNA(MATCH(363,Engine!$C$2:$C$630,0)),"",INDEX('Compliance Database'!$F$2:$F$630,MATCH(363,Engine!$C$2:$C$630,0)))</f>
        <v/>
      </c>
      <c r="G376">
        <f>IF(ISNA(MATCH(363,Engine!$C$2:$C$630,0)),"",INDEX('Compliance Database'!$G$2:$G$630,MATCH(363,Engine!$C$2:$C$630,0)))</f>
        <v/>
      </c>
      <c r="H376">
        <f>IF(ISNA(MATCH(363,Engine!$C$2:$C$630,0)),"",INDEX('Compliance Database'!$H$2:$H$630,MATCH(363,Engine!$C$2:$C$630,0)))</f>
        <v/>
      </c>
      <c r="I376" s="8">
        <f>IF(ISNA(MATCH(363,Engine!$C$2:$C$630,0)),"",INDEX('Compliance Database'!$I$2:$I$630,MATCH(363,Engine!$C$2:$C$630,0)))</f>
        <v/>
      </c>
      <c r="J376" s="8">
        <f>IF(ISNA(MATCH(363,Engine!$C$2:$C$630,0)),"",INDEX('Compliance Database'!$J$2:$J$630,MATCH(363,Engine!$C$2:$C$630,0)))</f>
        <v/>
      </c>
      <c r="K376">
        <f>IF(ISNA(MATCH(363,Engine!$C$2:$C$630,0)),"",INDEX('Compliance Database'!$K$2:$K$630,MATCH(363,Engine!$C$2:$C$630,0)))</f>
        <v/>
      </c>
      <c r="L376" s="8">
        <f>IF(ISNA(MATCH(363,Engine!$C$2:$C$630,0)),"",INDEX('Compliance Database'!$L$2:$L$630,MATCH(363,Engine!$C$2:$C$630,0)))</f>
        <v/>
      </c>
      <c r="M376" s="8">
        <f>IF(ISNA(MATCH(363,Engine!$C$2:$C$630,0)),"",INDEX('Compliance Database'!$M$2:$M$630,MATCH(363,Engine!$C$2:$C$630,0)))</f>
        <v/>
      </c>
      <c r="N376" s="8">
        <f>IF(ISNA(MATCH(363,Engine!$C$2:$C$630,0)),"",INDEX('Compliance Database'!$N$2:$N$630,MATCH(363,Engine!$C$2:$C$630,0)))</f>
        <v/>
      </c>
      <c r="O376" s="8">
        <f>IF(ISNA(MATCH(363,Engine!$C$2:$C$630,0)),"",INDEX('Compliance Database'!$O$2:$O$630,MATCH(363,Engine!$C$2:$C$630,0)))</f>
        <v/>
      </c>
    </row>
    <row r="377">
      <c r="A377">
        <f>IF(ISNA(MATCH(364,Engine!$C$2:$C$630,0)),"",INDEX('Compliance Database'!$A$2:$A$630,MATCH(364,Engine!$C$2:$C$630,0)))</f>
        <v/>
      </c>
      <c r="B377">
        <f>IF(ISNA(MATCH(364,Engine!$C$2:$C$630,0)),"",INDEX('Compliance Database'!$B$2:$B$630,MATCH(364,Engine!$C$2:$C$630,0)))</f>
        <v/>
      </c>
      <c r="C377">
        <f>IF(ISNA(MATCH(364,Engine!$C$2:$C$630,0)),"",INDEX('Compliance Database'!$C$2:$C$630,MATCH(364,Engine!$C$2:$C$630,0)))</f>
        <v/>
      </c>
      <c r="D377" s="8">
        <f>IF(ISNA(MATCH(364,Engine!$C$2:$C$630,0)),"",INDEX('Compliance Database'!$D$2:$D$630,MATCH(364,Engine!$C$2:$C$630,0)))</f>
        <v/>
      </c>
      <c r="E377">
        <f>IF(ISNA(MATCH(364,Engine!$C$2:$C$630,0)),"",INDEX('Compliance Database'!$E$2:$E$630,MATCH(364,Engine!$C$2:$C$630,0)))</f>
        <v/>
      </c>
      <c r="F377">
        <f>IF(ISNA(MATCH(364,Engine!$C$2:$C$630,0)),"",INDEX('Compliance Database'!$F$2:$F$630,MATCH(364,Engine!$C$2:$C$630,0)))</f>
        <v/>
      </c>
      <c r="G377">
        <f>IF(ISNA(MATCH(364,Engine!$C$2:$C$630,0)),"",INDEX('Compliance Database'!$G$2:$G$630,MATCH(364,Engine!$C$2:$C$630,0)))</f>
        <v/>
      </c>
      <c r="H377">
        <f>IF(ISNA(MATCH(364,Engine!$C$2:$C$630,0)),"",INDEX('Compliance Database'!$H$2:$H$630,MATCH(364,Engine!$C$2:$C$630,0)))</f>
        <v/>
      </c>
      <c r="I377" s="8">
        <f>IF(ISNA(MATCH(364,Engine!$C$2:$C$630,0)),"",INDEX('Compliance Database'!$I$2:$I$630,MATCH(364,Engine!$C$2:$C$630,0)))</f>
        <v/>
      </c>
      <c r="J377" s="8">
        <f>IF(ISNA(MATCH(364,Engine!$C$2:$C$630,0)),"",INDEX('Compliance Database'!$J$2:$J$630,MATCH(364,Engine!$C$2:$C$630,0)))</f>
        <v/>
      </c>
      <c r="K377">
        <f>IF(ISNA(MATCH(364,Engine!$C$2:$C$630,0)),"",INDEX('Compliance Database'!$K$2:$K$630,MATCH(364,Engine!$C$2:$C$630,0)))</f>
        <v/>
      </c>
      <c r="L377" s="8">
        <f>IF(ISNA(MATCH(364,Engine!$C$2:$C$630,0)),"",INDEX('Compliance Database'!$L$2:$L$630,MATCH(364,Engine!$C$2:$C$630,0)))</f>
        <v/>
      </c>
      <c r="M377" s="8">
        <f>IF(ISNA(MATCH(364,Engine!$C$2:$C$630,0)),"",INDEX('Compliance Database'!$M$2:$M$630,MATCH(364,Engine!$C$2:$C$630,0)))</f>
        <v/>
      </c>
      <c r="N377" s="8">
        <f>IF(ISNA(MATCH(364,Engine!$C$2:$C$630,0)),"",INDEX('Compliance Database'!$N$2:$N$630,MATCH(364,Engine!$C$2:$C$630,0)))</f>
        <v/>
      </c>
      <c r="O377" s="8">
        <f>IF(ISNA(MATCH(364,Engine!$C$2:$C$630,0)),"",INDEX('Compliance Database'!$O$2:$O$630,MATCH(364,Engine!$C$2:$C$630,0)))</f>
        <v/>
      </c>
    </row>
    <row r="378">
      <c r="A378">
        <f>IF(ISNA(MATCH(365,Engine!$C$2:$C$630,0)),"",INDEX('Compliance Database'!$A$2:$A$630,MATCH(365,Engine!$C$2:$C$630,0)))</f>
        <v/>
      </c>
      <c r="B378">
        <f>IF(ISNA(MATCH(365,Engine!$C$2:$C$630,0)),"",INDEX('Compliance Database'!$B$2:$B$630,MATCH(365,Engine!$C$2:$C$630,0)))</f>
        <v/>
      </c>
      <c r="C378">
        <f>IF(ISNA(MATCH(365,Engine!$C$2:$C$630,0)),"",INDEX('Compliance Database'!$C$2:$C$630,MATCH(365,Engine!$C$2:$C$630,0)))</f>
        <v/>
      </c>
      <c r="D378" s="8">
        <f>IF(ISNA(MATCH(365,Engine!$C$2:$C$630,0)),"",INDEX('Compliance Database'!$D$2:$D$630,MATCH(365,Engine!$C$2:$C$630,0)))</f>
        <v/>
      </c>
      <c r="E378">
        <f>IF(ISNA(MATCH(365,Engine!$C$2:$C$630,0)),"",INDEX('Compliance Database'!$E$2:$E$630,MATCH(365,Engine!$C$2:$C$630,0)))</f>
        <v/>
      </c>
      <c r="F378">
        <f>IF(ISNA(MATCH(365,Engine!$C$2:$C$630,0)),"",INDEX('Compliance Database'!$F$2:$F$630,MATCH(365,Engine!$C$2:$C$630,0)))</f>
        <v/>
      </c>
      <c r="G378">
        <f>IF(ISNA(MATCH(365,Engine!$C$2:$C$630,0)),"",INDEX('Compliance Database'!$G$2:$G$630,MATCH(365,Engine!$C$2:$C$630,0)))</f>
        <v/>
      </c>
      <c r="H378">
        <f>IF(ISNA(MATCH(365,Engine!$C$2:$C$630,0)),"",INDEX('Compliance Database'!$H$2:$H$630,MATCH(365,Engine!$C$2:$C$630,0)))</f>
        <v/>
      </c>
      <c r="I378" s="8">
        <f>IF(ISNA(MATCH(365,Engine!$C$2:$C$630,0)),"",INDEX('Compliance Database'!$I$2:$I$630,MATCH(365,Engine!$C$2:$C$630,0)))</f>
        <v/>
      </c>
      <c r="J378" s="8">
        <f>IF(ISNA(MATCH(365,Engine!$C$2:$C$630,0)),"",INDEX('Compliance Database'!$J$2:$J$630,MATCH(365,Engine!$C$2:$C$630,0)))</f>
        <v/>
      </c>
      <c r="K378">
        <f>IF(ISNA(MATCH(365,Engine!$C$2:$C$630,0)),"",INDEX('Compliance Database'!$K$2:$K$630,MATCH(365,Engine!$C$2:$C$630,0)))</f>
        <v/>
      </c>
      <c r="L378" s="8">
        <f>IF(ISNA(MATCH(365,Engine!$C$2:$C$630,0)),"",INDEX('Compliance Database'!$L$2:$L$630,MATCH(365,Engine!$C$2:$C$630,0)))</f>
        <v/>
      </c>
      <c r="M378" s="8">
        <f>IF(ISNA(MATCH(365,Engine!$C$2:$C$630,0)),"",INDEX('Compliance Database'!$M$2:$M$630,MATCH(365,Engine!$C$2:$C$630,0)))</f>
        <v/>
      </c>
      <c r="N378" s="8">
        <f>IF(ISNA(MATCH(365,Engine!$C$2:$C$630,0)),"",INDEX('Compliance Database'!$N$2:$N$630,MATCH(365,Engine!$C$2:$C$630,0)))</f>
        <v/>
      </c>
      <c r="O378" s="8">
        <f>IF(ISNA(MATCH(365,Engine!$C$2:$C$630,0)),"",INDEX('Compliance Database'!$O$2:$O$630,MATCH(365,Engine!$C$2:$C$630,0)))</f>
        <v/>
      </c>
    </row>
    <row r="379">
      <c r="A379">
        <f>IF(ISNA(MATCH(366,Engine!$C$2:$C$630,0)),"",INDEX('Compliance Database'!$A$2:$A$630,MATCH(366,Engine!$C$2:$C$630,0)))</f>
        <v/>
      </c>
      <c r="B379">
        <f>IF(ISNA(MATCH(366,Engine!$C$2:$C$630,0)),"",INDEX('Compliance Database'!$B$2:$B$630,MATCH(366,Engine!$C$2:$C$630,0)))</f>
        <v/>
      </c>
      <c r="C379">
        <f>IF(ISNA(MATCH(366,Engine!$C$2:$C$630,0)),"",INDEX('Compliance Database'!$C$2:$C$630,MATCH(366,Engine!$C$2:$C$630,0)))</f>
        <v/>
      </c>
      <c r="D379" s="8">
        <f>IF(ISNA(MATCH(366,Engine!$C$2:$C$630,0)),"",INDEX('Compliance Database'!$D$2:$D$630,MATCH(366,Engine!$C$2:$C$630,0)))</f>
        <v/>
      </c>
      <c r="E379">
        <f>IF(ISNA(MATCH(366,Engine!$C$2:$C$630,0)),"",INDEX('Compliance Database'!$E$2:$E$630,MATCH(366,Engine!$C$2:$C$630,0)))</f>
        <v/>
      </c>
      <c r="F379">
        <f>IF(ISNA(MATCH(366,Engine!$C$2:$C$630,0)),"",INDEX('Compliance Database'!$F$2:$F$630,MATCH(366,Engine!$C$2:$C$630,0)))</f>
        <v/>
      </c>
      <c r="G379">
        <f>IF(ISNA(MATCH(366,Engine!$C$2:$C$630,0)),"",INDEX('Compliance Database'!$G$2:$G$630,MATCH(366,Engine!$C$2:$C$630,0)))</f>
        <v/>
      </c>
      <c r="H379">
        <f>IF(ISNA(MATCH(366,Engine!$C$2:$C$630,0)),"",INDEX('Compliance Database'!$H$2:$H$630,MATCH(366,Engine!$C$2:$C$630,0)))</f>
        <v/>
      </c>
      <c r="I379" s="8">
        <f>IF(ISNA(MATCH(366,Engine!$C$2:$C$630,0)),"",INDEX('Compliance Database'!$I$2:$I$630,MATCH(366,Engine!$C$2:$C$630,0)))</f>
        <v/>
      </c>
      <c r="J379" s="8">
        <f>IF(ISNA(MATCH(366,Engine!$C$2:$C$630,0)),"",INDEX('Compliance Database'!$J$2:$J$630,MATCH(366,Engine!$C$2:$C$630,0)))</f>
        <v/>
      </c>
      <c r="K379">
        <f>IF(ISNA(MATCH(366,Engine!$C$2:$C$630,0)),"",INDEX('Compliance Database'!$K$2:$K$630,MATCH(366,Engine!$C$2:$C$630,0)))</f>
        <v/>
      </c>
      <c r="L379" s="8">
        <f>IF(ISNA(MATCH(366,Engine!$C$2:$C$630,0)),"",INDEX('Compliance Database'!$L$2:$L$630,MATCH(366,Engine!$C$2:$C$630,0)))</f>
        <v/>
      </c>
      <c r="M379" s="8">
        <f>IF(ISNA(MATCH(366,Engine!$C$2:$C$630,0)),"",INDEX('Compliance Database'!$M$2:$M$630,MATCH(366,Engine!$C$2:$C$630,0)))</f>
        <v/>
      </c>
      <c r="N379" s="8">
        <f>IF(ISNA(MATCH(366,Engine!$C$2:$C$630,0)),"",INDEX('Compliance Database'!$N$2:$N$630,MATCH(366,Engine!$C$2:$C$630,0)))</f>
        <v/>
      </c>
      <c r="O379" s="8">
        <f>IF(ISNA(MATCH(366,Engine!$C$2:$C$630,0)),"",INDEX('Compliance Database'!$O$2:$O$630,MATCH(366,Engine!$C$2:$C$630,0)))</f>
        <v/>
      </c>
    </row>
    <row r="380">
      <c r="A380">
        <f>IF(ISNA(MATCH(367,Engine!$C$2:$C$630,0)),"",INDEX('Compliance Database'!$A$2:$A$630,MATCH(367,Engine!$C$2:$C$630,0)))</f>
        <v/>
      </c>
      <c r="B380">
        <f>IF(ISNA(MATCH(367,Engine!$C$2:$C$630,0)),"",INDEX('Compliance Database'!$B$2:$B$630,MATCH(367,Engine!$C$2:$C$630,0)))</f>
        <v/>
      </c>
      <c r="C380">
        <f>IF(ISNA(MATCH(367,Engine!$C$2:$C$630,0)),"",INDEX('Compliance Database'!$C$2:$C$630,MATCH(367,Engine!$C$2:$C$630,0)))</f>
        <v/>
      </c>
      <c r="D380" s="8">
        <f>IF(ISNA(MATCH(367,Engine!$C$2:$C$630,0)),"",INDEX('Compliance Database'!$D$2:$D$630,MATCH(367,Engine!$C$2:$C$630,0)))</f>
        <v/>
      </c>
      <c r="E380">
        <f>IF(ISNA(MATCH(367,Engine!$C$2:$C$630,0)),"",INDEX('Compliance Database'!$E$2:$E$630,MATCH(367,Engine!$C$2:$C$630,0)))</f>
        <v/>
      </c>
      <c r="F380">
        <f>IF(ISNA(MATCH(367,Engine!$C$2:$C$630,0)),"",INDEX('Compliance Database'!$F$2:$F$630,MATCH(367,Engine!$C$2:$C$630,0)))</f>
        <v/>
      </c>
      <c r="G380">
        <f>IF(ISNA(MATCH(367,Engine!$C$2:$C$630,0)),"",INDEX('Compliance Database'!$G$2:$G$630,MATCH(367,Engine!$C$2:$C$630,0)))</f>
        <v/>
      </c>
      <c r="H380">
        <f>IF(ISNA(MATCH(367,Engine!$C$2:$C$630,0)),"",INDEX('Compliance Database'!$H$2:$H$630,MATCH(367,Engine!$C$2:$C$630,0)))</f>
        <v/>
      </c>
      <c r="I380" s="8">
        <f>IF(ISNA(MATCH(367,Engine!$C$2:$C$630,0)),"",INDEX('Compliance Database'!$I$2:$I$630,MATCH(367,Engine!$C$2:$C$630,0)))</f>
        <v/>
      </c>
      <c r="J380" s="8">
        <f>IF(ISNA(MATCH(367,Engine!$C$2:$C$630,0)),"",INDEX('Compliance Database'!$J$2:$J$630,MATCH(367,Engine!$C$2:$C$630,0)))</f>
        <v/>
      </c>
      <c r="K380">
        <f>IF(ISNA(MATCH(367,Engine!$C$2:$C$630,0)),"",INDEX('Compliance Database'!$K$2:$K$630,MATCH(367,Engine!$C$2:$C$630,0)))</f>
        <v/>
      </c>
      <c r="L380" s="8">
        <f>IF(ISNA(MATCH(367,Engine!$C$2:$C$630,0)),"",INDEX('Compliance Database'!$L$2:$L$630,MATCH(367,Engine!$C$2:$C$630,0)))</f>
        <v/>
      </c>
      <c r="M380" s="8">
        <f>IF(ISNA(MATCH(367,Engine!$C$2:$C$630,0)),"",INDEX('Compliance Database'!$M$2:$M$630,MATCH(367,Engine!$C$2:$C$630,0)))</f>
        <v/>
      </c>
      <c r="N380" s="8">
        <f>IF(ISNA(MATCH(367,Engine!$C$2:$C$630,0)),"",INDEX('Compliance Database'!$N$2:$N$630,MATCH(367,Engine!$C$2:$C$630,0)))</f>
        <v/>
      </c>
      <c r="O380" s="8">
        <f>IF(ISNA(MATCH(367,Engine!$C$2:$C$630,0)),"",INDEX('Compliance Database'!$O$2:$O$630,MATCH(367,Engine!$C$2:$C$630,0)))</f>
        <v/>
      </c>
    </row>
    <row r="381">
      <c r="A381">
        <f>IF(ISNA(MATCH(368,Engine!$C$2:$C$630,0)),"",INDEX('Compliance Database'!$A$2:$A$630,MATCH(368,Engine!$C$2:$C$630,0)))</f>
        <v/>
      </c>
      <c r="B381">
        <f>IF(ISNA(MATCH(368,Engine!$C$2:$C$630,0)),"",INDEX('Compliance Database'!$B$2:$B$630,MATCH(368,Engine!$C$2:$C$630,0)))</f>
        <v/>
      </c>
      <c r="C381">
        <f>IF(ISNA(MATCH(368,Engine!$C$2:$C$630,0)),"",INDEX('Compliance Database'!$C$2:$C$630,MATCH(368,Engine!$C$2:$C$630,0)))</f>
        <v/>
      </c>
      <c r="D381" s="8">
        <f>IF(ISNA(MATCH(368,Engine!$C$2:$C$630,0)),"",INDEX('Compliance Database'!$D$2:$D$630,MATCH(368,Engine!$C$2:$C$630,0)))</f>
        <v/>
      </c>
      <c r="E381">
        <f>IF(ISNA(MATCH(368,Engine!$C$2:$C$630,0)),"",INDEX('Compliance Database'!$E$2:$E$630,MATCH(368,Engine!$C$2:$C$630,0)))</f>
        <v/>
      </c>
      <c r="F381">
        <f>IF(ISNA(MATCH(368,Engine!$C$2:$C$630,0)),"",INDEX('Compliance Database'!$F$2:$F$630,MATCH(368,Engine!$C$2:$C$630,0)))</f>
        <v/>
      </c>
      <c r="G381">
        <f>IF(ISNA(MATCH(368,Engine!$C$2:$C$630,0)),"",INDEX('Compliance Database'!$G$2:$G$630,MATCH(368,Engine!$C$2:$C$630,0)))</f>
        <v/>
      </c>
      <c r="H381">
        <f>IF(ISNA(MATCH(368,Engine!$C$2:$C$630,0)),"",INDEX('Compliance Database'!$H$2:$H$630,MATCH(368,Engine!$C$2:$C$630,0)))</f>
        <v/>
      </c>
      <c r="I381" s="8">
        <f>IF(ISNA(MATCH(368,Engine!$C$2:$C$630,0)),"",INDEX('Compliance Database'!$I$2:$I$630,MATCH(368,Engine!$C$2:$C$630,0)))</f>
        <v/>
      </c>
      <c r="J381" s="8">
        <f>IF(ISNA(MATCH(368,Engine!$C$2:$C$630,0)),"",INDEX('Compliance Database'!$J$2:$J$630,MATCH(368,Engine!$C$2:$C$630,0)))</f>
        <v/>
      </c>
      <c r="K381">
        <f>IF(ISNA(MATCH(368,Engine!$C$2:$C$630,0)),"",INDEX('Compliance Database'!$K$2:$K$630,MATCH(368,Engine!$C$2:$C$630,0)))</f>
        <v/>
      </c>
      <c r="L381" s="8">
        <f>IF(ISNA(MATCH(368,Engine!$C$2:$C$630,0)),"",INDEX('Compliance Database'!$L$2:$L$630,MATCH(368,Engine!$C$2:$C$630,0)))</f>
        <v/>
      </c>
      <c r="M381" s="8">
        <f>IF(ISNA(MATCH(368,Engine!$C$2:$C$630,0)),"",INDEX('Compliance Database'!$M$2:$M$630,MATCH(368,Engine!$C$2:$C$630,0)))</f>
        <v/>
      </c>
      <c r="N381" s="8">
        <f>IF(ISNA(MATCH(368,Engine!$C$2:$C$630,0)),"",INDEX('Compliance Database'!$N$2:$N$630,MATCH(368,Engine!$C$2:$C$630,0)))</f>
        <v/>
      </c>
      <c r="O381" s="8">
        <f>IF(ISNA(MATCH(368,Engine!$C$2:$C$630,0)),"",INDEX('Compliance Database'!$O$2:$O$630,MATCH(368,Engine!$C$2:$C$630,0)))</f>
        <v/>
      </c>
    </row>
    <row r="382">
      <c r="A382">
        <f>IF(ISNA(MATCH(369,Engine!$C$2:$C$630,0)),"",INDEX('Compliance Database'!$A$2:$A$630,MATCH(369,Engine!$C$2:$C$630,0)))</f>
        <v/>
      </c>
      <c r="B382">
        <f>IF(ISNA(MATCH(369,Engine!$C$2:$C$630,0)),"",INDEX('Compliance Database'!$B$2:$B$630,MATCH(369,Engine!$C$2:$C$630,0)))</f>
        <v/>
      </c>
      <c r="C382">
        <f>IF(ISNA(MATCH(369,Engine!$C$2:$C$630,0)),"",INDEX('Compliance Database'!$C$2:$C$630,MATCH(369,Engine!$C$2:$C$630,0)))</f>
        <v/>
      </c>
      <c r="D382" s="8">
        <f>IF(ISNA(MATCH(369,Engine!$C$2:$C$630,0)),"",INDEX('Compliance Database'!$D$2:$D$630,MATCH(369,Engine!$C$2:$C$630,0)))</f>
        <v/>
      </c>
      <c r="E382">
        <f>IF(ISNA(MATCH(369,Engine!$C$2:$C$630,0)),"",INDEX('Compliance Database'!$E$2:$E$630,MATCH(369,Engine!$C$2:$C$630,0)))</f>
        <v/>
      </c>
      <c r="F382">
        <f>IF(ISNA(MATCH(369,Engine!$C$2:$C$630,0)),"",INDEX('Compliance Database'!$F$2:$F$630,MATCH(369,Engine!$C$2:$C$630,0)))</f>
        <v/>
      </c>
      <c r="G382">
        <f>IF(ISNA(MATCH(369,Engine!$C$2:$C$630,0)),"",INDEX('Compliance Database'!$G$2:$G$630,MATCH(369,Engine!$C$2:$C$630,0)))</f>
        <v/>
      </c>
      <c r="H382">
        <f>IF(ISNA(MATCH(369,Engine!$C$2:$C$630,0)),"",INDEX('Compliance Database'!$H$2:$H$630,MATCH(369,Engine!$C$2:$C$630,0)))</f>
        <v/>
      </c>
      <c r="I382" s="8">
        <f>IF(ISNA(MATCH(369,Engine!$C$2:$C$630,0)),"",INDEX('Compliance Database'!$I$2:$I$630,MATCH(369,Engine!$C$2:$C$630,0)))</f>
        <v/>
      </c>
      <c r="J382" s="8">
        <f>IF(ISNA(MATCH(369,Engine!$C$2:$C$630,0)),"",INDEX('Compliance Database'!$J$2:$J$630,MATCH(369,Engine!$C$2:$C$630,0)))</f>
        <v/>
      </c>
      <c r="K382">
        <f>IF(ISNA(MATCH(369,Engine!$C$2:$C$630,0)),"",INDEX('Compliance Database'!$K$2:$K$630,MATCH(369,Engine!$C$2:$C$630,0)))</f>
        <v/>
      </c>
      <c r="L382" s="8">
        <f>IF(ISNA(MATCH(369,Engine!$C$2:$C$630,0)),"",INDEX('Compliance Database'!$L$2:$L$630,MATCH(369,Engine!$C$2:$C$630,0)))</f>
        <v/>
      </c>
      <c r="M382" s="8">
        <f>IF(ISNA(MATCH(369,Engine!$C$2:$C$630,0)),"",INDEX('Compliance Database'!$M$2:$M$630,MATCH(369,Engine!$C$2:$C$630,0)))</f>
        <v/>
      </c>
      <c r="N382" s="8">
        <f>IF(ISNA(MATCH(369,Engine!$C$2:$C$630,0)),"",INDEX('Compliance Database'!$N$2:$N$630,MATCH(369,Engine!$C$2:$C$630,0)))</f>
        <v/>
      </c>
      <c r="O382" s="8">
        <f>IF(ISNA(MATCH(369,Engine!$C$2:$C$630,0)),"",INDEX('Compliance Database'!$O$2:$O$630,MATCH(369,Engine!$C$2:$C$630,0)))</f>
        <v/>
      </c>
    </row>
    <row r="383">
      <c r="A383">
        <f>IF(ISNA(MATCH(370,Engine!$C$2:$C$630,0)),"",INDEX('Compliance Database'!$A$2:$A$630,MATCH(370,Engine!$C$2:$C$630,0)))</f>
        <v/>
      </c>
      <c r="B383">
        <f>IF(ISNA(MATCH(370,Engine!$C$2:$C$630,0)),"",INDEX('Compliance Database'!$B$2:$B$630,MATCH(370,Engine!$C$2:$C$630,0)))</f>
        <v/>
      </c>
      <c r="C383">
        <f>IF(ISNA(MATCH(370,Engine!$C$2:$C$630,0)),"",INDEX('Compliance Database'!$C$2:$C$630,MATCH(370,Engine!$C$2:$C$630,0)))</f>
        <v/>
      </c>
      <c r="D383" s="8">
        <f>IF(ISNA(MATCH(370,Engine!$C$2:$C$630,0)),"",INDEX('Compliance Database'!$D$2:$D$630,MATCH(370,Engine!$C$2:$C$630,0)))</f>
        <v/>
      </c>
      <c r="E383">
        <f>IF(ISNA(MATCH(370,Engine!$C$2:$C$630,0)),"",INDEX('Compliance Database'!$E$2:$E$630,MATCH(370,Engine!$C$2:$C$630,0)))</f>
        <v/>
      </c>
      <c r="F383">
        <f>IF(ISNA(MATCH(370,Engine!$C$2:$C$630,0)),"",INDEX('Compliance Database'!$F$2:$F$630,MATCH(370,Engine!$C$2:$C$630,0)))</f>
        <v/>
      </c>
      <c r="G383">
        <f>IF(ISNA(MATCH(370,Engine!$C$2:$C$630,0)),"",INDEX('Compliance Database'!$G$2:$G$630,MATCH(370,Engine!$C$2:$C$630,0)))</f>
        <v/>
      </c>
      <c r="H383">
        <f>IF(ISNA(MATCH(370,Engine!$C$2:$C$630,0)),"",INDEX('Compliance Database'!$H$2:$H$630,MATCH(370,Engine!$C$2:$C$630,0)))</f>
        <v/>
      </c>
      <c r="I383" s="8">
        <f>IF(ISNA(MATCH(370,Engine!$C$2:$C$630,0)),"",INDEX('Compliance Database'!$I$2:$I$630,MATCH(370,Engine!$C$2:$C$630,0)))</f>
        <v/>
      </c>
      <c r="J383" s="8">
        <f>IF(ISNA(MATCH(370,Engine!$C$2:$C$630,0)),"",INDEX('Compliance Database'!$J$2:$J$630,MATCH(370,Engine!$C$2:$C$630,0)))</f>
        <v/>
      </c>
      <c r="K383">
        <f>IF(ISNA(MATCH(370,Engine!$C$2:$C$630,0)),"",INDEX('Compliance Database'!$K$2:$K$630,MATCH(370,Engine!$C$2:$C$630,0)))</f>
        <v/>
      </c>
      <c r="L383" s="8">
        <f>IF(ISNA(MATCH(370,Engine!$C$2:$C$630,0)),"",INDEX('Compliance Database'!$L$2:$L$630,MATCH(370,Engine!$C$2:$C$630,0)))</f>
        <v/>
      </c>
      <c r="M383" s="8">
        <f>IF(ISNA(MATCH(370,Engine!$C$2:$C$630,0)),"",INDEX('Compliance Database'!$M$2:$M$630,MATCH(370,Engine!$C$2:$C$630,0)))</f>
        <v/>
      </c>
      <c r="N383" s="8">
        <f>IF(ISNA(MATCH(370,Engine!$C$2:$C$630,0)),"",INDEX('Compliance Database'!$N$2:$N$630,MATCH(370,Engine!$C$2:$C$630,0)))</f>
        <v/>
      </c>
      <c r="O383" s="8">
        <f>IF(ISNA(MATCH(370,Engine!$C$2:$C$630,0)),"",INDEX('Compliance Database'!$O$2:$O$630,MATCH(370,Engine!$C$2:$C$630,0)))</f>
        <v/>
      </c>
    </row>
    <row r="384">
      <c r="A384">
        <f>IF(ISNA(MATCH(371,Engine!$C$2:$C$630,0)),"",INDEX('Compliance Database'!$A$2:$A$630,MATCH(371,Engine!$C$2:$C$630,0)))</f>
        <v/>
      </c>
      <c r="B384">
        <f>IF(ISNA(MATCH(371,Engine!$C$2:$C$630,0)),"",INDEX('Compliance Database'!$B$2:$B$630,MATCH(371,Engine!$C$2:$C$630,0)))</f>
        <v/>
      </c>
      <c r="C384">
        <f>IF(ISNA(MATCH(371,Engine!$C$2:$C$630,0)),"",INDEX('Compliance Database'!$C$2:$C$630,MATCH(371,Engine!$C$2:$C$630,0)))</f>
        <v/>
      </c>
      <c r="D384" s="8">
        <f>IF(ISNA(MATCH(371,Engine!$C$2:$C$630,0)),"",INDEX('Compliance Database'!$D$2:$D$630,MATCH(371,Engine!$C$2:$C$630,0)))</f>
        <v/>
      </c>
      <c r="E384">
        <f>IF(ISNA(MATCH(371,Engine!$C$2:$C$630,0)),"",INDEX('Compliance Database'!$E$2:$E$630,MATCH(371,Engine!$C$2:$C$630,0)))</f>
        <v/>
      </c>
      <c r="F384">
        <f>IF(ISNA(MATCH(371,Engine!$C$2:$C$630,0)),"",INDEX('Compliance Database'!$F$2:$F$630,MATCH(371,Engine!$C$2:$C$630,0)))</f>
        <v/>
      </c>
      <c r="G384">
        <f>IF(ISNA(MATCH(371,Engine!$C$2:$C$630,0)),"",INDEX('Compliance Database'!$G$2:$G$630,MATCH(371,Engine!$C$2:$C$630,0)))</f>
        <v/>
      </c>
      <c r="H384">
        <f>IF(ISNA(MATCH(371,Engine!$C$2:$C$630,0)),"",INDEX('Compliance Database'!$H$2:$H$630,MATCH(371,Engine!$C$2:$C$630,0)))</f>
        <v/>
      </c>
      <c r="I384" s="8">
        <f>IF(ISNA(MATCH(371,Engine!$C$2:$C$630,0)),"",INDEX('Compliance Database'!$I$2:$I$630,MATCH(371,Engine!$C$2:$C$630,0)))</f>
        <v/>
      </c>
      <c r="J384" s="8">
        <f>IF(ISNA(MATCH(371,Engine!$C$2:$C$630,0)),"",INDEX('Compliance Database'!$J$2:$J$630,MATCH(371,Engine!$C$2:$C$630,0)))</f>
        <v/>
      </c>
      <c r="K384">
        <f>IF(ISNA(MATCH(371,Engine!$C$2:$C$630,0)),"",INDEX('Compliance Database'!$K$2:$K$630,MATCH(371,Engine!$C$2:$C$630,0)))</f>
        <v/>
      </c>
      <c r="L384" s="8">
        <f>IF(ISNA(MATCH(371,Engine!$C$2:$C$630,0)),"",INDEX('Compliance Database'!$L$2:$L$630,MATCH(371,Engine!$C$2:$C$630,0)))</f>
        <v/>
      </c>
      <c r="M384" s="8">
        <f>IF(ISNA(MATCH(371,Engine!$C$2:$C$630,0)),"",INDEX('Compliance Database'!$M$2:$M$630,MATCH(371,Engine!$C$2:$C$630,0)))</f>
        <v/>
      </c>
      <c r="N384" s="8">
        <f>IF(ISNA(MATCH(371,Engine!$C$2:$C$630,0)),"",INDEX('Compliance Database'!$N$2:$N$630,MATCH(371,Engine!$C$2:$C$630,0)))</f>
        <v/>
      </c>
      <c r="O384" s="8">
        <f>IF(ISNA(MATCH(371,Engine!$C$2:$C$630,0)),"",INDEX('Compliance Database'!$O$2:$O$630,MATCH(371,Engine!$C$2:$C$630,0)))</f>
        <v/>
      </c>
    </row>
    <row r="385">
      <c r="A385">
        <f>IF(ISNA(MATCH(372,Engine!$C$2:$C$630,0)),"",INDEX('Compliance Database'!$A$2:$A$630,MATCH(372,Engine!$C$2:$C$630,0)))</f>
        <v/>
      </c>
      <c r="B385">
        <f>IF(ISNA(MATCH(372,Engine!$C$2:$C$630,0)),"",INDEX('Compliance Database'!$B$2:$B$630,MATCH(372,Engine!$C$2:$C$630,0)))</f>
        <v/>
      </c>
      <c r="C385">
        <f>IF(ISNA(MATCH(372,Engine!$C$2:$C$630,0)),"",INDEX('Compliance Database'!$C$2:$C$630,MATCH(372,Engine!$C$2:$C$630,0)))</f>
        <v/>
      </c>
      <c r="D385" s="8">
        <f>IF(ISNA(MATCH(372,Engine!$C$2:$C$630,0)),"",INDEX('Compliance Database'!$D$2:$D$630,MATCH(372,Engine!$C$2:$C$630,0)))</f>
        <v/>
      </c>
      <c r="E385">
        <f>IF(ISNA(MATCH(372,Engine!$C$2:$C$630,0)),"",INDEX('Compliance Database'!$E$2:$E$630,MATCH(372,Engine!$C$2:$C$630,0)))</f>
        <v/>
      </c>
      <c r="F385">
        <f>IF(ISNA(MATCH(372,Engine!$C$2:$C$630,0)),"",INDEX('Compliance Database'!$F$2:$F$630,MATCH(372,Engine!$C$2:$C$630,0)))</f>
        <v/>
      </c>
      <c r="G385">
        <f>IF(ISNA(MATCH(372,Engine!$C$2:$C$630,0)),"",INDEX('Compliance Database'!$G$2:$G$630,MATCH(372,Engine!$C$2:$C$630,0)))</f>
        <v/>
      </c>
      <c r="H385">
        <f>IF(ISNA(MATCH(372,Engine!$C$2:$C$630,0)),"",INDEX('Compliance Database'!$H$2:$H$630,MATCH(372,Engine!$C$2:$C$630,0)))</f>
        <v/>
      </c>
      <c r="I385" s="8">
        <f>IF(ISNA(MATCH(372,Engine!$C$2:$C$630,0)),"",INDEX('Compliance Database'!$I$2:$I$630,MATCH(372,Engine!$C$2:$C$630,0)))</f>
        <v/>
      </c>
      <c r="J385" s="8">
        <f>IF(ISNA(MATCH(372,Engine!$C$2:$C$630,0)),"",INDEX('Compliance Database'!$J$2:$J$630,MATCH(372,Engine!$C$2:$C$630,0)))</f>
        <v/>
      </c>
      <c r="K385">
        <f>IF(ISNA(MATCH(372,Engine!$C$2:$C$630,0)),"",INDEX('Compliance Database'!$K$2:$K$630,MATCH(372,Engine!$C$2:$C$630,0)))</f>
        <v/>
      </c>
      <c r="L385" s="8">
        <f>IF(ISNA(MATCH(372,Engine!$C$2:$C$630,0)),"",INDEX('Compliance Database'!$L$2:$L$630,MATCH(372,Engine!$C$2:$C$630,0)))</f>
        <v/>
      </c>
      <c r="M385" s="8">
        <f>IF(ISNA(MATCH(372,Engine!$C$2:$C$630,0)),"",INDEX('Compliance Database'!$M$2:$M$630,MATCH(372,Engine!$C$2:$C$630,0)))</f>
        <v/>
      </c>
      <c r="N385" s="8">
        <f>IF(ISNA(MATCH(372,Engine!$C$2:$C$630,0)),"",INDEX('Compliance Database'!$N$2:$N$630,MATCH(372,Engine!$C$2:$C$630,0)))</f>
        <v/>
      </c>
      <c r="O385" s="8">
        <f>IF(ISNA(MATCH(372,Engine!$C$2:$C$630,0)),"",INDEX('Compliance Database'!$O$2:$O$630,MATCH(372,Engine!$C$2:$C$630,0)))</f>
        <v/>
      </c>
    </row>
    <row r="386">
      <c r="A386">
        <f>IF(ISNA(MATCH(373,Engine!$C$2:$C$630,0)),"",INDEX('Compliance Database'!$A$2:$A$630,MATCH(373,Engine!$C$2:$C$630,0)))</f>
        <v/>
      </c>
      <c r="B386">
        <f>IF(ISNA(MATCH(373,Engine!$C$2:$C$630,0)),"",INDEX('Compliance Database'!$B$2:$B$630,MATCH(373,Engine!$C$2:$C$630,0)))</f>
        <v/>
      </c>
      <c r="C386">
        <f>IF(ISNA(MATCH(373,Engine!$C$2:$C$630,0)),"",INDEX('Compliance Database'!$C$2:$C$630,MATCH(373,Engine!$C$2:$C$630,0)))</f>
        <v/>
      </c>
      <c r="D386" s="8">
        <f>IF(ISNA(MATCH(373,Engine!$C$2:$C$630,0)),"",INDEX('Compliance Database'!$D$2:$D$630,MATCH(373,Engine!$C$2:$C$630,0)))</f>
        <v/>
      </c>
      <c r="E386">
        <f>IF(ISNA(MATCH(373,Engine!$C$2:$C$630,0)),"",INDEX('Compliance Database'!$E$2:$E$630,MATCH(373,Engine!$C$2:$C$630,0)))</f>
        <v/>
      </c>
      <c r="F386">
        <f>IF(ISNA(MATCH(373,Engine!$C$2:$C$630,0)),"",INDEX('Compliance Database'!$F$2:$F$630,MATCH(373,Engine!$C$2:$C$630,0)))</f>
        <v/>
      </c>
      <c r="G386">
        <f>IF(ISNA(MATCH(373,Engine!$C$2:$C$630,0)),"",INDEX('Compliance Database'!$G$2:$G$630,MATCH(373,Engine!$C$2:$C$630,0)))</f>
        <v/>
      </c>
      <c r="H386">
        <f>IF(ISNA(MATCH(373,Engine!$C$2:$C$630,0)),"",INDEX('Compliance Database'!$H$2:$H$630,MATCH(373,Engine!$C$2:$C$630,0)))</f>
        <v/>
      </c>
      <c r="I386" s="8">
        <f>IF(ISNA(MATCH(373,Engine!$C$2:$C$630,0)),"",INDEX('Compliance Database'!$I$2:$I$630,MATCH(373,Engine!$C$2:$C$630,0)))</f>
        <v/>
      </c>
      <c r="J386" s="8">
        <f>IF(ISNA(MATCH(373,Engine!$C$2:$C$630,0)),"",INDEX('Compliance Database'!$J$2:$J$630,MATCH(373,Engine!$C$2:$C$630,0)))</f>
        <v/>
      </c>
      <c r="K386">
        <f>IF(ISNA(MATCH(373,Engine!$C$2:$C$630,0)),"",INDEX('Compliance Database'!$K$2:$K$630,MATCH(373,Engine!$C$2:$C$630,0)))</f>
        <v/>
      </c>
      <c r="L386" s="8">
        <f>IF(ISNA(MATCH(373,Engine!$C$2:$C$630,0)),"",INDEX('Compliance Database'!$L$2:$L$630,MATCH(373,Engine!$C$2:$C$630,0)))</f>
        <v/>
      </c>
      <c r="M386" s="8">
        <f>IF(ISNA(MATCH(373,Engine!$C$2:$C$630,0)),"",INDEX('Compliance Database'!$M$2:$M$630,MATCH(373,Engine!$C$2:$C$630,0)))</f>
        <v/>
      </c>
      <c r="N386" s="8">
        <f>IF(ISNA(MATCH(373,Engine!$C$2:$C$630,0)),"",INDEX('Compliance Database'!$N$2:$N$630,MATCH(373,Engine!$C$2:$C$630,0)))</f>
        <v/>
      </c>
      <c r="O386" s="8">
        <f>IF(ISNA(MATCH(373,Engine!$C$2:$C$630,0)),"",INDEX('Compliance Database'!$O$2:$O$630,MATCH(373,Engine!$C$2:$C$630,0)))</f>
        <v/>
      </c>
    </row>
    <row r="387">
      <c r="A387">
        <f>IF(ISNA(MATCH(374,Engine!$C$2:$C$630,0)),"",INDEX('Compliance Database'!$A$2:$A$630,MATCH(374,Engine!$C$2:$C$630,0)))</f>
        <v/>
      </c>
      <c r="B387">
        <f>IF(ISNA(MATCH(374,Engine!$C$2:$C$630,0)),"",INDEX('Compliance Database'!$B$2:$B$630,MATCH(374,Engine!$C$2:$C$630,0)))</f>
        <v/>
      </c>
      <c r="C387">
        <f>IF(ISNA(MATCH(374,Engine!$C$2:$C$630,0)),"",INDEX('Compliance Database'!$C$2:$C$630,MATCH(374,Engine!$C$2:$C$630,0)))</f>
        <v/>
      </c>
      <c r="D387" s="8">
        <f>IF(ISNA(MATCH(374,Engine!$C$2:$C$630,0)),"",INDEX('Compliance Database'!$D$2:$D$630,MATCH(374,Engine!$C$2:$C$630,0)))</f>
        <v/>
      </c>
      <c r="E387">
        <f>IF(ISNA(MATCH(374,Engine!$C$2:$C$630,0)),"",INDEX('Compliance Database'!$E$2:$E$630,MATCH(374,Engine!$C$2:$C$630,0)))</f>
        <v/>
      </c>
      <c r="F387">
        <f>IF(ISNA(MATCH(374,Engine!$C$2:$C$630,0)),"",INDEX('Compliance Database'!$F$2:$F$630,MATCH(374,Engine!$C$2:$C$630,0)))</f>
        <v/>
      </c>
      <c r="G387">
        <f>IF(ISNA(MATCH(374,Engine!$C$2:$C$630,0)),"",INDEX('Compliance Database'!$G$2:$G$630,MATCH(374,Engine!$C$2:$C$630,0)))</f>
        <v/>
      </c>
      <c r="H387">
        <f>IF(ISNA(MATCH(374,Engine!$C$2:$C$630,0)),"",INDEX('Compliance Database'!$H$2:$H$630,MATCH(374,Engine!$C$2:$C$630,0)))</f>
        <v/>
      </c>
      <c r="I387" s="8">
        <f>IF(ISNA(MATCH(374,Engine!$C$2:$C$630,0)),"",INDEX('Compliance Database'!$I$2:$I$630,MATCH(374,Engine!$C$2:$C$630,0)))</f>
        <v/>
      </c>
      <c r="J387" s="8">
        <f>IF(ISNA(MATCH(374,Engine!$C$2:$C$630,0)),"",INDEX('Compliance Database'!$J$2:$J$630,MATCH(374,Engine!$C$2:$C$630,0)))</f>
        <v/>
      </c>
      <c r="K387">
        <f>IF(ISNA(MATCH(374,Engine!$C$2:$C$630,0)),"",INDEX('Compliance Database'!$K$2:$K$630,MATCH(374,Engine!$C$2:$C$630,0)))</f>
        <v/>
      </c>
      <c r="L387" s="8">
        <f>IF(ISNA(MATCH(374,Engine!$C$2:$C$630,0)),"",INDEX('Compliance Database'!$L$2:$L$630,MATCH(374,Engine!$C$2:$C$630,0)))</f>
        <v/>
      </c>
      <c r="M387" s="8">
        <f>IF(ISNA(MATCH(374,Engine!$C$2:$C$630,0)),"",INDEX('Compliance Database'!$M$2:$M$630,MATCH(374,Engine!$C$2:$C$630,0)))</f>
        <v/>
      </c>
      <c r="N387" s="8">
        <f>IF(ISNA(MATCH(374,Engine!$C$2:$C$630,0)),"",INDEX('Compliance Database'!$N$2:$N$630,MATCH(374,Engine!$C$2:$C$630,0)))</f>
        <v/>
      </c>
      <c r="O387" s="8">
        <f>IF(ISNA(MATCH(374,Engine!$C$2:$C$630,0)),"",INDEX('Compliance Database'!$O$2:$O$630,MATCH(374,Engine!$C$2:$C$630,0)))</f>
        <v/>
      </c>
    </row>
    <row r="388">
      <c r="A388">
        <f>IF(ISNA(MATCH(375,Engine!$C$2:$C$630,0)),"",INDEX('Compliance Database'!$A$2:$A$630,MATCH(375,Engine!$C$2:$C$630,0)))</f>
        <v/>
      </c>
      <c r="B388">
        <f>IF(ISNA(MATCH(375,Engine!$C$2:$C$630,0)),"",INDEX('Compliance Database'!$B$2:$B$630,MATCH(375,Engine!$C$2:$C$630,0)))</f>
        <v/>
      </c>
      <c r="C388">
        <f>IF(ISNA(MATCH(375,Engine!$C$2:$C$630,0)),"",INDEX('Compliance Database'!$C$2:$C$630,MATCH(375,Engine!$C$2:$C$630,0)))</f>
        <v/>
      </c>
      <c r="D388" s="8">
        <f>IF(ISNA(MATCH(375,Engine!$C$2:$C$630,0)),"",INDEX('Compliance Database'!$D$2:$D$630,MATCH(375,Engine!$C$2:$C$630,0)))</f>
        <v/>
      </c>
      <c r="E388">
        <f>IF(ISNA(MATCH(375,Engine!$C$2:$C$630,0)),"",INDEX('Compliance Database'!$E$2:$E$630,MATCH(375,Engine!$C$2:$C$630,0)))</f>
        <v/>
      </c>
      <c r="F388">
        <f>IF(ISNA(MATCH(375,Engine!$C$2:$C$630,0)),"",INDEX('Compliance Database'!$F$2:$F$630,MATCH(375,Engine!$C$2:$C$630,0)))</f>
        <v/>
      </c>
      <c r="G388">
        <f>IF(ISNA(MATCH(375,Engine!$C$2:$C$630,0)),"",INDEX('Compliance Database'!$G$2:$G$630,MATCH(375,Engine!$C$2:$C$630,0)))</f>
        <v/>
      </c>
      <c r="H388">
        <f>IF(ISNA(MATCH(375,Engine!$C$2:$C$630,0)),"",INDEX('Compliance Database'!$H$2:$H$630,MATCH(375,Engine!$C$2:$C$630,0)))</f>
        <v/>
      </c>
      <c r="I388" s="8">
        <f>IF(ISNA(MATCH(375,Engine!$C$2:$C$630,0)),"",INDEX('Compliance Database'!$I$2:$I$630,MATCH(375,Engine!$C$2:$C$630,0)))</f>
        <v/>
      </c>
      <c r="J388" s="8">
        <f>IF(ISNA(MATCH(375,Engine!$C$2:$C$630,0)),"",INDEX('Compliance Database'!$J$2:$J$630,MATCH(375,Engine!$C$2:$C$630,0)))</f>
        <v/>
      </c>
      <c r="K388">
        <f>IF(ISNA(MATCH(375,Engine!$C$2:$C$630,0)),"",INDEX('Compliance Database'!$K$2:$K$630,MATCH(375,Engine!$C$2:$C$630,0)))</f>
        <v/>
      </c>
      <c r="L388" s="8">
        <f>IF(ISNA(MATCH(375,Engine!$C$2:$C$630,0)),"",INDEX('Compliance Database'!$L$2:$L$630,MATCH(375,Engine!$C$2:$C$630,0)))</f>
        <v/>
      </c>
      <c r="M388" s="8">
        <f>IF(ISNA(MATCH(375,Engine!$C$2:$C$630,0)),"",INDEX('Compliance Database'!$M$2:$M$630,MATCH(375,Engine!$C$2:$C$630,0)))</f>
        <v/>
      </c>
      <c r="N388" s="8">
        <f>IF(ISNA(MATCH(375,Engine!$C$2:$C$630,0)),"",INDEX('Compliance Database'!$N$2:$N$630,MATCH(375,Engine!$C$2:$C$630,0)))</f>
        <v/>
      </c>
      <c r="O388" s="8">
        <f>IF(ISNA(MATCH(375,Engine!$C$2:$C$630,0)),"",INDEX('Compliance Database'!$O$2:$O$630,MATCH(375,Engine!$C$2:$C$630,0)))</f>
        <v/>
      </c>
    </row>
    <row r="389">
      <c r="A389">
        <f>IF(ISNA(MATCH(376,Engine!$C$2:$C$630,0)),"",INDEX('Compliance Database'!$A$2:$A$630,MATCH(376,Engine!$C$2:$C$630,0)))</f>
        <v/>
      </c>
      <c r="B389">
        <f>IF(ISNA(MATCH(376,Engine!$C$2:$C$630,0)),"",INDEX('Compliance Database'!$B$2:$B$630,MATCH(376,Engine!$C$2:$C$630,0)))</f>
        <v/>
      </c>
      <c r="C389">
        <f>IF(ISNA(MATCH(376,Engine!$C$2:$C$630,0)),"",INDEX('Compliance Database'!$C$2:$C$630,MATCH(376,Engine!$C$2:$C$630,0)))</f>
        <v/>
      </c>
      <c r="D389" s="8">
        <f>IF(ISNA(MATCH(376,Engine!$C$2:$C$630,0)),"",INDEX('Compliance Database'!$D$2:$D$630,MATCH(376,Engine!$C$2:$C$630,0)))</f>
        <v/>
      </c>
      <c r="E389">
        <f>IF(ISNA(MATCH(376,Engine!$C$2:$C$630,0)),"",INDEX('Compliance Database'!$E$2:$E$630,MATCH(376,Engine!$C$2:$C$630,0)))</f>
        <v/>
      </c>
      <c r="F389">
        <f>IF(ISNA(MATCH(376,Engine!$C$2:$C$630,0)),"",INDEX('Compliance Database'!$F$2:$F$630,MATCH(376,Engine!$C$2:$C$630,0)))</f>
        <v/>
      </c>
      <c r="G389">
        <f>IF(ISNA(MATCH(376,Engine!$C$2:$C$630,0)),"",INDEX('Compliance Database'!$G$2:$G$630,MATCH(376,Engine!$C$2:$C$630,0)))</f>
        <v/>
      </c>
      <c r="H389">
        <f>IF(ISNA(MATCH(376,Engine!$C$2:$C$630,0)),"",INDEX('Compliance Database'!$H$2:$H$630,MATCH(376,Engine!$C$2:$C$630,0)))</f>
        <v/>
      </c>
      <c r="I389" s="8">
        <f>IF(ISNA(MATCH(376,Engine!$C$2:$C$630,0)),"",INDEX('Compliance Database'!$I$2:$I$630,MATCH(376,Engine!$C$2:$C$630,0)))</f>
        <v/>
      </c>
      <c r="J389" s="8">
        <f>IF(ISNA(MATCH(376,Engine!$C$2:$C$630,0)),"",INDEX('Compliance Database'!$J$2:$J$630,MATCH(376,Engine!$C$2:$C$630,0)))</f>
        <v/>
      </c>
      <c r="K389">
        <f>IF(ISNA(MATCH(376,Engine!$C$2:$C$630,0)),"",INDEX('Compliance Database'!$K$2:$K$630,MATCH(376,Engine!$C$2:$C$630,0)))</f>
        <v/>
      </c>
      <c r="L389" s="8">
        <f>IF(ISNA(MATCH(376,Engine!$C$2:$C$630,0)),"",INDEX('Compliance Database'!$L$2:$L$630,MATCH(376,Engine!$C$2:$C$630,0)))</f>
        <v/>
      </c>
      <c r="M389" s="8">
        <f>IF(ISNA(MATCH(376,Engine!$C$2:$C$630,0)),"",INDEX('Compliance Database'!$M$2:$M$630,MATCH(376,Engine!$C$2:$C$630,0)))</f>
        <v/>
      </c>
      <c r="N389" s="8">
        <f>IF(ISNA(MATCH(376,Engine!$C$2:$C$630,0)),"",INDEX('Compliance Database'!$N$2:$N$630,MATCH(376,Engine!$C$2:$C$630,0)))</f>
        <v/>
      </c>
      <c r="O389" s="8">
        <f>IF(ISNA(MATCH(376,Engine!$C$2:$C$630,0)),"",INDEX('Compliance Database'!$O$2:$O$630,MATCH(376,Engine!$C$2:$C$630,0)))</f>
        <v/>
      </c>
    </row>
    <row r="390">
      <c r="A390">
        <f>IF(ISNA(MATCH(377,Engine!$C$2:$C$630,0)),"",INDEX('Compliance Database'!$A$2:$A$630,MATCH(377,Engine!$C$2:$C$630,0)))</f>
        <v/>
      </c>
      <c r="B390">
        <f>IF(ISNA(MATCH(377,Engine!$C$2:$C$630,0)),"",INDEX('Compliance Database'!$B$2:$B$630,MATCH(377,Engine!$C$2:$C$630,0)))</f>
        <v/>
      </c>
      <c r="C390">
        <f>IF(ISNA(MATCH(377,Engine!$C$2:$C$630,0)),"",INDEX('Compliance Database'!$C$2:$C$630,MATCH(377,Engine!$C$2:$C$630,0)))</f>
        <v/>
      </c>
      <c r="D390" s="8">
        <f>IF(ISNA(MATCH(377,Engine!$C$2:$C$630,0)),"",INDEX('Compliance Database'!$D$2:$D$630,MATCH(377,Engine!$C$2:$C$630,0)))</f>
        <v/>
      </c>
      <c r="E390">
        <f>IF(ISNA(MATCH(377,Engine!$C$2:$C$630,0)),"",INDEX('Compliance Database'!$E$2:$E$630,MATCH(377,Engine!$C$2:$C$630,0)))</f>
        <v/>
      </c>
      <c r="F390">
        <f>IF(ISNA(MATCH(377,Engine!$C$2:$C$630,0)),"",INDEX('Compliance Database'!$F$2:$F$630,MATCH(377,Engine!$C$2:$C$630,0)))</f>
        <v/>
      </c>
      <c r="G390">
        <f>IF(ISNA(MATCH(377,Engine!$C$2:$C$630,0)),"",INDEX('Compliance Database'!$G$2:$G$630,MATCH(377,Engine!$C$2:$C$630,0)))</f>
        <v/>
      </c>
      <c r="H390">
        <f>IF(ISNA(MATCH(377,Engine!$C$2:$C$630,0)),"",INDEX('Compliance Database'!$H$2:$H$630,MATCH(377,Engine!$C$2:$C$630,0)))</f>
        <v/>
      </c>
      <c r="I390" s="8">
        <f>IF(ISNA(MATCH(377,Engine!$C$2:$C$630,0)),"",INDEX('Compliance Database'!$I$2:$I$630,MATCH(377,Engine!$C$2:$C$630,0)))</f>
        <v/>
      </c>
      <c r="J390" s="8">
        <f>IF(ISNA(MATCH(377,Engine!$C$2:$C$630,0)),"",INDEX('Compliance Database'!$J$2:$J$630,MATCH(377,Engine!$C$2:$C$630,0)))</f>
        <v/>
      </c>
      <c r="K390">
        <f>IF(ISNA(MATCH(377,Engine!$C$2:$C$630,0)),"",INDEX('Compliance Database'!$K$2:$K$630,MATCH(377,Engine!$C$2:$C$630,0)))</f>
        <v/>
      </c>
      <c r="L390" s="8">
        <f>IF(ISNA(MATCH(377,Engine!$C$2:$C$630,0)),"",INDEX('Compliance Database'!$L$2:$L$630,MATCH(377,Engine!$C$2:$C$630,0)))</f>
        <v/>
      </c>
      <c r="M390" s="8">
        <f>IF(ISNA(MATCH(377,Engine!$C$2:$C$630,0)),"",INDEX('Compliance Database'!$M$2:$M$630,MATCH(377,Engine!$C$2:$C$630,0)))</f>
        <v/>
      </c>
      <c r="N390" s="8">
        <f>IF(ISNA(MATCH(377,Engine!$C$2:$C$630,0)),"",INDEX('Compliance Database'!$N$2:$N$630,MATCH(377,Engine!$C$2:$C$630,0)))</f>
        <v/>
      </c>
      <c r="O390" s="8">
        <f>IF(ISNA(MATCH(377,Engine!$C$2:$C$630,0)),"",INDEX('Compliance Database'!$O$2:$O$630,MATCH(377,Engine!$C$2:$C$630,0)))</f>
        <v/>
      </c>
    </row>
    <row r="391">
      <c r="A391">
        <f>IF(ISNA(MATCH(378,Engine!$C$2:$C$630,0)),"",INDEX('Compliance Database'!$A$2:$A$630,MATCH(378,Engine!$C$2:$C$630,0)))</f>
        <v/>
      </c>
      <c r="B391">
        <f>IF(ISNA(MATCH(378,Engine!$C$2:$C$630,0)),"",INDEX('Compliance Database'!$B$2:$B$630,MATCH(378,Engine!$C$2:$C$630,0)))</f>
        <v/>
      </c>
      <c r="C391">
        <f>IF(ISNA(MATCH(378,Engine!$C$2:$C$630,0)),"",INDEX('Compliance Database'!$C$2:$C$630,MATCH(378,Engine!$C$2:$C$630,0)))</f>
        <v/>
      </c>
      <c r="D391" s="8">
        <f>IF(ISNA(MATCH(378,Engine!$C$2:$C$630,0)),"",INDEX('Compliance Database'!$D$2:$D$630,MATCH(378,Engine!$C$2:$C$630,0)))</f>
        <v/>
      </c>
      <c r="E391">
        <f>IF(ISNA(MATCH(378,Engine!$C$2:$C$630,0)),"",INDEX('Compliance Database'!$E$2:$E$630,MATCH(378,Engine!$C$2:$C$630,0)))</f>
        <v/>
      </c>
      <c r="F391">
        <f>IF(ISNA(MATCH(378,Engine!$C$2:$C$630,0)),"",INDEX('Compliance Database'!$F$2:$F$630,MATCH(378,Engine!$C$2:$C$630,0)))</f>
        <v/>
      </c>
      <c r="G391">
        <f>IF(ISNA(MATCH(378,Engine!$C$2:$C$630,0)),"",INDEX('Compliance Database'!$G$2:$G$630,MATCH(378,Engine!$C$2:$C$630,0)))</f>
        <v/>
      </c>
      <c r="H391">
        <f>IF(ISNA(MATCH(378,Engine!$C$2:$C$630,0)),"",INDEX('Compliance Database'!$H$2:$H$630,MATCH(378,Engine!$C$2:$C$630,0)))</f>
        <v/>
      </c>
      <c r="I391" s="8">
        <f>IF(ISNA(MATCH(378,Engine!$C$2:$C$630,0)),"",INDEX('Compliance Database'!$I$2:$I$630,MATCH(378,Engine!$C$2:$C$630,0)))</f>
        <v/>
      </c>
      <c r="J391" s="8">
        <f>IF(ISNA(MATCH(378,Engine!$C$2:$C$630,0)),"",INDEX('Compliance Database'!$J$2:$J$630,MATCH(378,Engine!$C$2:$C$630,0)))</f>
        <v/>
      </c>
      <c r="K391">
        <f>IF(ISNA(MATCH(378,Engine!$C$2:$C$630,0)),"",INDEX('Compliance Database'!$K$2:$K$630,MATCH(378,Engine!$C$2:$C$630,0)))</f>
        <v/>
      </c>
      <c r="L391" s="8">
        <f>IF(ISNA(MATCH(378,Engine!$C$2:$C$630,0)),"",INDEX('Compliance Database'!$L$2:$L$630,MATCH(378,Engine!$C$2:$C$630,0)))</f>
        <v/>
      </c>
      <c r="M391" s="8">
        <f>IF(ISNA(MATCH(378,Engine!$C$2:$C$630,0)),"",INDEX('Compliance Database'!$M$2:$M$630,MATCH(378,Engine!$C$2:$C$630,0)))</f>
        <v/>
      </c>
      <c r="N391" s="8">
        <f>IF(ISNA(MATCH(378,Engine!$C$2:$C$630,0)),"",INDEX('Compliance Database'!$N$2:$N$630,MATCH(378,Engine!$C$2:$C$630,0)))</f>
        <v/>
      </c>
      <c r="O391" s="8">
        <f>IF(ISNA(MATCH(378,Engine!$C$2:$C$630,0)),"",INDEX('Compliance Database'!$O$2:$O$630,MATCH(378,Engine!$C$2:$C$630,0)))</f>
        <v/>
      </c>
    </row>
    <row r="392">
      <c r="A392">
        <f>IF(ISNA(MATCH(379,Engine!$C$2:$C$630,0)),"",INDEX('Compliance Database'!$A$2:$A$630,MATCH(379,Engine!$C$2:$C$630,0)))</f>
        <v/>
      </c>
      <c r="B392">
        <f>IF(ISNA(MATCH(379,Engine!$C$2:$C$630,0)),"",INDEX('Compliance Database'!$B$2:$B$630,MATCH(379,Engine!$C$2:$C$630,0)))</f>
        <v/>
      </c>
      <c r="C392">
        <f>IF(ISNA(MATCH(379,Engine!$C$2:$C$630,0)),"",INDEX('Compliance Database'!$C$2:$C$630,MATCH(379,Engine!$C$2:$C$630,0)))</f>
        <v/>
      </c>
      <c r="D392" s="8">
        <f>IF(ISNA(MATCH(379,Engine!$C$2:$C$630,0)),"",INDEX('Compliance Database'!$D$2:$D$630,MATCH(379,Engine!$C$2:$C$630,0)))</f>
        <v/>
      </c>
      <c r="E392">
        <f>IF(ISNA(MATCH(379,Engine!$C$2:$C$630,0)),"",INDEX('Compliance Database'!$E$2:$E$630,MATCH(379,Engine!$C$2:$C$630,0)))</f>
        <v/>
      </c>
      <c r="F392">
        <f>IF(ISNA(MATCH(379,Engine!$C$2:$C$630,0)),"",INDEX('Compliance Database'!$F$2:$F$630,MATCH(379,Engine!$C$2:$C$630,0)))</f>
        <v/>
      </c>
      <c r="G392">
        <f>IF(ISNA(MATCH(379,Engine!$C$2:$C$630,0)),"",INDEX('Compliance Database'!$G$2:$G$630,MATCH(379,Engine!$C$2:$C$630,0)))</f>
        <v/>
      </c>
      <c r="H392">
        <f>IF(ISNA(MATCH(379,Engine!$C$2:$C$630,0)),"",INDEX('Compliance Database'!$H$2:$H$630,MATCH(379,Engine!$C$2:$C$630,0)))</f>
        <v/>
      </c>
      <c r="I392" s="8">
        <f>IF(ISNA(MATCH(379,Engine!$C$2:$C$630,0)),"",INDEX('Compliance Database'!$I$2:$I$630,MATCH(379,Engine!$C$2:$C$630,0)))</f>
        <v/>
      </c>
      <c r="J392" s="8">
        <f>IF(ISNA(MATCH(379,Engine!$C$2:$C$630,0)),"",INDEX('Compliance Database'!$J$2:$J$630,MATCH(379,Engine!$C$2:$C$630,0)))</f>
        <v/>
      </c>
      <c r="K392">
        <f>IF(ISNA(MATCH(379,Engine!$C$2:$C$630,0)),"",INDEX('Compliance Database'!$K$2:$K$630,MATCH(379,Engine!$C$2:$C$630,0)))</f>
        <v/>
      </c>
      <c r="L392" s="8">
        <f>IF(ISNA(MATCH(379,Engine!$C$2:$C$630,0)),"",INDEX('Compliance Database'!$L$2:$L$630,MATCH(379,Engine!$C$2:$C$630,0)))</f>
        <v/>
      </c>
      <c r="M392" s="8">
        <f>IF(ISNA(MATCH(379,Engine!$C$2:$C$630,0)),"",INDEX('Compliance Database'!$M$2:$M$630,MATCH(379,Engine!$C$2:$C$630,0)))</f>
        <v/>
      </c>
      <c r="N392" s="8">
        <f>IF(ISNA(MATCH(379,Engine!$C$2:$C$630,0)),"",INDEX('Compliance Database'!$N$2:$N$630,MATCH(379,Engine!$C$2:$C$630,0)))</f>
        <v/>
      </c>
      <c r="O392" s="8">
        <f>IF(ISNA(MATCH(379,Engine!$C$2:$C$630,0)),"",INDEX('Compliance Database'!$O$2:$O$630,MATCH(379,Engine!$C$2:$C$630,0)))</f>
        <v/>
      </c>
    </row>
    <row r="393">
      <c r="A393">
        <f>IF(ISNA(MATCH(380,Engine!$C$2:$C$630,0)),"",INDEX('Compliance Database'!$A$2:$A$630,MATCH(380,Engine!$C$2:$C$630,0)))</f>
        <v/>
      </c>
      <c r="B393">
        <f>IF(ISNA(MATCH(380,Engine!$C$2:$C$630,0)),"",INDEX('Compliance Database'!$B$2:$B$630,MATCH(380,Engine!$C$2:$C$630,0)))</f>
        <v/>
      </c>
      <c r="C393">
        <f>IF(ISNA(MATCH(380,Engine!$C$2:$C$630,0)),"",INDEX('Compliance Database'!$C$2:$C$630,MATCH(380,Engine!$C$2:$C$630,0)))</f>
        <v/>
      </c>
      <c r="D393" s="8">
        <f>IF(ISNA(MATCH(380,Engine!$C$2:$C$630,0)),"",INDEX('Compliance Database'!$D$2:$D$630,MATCH(380,Engine!$C$2:$C$630,0)))</f>
        <v/>
      </c>
      <c r="E393">
        <f>IF(ISNA(MATCH(380,Engine!$C$2:$C$630,0)),"",INDEX('Compliance Database'!$E$2:$E$630,MATCH(380,Engine!$C$2:$C$630,0)))</f>
        <v/>
      </c>
      <c r="F393">
        <f>IF(ISNA(MATCH(380,Engine!$C$2:$C$630,0)),"",INDEX('Compliance Database'!$F$2:$F$630,MATCH(380,Engine!$C$2:$C$630,0)))</f>
        <v/>
      </c>
      <c r="G393">
        <f>IF(ISNA(MATCH(380,Engine!$C$2:$C$630,0)),"",INDEX('Compliance Database'!$G$2:$G$630,MATCH(380,Engine!$C$2:$C$630,0)))</f>
        <v/>
      </c>
      <c r="H393">
        <f>IF(ISNA(MATCH(380,Engine!$C$2:$C$630,0)),"",INDEX('Compliance Database'!$H$2:$H$630,MATCH(380,Engine!$C$2:$C$630,0)))</f>
        <v/>
      </c>
      <c r="I393" s="8">
        <f>IF(ISNA(MATCH(380,Engine!$C$2:$C$630,0)),"",INDEX('Compliance Database'!$I$2:$I$630,MATCH(380,Engine!$C$2:$C$630,0)))</f>
        <v/>
      </c>
      <c r="J393" s="8">
        <f>IF(ISNA(MATCH(380,Engine!$C$2:$C$630,0)),"",INDEX('Compliance Database'!$J$2:$J$630,MATCH(380,Engine!$C$2:$C$630,0)))</f>
        <v/>
      </c>
      <c r="K393">
        <f>IF(ISNA(MATCH(380,Engine!$C$2:$C$630,0)),"",INDEX('Compliance Database'!$K$2:$K$630,MATCH(380,Engine!$C$2:$C$630,0)))</f>
        <v/>
      </c>
      <c r="L393" s="8">
        <f>IF(ISNA(MATCH(380,Engine!$C$2:$C$630,0)),"",INDEX('Compliance Database'!$L$2:$L$630,MATCH(380,Engine!$C$2:$C$630,0)))</f>
        <v/>
      </c>
      <c r="M393" s="8">
        <f>IF(ISNA(MATCH(380,Engine!$C$2:$C$630,0)),"",INDEX('Compliance Database'!$M$2:$M$630,MATCH(380,Engine!$C$2:$C$630,0)))</f>
        <v/>
      </c>
      <c r="N393" s="8">
        <f>IF(ISNA(MATCH(380,Engine!$C$2:$C$630,0)),"",INDEX('Compliance Database'!$N$2:$N$630,MATCH(380,Engine!$C$2:$C$630,0)))</f>
        <v/>
      </c>
      <c r="O393" s="8">
        <f>IF(ISNA(MATCH(380,Engine!$C$2:$C$630,0)),"",INDEX('Compliance Database'!$O$2:$O$630,MATCH(380,Engine!$C$2:$C$630,0)))</f>
        <v/>
      </c>
    </row>
    <row r="394">
      <c r="A394">
        <f>IF(ISNA(MATCH(381,Engine!$C$2:$C$630,0)),"",INDEX('Compliance Database'!$A$2:$A$630,MATCH(381,Engine!$C$2:$C$630,0)))</f>
        <v/>
      </c>
      <c r="B394">
        <f>IF(ISNA(MATCH(381,Engine!$C$2:$C$630,0)),"",INDEX('Compliance Database'!$B$2:$B$630,MATCH(381,Engine!$C$2:$C$630,0)))</f>
        <v/>
      </c>
      <c r="C394">
        <f>IF(ISNA(MATCH(381,Engine!$C$2:$C$630,0)),"",INDEX('Compliance Database'!$C$2:$C$630,MATCH(381,Engine!$C$2:$C$630,0)))</f>
        <v/>
      </c>
      <c r="D394" s="8">
        <f>IF(ISNA(MATCH(381,Engine!$C$2:$C$630,0)),"",INDEX('Compliance Database'!$D$2:$D$630,MATCH(381,Engine!$C$2:$C$630,0)))</f>
        <v/>
      </c>
      <c r="E394">
        <f>IF(ISNA(MATCH(381,Engine!$C$2:$C$630,0)),"",INDEX('Compliance Database'!$E$2:$E$630,MATCH(381,Engine!$C$2:$C$630,0)))</f>
        <v/>
      </c>
      <c r="F394">
        <f>IF(ISNA(MATCH(381,Engine!$C$2:$C$630,0)),"",INDEX('Compliance Database'!$F$2:$F$630,MATCH(381,Engine!$C$2:$C$630,0)))</f>
        <v/>
      </c>
      <c r="G394">
        <f>IF(ISNA(MATCH(381,Engine!$C$2:$C$630,0)),"",INDEX('Compliance Database'!$G$2:$G$630,MATCH(381,Engine!$C$2:$C$630,0)))</f>
        <v/>
      </c>
      <c r="H394">
        <f>IF(ISNA(MATCH(381,Engine!$C$2:$C$630,0)),"",INDEX('Compliance Database'!$H$2:$H$630,MATCH(381,Engine!$C$2:$C$630,0)))</f>
        <v/>
      </c>
      <c r="I394" s="8">
        <f>IF(ISNA(MATCH(381,Engine!$C$2:$C$630,0)),"",INDEX('Compliance Database'!$I$2:$I$630,MATCH(381,Engine!$C$2:$C$630,0)))</f>
        <v/>
      </c>
      <c r="J394" s="8">
        <f>IF(ISNA(MATCH(381,Engine!$C$2:$C$630,0)),"",INDEX('Compliance Database'!$J$2:$J$630,MATCH(381,Engine!$C$2:$C$630,0)))</f>
        <v/>
      </c>
      <c r="K394">
        <f>IF(ISNA(MATCH(381,Engine!$C$2:$C$630,0)),"",INDEX('Compliance Database'!$K$2:$K$630,MATCH(381,Engine!$C$2:$C$630,0)))</f>
        <v/>
      </c>
      <c r="L394" s="8">
        <f>IF(ISNA(MATCH(381,Engine!$C$2:$C$630,0)),"",INDEX('Compliance Database'!$L$2:$L$630,MATCH(381,Engine!$C$2:$C$630,0)))</f>
        <v/>
      </c>
      <c r="M394" s="8">
        <f>IF(ISNA(MATCH(381,Engine!$C$2:$C$630,0)),"",INDEX('Compliance Database'!$M$2:$M$630,MATCH(381,Engine!$C$2:$C$630,0)))</f>
        <v/>
      </c>
      <c r="N394" s="8">
        <f>IF(ISNA(MATCH(381,Engine!$C$2:$C$630,0)),"",INDEX('Compliance Database'!$N$2:$N$630,MATCH(381,Engine!$C$2:$C$630,0)))</f>
        <v/>
      </c>
      <c r="O394" s="8">
        <f>IF(ISNA(MATCH(381,Engine!$C$2:$C$630,0)),"",INDEX('Compliance Database'!$O$2:$O$630,MATCH(381,Engine!$C$2:$C$630,0)))</f>
        <v/>
      </c>
    </row>
    <row r="395">
      <c r="A395">
        <f>IF(ISNA(MATCH(382,Engine!$C$2:$C$630,0)),"",INDEX('Compliance Database'!$A$2:$A$630,MATCH(382,Engine!$C$2:$C$630,0)))</f>
        <v/>
      </c>
      <c r="B395">
        <f>IF(ISNA(MATCH(382,Engine!$C$2:$C$630,0)),"",INDEX('Compliance Database'!$B$2:$B$630,MATCH(382,Engine!$C$2:$C$630,0)))</f>
        <v/>
      </c>
      <c r="C395">
        <f>IF(ISNA(MATCH(382,Engine!$C$2:$C$630,0)),"",INDEX('Compliance Database'!$C$2:$C$630,MATCH(382,Engine!$C$2:$C$630,0)))</f>
        <v/>
      </c>
      <c r="D395" s="8">
        <f>IF(ISNA(MATCH(382,Engine!$C$2:$C$630,0)),"",INDEX('Compliance Database'!$D$2:$D$630,MATCH(382,Engine!$C$2:$C$630,0)))</f>
        <v/>
      </c>
      <c r="E395">
        <f>IF(ISNA(MATCH(382,Engine!$C$2:$C$630,0)),"",INDEX('Compliance Database'!$E$2:$E$630,MATCH(382,Engine!$C$2:$C$630,0)))</f>
        <v/>
      </c>
      <c r="F395">
        <f>IF(ISNA(MATCH(382,Engine!$C$2:$C$630,0)),"",INDEX('Compliance Database'!$F$2:$F$630,MATCH(382,Engine!$C$2:$C$630,0)))</f>
        <v/>
      </c>
      <c r="G395">
        <f>IF(ISNA(MATCH(382,Engine!$C$2:$C$630,0)),"",INDEX('Compliance Database'!$G$2:$G$630,MATCH(382,Engine!$C$2:$C$630,0)))</f>
        <v/>
      </c>
      <c r="H395">
        <f>IF(ISNA(MATCH(382,Engine!$C$2:$C$630,0)),"",INDEX('Compliance Database'!$H$2:$H$630,MATCH(382,Engine!$C$2:$C$630,0)))</f>
        <v/>
      </c>
      <c r="I395" s="8">
        <f>IF(ISNA(MATCH(382,Engine!$C$2:$C$630,0)),"",INDEX('Compliance Database'!$I$2:$I$630,MATCH(382,Engine!$C$2:$C$630,0)))</f>
        <v/>
      </c>
      <c r="J395" s="8">
        <f>IF(ISNA(MATCH(382,Engine!$C$2:$C$630,0)),"",INDEX('Compliance Database'!$J$2:$J$630,MATCH(382,Engine!$C$2:$C$630,0)))</f>
        <v/>
      </c>
      <c r="K395">
        <f>IF(ISNA(MATCH(382,Engine!$C$2:$C$630,0)),"",INDEX('Compliance Database'!$K$2:$K$630,MATCH(382,Engine!$C$2:$C$630,0)))</f>
        <v/>
      </c>
      <c r="L395" s="8">
        <f>IF(ISNA(MATCH(382,Engine!$C$2:$C$630,0)),"",INDEX('Compliance Database'!$L$2:$L$630,MATCH(382,Engine!$C$2:$C$630,0)))</f>
        <v/>
      </c>
      <c r="M395" s="8">
        <f>IF(ISNA(MATCH(382,Engine!$C$2:$C$630,0)),"",INDEX('Compliance Database'!$M$2:$M$630,MATCH(382,Engine!$C$2:$C$630,0)))</f>
        <v/>
      </c>
      <c r="N395" s="8">
        <f>IF(ISNA(MATCH(382,Engine!$C$2:$C$630,0)),"",INDEX('Compliance Database'!$N$2:$N$630,MATCH(382,Engine!$C$2:$C$630,0)))</f>
        <v/>
      </c>
      <c r="O395" s="8">
        <f>IF(ISNA(MATCH(382,Engine!$C$2:$C$630,0)),"",INDEX('Compliance Database'!$O$2:$O$630,MATCH(382,Engine!$C$2:$C$630,0)))</f>
        <v/>
      </c>
    </row>
    <row r="396">
      <c r="A396">
        <f>IF(ISNA(MATCH(383,Engine!$C$2:$C$630,0)),"",INDEX('Compliance Database'!$A$2:$A$630,MATCH(383,Engine!$C$2:$C$630,0)))</f>
        <v/>
      </c>
      <c r="B396">
        <f>IF(ISNA(MATCH(383,Engine!$C$2:$C$630,0)),"",INDEX('Compliance Database'!$B$2:$B$630,MATCH(383,Engine!$C$2:$C$630,0)))</f>
        <v/>
      </c>
      <c r="C396">
        <f>IF(ISNA(MATCH(383,Engine!$C$2:$C$630,0)),"",INDEX('Compliance Database'!$C$2:$C$630,MATCH(383,Engine!$C$2:$C$630,0)))</f>
        <v/>
      </c>
      <c r="D396" s="8">
        <f>IF(ISNA(MATCH(383,Engine!$C$2:$C$630,0)),"",INDEX('Compliance Database'!$D$2:$D$630,MATCH(383,Engine!$C$2:$C$630,0)))</f>
        <v/>
      </c>
      <c r="E396">
        <f>IF(ISNA(MATCH(383,Engine!$C$2:$C$630,0)),"",INDEX('Compliance Database'!$E$2:$E$630,MATCH(383,Engine!$C$2:$C$630,0)))</f>
        <v/>
      </c>
      <c r="F396">
        <f>IF(ISNA(MATCH(383,Engine!$C$2:$C$630,0)),"",INDEX('Compliance Database'!$F$2:$F$630,MATCH(383,Engine!$C$2:$C$630,0)))</f>
        <v/>
      </c>
      <c r="G396">
        <f>IF(ISNA(MATCH(383,Engine!$C$2:$C$630,0)),"",INDEX('Compliance Database'!$G$2:$G$630,MATCH(383,Engine!$C$2:$C$630,0)))</f>
        <v/>
      </c>
      <c r="H396">
        <f>IF(ISNA(MATCH(383,Engine!$C$2:$C$630,0)),"",INDEX('Compliance Database'!$H$2:$H$630,MATCH(383,Engine!$C$2:$C$630,0)))</f>
        <v/>
      </c>
      <c r="I396" s="8">
        <f>IF(ISNA(MATCH(383,Engine!$C$2:$C$630,0)),"",INDEX('Compliance Database'!$I$2:$I$630,MATCH(383,Engine!$C$2:$C$630,0)))</f>
        <v/>
      </c>
      <c r="J396" s="8">
        <f>IF(ISNA(MATCH(383,Engine!$C$2:$C$630,0)),"",INDEX('Compliance Database'!$J$2:$J$630,MATCH(383,Engine!$C$2:$C$630,0)))</f>
        <v/>
      </c>
      <c r="K396">
        <f>IF(ISNA(MATCH(383,Engine!$C$2:$C$630,0)),"",INDEX('Compliance Database'!$K$2:$K$630,MATCH(383,Engine!$C$2:$C$630,0)))</f>
        <v/>
      </c>
      <c r="L396" s="8">
        <f>IF(ISNA(MATCH(383,Engine!$C$2:$C$630,0)),"",INDEX('Compliance Database'!$L$2:$L$630,MATCH(383,Engine!$C$2:$C$630,0)))</f>
        <v/>
      </c>
      <c r="M396" s="8">
        <f>IF(ISNA(MATCH(383,Engine!$C$2:$C$630,0)),"",INDEX('Compliance Database'!$M$2:$M$630,MATCH(383,Engine!$C$2:$C$630,0)))</f>
        <v/>
      </c>
      <c r="N396" s="8">
        <f>IF(ISNA(MATCH(383,Engine!$C$2:$C$630,0)),"",INDEX('Compliance Database'!$N$2:$N$630,MATCH(383,Engine!$C$2:$C$630,0)))</f>
        <v/>
      </c>
      <c r="O396" s="8">
        <f>IF(ISNA(MATCH(383,Engine!$C$2:$C$630,0)),"",INDEX('Compliance Database'!$O$2:$O$630,MATCH(383,Engine!$C$2:$C$630,0)))</f>
        <v/>
      </c>
    </row>
    <row r="397">
      <c r="A397">
        <f>IF(ISNA(MATCH(384,Engine!$C$2:$C$630,0)),"",INDEX('Compliance Database'!$A$2:$A$630,MATCH(384,Engine!$C$2:$C$630,0)))</f>
        <v/>
      </c>
      <c r="B397">
        <f>IF(ISNA(MATCH(384,Engine!$C$2:$C$630,0)),"",INDEX('Compliance Database'!$B$2:$B$630,MATCH(384,Engine!$C$2:$C$630,0)))</f>
        <v/>
      </c>
      <c r="C397">
        <f>IF(ISNA(MATCH(384,Engine!$C$2:$C$630,0)),"",INDEX('Compliance Database'!$C$2:$C$630,MATCH(384,Engine!$C$2:$C$630,0)))</f>
        <v/>
      </c>
      <c r="D397" s="8">
        <f>IF(ISNA(MATCH(384,Engine!$C$2:$C$630,0)),"",INDEX('Compliance Database'!$D$2:$D$630,MATCH(384,Engine!$C$2:$C$630,0)))</f>
        <v/>
      </c>
      <c r="E397">
        <f>IF(ISNA(MATCH(384,Engine!$C$2:$C$630,0)),"",INDEX('Compliance Database'!$E$2:$E$630,MATCH(384,Engine!$C$2:$C$630,0)))</f>
        <v/>
      </c>
      <c r="F397">
        <f>IF(ISNA(MATCH(384,Engine!$C$2:$C$630,0)),"",INDEX('Compliance Database'!$F$2:$F$630,MATCH(384,Engine!$C$2:$C$630,0)))</f>
        <v/>
      </c>
      <c r="G397">
        <f>IF(ISNA(MATCH(384,Engine!$C$2:$C$630,0)),"",INDEX('Compliance Database'!$G$2:$G$630,MATCH(384,Engine!$C$2:$C$630,0)))</f>
        <v/>
      </c>
      <c r="H397">
        <f>IF(ISNA(MATCH(384,Engine!$C$2:$C$630,0)),"",INDEX('Compliance Database'!$H$2:$H$630,MATCH(384,Engine!$C$2:$C$630,0)))</f>
        <v/>
      </c>
      <c r="I397" s="8">
        <f>IF(ISNA(MATCH(384,Engine!$C$2:$C$630,0)),"",INDEX('Compliance Database'!$I$2:$I$630,MATCH(384,Engine!$C$2:$C$630,0)))</f>
        <v/>
      </c>
      <c r="J397" s="8">
        <f>IF(ISNA(MATCH(384,Engine!$C$2:$C$630,0)),"",INDEX('Compliance Database'!$J$2:$J$630,MATCH(384,Engine!$C$2:$C$630,0)))</f>
        <v/>
      </c>
      <c r="K397">
        <f>IF(ISNA(MATCH(384,Engine!$C$2:$C$630,0)),"",INDEX('Compliance Database'!$K$2:$K$630,MATCH(384,Engine!$C$2:$C$630,0)))</f>
        <v/>
      </c>
      <c r="L397" s="8">
        <f>IF(ISNA(MATCH(384,Engine!$C$2:$C$630,0)),"",INDEX('Compliance Database'!$L$2:$L$630,MATCH(384,Engine!$C$2:$C$630,0)))</f>
        <v/>
      </c>
      <c r="M397" s="8">
        <f>IF(ISNA(MATCH(384,Engine!$C$2:$C$630,0)),"",INDEX('Compliance Database'!$M$2:$M$630,MATCH(384,Engine!$C$2:$C$630,0)))</f>
        <v/>
      </c>
      <c r="N397" s="8">
        <f>IF(ISNA(MATCH(384,Engine!$C$2:$C$630,0)),"",INDEX('Compliance Database'!$N$2:$N$630,MATCH(384,Engine!$C$2:$C$630,0)))</f>
        <v/>
      </c>
      <c r="O397" s="8">
        <f>IF(ISNA(MATCH(384,Engine!$C$2:$C$630,0)),"",INDEX('Compliance Database'!$O$2:$O$630,MATCH(384,Engine!$C$2:$C$630,0)))</f>
        <v/>
      </c>
    </row>
    <row r="398">
      <c r="A398">
        <f>IF(ISNA(MATCH(385,Engine!$C$2:$C$630,0)),"",INDEX('Compliance Database'!$A$2:$A$630,MATCH(385,Engine!$C$2:$C$630,0)))</f>
        <v/>
      </c>
      <c r="B398">
        <f>IF(ISNA(MATCH(385,Engine!$C$2:$C$630,0)),"",INDEX('Compliance Database'!$B$2:$B$630,MATCH(385,Engine!$C$2:$C$630,0)))</f>
        <v/>
      </c>
      <c r="C398">
        <f>IF(ISNA(MATCH(385,Engine!$C$2:$C$630,0)),"",INDEX('Compliance Database'!$C$2:$C$630,MATCH(385,Engine!$C$2:$C$630,0)))</f>
        <v/>
      </c>
      <c r="D398" s="8">
        <f>IF(ISNA(MATCH(385,Engine!$C$2:$C$630,0)),"",INDEX('Compliance Database'!$D$2:$D$630,MATCH(385,Engine!$C$2:$C$630,0)))</f>
        <v/>
      </c>
      <c r="E398">
        <f>IF(ISNA(MATCH(385,Engine!$C$2:$C$630,0)),"",INDEX('Compliance Database'!$E$2:$E$630,MATCH(385,Engine!$C$2:$C$630,0)))</f>
        <v/>
      </c>
      <c r="F398">
        <f>IF(ISNA(MATCH(385,Engine!$C$2:$C$630,0)),"",INDEX('Compliance Database'!$F$2:$F$630,MATCH(385,Engine!$C$2:$C$630,0)))</f>
        <v/>
      </c>
      <c r="G398">
        <f>IF(ISNA(MATCH(385,Engine!$C$2:$C$630,0)),"",INDEX('Compliance Database'!$G$2:$G$630,MATCH(385,Engine!$C$2:$C$630,0)))</f>
        <v/>
      </c>
      <c r="H398">
        <f>IF(ISNA(MATCH(385,Engine!$C$2:$C$630,0)),"",INDEX('Compliance Database'!$H$2:$H$630,MATCH(385,Engine!$C$2:$C$630,0)))</f>
        <v/>
      </c>
      <c r="I398" s="8">
        <f>IF(ISNA(MATCH(385,Engine!$C$2:$C$630,0)),"",INDEX('Compliance Database'!$I$2:$I$630,MATCH(385,Engine!$C$2:$C$630,0)))</f>
        <v/>
      </c>
      <c r="J398" s="8">
        <f>IF(ISNA(MATCH(385,Engine!$C$2:$C$630,0)),"",INDEX('Compliance Database'!$J$2:$J$630,MATCH(385,Engine!$C$2:$C$630,0)))</f>
        <v/>
      </c>
      <c r="K398">
        <f>IF(ISNA(MATCH(385,Engine!$C$2:$C$630,0)),"",INDEX('Compliance Database'!$K$2:$K$630,MATCH(385,Engine!$C$2:$C$630,0)))</f>
        <v/>
      </c>
      <c r="L398" s="8">
        <f>IF(ISNA(MATCH(385,Engine!$C$2:$C$630,0)),"",INDEX('Compliance Database'!$L$2:$L$630,MATCH(385,Engine!$C$2:$C$630,0)))</f>
        <v/>
      </c>
      <c r="M398" s="8">
        <f>IF(ISNA(MATCH(385,Engine!$C$2:$C$630,0)),"",INDEX('Compliance Database'!$M$2:$M$630,MATCH(385,Engine!$C$2:$C$630,0)))</f>
        <v/>
      </c>
      <c r="N398" s="8">
        <f>IF(ISNA(MATCH(385,Engine!$C$2:$C$630,0)),"",INDEX('Compliance Database'!$N$2:$N$630,MATCH(385,Engine!$C$2:$C$630,0)))</f>
        <v/>
      </c>
      <c r="O398" s="8">
        <f>IF(ISNA(MATCH(385,Engine!$C$2:$C$630,0)),"",INDEX('Compliance Database'!$O$2:$O$630,MATCH(385,Engine!$C$2:$C$630,0)))</f>
        <v/>
      </c>
    </row>
    <row r="399">
      <c r="A399">
        <f>IF(ISNA(MATCH(386,Engine!$C$2:$C$630,0)),"",INDEX('Compliance Database'!$A$2:$A$630,MATCH(386,Engine!$C$2:$C$630,0)))</f>
        <v/>
      </c>
      <c r="B399">
        <f>IF(ISNA(MATCH(386,Engine!$C$2:$C$630,0)),"",INDEX('Compliance Database'!$B$2:$B$630,MATCH(386,Engine!$C$2:$C$630,0)))</f>
        <v/>
      </c>
      <c r="C399">
        <f>IF(ISNA(MATCH(386,Engine!$C$2:$C$630,0)),"",INDEX('Compliance Database'!$C$2:$C$630,MATCH(386,Engine!$C$2:$C$630,0)))</f>
        <v/>
      </c>
      <c r="D399" s="8">
        <f>IF(ISNA(MATCH(386,Engine!$C$2:$C$630,0)),"",INDEX('Compliance Database'!$D$2:$D$630,MATCH(386,Engine!$C$2:$C$630,0)))</f>
        <v/>
      </c>
      <c r="E399">
        <f>IF(ISNA(MATCH(386,Engine!$C$2:$C$630,0)),"",INDEX('Compliance Database'!$E$2:$E$630,MATCH(386,Engine!$C$2:$C$630,0)))</f>
        <v/>
      </c>
      <c r="F399">
        <f>IF(ISNA(MATCH(386,Engine!$C$2:$C$630,0)),"",INDEX('Compliance Database'!$F$2:$F$630,MATCH(386,Engine!$C$2:$C$630,0)))</f>
        <v/>
      </c>
      <c r="G399">
        <f>IF(ISNA(MATCH(386,Engine!$C$2:$C$630,0)),"",INDEX('Compliance Database'!$G$2:$G$630,MATCH(386,Engine!$C$2:$C$630,0)))</f>
        <v/>
      </c>
      <c r="H399">
        <f>IF(ISNA(MATCH(386,Engine!$C$2:$C$630,0)),"",INDEX('Compliance Database'!$H$2:$H$630,MATCH(386,Engine!$C$2:$C$630,0)))</f>
        <v/>
      </c>
      <c r="I399" s="8">
        <f>IF(ISNA(MATCH(386,Engine!$C$2:$C$630,0)),"",INDEX('Compliance Database'!$I$2:$I$630,MATCH(386,Engine!$C$2:$C$630,0)))</f>
        <v/>
      </c>
      <c r="J399" s="8">
        <f>IF(ISNA(MATCH(386,Engine!$C$2:$C$630,0)),"",INDEX('Compliance Database'!$J$2:$J$630,MATCH(386,Engine!$C$2:$C$630,0)))</f>
        <v/>
      </c>
      <c r="K399">
        <f>IF(ISNA(MATCH(386,Engine!$C$2:$C$630,0)),"",INDEX('Compliance Database'!$K$2:$K$630,MATCH(386,Engine!$C$2:$C$630,0)))</f>
        <v/>
      </c>
      <c r="L399" s="8">
        <f>IF(ISNA(MATCH(386,Engine!$C$2:$C$630,0)),"",INDEX('Compliance Database'!$L$2:$L$630,MATCH(386,Engine!$C$2:$C$630,0)))</f>
        <v/>
      </c>
      <c r="M399" s="8">
        <f>IF(ISNA(MATCH(386,Engine!$C$2:$C$630,0)),"",INDEX('Compliance Database'!$M$2:$M$630,MATCH(386,Engine!$C$2:$C$630,0)))</f>
        <v/>
      </c>
      <c r="N399" s="8">
        <f>IF(ISNA(MATCH(386,Engine!$C$2:$C$630,0)),"",INDEX('Compliance Database'!$N$2:$N$630,MATCH(386,Engine!$C$2:$C$630,0)))</f>
        <v/>
      </c>
      <c r="O399" s="8">
        <f>IF(ISNA(MATCH(386,Engine!$C$2:$C$630,0)),"",INDEX('Compliance Database'!$O$2:$O$630,MATCH(386,Engine!$C$2:$C$630,0)))</f>
        <v/>
      </c>
    </row>
    <row r="400">
      <c r="A400">
        <f>IF(ISNA(MATCH(387,Engine!$C$2:$C$630,0)),"",INDEX('Compliance Database'!$A$2:$A$630,MATCH(387,Engine!$C$2:$C$630,0)))</f>
        <v/>
      </c>
      <c r="B400">
        <f>IF(ISNA(MATCH(387,Engine!$C$2:$C$630,0)),"",INDEX('Compliance Database'!$B$2:$B$630,MATCH(387,Engine!$C$2:$C$630,0)))</f>
        <v/>
      </c>
      <c r="C400">
        <f>IF(ISNA(MATCH(387,Engine!$C$2:$C$630,0)),"",INDEX('Compliance Database'!$C$2:$C$630,MATCH(387,Engine!$C$2:$C$630,0)))</f>
        <v/>
      </c>
      <c r="D400" s="8">
        <f>IF(ISNA(MATCH(387,Engine!$C$2:$C$630,0)),"",INDEX('Compliance Database'!$D$2:$D$630,MATCH(387,Engine!$C$2:$C$630,0)))</f>
        <v/>
      </c>
      <c r="E400">
        <f>IF(ISNA(MATCH(387,Engine!$C$2:$C$630,0)),"",INDEX('Compliance Database'!$E$2:$E$630,MATCH(387,Engine!$C$2:$C$630,0)))</f>
        <v/>
      </c>
      <c r="F400">
        <f>IF(ISNA(MATCH(387,Engine!$C$2:$C$630,0)),"",INDEX('Compliance Database'!$F$2:$F$630,MATCH(387,Engine!$C$2:$C$630,0)))</f>
        <v/>
      </c>
      <c r="G400">
        <f>IF(ISNA(MATCH(387,Engine!$C$2:$C$630,0)),"",INDEX('Compliance Database'!$G$2:$G$630,MATCH(387,Engine!$C$2:$C$630,0)))</f>
        <v/>
      </c>
      <c r="H400">
        <f>IF(ISNA(MATCH(387,Engine!$C$2:$C$630,0)),"",INDEX('Compliance Database'!$H$2:$H$630,MATCH(387,Engine!$C$2:$C$630,0)))</f>
        <v/>
      </c>
      <c r="I400" s="8">
        <f>IF(ISNA(MATCH(387,Engine!$C$2:$C$630,0)),"",INDEX('Compliance Database'!$I$2:$I$630,MATCH(387,Engine!$C$2:$C$630,0)))</f>
        <v/>
      </c>
      <c r="J400" s="8">
        <f>IF(ISNA(MATCH(387,Engine!$C$2:$C$630,0)),"",INDEX('Compliance Database'!$J$2:$J$630,MATCH(387,Engine!$C$2:$C$630,0)))</f>
        <v/>
      </c>
      <c r="K400">
        <f>IF(ISNA(MATCH(387,Engine!$C$2:$C$630,0)),"",INDEX('Compliance Database'!$K$2:$K$630,MATCH(387,Engine!$C$2:$C$630,0)))</f>
        <v/>
      </c>
      <c r="L400" s="8">
        <f>IF(ISNA(MATCH(387,Engine!$C$2:$C$630,0)),"",INDEX('Compliance Database'!$L$2:$L$630,MATCH(387,Engine!$C$2:$C$630,0)))</f>
        <v/>
      </c>
      <c r="M400" s="8">
        <f>IF(ISNA(MATCH(387,Engine!$C$2:$C$630,0)),"",INDEX('Compliance Database'!$M$2:$M$630,MATCH(387,Engine!$C$2:$C$630,0)))</f>
        <v/>
      </c>
      <c r="N400" s="8">
        <f>IF(ISNA(MATCH(387,Engine!$C$2:$C$630,0)),"",INDEX('Compliance Database'!$N$2:$N$630,MATCH(387,Engine!$C$2:$C$630,0)))</f>
        <v/>
      </c>
      <c r="O400" s="8">
        <f>IF(ISNA(MATCH(387,Engine!$C$2:$C$630,0)),"",INDEX('Compliance Database'!$O$2:$O$630,MATCH(387,Engine!$C$2:$C$630,0)))</f>
        <v/>
      </c>
    </row>
    <row r="401">
      <c r="A401">
        <f>IF(ISNA(MATCH(388,Engine!$C$2:$C$630,0)),"",INDEX('Compliance Database'!$A$2:$A$630,MATCH(388,Engine!$C$2:$C$630,0)))</f>
        <v/>
      </c>
      <c r="B401">
        <f>IF(ISNA(MATCH(388,Engine!$C$2:$C$630,0)),"",INDEX('Compliance Database'!$B$2:$B$630,MATCH(388,Engine!$C$2:$C$630,0)))</f>
        <v/>
      </c>
      <c r="C401">
        <f>IF(ISNA(MATCH(388,Engine!$C$2:$C$630,0)),"",INDEX('Compliance Database'!$C$2:$C$630,MATCH(388,Engine!$C$2:$C$630,0)))</f>
        <v/>
      </c>
      <c r="D401" s="8">
        <f>IF(ISNA(MATCH(388,Engine!$C$2:$C$630,0)),"",INDEX('Compliance Database'!$D$2:$D$630,MATCH(388,Engine!$C$2:$C$630,0)))</f>
        <v/>
      </c>
      <c r="E401">
        <f>IF(ISNA(MATCH(388,Engine!$C$2:$C$630,0)),"",INDEX('Compliance Database'!$E$2:$E$630,MATCH(388,Engine!$C$2:$C$630,0)))</f>
        <v/>
      </c>
      <c r="F401">
        <f>IF(ISNA(MATCH(388,Engine!$C$2:$C$630,0)),"",INDEX('Compliance Database'!$F$2:$F$630,MATCH(388,Engine!$C$2:$C$630,0)))</f>
        <v/>
      </c>
      <c r="G401">
        <f>IF(ISNA(MATCH(388,Engine!$C$2:$C$630,0)),"",INDEX('Compliance Database'!$G$2:$G$630,MATCH(388,Engine!$C$2:$C$630,0)))</f>
        <v/>
      </c>
      <c r="H401">
        <f>IF(ISNA(MATCH(388,Engine!$C$2:$C$630,0)),"",INDEX('Compliance Database'!$H$2:$H$630,MATCH(388,Engine!$C$2:$C$630,0)))</f>
        <v/>
      </c>
      <c r="I401" s="8">
        <f>IF(ISNA(MATCH(388,Engine!$C$2:$C$630,0)),"",INDEX('Compliance Database'!$I$2:$I$630,MATCH(388,Engine!$C$2:$C$630,0)))</f>
        <v/>
      </c>
      <c r="J401" s="8">
        <f>IF(ISNA(MATCH(388,Engine!$C$2:$C$630,0)),"",INDEX('Compliance Database'!$J$2:$J$630,MATCH(388,Engine!$C$2:$C$630,0)))</f>
        <v/>
      </c>
      <c r="K401">
        <f>IF(ISNA(MATCH(388,Engine!$C$2:$C$630,0)),"",INDEX('Compliance Database'!$K$2:$K$630,MATCH(388,Engine!$C$2:$C$630,0)))</f>
        <v/>
      </c>
      <c r="L401" s="8">
        <f>IF(ISNA(MATCH(388,Engine!$C$2:$C$630,0)),"",INDEX('Compliance Database'!$L$2:$L$630,MATCH(388,Engine!$C$2:$C$630,0)))</f>
        <v/>
      </c>
      <c r="M401" s="8">
        <f>IF(ISNA(MATCH(388,Engine!$C$2:$C$630,0)),"",INDEX('Compliance Database'!$M$2:$M$630,MATCH(388,Engine!$C$2:$C$630,0)))</f>
        <v/>
      </c>
      <c r="N401" s="8">
        <f>IF(ISNA(MATCH(388,Engine!$C$2:$C$630,0)),"",INDEX('Compliance Database'!$N$2:$N$630,MATCH(388,Engine!$C$2:$C$630,0)))</f>
        <v/>
      </c>
      <c r="O401" s="8">
        <f>IF(ISNA(MATCH(388,Engine!$C$2:$C$630,0)),"",INDEX('Compliance Database'!$O$2:$O$630,MATCH(388,Engine!$C$2:$C$630,0)))</f>
        <v/>
      </c>
    </row>
    <row r="402">
      <c r="A402">
        <f>IF(ISNA(MATCH(389,Engine!$C$2:$C$630,0)),"",INDEX('Compliance Database'!$A$2:$A$630,MATCH(389,Engine!$C$2:$C$630,0)))</f>
        <v/>
      </c>
      <c r="B402">
        <f>IF(ISNA(MATCH(389,Engine!$C$2:$C$630,0)),"",INDEX('Compliance Database'!$B$2:$B$630,MATCH(389,Engine!$C$2:$C$630,0)))</f>
        <v/>
      </c>
      <c r="C402">
        <f>IF(ISNA(MATCH(389,Engine!$C$2:$C$630,0)),"",INDEX('Compliance Database'!$C$2:$C$630,MATCH(389,Engine!$C$2:$C$630,0)))</f>
        <v/>
      </c>
      <c r="D402" s="8">
        <f>IF(ISNA(MATCH(389,Engine!$C$2:$C$630,0)),"",INDEX('Compliance Database'!$D$2:$D$630,MATCH(389,Engine!$C$2:$C$630,0)))</f>
        <v/>
      </c>
      <c r="E402">
        <f>IF(ISNA(MATCH(389,Engine!$C$2:$C$630,0)),"",INDEX('Compliance Database'!$E$2:$E$630,MATCH(389,Engine!$C$2:$C$630,0)))</f>
        <v/>
      </c>
      <c r="F402">
        <f>IF(ISNA(MATCH(389,Engine!$C$2:$C$630,0)),"",INDEX('Compliance Database'!$F$2:$F$630,MATCH(389,Engine!$C$2:$C$630,0)))</f>
        <v/>
      </c>
      <c r="G402">
        <f>IF(ISNA(MATCH(389,Engine!$C$2:$C$630,0)),"",INDEX('Compliance Database'!$G$2:$G$630,MATCH(389,Engine!$C$2:$C$630,0)))</f>
        <v/>
      </c>
      <c r="H402">
        <f>IF(ISNA(MATCH(389,Engine!$C$2:$C$630,0)),"",INDEX('Compliance Database'!$H$2:$H$630,MATCH(389,Engine!$C$2:$C$630,0)))</f>
        <v/>
      </c>
      <c r="I402" s="8">
        <f>IF(ISNA(MATCH(389,Engine!$C$2:$C$630,0)),"",INDEX('Compliance Database'!$I$2:$I$630,MATCH(389,Engine!$C$2:$C$630,0)))</f>
        <v/>
      </c>
      <c r="J402" s="8">
        <f>IF(ISNA(MATCH(389,Engine!$C$2:$C$630,0)),"",INDEX('Compliance Database'!$J$2:$J$630,MATCH(389,Engine!$C$2:$C$630,0)))</f>
        <v/>
      </c>
      <c r="K402">
        <f>IF(ISNA(MATCH(389,Engine!$C$2:$C$630,0)),"",INDEX('Compliance Database'!$K$2:$K$630,MATCH(389,Engine!$C$2:$C$630,0)))</f>
        <v/>
      </c>
      <c r="L402" s="8">
        <f>IF(ISNA(MATCH(389,Engine!$C$2:$C$630,0)),"",INDEX('Compliance Database'!$L$2:$L$630,MATCH(389,Engine!$C$2:$C$630,0)))</f>
        <v/>
      </c>
      <c r="M402" s="8">
        <f>IF(ISNA(MATCH(389,Engine!$C$2:$C$630,0)),"",INDEX('Compliance Database'!$M$2:$M$630,MATCH(389,Engine!$C$2:$C$630,0)))</f>
        <v/>
      </c>
      <c r="N402" s="8">
        <f>IF(ISNA(MATCH(389,Engine!$C$2:$C$630,0)),"",INDEX('Compliance Database'!$N$2:$N$630,MATCH(389,Engine!$C$2:$C$630,0)))</f>
        <v/>
      </c>
      <c r="O402" s="8">
        <f>IF(ISNA(MATCH(389,Engine!$C$2:$C$630,0)),"",INDEX('Compliance Database'!$O$2:$O$630,MATCH(389,Engine!$C$2:$C$630,0)))</f>
        <v/>
      </c>
    </row>
    <row r="403">
      <c r="A403">
        <f>IF(ISNA(MATCH(390,Engine!$C$2:$C$630,0)),"",INDEX('Compliance Database'!$A$2:$A$630,MATCH(390,Engine!$C$2:$C$630,0)))</f>
        <v/>
      </c>
      <c r="B403">
        <f>IF(ISNA(MATCH(390,Engine!$C$2:$C$630,0)),"",INDEX('Compliance Database'!$B$2:$B$630,MATCH(390,Engine!$C$2:$C$630,0)))</f>
        <v/>
      </c>
      <c r="C403">
        <f>IF(ISNA(MATCH(390,Engine!$C$2:$C$630,0)),"",INDEX('Compliance Database'!$C$2:$C$630,MATCH(390,Engine!$C$2:$C$630,0)))</f>
        <v/>
      </c>
      <c r="D403" s="8">
        <f>IF(ISNA(MATCH(390,Engine!$C$2:$C$630,0)),"",INDEX('Compliance Database'!$D$2:$D$630,MATCH(390,Engine!$C$2:$C$630,0)))</f>
        <v/>
      </c>
      <c r="E403">
        <f>IF(ISNA(MATCH(390,Engine!$C$2:$C$630,0)),"",INDEX('Compliance Database'!$E$2:$E$630,MATCH(390,Engine!$C$2:$C$630,0)))</f>
        <v/>
      </c>
      <c r="F403">
        <f>IF(ISNA(MATCH(390,Engine!$C$2:$C$630,0)),"",INDEX('Compliance Database'!$F$2:$F$630,MATCH(390,Engine!$C$2:$C$630,0)))</f>
        <v/>
      </c>
      <c r="G403">
        <f>IF(ISNA(MATCH(390,Engine!$C$2:$C$630,0)),"",INDEX('Compliance Database'!$G$2:$G$630,MATCH(390,Engine!$C$2:$C$630,0)))</f>
        <v/>
      </c>
      <c r="H403">
        <f>IF(ISNA(MATCH(390,Engine!$C$2:$C$630,0)),"",INDEX('Compliance Database'!$H$2:$H$630,MATCH(390,Engine!$C$2:$C$630,0)))</f>
        <v/>
      </c>
      <c r="I403" s="8">
        <f>IF(ISNA(MATCH(390,Engine!$C$2:$C$630,0)),"",INDEX('Compliance Database'!$I$2:$I$630,MATCH(390,Engine!$C$2:$C$630,0)))</f>
        <v/>
      </c>
      <c r="J403" s="8">
        <f>IF(ISNA(MATCH(390,Engine!$C$2:$C$630,0)),"",INDEX('Compliance Database'!$J$2:$J$630,MATCH(390,Engine!$C$2:$C$630,0)))</f>
        <v/>
      </c>
      <c r="K403">
        <f>IF(ISNA(MATCH(390,Engine!$C$2:$C$630,0)),"",INDEX('Compliance Database'!$K$2:$K$630,MATCH(390,Engine!$C$2:$C$630,0)))</f>
        <v/>
      </c>
      <c r="L403" s="8">
        <f>IF(ISNA(MATCH(390,Engine!$C$2:$C$630,0)),"",INDEX('Compliance Database'!$L$2:$L$630,MATCH(390,Engine!$C$2:$C$630,0)))</f>
        <v/>
      </c>
      <c r="M403" s="8">
        <f>IF(ISNA(MATCH(390,Engine!$C$2:$C$630,0)),"",INDEX('Compliance Database'!$M$2:$M$630,MATCH(390,Engine!$C$2:$C$630,0)))</f>
        <v/>
      </c>
      <c r="N403" s="8">
        <f>IF(ISNA(MATCH(390,Engine!$C$2:$C$630,0)),"",INDEX('Compliance Database'!$N$2:$N$630,MATCH(390,Engine!$C$2:$C$630,0)))</f>
        <v/>
      </c>
      <c r="O403" s="8">
        <f>IF(ISNA(MATCH(390,Engine!$C$2:$C$630,0)),"",INDEX('Compliance Database'!$O$2:$O$630,MATCH(390,Engine!$C$2:$C$630,0)))</f>
        <v/>
      </c>
    </row>
    <row r="404">
      <c r="A404">
        <f>IF(ISNA(MATCH(391,Engine!$C$2:$C$630,0)),"",INDEX('Compliance Database'!$A$2:$A$630,MATCH(391,Engine!$C$2:$C$630,0)))</f>
        <v/>
      </c>
      <c r="B404">
        <f>IF(ISNA(MATCH(391,Engine!$C$2:$C$630,0)),"",INDEX('Compliance Database'!$B$2:$B$630,MATCH(391,Engine!$C$2:$C$630,0)))</f>
        <v/>
      </c>
      <c r="C404">
        <f>IF(ISNA(MATCH(391,Engine!$C$2:$C$630,0)),"",INDEX('Compliance Database'!$C$2:$C$630,MATCH(391,Engine!$C$2:$C$630,0)))</f>
        <v/>
      </c>
      <c r="D404" s="8">
        <f>IF(ISNA(MATCH(391,Engine!$C$2:$C$630,0)),"",INDEX('Compliance Database'!$D$2:$D$630,MATCH(391,Engine!$C$2:$C$630,0)))</f>
        <v/>
      </c>
      <c r="E404">
        <f>IF(ISNA(MATCH(391,Engine!$C$2:$C$630,0)),"",INDEX('Compliance Database'!$E$2:$E$630,MATCH(391,Engine!$C$2:$C$630,0)))</f>
        <v/>
      </c>
      <c r="F404">
        <f>IF(ISNA(MATCH(391,Engine!$C$2:$C$630,0)),"",INDEX('Compliance Database'!$F$2:$F$630,MATCH(391,Engine!$C$2:$C$630,0)))</f>
        <v/>
      </c>
      <c r="G404">
        <f>IF(ISNA(MATCH(391,Engine!$C$2:$C$630,0)),"",INDEX('Compliance Database'!$G$2:$G$630,MATCH(391,Engine!$C$2:$C$630,0)))</f>
        <v/>
      </c>
      <c r="H404">
        <f>IF(ISNA(MATCH(391,Engine!$C$2:$C$630,0)),"",INDEX('Compliance Database'!$H$2:$H$630,MATCH(391,Engine!$C$2:$C$630,0)))</f>
        <v/>
      </c>
      <c r="I404" s="8">
        <f>IF(ISNA(MATCH(391,Engine!$C$2:$C$630,0)),"",INDEX('Compliance Database'!$I$2:$I$630,MATCH(391,Engine!$C$2:$C$630,0)))</f>
        <v/>
      </c>
      <c r="J404" s="8">
        <f>IF(ISNA(MATCH(391,Engine!$C$2:$C$630,0)),"",INDEX('Compliance Database'!$J$2:$J$630,MATCH(391,Engine!$C$2:$C$630,0)))</f>
        <v/>
      </c>
      <c r="K404">
        <f>IF(ISNA(MATCH(391,Engine!$C$2:$C$630,0)),"",INDEX('Compliance Database'!$K$2:$K$630,MATCH(391,Engine!$C$2:$C$630,0)))</f>
        <v/>
      </c>
      <c r="L404" s="8">
        <f>IF(ISNA(MATCH(391,Engine!$C$2:$C$630,0)),"",INDEX('Compliance Database'!$L$2:$L$630,MATCH(391,Engine!$C$2:$C$630,0)))</f>
        <v/>
      </c>
      <c r="M404" s="8">
        <f>IF(ISNA(MATCH(391,Engine!$C$2:$C$630,0)),"",INDEX('Compliance Database'!$M$2:$M$630,MATCH(391,Engine!$C$2:$C$630,0)))</f>
        <v/>
      </c>
      <c r="N404" s="8">
        <f>IF(ISNA(MATCH(391,Engine!$C$2:$C$630,0)),"",INDEX('Compliance Database'!$N$2:$N$630,MATCH(391,Engine!$C$2:$C$630,0)))</f>
        <v/>
      </c>
      <c r="O404" s="8">
        <f>IF(ISNA(MATCH(391,Engine!$C$2:$C$630,0)),"",INDEX('Compliance Database'!$O$2:$O$630,MATCH(391,Engine!$C$2:$C$630,0)))</f>
        <v/>
      </c>
    </row>
    <row r="405">
      <c r="A405">
        <f>IF(ISNA(MATCH(392,Engine!$C$2:$C$630,0)),"",INDEX('Compliance Database'!$A$2:$A$630,MATCH(392,Engine!$C$2:$C$630,0)))</f>
        <v/>
      </c>
      <c r="B405">
        <f>IF(ISNA(MATCH(392,Engine!$C$2:$C$630,0)),"",INDEX('Compliance Database'!$B$2:$B$630,MATCH(392,Engine!$C$2:$C$630,0)))</f>
        <v/>
      </c>
      <c r="C405">
        <f>IF(ISNA(MATCH(392,Engine!$C$2:$C$630,0)),"",INDEX('Compliance Database'!$C$2:$C$630,MATCH(392,Engine!$C$2:$C$630,0)))</f>
        <v/>
      </c>
      <c r="D405" s="8">
        <f>IF(ISNA(MATCH(392,Engine!$C$2:$C$630,0)),"",INDEX('Compliance Database'!$D$2:$D$630,MATCH(392,Engine!$C$2:$C$630,0)))</f>
        <v/>
      </c>
      <c r="E405">
        <f>IF(ISNA(MATCH(392,Engine!$C$2:$C$630,0)),"",INDEX('Compliance Database'!$E$2:$E$630,MATCH(392,Engine!$C$2:$C$630,0)))</f>
        <v/>
      </c>
      <c r="F405">
        <f>IF(ISNA(MATCH(392,Engine!$C$2:$C$630,0)),"",INDEX('Compliance Database'!$F$2:$F$630,MATCH(392,Engine!$C$2:$C$630,0)))</f>
        <v/>
      </c>
      <c r="G405">
        <f>IF(ISNA(MATCH(392,Engine!$C$2:$C$630,0)),"",INDEX('Compliance Database'!$G$2:$G$630,MATCH(392,Engine!$C$2:$C$630,0)))</f>
        <v/>
      </c>
      <c r="H405">
        <f>IF(ISNA(MATCH(392,Engine!$C$2:$C$630,0)),"",INDEX('Compliance Database'!$H$2:$H$630,MATCH(392,Engine!$C$2:$C$630,0)))</f>
        <v/>
      </c>
      <c r="I405" s="8">
        <f>IF(ISNA(MATCH(392,Engine!$C$2:$C$630,0)),"",INDEX('Compliance Database'!$I$2:$I$630,MATCH(392,Engine!$C$2:$C$630,0)))</f>
        <v/>
      </c>
      <c r="J405" s="8">
        <f>IF(ISNA(MATCH(392,Engine!$C$2:$C$630,0)),"",INDEX('Compliance Database'!$J$2:$J$630,MATCH(392,Engine!$C$2:$C$630,0)))</f>
        <v/>
      </c>
      <c r="K405">
        <f>IF(ISNA(MATCH(392,Engine!$C$2:$C$630,0)),"",INDEX('Compliance Database'!$K$2:$K$630,MATCH(392,Engine!$C$2:$C$630,0)))</f>
        <v/>
      </c>
      <c r="L405" s="8">
        <f>IF(ISNA(MATCH(392,Engine!$C$2:$C$630,0)),"",INDEX('Compliance Database'!$L$2:$L$630,MATCH(392,Engine!$C$2:$C$630,0)))</f>
        <v/>
      </c>
      <c r="M405" s="8">
        <f>IF(ISNA(MATCH(392,Engine!$C$2:$C$630,0)),"",INDEX('Compliance Database'!$M$2:$M$630,MATCH(392,Engine!$C$2:$C$630,0)))</f>
        <v/>
      </c>
      <c r="N405" s="8">
        <f>IF(ISNA(MATCH(392,Engine!$C$2:$C$630,0)),"",INDEX('Compliance Database'!$N$2:$N$630,MATCH(392,Engine!$C$2:$C$630,0)))</f>
        <v/>
      </c>
      <c r="O405" s="8">
        <f>IF(ISNA(MATCH(392,Engine!$C$2:$C$630,0)),"",INDEX('Compliance Database'!$O$2:$O$630,MATCH(392,Engine!$C$2:$C$630,0)))</f>
        <v/>
      </c>
    </row>
    <row r="406">
      <c r="A406">
        <f>IF(ISNA(MATCH(393,Engine!$C$2:$C$630,0)),"",INDEX('Compliance Database'!$A$2:$A$630,MATCH(393,Engine!$C$2:$C$630,0)))</f>
        <v/>
      </c>
      <c r="B406">
        <f>IF(ISNA(MATCH(393,Engine!$C$2:$C$630,0)),"",INDEX('Compliance Database'!$B$2:$B$630,MATCH(393,Engine!$C$2:$C$630,0)))</f>
        <v/>
      </c>
      <c r="C406">
        <f>IF(ISNA(MATCH(393,Engine!$C$2:$C$630,0)),"",INDEX('Compliance Database'!$C$2:$C$630,MATCH(393,Engine!$C$2:$C$630,0)))</f>
        <v/>
      </c>
      <c r="D406" s="8">
        <f>IF(ISNA(MATCH(393,Engine!$C$2:$C$630,0)),"",INDEX('Compliance Database'!$D$2:$D$630,MATCH(393,Engine!$C$2:$C$630,0)))</f>
        <v/>
      </c>
      <c r="E406">
        <f>IF(ISNA(MATCH(393,Engine!$C$2:$C$630,0)),"",INDEX('Compliance Database'!$E$2:$E$630,MATCH(393,Engine!$C$2:$C$630,0)))</f>
        <v/>
      </c>
      <c r="F406">
        <f>IF(ISNA(MATCH(393,Engine!$C$2:$C$630,0)),"",INDEX('Compliance Database'!$F$2:$F$630,MATCH(393,Engine!$C$2:$C$630,0)))</f>
        <v/>
      </c>
      <c r="G406">
        <f>IF(ISNA(MATCH(393,Engine!$C$2:$C$630,0)),"",INDEX('Compliance Database'!$G$2:$G$630,MATCH(393,Engine!$C$2:$C$630,0)))</f>
        <v/>
      </c>
      <c r="H406">
        <f>IF(ISNA(MATCH(393,Engine!$C$2:$C$630,0)),"",INDEX('Compliance Database'!$H$2:$H$630,MATCH(393,Engine!$C$2:$C$630,0)))</f>
        <v/>
      </c>
      <c r="I406" s="8">
        <f>IF(ISNA(MATCH(393,Engine!$C$2:$C$630,0)),"",INDEX('Compliance Database'!$I$2:$I$630,MATCH(393,Engine!$C$2:$C$630,0)))</f>
        <v/>
      </c>
      <c r="J406" s="8">
        <f>IF(ISNA(MATCH(393,Engine!$C$2:$C$630,0)),"",INDEX('Compliance Database'!$J$2:$J$630,MATCH(393,Engine!$C$2:$C$630,0)))</f>
        <v/>
      </c>
      <c r="K406">
        <f>IF(ISNA(MATCH(393,Engine!$C$2:$C$630,0)),"",INDEX('Compliance Database'!$K$2:$K$630,MATCH(393,Engine!$C$2:$C$630,0)))</f>
        <v/>
      </c>
      <c r="L406" s="8">
        <f>IF(ISNA(MATCH(393,Engine!$C$2:$C$630,0)),"",INDEX('Compliance Database'!$L$2:$L$630,MATCH(393,Engine!$C$2:$C$630,0)))</f>
        <v/>
      </c>
      <c r="M406" s="8">
        <f>IF(ISNA(MATCH(393,Engine!$C$2:$C$630,0)),"",INDEX('Compliance Database'!$M$2:$M$630,MATCH(393,Engine!$C$2:$C$630,0)))</f>
        <v/>
      </c>
      <c r="N406" s="8">
        <f>IF(ISNA(MATCH(393,Engine!$C$2:$C$630,0)),"",INDEX('Compliance Database'!$N$2:$N$630,MATCH(393,Engine!$C$2:$C$630,0)))</f>
        <v/>
      </c>
      <c r="O406" s="8">
        <f>IF(ISNA(MATCH(393,Engine!$C$2:$C$630,0)),"",INDEX('Compliance Database'!$O$2:$O$630,MATCH(393,Engine!$C$2:$C$630,0)))</f>
        <v/>
      </c>
    </row>
    <row r="407">
      <c r="A407">
        <f>IF(ISNA(MATCH(394,Engine!$C$2:$C$630,0)),"",INDEX('Compliance Database'!$A$2:$A$630,MATCH(394,Engine!$C$2:$C$630,0)))</f>
        <v/>
      </c>
      <c r="B407">
        <f>IF(ISNA(MATCH(394,Engine!$C$2:$C$630,0)),"",INDEX('Compliance Database'!$B$2:$B$630,MATCH(394,Engine!$C$2:$C$630,0)))</f>
        <v/>
      </c>
      <c r="C407">
        <f>IF(ISNA(MATCH(394,Engine!$C$2:$C$630,0)),"",INDEX('Compliance Database'!$C$2:$C$630,MATCH(394,Engine!$C$2:$C$630,0)))</f>
        <v/>
      </c>
      <c r="D407" s="8">
        <f>IF(ISNA(MATCH(394,Engine!$C$2:$C$630,0)),"",INDEX('Compliance Database'!$D$2:$D$630,MATCH(394,Engine!$C$2:$C$630,0)))</f>
        <v/>
      </c>
      <c r="E407">
        <f>IF(ISNA(MATCH(394,Engine!$C$2:$C$630,0)),"",INDEX('Compliance Database'!$E$2:$E$630,MATCH(394,Engine!$C$2:$C$630,0)))</f>
        <v/>
      </c>
      <c r="F407">
        <f>IF(ISNA(MATCH(394,Engine!$C$2:$C$630,0)),"",INDEX('Compliance Database'!$F$2:$F$630,MATCH(394,Engine!$C$2:$C$630,0)))</f>
        <v/>
      </c>
      <c r="G407">
        <f>IF(ISNA(MATCH(394,Engine!$C$2:$C$630,0)),"",INDEX('Compliance Database'!$G$2:$G$630,MATCH(394,Engine!$C$2:$C$630,0)))</f>
        <v/>
      </c>
      <c r="H407">
        <f>IF(ISNA(MATCH(394,Engine!$C$2:$C$630,0)),"",INDEX('Compliance Database'!$H$2:$H$630,MATCH(394,Engine!$C$2:$C$630,0)))</f>
        <v/>
      </c>
      <c r="I407" s="8">
        <f>IF(ISNA(MATCH(394,Engine!$C$2:$C$630,0)),"",INDEX('Compliance Database'!$I$2:$I$630,MATCH(394,Engine!$C$2:$C$630,0)))</f>
        <v/>
      </c>
      <c r="J407" s="8">
        <f>IF(ISNA(MATCH(394,Engine!$C$2:$C$630,0)),"",INDEX('Compliance Database'!$J$2:$J$630,MATCH(394,Engine!$C$2:$C$630,0)))</f>
        <v/>
      </c>
      <c r="K407">
        <f>IF(ISNA(MATCH(394,Engine!$C$2:$C$630,0)),"",INDEX('Compliance Database'!$K$2:$K$630,MATCH(394,Engine!$C$2:$C$630,0)))</f>
        <v/>
      </c>
      <c r="L407" s="8">
        <f>IF(ISNA(MATCH(394,Engine!$C$2:$C$630,0)),"",INDEX('Compliance Database'!$L$2:$L$630,MATCH(394,Engine!$C$2:$C$630,0)))</f>
        <v/>
      </c>
      <c r="M407" s="8">
        <f>IF(ISNA(MATCH(394,Engine!$C$2:$C$630,0)),"",INDEX('Compliance Database'!$M$2:$M$630,MATCH(394,Engine!$C$2:$C$630,0)))</f>
        <v/>
      </c>
      <c r="N407" s="8">
        <f>IF(ISNA(MATCH(394,Engine!$C$2:$C$630,0)),"",INDEX('Compliance Database'!$N$2:$N$630,MATCH(394,Engine!$C$2:$C$630,0)))</f>
        <v/>
      </c>
      <c r="O407" s="8">
        <f>IF(ISNA(MATCH(394,Engine!$C$2:$C$630,0)),"",INDEX('Compliance Database'!$O$2:$O$630,MATCH(394,Engine!$C$2:$C$630,0)))</f>
        <v/>
      </c>
    </row>
    <row r="408">
      <c r="A408">
        <f>IF(ISNA(MATCH(395,Engine!$C$2:$C$630,0)),"",INDEX('Compliance Database'!$A$2:$A$630,MATCH(395,Engine!$C$2:$C$630,0)))</f>
        <v/>
      </c>
      <c r="B408">
        <f>IF(ISNA(MATCH(395,Engine!$C$2:$C$630,0)),"",INDEX('Compliance Database'!$B$2:$B$630,MATCH(395,Engine!$C$2:$C$630,0)))</f>
        <v/>
      </c>
      <c r="C408">
        <f>IF(ISNA(MATCH(395,Engine!$C$2:$C$630,0)),"",INDEX('Compliance Database'!$C$2:$C$630,MATCH(395,Engine!$C$2:$C$630,0)))</f>
        <v/>
      </c>
      <c r="D408" s="8">
        <f>IF(ISNA(MATCH(395,Engine!$C$2:$C$630,0)),"",INDEX('Compliance Database'!$D$2:$D$630,MATCH(395,Engine!$C$2:$C$630,0)))</f>
        <v/>
      </c>
      <c r="E408">
        <f>IF(ISNA(MATCH(395,Engine!$C$2:$C$630,0)),"",INDEX('Compliance Database'!$E$2:$E$630,MATCH(395,Engine!$C$2:$C$630,0)))</f>
        <v/>
      </c>
      <c r="F408">
        <f>IF(ISNA(MATCH(395,Engine!$C$2:$C$630,0)),"",INDEX('Compliance Database'!$F$2:$F$630,MATCH(395,Engine!$C$2:$C$630,0)))</f>
        <v/>
      </c>
      <c r="G408">
        <f>IF(ISNA(MATCH(395,Engine!$C$2:$C$630,0)),"",INDEX('Compliance Database'!$G$2:$G$630,MATCH(395,Engine!$C$2:$C$630,0)))</f>
        <v/>
      </c>
      <c r="H408">
        <f>IF(ISNA(MATCH(395,Engine!$C$2:$C$630,0)),"",INDEX('Compliance Database'!$H$2:$H$630,MATCH(395,Engine!$C$2:$C$630,0)))</f>
        <v/>
      </c>
      <c r="I408" s="8">
        <f>IF(ISNA(MATCH(395,Engine!$C$2:$C$630,0)),"",INDEX('Compliance Database'!$I$2:$I$630,MATCH(395,Engine!$C$2:$C$630,0)))</f>
        <v/>
      </c>
      <c r="J408" s="8">
        <f>IF(ISNA(MATCH(395,Engine!$C$2:$C$630,0)),"",INDEX('Compliance Database'!$J$2:$J$630,MATCH(395,Engine!$C$2:$C$630,0)))</f>
        <v/>
      </c>
      <c r="K408">
        <f>IF(ISNA(MATCH(395,Engine!$C$2:$C$630,0)),"",INDEX('Compliance Database'!$K$2:$K$630,MATCH(395,Engine!$C$2:$C$630,0)))</f>
        <v/>
      </c>
      <c r="L408" s="8">
        <f>IF(ISNA(MATCH(395,Engine!$C$2:$C$630,0)),"",INDEX('Compliance Database'!$L$2:$L$630,MATCH(395,Engine!$C$2:$C$630,0)))</f>
        <v/>
      </c>
      <c r="M408" s="8">
        <f>IF(ISNA(MATCH(395,Engine!$C$2:$C$630,0)),"",INDEX('Compliance Database'!$M$2:$M$630,MATCH(395,Engine!$C$2:$C$630,0)))</f>
        <v/>
      </c>
      <c r="N408" s="8">
        <f>IF(ISNA(MATCH(395,Engine!$C$2:$C$630,0)),"",INDEX('Compliance Database'!$N$2:$N$630,MATCH(395,Engine!$C$2:$C$630,0)))</f>
        <v/>
      </c>
      <c r="O408" s="8">
        <f>IF(ISNA(MATCH(395,Engine!$C$2:$C$630,0)),"",INDEX('Compliance Database'!$O$2:$O$630,MATCH(395,Engine!$C$2:$C$630,0)))</f>
        <v/>
      </c>
    </row>
    <row r="409">
      <c r="A409">
        <f>IF(ISNA(MATCH(396,Engine!$C$2:$C$630,0)),"",INDEX('Compliance Database'!$A$2:$A$630,MATCH(396,Engine!$C$2:$C$630,0)))</f>
        <v/>
      </c>
      <c r="B409">
        <f>IF(ISNA(MATCH(396,Engine!$C$2:$C$630,0)),"",INDEX('Compliance Database'!$B$2:$B$630,MATCH(396,Engine!$C$2:$C$630,0)))</f>
        <v/>
      </c>
      <c r="C409">
        <f>IF(ISNA(MATCH(396,Engine!$C$2:$C$630,0)),"",INDEX('Compliance Database'!$C$2:$C$630,MATCH(396,Engine!$C$2:$C$630,0)))</f>
        <v/>
      </c>
      <c r="D409" s="8">
        <f>IF(ISNA(MATCH(396,Engine!$C$2:$C$630,0)),"",INDEX('Compliance Database'!$D$2:$D$630,MATCH(396,Engine!$C$2:$C$630,0)))</f>
        <v/>
      </c>
      <c r="E409">
        <f>IF(ISNA(MATCH(396,Engine!$C$2:$C$630,0)),"",INDEX('Compliance Database'!$E$2:$E$630,MATCH(396,Engine!$C$2:$C$630,0)))</f>
        <v/>
      </c>
      <c r="F409">
        <f>IF(ISNA(MATCH(396,Engine!$C$2:$C$630,0)),"",INDEX('Compliance Database'!$F$2:$F$630,MATCH(396,Engine!$C$2:$C$630,0)))</f>
        <v/>
      </c>
      <c r="G409">
        <f>IF(ISNA(MATCH(396,Engine!$C$2:$C$630,0)),"",INDEX('Compliance Database'!$G$2:$G$630,MATCH(396,Engine!$C$2:$C$630,0)))</f>
        <v/>
      </c>
      <c r="H409">
        <f>IF(ISNA(MATCH(396,Engine!$C$2:$C$630,0)),"",INDEX('Compliance Database'!$H$2:$H$630,MATCH(396,Engine!$C$2:$C$630,0)))</f>
        <v/>
      </c>
      <c r="I409" s="8">
        <f>IF(ISNA(MATCH(396,Engine!$C$2:$C$630,0)),"",INDEX('Compliance Database'!$I$2:$I$630,MATCH(396,Engine!$C$2:$C$630,0)))</f>
        <v/>
      </c>
      <c r="J409" s="8">
        <f>IF(ISNA(MATCH(396,Engine!$C$2:$C$630,0)),"",INDEX('Compliance Database'!$J$2:$J$630,MATCH(396,Engine!$C$2:$C$630,0)))</f>
        <v/>
      </c>
      <c r="K409">
        <f>IF(ISNA(MATCH(396,Engine!$C$2:$C$630,0)),"",INDEX('Compliance Database'!$K$2:$K$630,MATCH(396,Engine!$C$2:$C$630,0)))</f>
        <v/>
      </c>
      <c r="L409" s="8">
        <f>IF(ISNA(MATCH(396,Engine!$C$2:$C$630,0)),"",INDEX('Compliance Database'!$L$2:$L$630,MATCH(396,Engine!$C$2:$C$630,0)))</f>
        <v/>
      </c>
      <c r="M409" s="8">
        <f>IF(ISNA(MATCH(396,Engine!$C$2:$C$630,0)),"",INDEX('Compliance Database'!$M$2:$M$630,MATCH(396,Engine!$C$2:$C$630,0)))</f>
        <v/>
      </c>
      <c r="N409" s="8">
        <f>IF(ISNA(MATCH(396,Engine!$C$2:$C$630,0)),"",INDEX('Compliance Database'!$N$2:$N$630,MATCH(396,Engine!$C$2:$C$630,0)))</f>
        <v/>
      </c>
      <c r="O409" s="8">
        <f>IF(ISNA(MATCH(396,Engine!$C$2:$C$630,0)),"",INDEX('Compliance Database'!$O$2:$O$630,MATCH(396,Engine!$C$2:$C$630,0)))</f>
        <v/>
      </c>
    </row>
    <row r="410">
      <c r="A410">
        <f>IF(ISNA(MATCH(397,Engine!$C$2:$C$630,0)),"",INDEX('Compliance Database'!$A$2:$A$630,MATCH(397,Engine!$C$2:$C$630,0)))</f>
        <v/>
      </c>
      <c r="B410">
        <f>IF(ISNA(MATCH(397,Engine!$C$2:$C$630,0)),"",INDEX('Compliance Database'!$B$2:$B$630,MATCH(397,Engine!$C$2:$C$630,0)))</f>
        <v/>
      </c>
      <c r="C410">
        <f>IF(ISNA(MATCH(397,Engine!$C$2:$C$630,0)),"",INDEX('Compliance Database'!$C$2:$C$630,MATCH(397,Engine!$C$2:$C$630,0)))</f>
        <v/>
      </c>
      <c r="D410" s="8">
        <f>IF(ISNA(MATCH(397,Engine!$C$2:$C$630,0)),"",INDEX('Compliance Database'!$D$2:$D$630,MATCH(397,Engine!$C$2:$C$630,0)))</f>
        <v/>
      </c>
      <c r="E410">
        <f>IF(ISNA(MATCH(397,Engine!$C$2:$C$630,0)),"",INDEX('Compliance Database'!$E$2:$E$630,MATCH(397,Engine!$C$2:$C$630,0)))</f>
        <v/>
      </c>
      <c r="F410">
        <f>IF(ISNA(MATCH(397,Engine!$C$2:$C$630,0)),"",INDEX('Compliance Database'!$F$2:$F$630,MATCH(397,Engine!$C$2:$C$630,0)))</f>
        <v/>
      </c>
      <c r="G410">
        <f>IF(ISNA(MATCH(397,Engine!$C$2:$C$630,0)),"",INDEX('Compliance Database'!$G$2:$G$630,MATCH(397,Engine!$C$2:$C$630,0)))</f>
        <v/>
      </c>
      <c r="H410">
        <f>IF(ISNA(MATCH(397,Engine!$C$2:$C$630,0)),"",INDEX('Compliance Database'!$H$2:$H$630,MATCH(397,Engine!$C$2:$C$630,0)))</f>
        <v/>
      </c>
      <c r="I410" s="8">
        <f>IF(ISNA(MATCH(397,Engine!$C$2:$C$630,0)),"",INDEX('Compliance Database'!$I$2:$I$630,MATCH(397,Engine!$C$2:$C$630,0)))</f>
        <v/>
      </c>
      <c r="J410" s="8">
        <f>IF(ISNA(MATCH(397,Engine!$C$2:$C$630,0)),"",INDEX('Compliance Database'!$J$2:$J$630,MATCH(397,Engine!$C$2:$C$630,0)))</f>
        <v/>
      </c>
      <c r="K410">
        <f>IF(ISNA(MATCH(397,Engine!$C$2:$C$630,0)),"",INDEX('Compliance Database'!$K$2:$K$630,MATCH(397,Engine!$C$2:$C$630,0)))</f>
        <v/>
      </c>
      <c r="L410" s="8">
        <f>IF(ISNA(MATCH(397,Engine!$C$2:$C$630,0)),"",INDEX('Compliance Database'!$L$2:$L$630,MATCH(397,Engine!$C$2:$C$630,0)))</f>
        <v/>
      </c>
      <c r="M410" s="8">
        <f>IF(ISNA(MATCH(397,Engine!$C$2:$C$630,0)),"",INDEX('Compliance Database'!$M$2:$M$630,MATCH(397,Engine!$C$2:$C$630,0)))</f>
        <v/>
      </c>
      <c r="N410" s="8">
        <f>IF(ISNA(MATCH(397,Engine!$C$2:$C$630,0)),"",INDEX('Compliance Database'!$N$2:$N$630,MATCH(397,Engine!$C$2:$C$630,0)))</f>
        <v/>
      </c>
      <c r="O410" s="8">
        <f>IF(ISNA(MATCH(397,Engine!$C$2:$C$630,0)),"",INDEX('Compliance Database'!$O$2:$O$630,MATCH(397,Engine!$C$2:$C$630,0)))</f>
        <v/>
      </c>
    </row>
    <row r="411">
      <c r="A411">
        <f>IF(ISNA(MATCH(398,Engine!$C$2:$C$630,0)),"",INDEX('Compliance Database'!$A$2:$A$630,MATCH(398,Engine!$C$2:$C$630,0)))</f>
        <v/>
      </c>
      <c r="B411">
        <f>IF(ISNA(MATCH(398,Engine!$C$2:$C$630,0)),"",INDEX('Compliance Database'!$B$2:$B$630,MATCH(398,Engine!$C$2:$C$630,0)))</f>
        <v/>
      </c>
      <c r="C411">
        <f>IF(ISNA(MATCH(398,Engine!$C$2:$C$630,0)),"",INDEX('Compliance Database'!$C$2:$C$630,MATCH(398,Engine!$C$2:$C$630,0)))</f>
        <v/>
      </c>
      <c r="D411" s="8">
        <f>IF(ISNA(MATCH(398,Engine!$C$2:$C$630,0)),"",INDEX('Compliance Database'!$D$2:$D$630,MATCH(398,Engine!$C$2:$C$630,0)))</f>
        <v/>
      </c>
      <c r="E411">
        <f>IF(ISNA(MATCH(398,Engine!$C$2:$C$630,0)),"",INDEX('Compliance Database'!$E$2:$E$630,MATCH(398,Engine!$C$2:$C$630,0)))</f>
        <v/>
      </c>
      <c r="F411">
        <f>IF(ISNA(MATCH(398,Engine!$C$2:$C$630,0)),"",INDEX('Compliance Database'!$F$2:$F$630,MATCH(398,Engine!$C$2:$C$630,0)))</f>
        <v/>
      </c>
      <c r="G411">
        <f>IF(ISNA(MATCH(398,Engine!$C$2:$C$630,0)),"",INDEX('Compliance Database'!$G$2:$G$630,MATCH(398,Engine!$C$2:$C$630,0)))</f>
        <v/>
      </c>
      <c r="H411">
        <f>IF(ISNA(MATCH(398,Engine!$C$2:$C$630,0)),"",INDEX('Compliance Database'!$H$2:$H$630,MATCH(398,Engine!$C$2:$C$630,0)))</f>
        <v/>
      </c>
      <c r="I411" s="8">
        <f>IF(ISNA(MATCH(398,Engine!$C$2:$C$630,0)),"",INDEX('Compliance Database'!$I$2:$I$630,MATCH(398,Engine!$C$2:$C$630,0)))</f>
        <v/>
      </c>
      <c r="J411" s="8">
        <f>IF(ISNA(MATCH(398,Engine!$C$2:$C$630,0)),"",INDEX('Compliance Database'!$J$2:$J$630,MATCH(398,Engine!$C$2:$C$630,0)))</f>
        <v/>
      </c>
      <c r="K411">
        <f>IF(ISNA(MATCH(398,Engine!$C$2:$C$630,0)),"",INDEX('Compliance Database'!$K$2:$K$630,MATCH(398,Engine!$C$2:$C$630,0)))</f>
        <v/>
      </c>
      <c r="L411" s="8">
        <f>IF(ISNA(MATCH(398,Engine!$C$2:$C$630,0)),"",INDEX('Compliance Database'!$L$2:$L$630,MATCH(398,Engine!$C$2:$C$630,0)))</f>
        <v/>
      </c>
      <c r="M411" s="8">
        <f>IF(ISNA(MATCH(398,Engine!$C$2:$C$630,0)),"",INDEX('Compliance Database'!$M$2:$M$630,MATCH(398,Engine!$C$2:$C$630,0)))</f>
        <v/>
      </c>
      <c r="N411" s="8">
        <f>IF(ISNA(MATCH(398,Engine!$C$2:$C$630,0)),"",INDEX('Compliance Database'!$N$2:$N$630,MATCH(398,Engine!$C$2:$C$630,0)))</f>
        <v/>
      </c>
      <c r="O411" s="8">
        <f>IF(ISNA(MATCH(398,Engine!$C$2:$C$630,0)),"",INDEX('Compliance Database'!$O$2:$O$630,MATCH(398,Engine!$C$2:$C$630,0)))</f>
        <v/>
      </c>
    </row>
    <row r="412">
      <c r="A412">
        <f>IF(ISNA(MATCH(399,Engine!$C$2:$C$630,0)),"",INDEX('Compliance Database'!$A$2:$A$630,MATCH(399,Engine!$C$2:$C$630,0)))</f>
        <v/>
      </c>
      <c r="B412">
        <f>IF(ISNA(MATCH(399,Engine!$C$2:$C$630,0)),"",INDEX('Compliance Database'!$B$2:$B$630,MATCH(399,Engine!$C$2:$C$630,0)))</f>
        <v/>
      </c>
      <c r="C412">
        <f>IF(ISNA(MATCH(399,Engine!$C$2:$C$630,0)),"",INDEX('Compliance Database'!$C$2:$C$630,MATCH(399,Engine!$C$2:$C$630,0)))</f>
        <v/>
      </c>
      <c r="D412" s="8">
        <f>IF(ISNA(MATCH(399,Engine!$C$2:$C$630,0)),"",INDEX('Compliance Database'!$D$2:$D$630,MATCH(399,Engine!$C$2:$C$630,0)))</f>
        <v/>
      </c>
      <c r="E412">
        <f>IF(ISNA(MATCH(399,Engine!$C$2:$C$630,0)),"",INDEX('Compliance Database'!$E$2:$E$630,MATCH(399,Engine!$C$2:$C$630,0)))</f>
        <v/>
      </c>
      <c r="F412">
        <f>IF(ISNA(MATCH(399,Engine!$C$2:$C$630,0)),"",INDEX('Compliance Database'!$F$2:$F$630,MATCH(399,Engine!$C$2:$C$630,0)))</f>
        <v/>
      </c>
      <c r="G412">
        <f>IF(ISNA(MATCH(399,Engine!$C$2:$C$630,0)),"",INDEX('Compliance Database'!$G$2:$G$630,MATCH(399,Engine!$C$2:$C$630,0)))</f>
        <v/>
      </c>
      <c r="H412">
        <f>IF(ISNA(MATCH(399,Engine!$C$2:$C$630,0)),"",INDEX('Compliance Database'!$H$2:$H$630,MATCH(399,Engine!$C$2:$C$630,0)))</f>
        <v/>
      </c>
      <c r="I412" s="8">
        <f>IF(ISNA(MATCH(399,Engine!$C$2:$C$630,0)),"",INDEX('Compliance Database'!$I$2:$I$630,MATCH(399,Engine!$C$2:$C$630,0)))</f>
        <v/>
      </c>
      <c r="J412" s="8">
        <f>IF(ISNA(MATCH(399,Engine!$C$2:$C$630,0)),"",INDEX('Compliance Database'!$J$2:$J$630,MATCH(399,Engine!$C$2:$C$630,0)))</f>
        <v/>
      </c>
      <c r="K412">
        <f>IF(ISNA(MATCH(399,Engine!$C$2:$C$630,0)),"",INDEX('Compliance Database'!$K$2:$K$630,MATCH(399,Engine!$C$2:$C$630,0)))</f>
        <v/>
      </c>
      <c r="L412" s="8">
        <f>IF(ISNA(MATCH(399,Engine!$C$2:$C$630,0)),"",INDEX('Compliance Database'!$L$2:$L$630,MATCH(399,Engine!$C$2:$C$630,0)))</f>
        <v/>
      </c>
      <c r="M412" s="8">
        <f>IF(ISNA(MATCH(399,Engine!$C$2:$C$630,0)),"",INDEX('Compliance Database'!$M$2:$M$630,MATCH(399,Engine!$C$2:$C$630,0)))</f>
        <v/>
      </c>
      <c r="N412" s="8">
        <f>IF(ISNA(MATCH(399,Engine!$C$2:$C$630,0)),"",INDEX('Compliance Database'!$N$2:$N$630,MATCH(399,Engine!$C$2:$C$630,0)))</f>
        <v/>
      </c>
      <c r="O412" s="8">
        <f>IF(ISNA(MATCH(399,Engine!$C$2:$C$630,0)),"",INDEX('Compliance Database'!$O$2:$O$630,MATCH(399,Engine!$C$2:$C$630,0)))</f>
        <v/>
      </c>
    </row>
    <row r="413">
      <c r="A413">
        <f>IF(ISNA(MATCH(400,Engine!$C$2:$C$630,0)),"",INDEX('Compliance Database'!$A$2:$A$630,MATCH(400,Engine!$C$2:$C$630,0)))</f>
        <v/>
      </c>
      <c r="B413">
        <f>IF(ISNA(MATCH(400,Engine!$C$2:$C$630,0)),"",INDEX('Compliance Database'!$B$2:$B$630,MATCH(400,Engine!$C$2:$C$630,0)))</f>
        <v/>
      </c>
      <c r="C413">
        <f>IF(ISNA(MATCH(400,Engine!$C$2:$C$630,0)),"",INDEX('Compliance Database'!$C$2:$C$630,MATCH(400,Engine!$C$2:$C$630,0)))</f>
        <v/>
      </c>
      <c r="D413" s="8">
        <f>IF(ISNA(MATCH(400,Engine!$C$2:$C$630,0)),"",INDEX('Compliance Database'!$D$2:$D$630,MATCH(400,Engine!$C$2:$C$630,0)))</f>
        <v/>
      </c>
      <c r="E413">
        <f>IF(ISNA(MATCH(400,Engine!$C$2:$C$630,0)),"",INDEX('Compliance Database'!$E$2:$E$630,MATCH(400,Engine!$C$2:$C$630,0)))</f>
        <v/>
      </c>
      <c r="F413">
        <f>IF(ISNA(MATCH(400,Engine!$C$2:$C$630,0)),"",INDEX('Compliance Database'!$F$2:$F$630,MATCH(400,Engine!$C$2:$C$630,0)))</f>
        <v/>
      </c>
      <c r="G413">
        <f>IF(ISNA(MATCH(400,Engine!$C$2:$C$630,0)),"",INDEX('Compliance Database'!$G$2:$G$630,MATCH(400,Engine!$C$2:$C$630,0)))</f>
        <v/>
      </c>
      <c r="H413">
        <f>IF(ISNA(MATCH(400,Engine!$C$2:$C$630,0)),"",INDEX('Compliance Database'!$H$2:$H$630,MATCH(400,Engine!$C$2:$C$630,0)))</f>
        <v/>
      </c>
      <c r="I413" s="8">
        <f>IF(ISNA(MATCH(400,Engine!$C$2:$C$630,0)),"",INDEX('Compliance Database'!$I$2:$I$630,MATCH(400,Engine!$C$2:$C$630,0)))</f>
        <v/>
      </c>
      <c r="J413" s="8">
        <f>IF(ISNA(MATCH(400,Engine!$C$2:$C$630,0)),"",INDEX('Compliance Database'!$J$2:$J$630,MATCH(400,Engine!$C$2:$C$630,0)))</f>
        <v/>
      </c>
      <c r="K413">
        <f>IF(ISNA(MATCH(400,Engine!$C$2:$C$630,0)),"",INDEX('Compliance Database'!$K$2:$K$630,MATCH(400,Engine!$C$2:$C$630,0)))</f>
        <v/>
      </c>
      <c r="L413" s="8">
        <f>IF(ISNA(MATCH(400,Engine!$C$2:$C$630,0)),"",INDEX('Compliance Database'!$L$2:$L$630,MATCH(400,Engine!$C$2:$C$630,0)))</f>
        <v/>
      </c>
      <c r="M413" s="8">
        <f>IF(ISNA(MATCH(400,Engine!$C$2:$C$630,0)),"",INDEX('Compliance Database'!$M$2:$M$630,MATCH(400,Engine!$C$2:$C$630,0)))</f>
        <v/>
      </c>
      <c r="N413" s="8">
        <f>IF(ISNA(MATCH(400,Engine!$C$2:$C$630,0)),"",INDEX('Compliance Database'!$N$2:$N$630,MATCH(400,Engine!$C$2:$C$630,0)))</f>
        <v/>
      </c>
      <c r="O413" s="8">
        <f>IF(ISNA(MATCH(400,Engine!$C$2:$C$630,0)),"",INDEX('Compliance Database'!$O$2:$O$630,MATCH(400,Engine!$C$2:$C$630,0)))</f>
        <v/>
      </c>
    </row>
    <row r="414">
      <c r="A414">
        <f>IF(ISNA(MATCH(401,Engine!$C$2:$C$630,0)),"",INDEX('Compliance Database'!$A$2:$A$630,MATCH(401,Engine!$C$2:$C$630,0)))</f>
        <v/>
      </c>
      <c r="B414">
        <f>IF(ISNA(MATCH(401,Engine!$C$2:$C$630,0)),"",INDEX('Compliance Database'!$B$2:$B$630,MATCH(401,Engine!$C$2:$C$630,0)))</f>
        <v/>
      </c>
      <c r="C414">
        <f>IF(ISNA(MATCH(401,Engine!$C$2:$C$630,0)),"",INDEX('Compliance Database'!$C$2:$C$630,MATCH(401,Engine!$C$2:$C$630,0)))</f>
        <v/>
      </c>
      <c r="D414" s="8">
        <f>IF(ISNA(MATCH(401,Engine!$C$2:$C$630,0)),"",INDEX('Compliance Database'!$D$2:$D$630,MATCH(401,Engine!$C$2:$C$630,0)))</f>
        <v/>
      </c>
      <c r="E414">
        <f>IF(ISNA(MATCH(401,Engine!$C$2:$C$630,0)),"",INDEX('Compliance Database'!$E$2:$E$630,MATCH(401,Engine!$C$2:$C$630,0)))</f>
        <v/>
      </c>
      <c r="F414">
        <f>IF(ISNA(MATCH(401,Engine!$C$2:$C$630,0)),"",INDEX('Compliance Database'!$F$2:$F$630,MATCH(401,Engine!$C$2:$C$630,0)))</f>
        <v/>
      </c>
      <c r="G414">
        <f>IF(ISNA(MATCH(401,Engine!$C$2:$C$630,0)),"",INDEX('Compliance Database'!$G$2:$G$630,MATCH(401,Engine!$C$2:$C$630,0)))</f>
        <v/>
      </c>
      <c r="H414">
        <f>IF(ISNA(MATCH(401,Engine!$C$2:$C$630,0)),"",INDEX('Compliance Database'!$H$2:$H$630,MATCH(401,Engine!$C$2:$C$630,0)))</f>
        <v/>
      </c>
      <c r="I414" s="8">
        <f>IF(ISNA(MATCH(401,Engine!$C$2:$C$630,0)),"",INDEX('Compliance Database'!$I$2:$I$630,MATCH(401,Engine!$C$2:$C$630,0)))</f>
        <v/>
      </c>
      <c r="J414" s="8">
        <f>IF(ISNA(MATCH(401,Engine!$C$2:$C$630,0)),"",INDEX('Compliance Database'!$J$2:$J$630,MATCH(401,Engine!$C$2:$C$630,0)))</f>
        <v/>
      </c>
      <c r="K414">
        <f>IF(ISNA(MATCH(401,Engine!$C$2:$C$630,0)),"",INDEX('Compliance Database'!$K$2:$K$630,MATCH(401,Engine!$C$2:$C$630,0)))</f>
        <v/>
      </c>
      <c r="L414" s="8">
        <f>IF(ISNA(MATCH(401,Engine!$C$2:$C$630,0)),"",INDEX('Compliance Database'!$L$2:$L$630,MATCH(401,Engine!$C$2:$C$630,0)))</f>
        <v/>
      </c>
      <c r="M414" s="8">
        <f>IF(ISNA(MATCH(401,Engine!$C$2:$C$630,0)),"",INDEX('Compliance Database'!$M$2:$M$630,MATCH(401,Engine!$C$2:$C$630,0)))</f>
        <v/>
      </c>
      <c r="N414" s="8">
        <f>IF(ISNA(MATCH(401,Engine!$C$2:$C$630,0)),"",INDEX('Compliance Database'!$N$2:$N$630,MATCH(401,Engine!$C$2:$C$630,0)))</f>
        <v/>
      </c>
      <c r="O414" s="8">
        <f>IF(ISNA(MATCH(401,Engine!$C$2:$C$630,0)),"",INDEX('Compliance Database'!$O$2:$O$630,MATCH(401,Engine!$C$2:$C$630,0)))</f>
        <v/>
      </c>
    </row>
    <row r="415">
      <c r="A415">
        <f>IF(ISNA(MATCH(402,Engine!$C$2:$C$630,0)),"",INDEX('Compliance Database'!$A$2:$A$630,MATCH(402,Engine!$C$2:$C$630,0)))</f>
        <v/>
      </c>
      <c r="B415">
        <f>IF(ISNA(MATCH(402,Engine!$C$2:$C$630,0)),"",INDEX('Compliance Database'!$B$2:$B$630,MATCH(402,Engine!$C$2:$C$630,0)))</f>
        <v/>
      </c>
      <c r="C415">
        <f>IF(ISNA(MATCH(402,Engine!$C$2:$C$630,0)),"",INDEX('Compliance Database'!$C$2:$C$630,MATCH(402,Engine!$C$2:$C$630,0)))</f>
        <v/>
      </c>
      <c r="D415" s="8">
        <f>IF(ISNA(MATCH(402,Engine!$C$2:$C$630,0)),"",INDEX('Compliance Database'!$D$2:$D$630,MATCH(402,Engine!$C$2:$C$630,0)))</f>
        <v/>
      </c>
      <c r="E415">
        <f>IF(ISNA(MATCH(402,Engine!$C$2:$C$630,0)),"",INDEX('Compliance Database'!$E$2:$E$630,MATCH(402,Engine!$C$2:$C$630,0)))</f>
        <v/>
      </c>
      <c r="F415">
        <f>IF(ISNA(MATCH(402,Engine!$C$2:$C$630,0)),"",INDEX('Compliance Database'!$F$2:$F$630,MATCH(402,Engine!$C$2:$C$630,0)))</f>
        <v/>
      </c>
      <c r="G415">
        <f>IF(ISNA(MATCH(402,Engine!$C$2:$C$630,0)),"",INDEX('Compliance Database'!$G$2:$G$630,MATCH(402,Engine!$C$2:$C$630,0)))</f>
        <v/>
      </c>
      <c r="H415">
        <f>IF(ISNA(MATCH(402,Engine!$C$2:$C$630,0)),"",INDEX('Compliance Database'!$H$2:$H$630,MATCH(402,Engine!$C$2:$C$630,0)))</f>
        <v/>
      </c>
      <c r="I415" s="8">
        <f>IF(ISNA(MATCH(402,Engine!$C$2:$C$630,0)),"",INDEX('Compliance Database'!$I$2:$I$630,MATCH(402,Engine!$C$2:$C$630,0)))</f>
        <v/>
      </c>
      <c r="J415" s="8">
        <f>IF(ISNA(MATCH(402,Engine!$C$2:$C$630,0)),"",INDEX('Compliance Database'!$J$2:$J$630,MATCH(402,Engine!$C$2:$C$630,0)))</f>
        <v/>
      </c>
      <c r="K415">
        <f>IF(ISNA(MATCH(402,Engine!$C$2:$C$630,0)),"",INDEX('Compliance Database'!$K$2:$K$630,MATCH(402,Engine!$C$2:$C$630,0)))</f>
        <v/>
      </c>
      <c r="L415" s="8">
        <f>IF(ISNA(MATCH(402,Engine!$C$2:$C$630,0)),"",INDEX('Compliance Database'!$L$2:$L$630,MATCH(402,Engine!$C$2:$C$630,0)))</f>
        <v/>
      </c>
      <c r="M415" s="8">
        <f>IF(ISNA(MATCH(402,Engine!$C$2:$C$630,0)),"",INDEX('Compliance Database'!$M$2:$M$630,MATCH(402,Engine!$C$2:$C$630,0)))</f>
        <v/>
      </c>
      <c r="N415" s="8">
        <f>IF(ISNA(MATCH(402,Engine!$C$2:$C$630,0)),"",INDEX('Compliance Database'!$N$2:$N$630,MATCH(402,Engine!$C$2:$C$630,0)))</f>
        <v/>
      </c>
      <c r="O415" s="8">
        <f>IF(ISNA(MATCH(402,Engine!$C$2:$C$630,0)),"",INDEX('Compliance Database'!$O$2:$O$630,MATCH(402,Engine!$C$2:$C$630,0)))</f>
        <v/>
      </c>
    </row>
    <row r="416">
      <c r="A416">
        <f>IF(ISNA(MATCH(403,Engine!$C$2:$C$630,0)),"",INDEX('Compliance Database'!$A$2:$A$630,MATCH(403,Engine!$C$2:$C$630,0)))</f>
        <v/>
      </c>
      <c r="B416">
        <f>IF(ISNA(MATCH(403,Engine!$C$2:$C$630,0)),"",INDEX('Compliance Database'!$B$2:$B$630,MATCH(403,Engine!$C$2:$C$630,0)))</f>
        <v/>
      </c>
      <c r="C416">
        <f>IF(ISNA(MATCH(403,Engine!$C$2:$C$630,0)),"",INDEX('Compliance Database'!$C$2:$C$630,MATCH(403,Engine!$C$2:$C$630,0)))</f>
        <v/>
      </c>
      <c r="D416" s="8">
        <f>IF(ISNA(MATCH(403,Engine!$C$2:$C$630,0)),"",INDEX('Compliance Database'!$D$2:$D$630,MATCH(403,Engine!$C$2:$C$630,0)))</f>
        <v/>
      </c>
      <c r="E416">
        <f>IF(ISNA(MATCH(403,Engine!$C$2:$C$630,0)),"",INDEX('Compliance Database'!$E$2:$E$630,MATCH(403,Engine!$C$2:$C$630,0)))</f>
        <v/>
      </c>
      <c r="F416">
        <f>IF(ISNA(MATCH(403,Engine!$C$2:$C$630,0)),"",INDEX('Compliance Database'!$F$2:$F$630,MATCH(403,Engine!$C$2:$C$630,0)))</f>
        <v/>
      </c>
      <c r="G416">
        <f>IF(ISNA(MATCH(403,Engine!$C$2:$C$630,0)),"",INDEX('Compliance Database'!$G$2:$G$630,MATCH(403,Engine!$C$2:$C$630,0)))</f>
        <v/>
      </c>
      <c r="H416">
        <f>IF(ISNA(MATCH(403,Engine!$C$2:$C$630,0)),"",INDEX('Compliance Database'!$H$2:$H$630,MATCH(403,Engine!$C$2:$C$630,0)))</f>
        <v/>
      </c>
      <c r="I416" s="8">
        <f>IF(ISNA(MATCH(403,Engine!$C$2:$C$630,0)),"",INDEX('Compliance Database'!$I$2:$I$630,MATCH(403,Engine!$C$2:$C$630,0)))</f>
        <v/>
      </c>
      <c r="J416" s="8">
        <f>IF(ISNA(MATCH(403,Engine!$C$2:$C$630,0)),"",INDEX('Compliance Database'!$J$2:$J$630,MATCH(403,Engine!$C$2:$C$630,0)))</f>
        <v/>
      </c>
      <c r="K416">
        <f>IF(ISNA(MATCH(403,Engine!$C$2:$C$630,0)),"",INDEX('Compliance Database'!$K$2:$K$630,MATCH(403,Engine!$C$2:$C$630,0)))</f>
        <v/>
      </c>
      <c r="L416" s="8">
        <f>IF(ISNA(MATCH(403,Engine!$C$2:$C$630,0)),"",INDEX('Compliance Database'!$L$2:$L$630,MATCH(403,Engine!$C$2:$C$630,0)))</f>
        <v/>
      </c>
      <c r="M416" s="8">
        <f>IF(ISNA(MATCH(403,Engine!$C$2:$C$630,0)),"",INDEX('Compliance Database'!$M$2:$M$630,MATCH(403,Engine!$C$2:$C$630,0)))</f>
        <v/>
      </c>
      <c r="N416" s="8">
        <f>IF(ISNA(MATCH(403,Engine!$C$2:$C$630,0)),"",INDEX('Compliance Database'!$N$2:$N$630,MATCH(403,Engine!$C$2:$C$630,0)))</f>
        <v/>
      </c>
      <c r="O416" s="8">
        <f>IF(ISNA(MATCH(403,Engine!$C$2:$C$630,0)),"",INDEX('Compliance Database'!$O$2:$O$630,MATCH(403,Engine!$C$2:$C$630,0)))</f>
        <v/>
      </c>
    </row>
    <row r="417">
      <c r="A417">
        <f>IF(ISNA(MATCH(404,Engine!$C$2:$C$630,0)),"",INDEX('Compliance Database'!$A$2:$A$630,MATCH(404,Engine!$C$2:$C$630,0)))</f>
        <v/>
      </c>
      <c r="B417">
        <f>IF(ISNA(MATCH(404,Engine!$C$2:$C$630,0)),"",INDEX('Compliance Database'!$B$2:$B$630,MATCH(404,Engine!$C$2:$C$630,0)))</f>
        <v/>
      </c>
      <c r="C417">
        <f>IF(ISNA(MATCH(404,Engine!$C$2:$C$630,0)),"",INDEX('Compliance Database'!$C$2:$C$630,MATCH(404,Engine!$C$2:$C$630,0)))</f>
        <v/>
      </c>
      <c r="D417" s="8">
        <f>IF(ISNA(MATCH(404,Engine!$C$2:$C$630,0)),"",INDEX('Compliance Database'!$D$2:$D$630,MATCH(404,Engine!$C$2:$C$630,0)))</f>
        <v/>
      </c>
      <c r="E417">
        <f>IF(ISNA(MATCH(404,Engine!$C$2:$C$630,0)),"",INDEX('Compliance Database'!$E$2:$E$630,MATCH(404,Engine!$C$2:$C$630,0)))</f>
        <v/>
      </c>
      <c r="F417">
        <f>IF(ISNA(MATCH(404,Engine!$C$2:$C$630,0)),"",INDEX('Compliance Database'!$F$2:$F$630,MATCH(404,Engine!$C$2:$C$630,0)))</f>
        <v/>
      </c>
      <c r="G417">
        <f>IF(ISNA(MATCH(404,Engine!$C$2:$C$630,0)),"",INDEX('Compliance Database'!$G$2:$G$630,MATCH(404,Engine!$C$2:$C$630,0)))</f>
        <v/>
      </c>
      <c r="H417">
        <f>IF(ISNA(MATCH(404,Engine!$C$2:$C$630,0)),"",INDEX('Compliance Database'!$H$2:$H$630,MATCH(404,Engine!$C$2:$C$630,0)))</f>
        <v/>
      </c>
      <c r="I417" s="8">
        <f>IF(ISNA(MATCH(404,Engine!$C$2:$C$630,0)),"",INDEX('Compliance Database'!$I$2:$I$630,MATCH(404,Engine!$C$2:$C$630,0)))</f>
        <v/>
      </c>
      <c r="J417" s="8">
        <f>IF(ISNA(MATCH(404,Engine!$C$2:$C$630,0)),"",INDEX('Compliance Database'!$J$2:$J$630,MATCH(404,Engine!$C$2:$C$630,0)))</f>
        <v/>
      </c>
      <c r="K417">
        <f>IF(ISNA(MATCH(404,Engine!$C$2:$C$630,0)),"",INDEX('Compliance Database'!$K$2:$K$630,MATCH(404,Engine!$C$2:$C$630,0)))</f>
        <v/>
      </c>
      <c r="L417" s="8">
        <f>IF(ISNA(MATCH(404,Engine!$C$2:$C$630,0)),"",INDEX('Compliance Database'!$L$2:$L$630,MATCH(404,Engine!$C$2:$C$630,0)))</f>
        <v/>
      </c>
      <c r="M417" s="8">
        <f>IF(ISNA(MATCH(404,Engine!$C$2:$C$630,0)),"",INDEX('Compliance Database'!$M$2:$M$630,MATCH(404,Engine!$C$2:$C$630,0)))</f>
        <v/>
      </c>
      <c r="N417" s="8">
        <f>IF(ISNA(MATCH(404,Engine!$C$2:$C$630,0)),"",INDEX('Compliance Database'!$N$2:$N$630,MATCH(404,Engine!$C$2:$C$630,0)))</f>
        <v/>
      </c>
      <c r="O417" s="8">
        <f>IF(ISNA(MATCH(404,Engine!$C$2:$C$630,0)),"",INDEX('Compliance Database'!$O$2:$O$630,MATCH(404,Engine!$C$2:$C$630,0)))</f>
        <v/>
      </c>
    </row>
    <row r="418">
      <c r="A418">
        <f>IF(ISNA(MATCH(405,Engine!$C$2:$C$630,0)),"",INDEX('Compliance Database'!$A$2:$A$630,MATCH(405,Engine!$C$2:$C$630,0)))</f>
        <v/>
      </c>
      <c r="B418">
        <f>IF(ISNA(MATCH(405,Engine!$C$2:$C$630,0)),"",INDEX('Compliance Database'!$B$2:$B$630,MATCH(405,Engine!$C$2:$C$630,0)))</f>
        <v/>
      </c>
      <c r="C418">
        <f>IF(ISNA(MATCH(405,Engine!$C$2:$C$630,0)),"",INDEX('Compliance Database'!$C$2:$C$630,MATCH(405,Engine!$C$2:$C$630,0)))</f>
        <v/>
      </c>
      <c r="D418" s="8">
        <f>IF(ISNA(MATCH(405,Engine!$C$2:$C$630,0)),"",INDEX('Compliance Database'!$D$2:$D$630,MATCH(405,Engine!$C$2:$C$630,0)))</f>
        <v/>
      </c>
      <c r="E418">
        <f>IF(ISNA(MATCH(405,Engine!$C$2:$C$630,0)),"",INDEX('Compliance Database'!$E$2:$E$630,MATCH(405,Engine!$C$2:$C$630,0)))</f>
        <v/>
      </c>
      <c r="F418">
        <f>IF(ISNA(MATCH(405,Engine!$C$2:$C$630,0)),"",INDEX('Compliance Database'!$F$2:$F$630,MATCH(405,Engine!$C$2:$C$630,0)))</f>
        <v/>
      </c>
      <c r="G418">
        <f>IF(ISNA(MATCH(405,Engine!$C$2:$C$630,0)),"",INDEX('Compliance Database'!$G$2:$G$630,MATCH(405,Engine!$C$2:$C$630,0)))</f>
        <v/>
      </c>
      <c r="H418">
        <f>IF(ISNA(MATCH(405,Engine!$C$2:$C$630,0)),"",INDEX('Compliance Database'!$H$2:$H$630,MATCH(405,Engine!$C$2:$C$630,0)))</f>
        <v/>
      </c>
      <c r="I418" s="8">
        <f>IF(ISNA(MATCH(405,Engine!$C$2:$C$630,0)),"",INDEX('Compliance Database'!$I$2:$I$630,MATCH(405,Engine!$C$2:$C$630,0)))</f>
        <v/>
      </c>
      <c r="J418" s="8">
        <f>IF(ISNA(MATCH(405,Engine!$C$2:$C$630,0)),"",INDEX('Compliance Database'!$J$2:$J$630,MATCH(405,Engine!$C$2:$C$630,0)))</f>
        <v/>
      </c>
      <c r="K418">
        <f>IF(ISNA(MATCH(405,Engine!$C$2:$C$630,0)),"",INDEX('Compliance Database'!$K$2:$K$630,MATCH(405,Engine!$C$2:$C$630,0)))</f>
        <v/>
      </c>
      <c r="L418" s="8">
        <f>IF(ISNA(MATCH(405,Engine!$C$2:$C$630,0)),"",INDEX('Compliance Database'!$L$2:$L$630,MATCH(405,Engine!$C$2:$C$630,0)))</f>
        <v/>
      </c>
      <c r="M418" s="8">
        <f>IF(ISNA(MATCH(405,Engine!$C$2:$C$630,0)),"",INDEX('Compliance Database'!$M$2:$M$630,MATCH(405,Engine!$C$2:$C$630,0)))</f>
        <v/>
      </c>
      <c r="N418" s="8">
        <f>IF(ISNA(MATCH(405,Engine!$C$2:$C$630,0)),"",INDEX('Compliance Database'!$N$2:$N$630,MATCH(405,Engine!$C$2:$C$630,0)))</f>
        <v/>
      </c>
      <c r="O418" s="8">
        <f>IF(ISNA(MATCH(405,Engine!$C$2:$C$630,0)),"",INDEX('Compliance Database'!$O$2:$O$630,MATCH(405,Engine!$C$2:$C$630,0)))</f>
        <v/>
      </c>
    </row>
    <row r="419">
      <c r="A419">
        <f>IF(ISNA(MATCH(406,Engine!$C$2:$C$630,0)),"",INDEX('Compliance Database'!$A$2:$A$630,MATCH(406,Engine!$C$2:$C$630,0)))</f>
        <v/>
      </c>
      <c r="B419">
        <f>IF(ISNA(MATCH(406,Engine!$C$2:$C$630,0)),"",INDEX('Compliance Database'!$B$2:$B$630,MATCH(406,Engine!$C$2:$C$630,0)))</f>
        <v/>
      </c>
      <c r="C419">
        <f>IF(ISNA(MATCH(406,Engine!$C$2:$C$630,0)),"",INDEX('Compliance Database'!$C$2:$C$630,MATCH(406,Engine!$C$2:$C$630,0)))</f>
        <v/>
      </c>
      <c r="D419" s="8">
        <f>IF(ISNA(MATCH(406,Engine!$C$2:$C$630,0)),"",INDEX('Compliance Database'!$D$2:$D$630,MATCH(406,Engine!$C$2:$C$630,0)))</f>
        <v/>
      </c>
      <c r="E419">
        <f>IF(ISNA(MATCH(406,Engine!$C$2:$C$630,0)),"",INDEX('Compliance Database'!$E$2:$E$630,MATCH(406,Engine!$C$2:$C$630,0)))</f>
        <v/>
      </c>
      <c r="F419">
        <f>IF(ISNA(MATCH(406,Engine!$C$2:$C$630,0)),"",INDEX('Compliance Database'!$F$2:$F$630,MATCH(406,Engine!$C$2:$C$630,0)))</f>
        <v/>
      </c>
      <c r="G419">
        <f>IF(ISNA(MATCH(406,Engine!$C$2:$C$630,0)),"",INDEX('Compliance Database'!$G$2:$G$630,MATCH(406,Engine!$C$2:$C$630,0)))</f>
        <v/>
      </c>
      <c r="H419">
        <f>IF(ISNA(MATCH(406,Engine!$C$2:$C$630,0)),"",INDEX('Compliance Database'!$H$2:$H$630,MATCH(406,Engine!$C$2:$C$630,0)))</f>
        <v/>
      </c>
      <c r="I419" s="8">
        <f>IF(ISNA(MATCH(406,Engine!$C$2:$C$630,0)),"",INDEX('Compliance Database'!$I$2:$I$630,MATCH(406,Engine!$C$2:$C$630,0)))</f>
        <v/>
      </c>
      <c r="J419" s="8">
        <f>IF(ISNA(MATCH(406,Engine!$C$2:$C$630,0)),"",INDEX('Compliance Database'!$J$2:$J$630,MATCH(406,Engine!$C$2:$C$630,0)))</f>
        <v/>
      </c>
      <c r="K419">
        <f>IF(ISNA(MATCH(406,Engine!$C$2:$C$630,0)),"",INDEX('Compliance Database'!$K$2:$K$630,MATCH(406,Engine!$C$2:$C$630,0)))</f>
        <v/>
      </c>
      <c r="L419" s="8">
        <f>IF(ISNA(MATCH(406,Engine!$C$2:$C$630,0)),"",INDEX('Compliance Database'!$L$2:$L$630,MATCH(406,Engine!$C$2:$C$630,0)))</f>
        <v/>
      </c>
      <c r="M419" s="8">
        <f>IF(ISNA(MATCH(406,Engine!$C$2:$C$630,0)),"",INDEX('Compliance Database'!$M$2:$M$630,MATCH(406,Engine!$C$2:$C$630,0)))</f>
        <v/>
      </c>
      <c r="N419" s="8">
        <f>IF(ISNA(MATCH(406,Engine!$C$2:$C$630,0)),"",INDEX('Compliance Database'!$N$2:$N$630,MATCH(406,Engine!$C$2:$C$630,0)))</f>
        <v/>
      </c>
      <c r="O419" s="8">
        <f>IF(ISNA(MATCH(406,Engine!$C$2:$C$630,0)),"",INDEX('Compliance Database'!$O$2:$O$630,MATCH(406,Engine!$C$2:$C$630,0)))</f>
        <v/>
      </c>
    </row>
    <row r="420">
      <c r="A420">
        <f>IF(ISNA(MATCH(407,Engine!$C$2:$C$630,0)),"",INDEX('Compliance Database'!$A$2:$A$630,MATCH(407,Engine!$C$2:$C$630,0)))</f>
        <v/>
      </c>
      <c r="B420">
        <f>IF(ISNA(MATCH(407,Engine!$C$2:$C$630,0)),"",INDEX('Compliance Database'!$B$2:$B$630,MATCH(407,Engine!$C$2:$C$630,0)))</f>
        <v/>
      </c>
      <c r="C420">
        <f>IF(ISNA(MATCH(407,Engine!$C$2:$C$630,0)),"",INDEX('Compliance Database'!$C$2:$C$630,MATCH(407,Engine!$C$2:$C$630,0)))</f>
        <v/>
      </c>
      <c r="D420" s="8">
        <f>IF(ISNA(MATCH(407,Engine!$C$2:$C$630,0)),"",INDEX('Compliance Database'!$D$2:$D$630,MATCH(407,Engine!$C$2:$C$630,0)))</f>
        <v/>
      </c>
      <c r="E420">
        <f>IF(ISNA(MATCH(407,Engine!$C$2:$C$630,0)),"",INDEX('Compliance Database'!$E$2:$E$630,MATCH(407,Engine!$C$2:$C$630,0)))</f>
        <v/>
      </c>
      <c r="F420">
        <f>IF(ISNA(MATCH(407,Engine!$C$2:$C$630,0)),"",INDEX('Compliance Database'!$F$2:$F$630,MATCH(407,Engine!$C$2:$C$630,0)))</f>
        <v/>
      </c>
      <c r="G420">
        <f>IF(ISNA(MATCH(407,Engine!$C$2:$C$630,0)),"",INDEX('Compliance Database'!$G$2:$G$630,MATCH(407,Engine!$C$2:$C$630,0)))</f>
        <v/>
      </c>
      <c r="H420">
        <f>IF(ISNA(MATCH(407,Engine!$C$2:$C$630,0)),"",INDEX('Compliance Database'!$H$2:$H$630,MATCH(407,Engine!$C$2:$C$630,0)))</f>
        <v/>
      </c>
      <c r="I420" s="8">
        <f>IF(ISNA(MATCH(407,Engine!$C$2:$C$630,0)),"",INDEX('Compliance Database'!$I$2:$I$630,MATCH(407,Engine!$C$2:$C$630,0)))</f>
        <v/>
      </c>
      <c r="J420" s="8">
        <f>IF(ISNA(MATCH(407,Engine!$C$2:$C$630,0)),"",INDEX('Compliance Database'!$J$2:$J$630,MATCH(407,Engine!$C$2:$C$630,0)))</f>
        <v/>
      </c>
      <c r="K420">
        <f>IF(ISNA(MATCH(407,Engine!$C$2:$C$630,0)),"",INDEX('Compliance Database'!$K$2:$K$630,MATCH(407,Engine!$C$2:$C$630,0)))</f>
        <v/>
      </c>
      <c r="L420" s="8">
        <f>IF(ISNA(MATCH(407,Engine!$C$2:$C$630,0)),"",INDEX('Compliance Database'!$L$2:$L$630,MATCH(407,Engine!$C$2:$C$630,0)))</f>
        <v/>
      </c>
      <c r="M420" s="8">
        <f>IF(ISNA(MATCH(407,Engine!$C$2:$C$630,0)),"",INDEX('Compliance Database'!$M$2:$M$630,MATCH(407,Engine!$C$2:$C$630,0)))</f>
        <v/>
      </c>
      <c r="N420" s="8">
        <f>IF(ISNA(MATCH(407,Engine!$C$2:$C$630,0)),"",INDEX('Compliance Database'!$N$2:$N$630,MATCH(407,Engine!$C$2:$C$630,0)))</f>
        <v/>
      </c>
      <c r="O420" s="8">
        <f>IF(ISNA(MATCH(407,Engine!$C$2:$C$630,0)),"",INDEX('Compliance Database'!$O$2:$O$630,MATCH(407,Engine!$C$2:$C$630,0)))</f>
        <v/>
      </c>
    </row>
    <row r="421">
      <c r="A421">
        <f>IF(ISNA(MATCH(408,Engine!$C$2:$C$630,0)),"",INDEX('Compliance Database'!$A$2:$A$630,MATCH(408,Engine!$C$2:$C$630,0)))</f>
        <v/>
      </c>
      <c r="B421">
        <f>IF(ISNA(MATCH(408,Engine!$C$2:$C$630,0)),"",INDEX('Compliance Database'!$B$2:$B$630,MATCH(408,Engine!$C$2:$C$630,0)))</f>
        <v/>
      </c>
      <c r="C421">
        <f>IF(ISNA(MATCH(408,Engine!$C$2:$C$630,0)),"",INDEX('Compliance Database'!$C$2:$C$630,MATCH(408,Engine!$C$2:$C$630,0)))</f>
        <v/>
      </c>
      <c r="D421" s="8">
        <f>IF(ISNA(MATCH(408,Engine!$C$2:$C$630,0)),"",INDEX('Compliance Database'!$D$2:$D$630,MATCH(408,Engine!$C$2:$C$630,0)))</f>
        <v/>
      </c>
      <c r="E421">
        <f>IF(ISNA(MATCH(408,Engine!$C$2:$C$630,0)),"",INDEX('Compliance Database'!$E$2:$E$630,MATCH(408,Engine!$C$2:$C$630,0)))</f>
        <v/>
      </c>
      <c r="F421">
        <f>IF(ISNA(MATCH(408,Engine!$C$2:$C$630,0)),"",INDEX('Compliance Database'!$F$2:$F$630,MATCH(408,Engine!$C$2:$C$630,0)))</f>
        <v/>
      </c>
      <c r="G421">
        <f>IF(ISNA(MATCH(408,Engine!$C$2:$C$630,0)),"",INDEX('Compliance Database'!$G$2:$G$630,MATCH(408,Engine!$C$2:$C$630,0)))</f>
        <v/>
      </c>
      <c r="H421">
        <f>IF(ISNA(MATCH(408,Engine!$C$2:$C$630,0)),"",INDEX('Compliance Database'!$H$2:$H$630,MATCH(408,Engine!$C$2:$C$630,0)))</f>
        <v/>
      </c>
      <c r="I421" s="8">
        <f>IF(ISNA(MATCH(408,Engine!$C$2:$C$630,0)),"",INDEX('Compliance Database'!$I$2:$I$630,MATCH(408,Engine!$C$2:$C$630,0)))</f>
        <v/>
      </c>
      <c r="J421" s="8">
        <f>IF(ISNA(MATCH(408,Engine!$C$2:$C$630,0)),"",INDEX('Compliance Database'!$J$2:$J$630,MATCH(408,Engine!$C$2:$C$630,0)))</f>
        <v/>
      </c>
      <c r="K421">
        <f>IF(ISNA(MATCH(408,Engine!$C$2:$C$630,0)),"",INDEX('Compliance Database'!$K$2:$K$630,MATCH(408,Engine!$C$2:$C$630,0)))</f>
        <v/>
      </c>
      <c r="L421" s="8">
        <f>IF(ISNA(MATCH(408,Engine!$C$2:$C$630,0)),"",INDEX('Compliance Database'!$L$2:$L$630,MATCH(408,Engine!$C$2:$C$630,0)))</f>
        <v/>
      </c>
      <c r="M421" s="8">
        <f>IF(ISNA(MATCH(408,Engine!$C$2:$C$630,0)),"",INDEX('Compliance Database'!$M$2:$M$630,MATCH(408,Engine!$C$2:$C$630,0)))</f>
        <v/>
      </c>
      <c r="N421" s="8">
        <f>IF(ISNA(MATCH(408,Engine!$C$2:$C$630,0)),"",INDEX('Compliance Database'!$N$2:$N$630,MATCH(408,Engine!$C$2:$C$630,0)))</f>
        <v/>
      </c>
      <c r="O421" s="8">
        <f>IF(ISNA(MATCH(408,Engine!$C$2:$C$630,0)),"",INDEX('Compliance Database'!$O$2:$O$630,MATCH(408,Engine!$C$2:$C$630,0)))</f>
        <v/>
      </c>
    </row>
    <row r="422">
      <c r="A422">
        <f>IF(ISNA(MATCH(409,Engine!$C$2:$C$630,0)),"",INDEX('Compliance Database'!$A$2:$A$630,MATCH(409,Engine!$C$2:$C$630,0)))</f>
        <v/>
      </c>
      <c r="B422">
        <f>IF(ISNA(MATCH(409,Engine!$C$2:$C$630,0)),"",INDEX('Compliance Database'!$B$2:$B$630,MATCH(409,Engine!$C$2:$C$630,0)))</f>
        <v/>
      </c>
      <c r="C422">
        <f>IF(ISNA(MATCH(409,Engine!$C$2:$C$630,0)),"",INDEX('Compliance Database'!$C$2:$C$630,MATCH(409,Engine!$C$2:$C$630,0)))</f>
        <v/>
      </c>
      <c r="D422" s="8">
        <f>IF(ISNA(MATCH(409,Engine!$C$2:$C$630,0)),"",INDEX('Compliance Database'!$D$2:$D$630,MATCH(409,Engine!$C$2:$C$630,0)))</f>
        <v/>
      </c>
      <c r="E422">
        <f>IF(ISNA(MATCH(409,Engine!$C$2:$C$630,0)),"",INDEX('Compliance Database'!$E$2:$E$630,MATCH(409,Engine!$C$2:$C$630,0)))</f>
        <v/>
      </c>
      <c r="F422">
        <f>IF(ISNA(MATCH(409,Engine!$C$2:$C$630,0)),"",INDEX('Compliance Database'!$F$2:$F$630,MATCH(409,Engine!$C$2:$C$630,0)))</f>
        <v/>
      </c>
      <c r="G422">
        <f>IF(ISNA(MATCH(409,Engine!$C$2:$C$630,0)),"",INDEX('Compliance Database'!$G$2:$G$630,MATCH(409,Engine!$C$2:$C$630,0)))</f>
        <v/>
      </c>
      <c r="H422">
        <f>IF(ISNA(MATCH(409,Engine!$C$2:$C$630,0)),"",INDEX('Compliance Database'!$H$2:$H$630,MATCH(409,Engine!$C$2:$C$630,0)))</f>
        <v/>
      </c>
      <c r="I422" s="8">
        <f>IF(ISNA(MATCH(409,Engine!$C$2:$C$630,0)),"",INDEX('Compliance Database'!$I$2:$I$630,MATCH(409,Engine!$C$2:$C$630,0)))</f>
        <v/>
      </c>
      <c r="J422" s="8">
        <f>IF(ISNA(MATCH(409,Engine!$C$2:$C$630,0)),"",INDEX('Compliance Database'!$J$2:$J$630,MATCH(409,Engine!$C$2:$C$630,0)))</f>
        <v/>
      </c>
      <c r="K422">
        <f>IF(ISNA(MATCH(409,Engine!$C$2:$C$630,0)),"",INDEX('Compliance Database'!$K$2:$K$630,MATCH(409,Engine!$C$2:$C$630,0)))</f>
        <v/>
      </c>
      <c r="L422" s="8">
        <f>IF(ISNA(MATCH(409,Engine!$C$2:$C$630,0)),"",INDEX('Compliance Database'!$L$2:$L$630,MATCH(409,Engine!$C$2:$C$630,0)))</f>
        <v/>
      </c>
      <c r="M422" s="8">
        <f>IF(ISNA(MATCH(409,Engine!$C$2:$C$630,0)),"",INDEX('Compliance Database'!$M$2:$M$630,MATCH(409,Engine!$C$2:$C$630,0)))</f>
        <v/>
      </c>
      <c r="N422" s="8">
        <f>IF(ISNA(MATCH(409,Engine!$C$2:$C$630,0)),"",INDEX('Compliance Database'!$N$2:$N$630,MATCH(409,Engine!$C$2:$C$630,0)))</f>
        <v/>
      </c>
      <c r="O422" s="8">
        <f>IF(ISNA(MATCH(409,Engine!$C$2:$C$630,0)),"",INDEX('Compliance Database'!$O$2:$O$630,MATCH(409,Engine!$C$2:$C$630,0)))</f>
        <v/>
      </c>
    </row>
    <row r="423">
      <c r="A423">
        <f>IF(ISNA(MATCH(410,Engine!$C$2:$C$630,0)),"",INDEX('Compliance Database'!$A$2:$A$630,MATCH(410,Engine!$C$2:$C$630,0)))</f>
        <v/>
      </c>
      <c r="B423">
        <f>IF(ISNA(MATCH(410,Engine!$C$2:$C$630,0)),"",INDEX('Compliance Database'!$B$2:$B$630,MATCH(410,Engine!$C$2:$C$630,0)))</f>
        <v/>
      </c>
      <c r="C423">
        <f>IF(ISNA(MATCH(410,Engine!$C$2:$C$630,0)),"",INDEX('Compliance Database'!$C$2:$C$630,MATCH(410,Engine!$C$2:$C$630,0)))</f>
        <v/>
      </c>
      <c r="D423" s="8">
        <f>IF(ISNA(MATCH(410,Engine!$C$2:$C$630,0)),"",INDEX('Compliance Database'!$D$2:$D$630,MATCH(410,Engine!$C$2:$C$630,0)))</f>
        <v/>
      </c>
      <c r="E423">
        <f>IF(ISNA(MATCH(410,Engine!$C$2:$C$630,0)),"",INDEX('Compliance Database'!$E$2:$E$630,MATCH(410,Engine!$C$2:$C$630,0)))</f>
        <v/>
      </c>
      <c r="F423">
        <f>IF(ISNA(MATCH(410,Engine!$C$2:$C$630,0)),"",INDEX('Compliance Database'!$F$2:$F$630,MATCH(410,Engine!$C$2:$C$630,0)))</f>
        <v/>
      </c>
      <c r="G423">
        <f>IF(ISNA(MATCH(410,Engine!$C$2:$C$630,0)),"",INDEX('Compliance Database'!$G$2:$G$630,MATCH(410,Engine!$C$2:$C$630,0)))</f>
        <v/>
      </c>
      <c r="H423">
        <f>IF(ISNA(MATCH(410,Engine!$C$2:$C$630,0)),"",INDEX('Compliance Database'!$H$2:$H$630,MATCH(410,Engine!$C$2:$C$630,0)))</f>
        <v/>
      </c>
      <c r="I423" s="8">
        <f>IF(ISNA(MATCH(410,Engine!$C$2:$C$630,0)),"",INDEX('Compliance Database'!$I$2:$I$630,MATCH(410,Engine!$C$2:$C$630,0)))</f>
        <v/>
      </c>
      <c r="J423" s="8">
        <f>IF(ISNA(MATCH(410,Engine!$C$2:$C$630,0)),"",INDEX('Compliance Database'!$J$2:$J$630,MATCH(410,Engine!$C$2:$C$630,0)))</f>
        <v/>
      </c>
      <c r="K423">
        <f>IF(ISNA(MATCH(410,Engine!$C$2:$C$630,0)),"",INDEX('Compliance Database'!$K$2:$K$630,MATCH(410,Engine!$C$2:$C$630,0)))</f>
        <v/>
      </c>
      <c r="L423" s="8">
        <f>IF(ISNA(MATCH(410,Engine!$C$2:$C$630,0)),"",INDEX('Compliance Database'!$L$2:$L$630,MATCH(410,Engine!$C$2:$C$630,0)))</f>
        <v/>
      </c>
      <c r="M423" s="8">
        <f>IF(ISNA(MATCH(410,Engine!$C$2:$C$630,0)),"",INDEX('Compliance Database'!$M$2:$M$630,MATCH(410,Engine!$C$2:$C$630,0)))</f>
        <v/>
      </c>
      <c r="N423" s="8">
        <f>IF(ISNA(MATCH(410,Engine!$C$2:$C$630,0)),"",INDEX('Compliance Database'!$N$2:$N$630,MATCH(410,Engine!$C$2:$C$630,0)))</f>
        <v/>
      </c>
      <c r="O423" s="8">
        <f>IF(ISNA(MATCH(410,Engine!$C$2:$C$630,0)),"",INDEX('Compliance Database'!$O$2:$O$630,MATCH(410,Engine!$C$2:$C$630,0)))</f>
        <v/>
      </c>
    </row>
    <row r="424">
      <c r="A424">
        <f>IF(ISNA(MATCH(411,Engine!$C$2:$C$630,0)),"",INDEX('Compliance Database'!$A$2:$A$630,MATCH(411,Engine!$C$2:$C$630,0)))</f>
        <v/>
      </c>
      <c r="B424">
        <f>IF(ISNA(MATCH(411,Engine!$C$2:$C$630,0)),"",INDEX('Compliance Database'!$B$2:$B$630,MATCH(411,Engine!$C$2:$C$630,0)))</f>
        <v/>
      </c>
      <c r="C424">
        <f>IF(ISNA(MATCH(411,Engine!$C$2:$C$630,0)),"",INDEX('Compliance Database'!$C$2:$C$630,MATCH(411,Engine!$C$2:$C$630,0)))</f>
        <v/>
      </c>
      <c r="D424" s="8">
        <f>IF(ISNA(MATCH(411,Engine!$C$2:$C$630,0)),"",INDEX('Compliance Database'!$D$2:$D$630,MATCH(411,Engine!$C$2:$C$630,0)))</f>
        <v/>
      </c>
      <c r="E424">
        <f>IF(ISNA(MATCH(411,Engine!$C$2:$C$630,0)),"",INDEX('Compliance Database'!$E$2:$E$630,MATCH(411,Engine!$C$2:$C$630,0)))</f>
        <v/>
      </c>
      <c r="F424">
        <f>IF(ISNA(MATCH(411,Engine!$C$2:$C$630,0)),"",INDEX('Compliance Database'!$F$2:$F$630,MATCH(411,Engine!$C$2:$C$630,0)))</f>
        <v/>
      </c>
      <c r="G424">
        <f>IF(ISNA(MATCH(411,Engine!$C$2:$C$630,0)),"",INDEX('Compliance Database'!$G$2:$G$630,MATCH(411,Engine!$C$2:$C$630,0)))</f>
        <v/>
      </c>
      <c r="H424">
        <f>IF(ISNA(MATCH(411,Engine!$C$2:$C$630,0)),"",INDEX('Compliance Database'!$H$2:$H$630,MATCH(411,Engine!$C$2:$C$630,0)))</f>
        <v/>
      </c>
      <c r="I424" s="8">
        <f>IF(ISNA(MATCH(411,Engine!$C$2:$C$630,0)),"",INDEX('Compliance Database'!$I$2:$I$630,MATCH(411,Engine!$C$2:$C$630,0)))</f>
        <v/>
      </c>
      <c r="J424" s="8">
        <f>IF(ISNA(MATCH(411,Engine!$C$2:$C$630,0)),"",INDEX('Compliance Database'!$J$2:$J$630,MATCH(411,Engine!$C$2:$C$630,0)))</f>
        <v/>
      </c>
      <c r="K424">
        <f>IF(ISNA(MATCH(411,Engine!$C$2:$C$630,0)),"",INDEX('Compliance Database'!$K$2:$K$630,MATCH(411,Engine!$C$2:$C$630,0)))</f>
        <v/>
      </c>
      <c r="L424" s="8">
        <f>IF(ISNA(MATCH(411,Engine!$C$2:$C$630,0)),"",INDEX('Compliance Database'!$L$2:$L$630,MATCH(411,Engine!$C$2:$C$630,0)))</f>
        <v/>
      </c>
      <c r="M424" s="8">
        <f>IF(ISNA(MATCH(411,Engine!$C$2:$C$630,0)),"",INDEX('Compliance Database'!$M$2:$M$630,MATCH(411,Engine!$C$2:$C$630,0)))</f>
        <v/>
      </c>
      <c r="N424" s="8">
        <f>IF(ISNA(MATCH(411,Engine!$C$2:$C$630,0)),"",INDEX('Compliance Database'!$N$2:$N$630,MATCH(411,Engine!$C$2:$C$630,0)))</f>
        <v/>
      </c>
      <c r="O424" s="8">
        <f>IF(ISNA(MATCH(411,Engine!$C$2:$C$630,0)),"",INDEX('Compliance Database'!$O$2:$O$630,MATCH(411,Engine!$C$2:$C$630,0)))</f>
        <v/>
      </c>
    </row>
    <row r="425">
      <c r="A425">
        <f>IF(ISNA(MATCH(412,Engine!$C$2:$C$630,0)),"",INDEX('Compliance Database'!$A$2:$A$630,MATCH(412,Engine!$C$2:$C$630,0)))</f>
        <v/>
      </c>
      <c r="B425">
        <f>IF(ISNA(MATCH(412,Engine!$C$2:$C$630,0)),"",INDEX('Compliance Database'!$B$2:$B$630,MATCH(412,Engine!$C$2:$C$630,0)))</f>
        <v/>
      </c>
      <c r="C425">
        <f>IF(ISNA(MATCH(412,Engine!$C$2:$C$630,0)),"",INDEX('Compliance Database'!$C$2:$C$630,MATCH(412,Engine!$C$2:$C$630,0)))</f>
        <v/>
      </c>
      <c r="D425" s="8">
        <f>IF(ISNA(MATCH(412,Engine!$C$2:$C$630,0)),"",INDEX('Compliance Database'!$D$2:$D$630,MATCH(412,Engine!$C$2:$C$630,0)))</f>
        <v/>
      </c>
      <c r="E425">
        <f>IF(ISNA(MATCH(412,Engine!$C$2:$C$630,0)),"",INDEX('Compliance Database'!$E$2:$E$630,MATCH(412,Engine!$C$2:$C$630,0)))</f>
        <v/>
      </c>
      <c r="F425">
        <f>IF(ISNA(MATCH(412,Engine!$C$2:$C$630,0)),"",INDEX('Compliance Database'!$F$2:$F$630,MATCH(412,Engine!$C$2:$C$630,0)))</f>
        <v/>
      </c>
      <c r="G425">
        <f>IF(ISNA(MATCH(412,Engine!$C$2:$C$630,0)),"",INDEX('Compliance Database'!$G$2:$G$630,MATCH(412,Engine!$C$2:$C$630,0)))</f>
        <v/>
      </c>
      <c r="H425">
        <f>IF(ISNA(MATCH(412,Engine!$C$2:$C$630,0)),"",INDEX('Compliance Database'!$H$2:$H$630,MATCH(412,Engine!$C$2:$C$630,0)))</f>
        <v/>
      </c>
      <c r="I425" s="8">
        <f>IF(ISNA(MATCH(412,Engine!$C$2:$C$630,0)),"",INDEX('Compliance Database'!$I$2:$I$630,MATCH(412,Engine!$C$2:$C$630,0)))</f>
        <v/>
      </c>
      <c r="J425" s="8">
        <f>IF(ISNA(MATCH(412,Engine!$C$2:$C$630,0)),"",INDEX('Compliance Database'!$J$2:$J$630,MATCH(412,Engine!$C$2:$C$630,0)))</f>
        <v/>
      </c>
      <c r="K425">
        <f>IF(ISNA(MATCH(412,Engine!$C$2:$C$630,0)),"",INDEX('Compliance Database'!$K$2:$K$630,MATCH(412,Engine!$C$2:$C$630,0)))</f>
        <v/>
      </c>
      <c r="L425" s="8">
        <f>IF(ISNA(MATCH(412,Engine!$C$2:$C$630,0)),"",INDEX('Compliance Database'!$L$2:$L$630,MATCH(412,Engine!$C$2:$C$630,0)))</f>
        <v/>
      </c>
      <c r="M425" s="8">
        <f>IF(ISNA(MATCH(412,Engine!$C$2:$C$630,0)),"",INDEX('Compliance Database'!$M$2:$M$630,MATCH(412,Engine!$C$2:$C$630,0)))</f>
        <v/>
      </c>
      <c r="N425" s="8">
        <f>IF(ISNA(MATCH(412,Engine!$C$2:$C$630,0)),"",INDEX('Compliance Database'!$N$2:$N$630,MATCH(412,Engine!$C$2:$C$630,0)))</f>
        <v/>
      </c>
      <c r="O425" s="8">
        <f>IF(ISNA(MATCH(412,Engine!$C$2:$C$630,0)),"",INDEX('Compliance Database'!$O$2:$O$630,MATCH(412,Engine!$C$2:$C$630,0)))</f>
        <v/>
      </c>
    </row>
    <row r="426">
      <c r="A426">
        <f>IF(ISNA(MATCH(413,Engine!$C$2:$C$630,0)),"",INDEX('Compliance Database'!$A$2:$A$630,MATCH(413,Engine!$C$2:$C$630,0)))</f>
        <v/>
      </c>
      <c r="B426">
        <f>IF(ISNA(MATCH(413,Engine!$C$2:$C$630,0)),"",INDEX('Compliance Database'!$B$2:$B$630,MATCH(413,Engine!$C$2:$C$630,0)))</f>
        <v/>
      </c>
      <c r="C426">
        <f>IF(ISNA(MATCH(413,Engine!$C$2:$C$630,0)),"",INDEX('Compliance Database'!$C$2:$C$630,MATCH(413,Engine!$C$2:$C$630,0)))</f>
        <v/>
      </c>
      <c r="D426" s="8">
        <f>IF(ISNA(MATCH(413,Engine!$C$2:$C$630,0)),"",INDEX('Compliance Database'!$D$2:$D$630,MATCH(413,Engine!$C$2:$C$630,0)))</f>
        <v/>
      </c>
      <c r="E426">
        <f>IF(ISNA(MATCH(413,Engine!$C$2:$C$630,0)),"",INDEX('Compliance Database'!$E$2:$E$630,MATCH(413,Engine!$C$2:$C$630,0)))</f>
        <v/>
      </c>
      <c r="F426">
        <f>IF(ISNA(MATCH(413,Engine!$C$2:$C$630,0)),"",INDEX('Compliance Database'!$F$2:$F$630,MATCH(413,Engine!$C$2:$C$630,0)))</f>
        <v/>
      </c>
      <c r="G426">
        <f>IF(ISNA(MATCH(413,Engine!$C$2:$C$630,0)),"",INDEX('Compliance Database'!$G$2:$G$630,MATCH(413,Engine!$C$2:$C$630,0)))</f>
        <v/>
      </c>
      <c r="H426">
        <f>IF(ISNA(MATCH(413,Engine!$C$2:$C$630,0)),"",INDEX('Compliance Database'!$H$2:$H$630,MATCH(413,Engine!$C$2:$C$630,0)))</f>
        <v/>
      </c>
      <c r="I426" s="8">
        <f>IF(ISNA(MATCH(413,Engine!$C$2:$C$630,0)),"",INDEX('Compliance Database'!$I$2:$I$630,MATCH(413,Engine!$C$2:$C$630,0)))</f>
        <v/>
      </c>
      <c r="J426" s="8">
        <f>IF(ISNA(MATCH(413,Engine!$C$2:$C$630,0)),"",INDEX('Compliance Database'!$J$2:$J$630,MATCH(413,Engine!$C$2:$C$630,0)))</f>
        <v/>
      </c>
      <c r="K426">
        <f>IF(ISNA(MATCH(413,Engine!$C$2:$C$630,0)),"",INDEX('Compliance Database'!$K$2:$K$630,MATCH(413,Engine!$C$2:$C$630,0)))</f>
        <v/>
      </c>
      <c r="L426" s="8">
        <f>IF(ISNA(MATCH(413,Engine!$C$2:$C$630,0)),"",INDEX('Compliance Database'!$L$2:$L$630,MATCH(413,Engine!$C$2:$C$630,0)))</f>
        <v/>
      </c>
      <c r="M426" s="8">
        <f>IF(ISNA(MATCH(413,Engine!$C$2:$C$630,0)),"",INDEX('Compliance Database'!$M$2:$M$630,MATCH(413,Engine!$C$2:$C$630,0)))</f>
        <v/>
      </c>
      <c r="N426" s="8">
        <f>IF(ISNA(MATCH(413,Engine!$C$2:$C$630,0)),"",INDEX('Compliance Database'!$N$2:$N$630,MATCH(413,Engine!$C$2:$C$630,0)))</f>
        <v/>
      </c>
      <c r="O426" s="8">
        <f>IF(ISNA(MATCH(413,Engine!$C$2:$C$630,0)),"",INDEX('Compliance Database'!$O$2:$O$630,MATCH(413,Engine!$C$2:$C$630,0)))</f>
        <v/>
      </c>
    </row>
    <row r="427">
      <c r="A427">
        <f>IF(ISNA(MATCH(414,Engine!$C$2:$C$630,0)),"",INDEX('Compliance Database'!$A$2:$A$630,MATCH(414,Engine!$C$2:$C$630,0)))</f>
        <v/>
      </c>
      <c r="B427">
        <f>IF(ISNA(MATCH(414,Engine!$C$2:$C$630,0)),"",INDEX('Compliance Database'!$B$2:$B$630,MATCH(414,Engine!$C$2:$C$630,0)))</f>
        <v/>
      </c>
      <c r="C427">
        <f>IF(ISNA(MATCH(414,Engine!$C$2:$C$630,0)),"",INDEX('Compliance Database'!$C$2:$C$630,MATCH(414,Engine!$C$2:$C$630,0)))</f>
        <v/>
      </c>
      <c r="D427" s="8">
        <f>IF(ISNA(MATCH(414,Engine!$C$2:$C$630,0)),"",INDEX('Compliance Database'!$D$2:$D$630,MATCH(414,Engine!$C$2:$C$630,0)))</f>
        <v/>
      </c>
      <c r="E427">
        <f>IF(ISNA(MATCH(414,Engine!$C$2:$C$630,0)),"",INDEX('Compliance Database'!$E$2:$E$630,MATCH(414,Engine!$C$2:$C$630,0)))</f>
        <v/>
      </c>
      <c r="F427">
        <f>IF(ISNA(MATCH(414,Engine!$C$2:$C$630,0)),"",INDEX('Compliance Database'!$F$2:$F$630,MATCH(414,Engine!$C$2:$C$630,0)))</f>
        <v/>
      </c>
      <c r="G427">
        <f>IF(ISNA(MATCH(414,Engine!$C$2:$C$630,0)),"",INDEX('Compliance Database'!$G$2:$G$630,MATCH(414,Engine!$C$2:$C$630,0)))</f>
        <v/>
      </c>
      <c r="H427">
        <f>IF(ISNA(MATCH(414,Engine!$C$2:$C$630,0)),"",INDEX('Compliance Database'!$H$2:$H$630,MATCH(414,Engine!$C$2:$C$630,0)))</f>
        <v/>
      </c>
      <c r="I427" s="8">
        <f>IF(ISNA(MATCH(414,Engine!$C$2:$C$630,0)),"",INDEX('Compliance Database'!$I$2:$I$630,MATCH(414,Engine!$C$2:$C$630,0)))</f>
        <v/>
      </c>
      <c r="J427" s="8">
        <f>IF(ISNA(MATCH(414,Engine!$C$2:$C$630,0)),"",INDEX('Compliance Database'!$J$2:$J$630,MATCH(414,Engine!$C$2:$C$630,0)))</f>
        <v/>
      </c>
      <c r="K427">
        <f>IF(ISNA(MATCH(414,Engine!$C$2:$C$630,0)),"",INDEX('Compliance Database'!$K$2:$K$630,MATCH(414,Engine!$C$2:$C$630,0)))</f>
        <v/>
      </c>
      <c r="L427" s="8">
        <f>IF(ISNA(MATCH(414,Engine!$C$2:$C$630,0)),"",INDEX('Compliance Database'!$L$2:$L$630,MATCH(414,Engine!$C$2:$C$630,0)))</f>
        <v/>
      </c>
      <c r="M427" s="8">
        <f>IF(ISNA(MATCH(414,Engine!$C$2:$C$630,0)),"",INDEX('Compliance Database'!$M$2:$M$630,MATCH(414,Engine!$C$2:$C$630,0)))</f>
        <v/>
      </c>
      <c r="N427" s="8">
        <f>IF(ISNA(MATCH(414,Engine!$C$2:$C$630,0)),"",INDEX('Compliance Database'!$N$2:$N$630,MATCH(414,Engine!$C$2:$C$630,0)))</f>
        <v/>
      </c>
      <c r="O427" s="8">
        <f>IF(ISNA(MATCH(414,Engine!$C$2:$C$630,0)),"",INDEX('Compliance Database'!$O$2:$O$630,MATCH(414,Engine!$C$2:$C$630,0)))</f>
        <v/>
      </c>
    </row>
    <row r="428">
      <c r="A428">
        <f>IF(ISNA(MATCH(415,Engine!$C$2:$C$630,0)),"",INDEX('Compliance Database'!$A$2:$A$630,MATCH(415,Engine!$C$2:$C$630,0)))</f>
        <v/>
      </c>
      <c r="B428">
        <f>IF(ISNA(MATCH(415,Engine!$C$2:$C$630,0)),"",INDEX('Compliance Database'!$B$2:$B$630,MATCH(415,Engine!$C$2:$C$630,0)))</f>
        <v/>
      </c>
      <c r="C428">
        <f>IF(ISNA(MATCH(415,Engine!$C$2:$C$630,0)),"",INDEX('Compliance Database'!$C$2:$C$630,MATCH(415,Engine!$C$2:$C$630,0)))</f>
        <v/>
      </c>
      <c r="D428" s="8">
        <f>IF(ISNA(MATCH(415,Engine!$C$2:$C$630,0)),"",INDEX('Compliance Database'!$D$2:$D$630,MATCH(415,Engine!$C$2:$C$630,0)))</f>
        <v/>
      </c>
      <c r="E428">
        <f>IF(ISNA(MATCH(415,Engine!$C$2:$C$630,0)),"",INDEX('Compliance Database'!$E$2:$E$630,MATCH(415,Engine!$C$2:$C$630,0)))</f>
        <v/>
      </c>
      <c r="F428">
        <f>IF(ISNA(MATCH(415,Engine!$C$2:$C$630,0)),"",INDEX('Compliance Database'!$F$2:$F$630,MATCH(415,Engine!$C$2:$C$630,0)))</f>
        <v/>
      </c>
      <c r="G428">
        <f>IF(ISNA(MATCH(415,Engine!$C$2:$C$630,0)),"",INDEX('Compliance Database'!$G$2:$G$630,MATCH(415,Engine!$C$2:$C$630,0)))</f>
        <v/>
      </c>
      <c r="H428">
        <f>IF(ISNA(MATCH(415,Engine!$C$2:$C$630,0)),"",INDEX('Compliance Database'!$H$2:$H$630,MATCH(415,Engine!$C$2:$C$630,0)))</f>
        <v/>
      </c>
      <c r="I428" s="8">
        <f>IF(ISNA(MATCH(415,Engine!$C$2:$C$630,0)),"",INDEX('Compliance Database'!$I$2:$I$630,MATCH(415,Engine!$C$2:$C$630,0)))</f>
        <v/>
      </c>
      <c r="J428" s="8">
        <f>IF(ISNA(MATCH(415,Engine!$C$2:$C$630,0)),"",INDEX('Compliance Database'!$J$2:$J$630,MATCH(415,Engine!$C$2:$C$630,0)))</f>
        <v/>
      </c>
      <c r="K428">
        <f>IF(ISNA(MATCH(415,Engine!$C$2:$C$630,0)),"",INDEX('Compliance Database'!$K$2:$K$630,MATCH(415,Engine!$C$2:$C$630,0)))</f>
        <v/>
      </c>
      <c r="L428" s="8">
        <f>IF(ISNA(MATCH(415,Engine!$C$2:$C$630,0)),"",INDEX('Compliance Database'!$L$2:$L$630,MATCH(415,Engine!$C$2:$C$630,0)))</f>
        <v/>
      </c>
      <c r="M428" s="8">
        <f>IF(ISNA(MATCH(415,Engine!$C$2:$C$630,0)),"",INDEX('Compliance Database'!$M$2:$M$630,MATCH(415,Engine!$C$2:$C$630,0)))</f>
        <v/>
      </c>
      <c r="N428" s="8">
        <f>IF(ISNA(MATCH(415,Engine!$C$2:$C$630,0)),"",INDEX('Compliance Database'!$N$2:$N$630,MATCH(415,Engine!$C$2:$C$630,0)))</f>
        <v/>
      </c>
      <c r="O428" s="8">
        <f>IF(ISNA(MATCH(415,Engine!$C$2:$C$630,0)),"",INDEX('Compliance Database'!$O$2:$O$630,MATCH(415,Engine!$C$2:$C$630,0)))</f>
        <v/>
      </c>
    </row>
    <row r="429">
      <c r="A429">
        <f>IF(ISNA(MATCH(416,Engine!$C$2:$C$630,0)),"",INDEX('Compliance Database'!$A$2:$A$630,MATCH(416,Engine!$C$2:$C$630,0)))</f>
        <v/>
      </c>
      <c r="B429">
        <f>IF(ISNA(MATCH(416,Engine!$C$2:$C$630,0)),"",INDEX('Compliance Database'!$B$2:$B$630,MATCH(416,Engine!$C$2:$C$630,0)))</f>
        <v/>
      </c>
      <c r="C429">
        <f>IF(ISNA(MATCH(416,Engine!$C$2:$C$630,0)),"",INDEX('Compliance Database'!$C$2:$C$630,MATCH(416,Engine!$C$2:$C$630,0)))</f>
        <v/>
      </c>
      <c r="D429" s="8">
        <f>IF(ISNA(MATCH(416,Engine!$C$2:$C$630,0)),"",INDEX('Compliance Database'!$D$2:$D$630,MATCH(416,Engine!$C$2:$C$630,0)))</f>
        <v/>
      </c>
      <c r="E429">
        <f>IF(ISNA(MATCH(416,Engine!$C$2:$C$630,0)),"",INDEX('Compliance Database'!$E$2:$E$630,MATCH(416,Engine!$C$2:$C$630,0)))</f>
        <v/>
      </c>
      <c r="F429">
        <f>IF(ISNA(MATCH(416,Engine!$C$2:$C$630,0)),"",INDEX('Compliance Database'!$F$2:$F$630,MATCH(416,Engine!$C$2:$C$630,0)))</f>
        <v/>
      </c>
      <c r="G429">
        <f>IF(ISNA(MATCH(416,Engine!$C$2:$C$630,0)),"",INDEX('Compliance Database'!$G$2:$G$630,MATCH(416,Engine!$C$2:$C$630,0)))</f>
        <v/>
      </c>
      <c r="H429">
        <f>IF(ISNA(MATCH(416,Engine!$C$2:$C$630,0)),"",INDEX('Compliance Database'!$H$2:$H$630,MATCH(416,Engine!$C$2:$C$630,0)))</f>
        <v/>
      </c>
      <c r="I429" s="8">
        <f>IF(ISNA(MATCH(416,Engine!$C$2:$C$630,0)),"",INDEX('Compliance Database'!$I$2:$I$630,MATCH(416,Engine!$C$2:$C$630,0)))</f>
        <v/>
      </c>
      <c r="J429" s="8">
        <f>IF(ISNA(MATCH(416,Engine!$C$2:$C$630,0)),"",INDEX('Compliance Database'!$J$2:$J$630,MATCH(416,Engine!$C$2:$C$630,0)))</f>
        <v/>
      </c>
      <c r="K429">
        <f>IF(ISNA(MATCH(416,Engine!$C$2:$C$630,0)),"",INDEX('Compliance Database'!$K$2:$K$630,MATCH(416,Engine!$C$2:$C$630,0)))</f>
        <v/>
      </c>
      <c r="L429" s="8">
        <f>IF(ISNA(MATCH(416,Engine!$C$2:$C$630,0)),"",INDEX('Compliance Database'!$L$2:$L$630,MATCH(416,Engine!$C$2:$C$630,0)))</f>
        <v/>
      </c>
      <c r="M429" s="8">
        <f>IF(ISNA(MATCH(416,Engine!$C$2:$C$630,0)),"",INDEX('Compliance Database'!$M$2:$M$630,MATCH(416,Engine!$C$2:$C$630,0)))</f>
        <v/>
      </c>
      <c r="N429" s="8">
        <f>IF(ISNA(MATCH(416,Engine!$C$2:$C$630,0)),"",INDEX('Compliance Database'!$N$2:$N$630,MATCH(416,Engine!$C$2:$C$630,0)))</f>
        <v/>
      </c>
      <c r="O429" s="8">
        <f>IF(ISNA(MATCH(416,Engine!$C$2:$C$630,0)),"",INDEX('Compliance Database'!$O$2:$O$630,MATCH(416,Engine!$C$2:$C$630,0)))</f>
        <v/>
      </c>
    </row>
    <row r="430">
      <c r="A430">
        <f>IF(ISNA(MATCH(417,Engine!$C$2:$C$630,0)),"",INDEX('Compliance Database'!$A$2:$A$630,MATCH(417,Engine!$C$2:$C$630,0)))</f>
        <v/>
      </c>
      <c r="B430">
        <f>IF(ISNA(MATCH(417,Engine!$C$2:$C$630,0)),"",INDEX('Compliance Database'!$B$2:$B$630,MATCH(417,Engine!$C$2:$C$630,0)))</f>
        <v/>
      </c>
      <c r="C430">
        <f>IF(ISNA(MATCH(417,Engine!$C$2:$C$630,0)),"",INDEX('Compliance Database'!$C$2:$C$630,MATCH(417,Engine!$C$2:$C$630,0)))</f>
        <v/>
      </c>
      <c r="D430" s="8">
        <f>IF(ISNA(MATCH(417,Engine!$C$2:$C$630,0)),"",INDEX('Compliance Database'!$D$2:$D$630,MATCH(417,Engine!$C$2:$C$630,0)))</f>
        <v/>
      </c>
      <c r="E430">
        <f>IF(ISNA(MATCH(417,Engine!$C$2:$C$630,0)),"",INDEX('Compliance Database'!$E$2:$E$630,MATCH(417,Engine!$C$2:$C$630,0)))</f>
        <v/>
      </c>
      <c r="F430">
        <f>IF(ISNA(MATCH(417,Engine!$C$2:$C$630,0)),"",INDEX('Compliance Database'!$F$2:$F$630,MATCH(417,Engine!$C$2:$C$630,0)))</f>
        <v/>
      </c>
      <c r="G430">
        <f>IF(ISNA(MATCH(417,Engine!$C$2:$C$630,0)),"",INDEX('Compliance Database'!$G$2:$G$630,MATCH(417,Engine!$C$2:$C$630,0)))</f>
        <v/>
      </c>
      <c r="H430">
        <f>IF(ISNA(MATCH(417,Engine!$C$2:$C$630,0)),"",INDEX('Compliance Database'!$H$2:$H$630,MATCH(417,Engine!$C$2:$C$630,0)))</f>
        <v/>
      </c>
      <c r="I430" s="8">
        <f>IF(ISNA(MATCH(417,Engine!$C$2:$C$630,0)),"",INDEX('Compliance Database'!$I$2:$I$630,MATCH(417,Engine!$C$2:$C$630,0)))</f>
        <v/>
      </c>
      <c r="J430" s="8">
        <f>IF(ISNA(MATCH(417,Engine!$C$2:$C$630,0)),"",INDEX('Compliance Database'!$J$2:$J$630,MATCH(417,Engine!$C$2:$C$630,0)))</f>
        <v/>
      </c>
      <c r="K430">
        <f>IF(ISNA(MATCH(417,Engine!$C$2:$C$630,0)),"",INDEX('Compliance Database'!$K$2:$K$630,MATCH(417,Engine!$C$2:$C$630,0)))</f>
        <v/>
      </c>
      <c r="L430" s="8">
        <f>IF(ISNA(MATCH(417,Engine!$C$2:$C$630,0)),"",INDEX('Compliance Database'!$L$2:$L$630,MATCH(417,Engine!$C$2:$C$630,0)))</f>
        <v/>
      </c>
      <c r="M430" s="8">
        <f>IF(ISNA(MATCH(417,Engine!$C$2:$C$630,0)),"",INDEX('Compliance Database'!$M$2:$M$630,MATCH(417,Engine!$C$2:$C$630,0)))</f>
        <v/>
      </c>
      <c r="N430" s="8">
        <f>IF(ISNA(MATCH(417,Engine!$C$2:$C$630,0)),"",INDEX('Compliance Database'!$N$2:$N$630,MATCH(417,Engine!$C$2:$C$630,0)))</f>
        <v/>
      </c>
      <c r="O430" s="8">
        <f>IF(ISNA(MATCH(417,Engine!$C$2:$C$630,0)),"",INDEX('Compliance Database'!$O$2:$O$630,MATCH(417,Engine!$C$2:$C$630,0)))</f>
        <v/>
      </c>
    </row>
    <row r="431">
      <c r="A431">
        <f>IF(ISNA(MATCH(418,Engine!$C$2:$C$630,0)),"",INDEX('Compliance Database'!$A$2:$A$630,MATCH(418,Engine!$C$2:$C$630,0)))</f>
        <v/>
      </c>
      <c r="B431">
        <f>IF(ISNA(MATCH(418,Engine!$C$2:$C$630,0)),"",INDEX('Compliance Database'!$B$2:$B$630,MATCH(418,Engine!$C$2:$C$630,0)))</f>
        <v/>
      </c>
      <c r="C431">
        <f>IF(ISNA(MATCH(418,Engine!$C$2:$C$630,0)),"",INDEX('Compliance Database'!$C$2:$C$630,MATCH(418,Engine!$C$2:$C$630,0)))</f>
        <v/>
      </c>
      <c r="D431" s="8">
        <f>IF(ISNA(MATCH(418,Engine!$C$2:$C$630,0)),"",INDEX('Compliance Database'!$D$2:$D$630,MATCH(418,Engine!$C$2:$C$630,0)))</f>
        <v/>
      </c>
      <c r="E431">
        <f>IF(ISNA(MATCH(418,Engine!$C$2:$C$630,0)),"",INDEX('Compliance Database'!$E$2:$E$630,MATCH(418,Engine!$C$2:$C$630,0)))</f>
        <v/>
      </c>
      <c r="F431">
        <f>IF(ISNA(MATCH(418,Engine!$C$2:$C$630,0)),"",INDEX('Compliance Database'!$F$2:$F$630,MATCH(418,Engine!$C$2:$C$630,0)))</f>
        <v/>
      </c>
      <c r="G431">
        <f>IF(ISNA(MATCH(418,Engine!$C$2:$C$630,0)),"",INDEX('Compliance Database'!$G$2:$G$630,MATCH(418,Engine!$C$2:$C$630,0)))</f>
        <v/>
      </c>
      <c r="H431">
        <f>IF(ISNA(MATCH(418,Engine!$C$2:$C$630,0)),"",INDEX('Compliance Database'!$H$2:$H$630,MATCH(418,Engine!$C$2:$C$630,0)))</f>
        <v/>
      </c>
      <c r="I431" s="8">
        <f>IF(ISNA(MATCH(418,Engine!$C$2:$C$630,0)),"",INDEX('Compliance Database'!$I$2:$I$630,MATCH(418,Engine!$C$2:$C$630,0)))</f>
        <v/>
      </c>
      <c r="J431" s="8">
        <f>IF(ISNA(MATCH(418,Engine!$C$2:$C$630,0)),"",INDEX('Compliance Database'!$J$2:$J$630,MATCH(418,Engine!$C$2:$C$630,0)))</f>
        <v/>
      </c>
      <c r="K431">
        <f>IF(ISNA(MATCH(418,Engine!$C$2:$C$630,0)),"",INDEX('Compliance Database'!$K$2:$K$630,MATCH(418,Engine!$C$2:$C$630,0)))</f>
        <v/>
      </c>
      <c r="L431" s="8">
        <f>IF(ISNA(MATCH(418,Engine!$C$2:$C$630,0)),"",INDEX('Compliance Database'!$L$2:$L$630,MATCH(418,Engine!$C$2:$C$630,0)))</f>
        <v/>
      </c>
      <c r="M431" s="8">
        <f>IF(ISNA(MATCH(418,Engine!$C$2:$C$630,0)),"",INDEX('Compliance Database'!$M$2:$M$630,MATCH(418,Engine!$C$2:$C$630,0)))</f>
        <v/>
      </c>
      <c r="N431" s="8">
        <f>IF(ISNA(MATCH(418,Engine!$C$2:$C$630,0)),"",INDEX('Compliance Database'!$N$2:$N$630,MATCH(418,Engine!$C$2:$C$630,0)))</f>
        <v/>
      </c>
      <c r="O431" s="8">
        <f>IF(ISNA(MATCH(418,Engine!$C$2:$C$630,0)),"",INDEX('Compliance Database'!$O$2:$O$630,MATCH(418,Engine!$C$2:$C$630,0)))</f>
        <v/>
      </c>
    </row>
    <row r="432">
      <c r="A432">
        <f>IF(ISNA(MATCH(419,Engine!$C$2:$C$630,0)),"",INDEX('Compliance Database'!$A$2:$A$630,MATCH(419,Engine!$C$2:$C$630,0)))</f>
        <v/>
      </c>
      <c r="B432">
        <f>IF(ISNA(MATCH(419,Engine!$C$2:$C$630,0)),"",INDEX('Compliance Database'!$B$2:$B$630,MATCH(419,Engine!$C$2:$C$630,0)))</f>
        <v/>
      </c>
      <c r="C432">
        <f>IF(ISNA(MATCH(419,Engine!$C$2:$C$630,0)),"",INDEX('Compliance Database'!$C$2:$C$630,MATCH(419,Engine!$C$2:$C$630,0)))</f>
        <v/>
      </c>
      <c r="D432" s="8">
        <f>IF(ISNA(MATCH(419,Engine!$C$2:$C$630,0)),"",INDEX('Compliance Database'!$D$2:$D$630,MATCH(419,Engine!$C$2:$C$630,0)))</f>
        <v/>
      </c>
      <c r="E432">
        <f>IF(ISNA(MATCH(419,Engine!$C$2:$C$630,0)),"",INDEX('Compliance Database'!$E$2:$E$630,MATCH(419,Engine!$C$2:$C$630,0)))</f>
        <v/>
      </c>
      <c r="F432">
        <f>IF(ISNA(MATCH(419,Engine!$C$2:$C$630,0)),"",INDEX('Compliance Database'!$F$2:$F$630,MATCH(419,Engine!$C$2:$C$630,0)))</f>
        <v/>
      </c>
      <c r="G432">
        <f>IF(ISNA(MATCH(419,Engine!$C$2:$C$630,0)),"",INDEX('Compliance Database'!$G$2:$G$630,MATCH(419,Engine!$C$2:$C$630,0)))</f>
        <v/>
      </c>
      <c r="H432">
        <f>IF(ISNA(MATCH(419,Engine!$C$2:$C$630,0)),"",INDEX('Compliance Database'!$H$2:$H$630,MATCH(419,Engine!$C$2:$C$630,0)))</f>
        <v/>
      </c>
      <c r="I432" s="8">
        <f>IF(ISNA(MATCH(419,Engine!$C$2:$C$630,0)),"",INDEX('Compliance Database'!$I$2:$I$630,MATCH(419,Engine!$C$2:$C$630,0)))</f>
        <v/>
      </c>
      <c r="J432" s="8">
        <f>IF(ISNA(MATCH(419,Engine!$C$2:$C$630,0)),"",INDEX('Compliance Database'!$J$2:$J$630,MATCH(419,Engine!$C$2:$C$630,0)))</f>
        <v/>
      </c>
      <c r="K432">
        <f>IF(ISNA(MATCH(419,Engine!$C$2:$C$630,0)),"",INDEX('Compliance Database'!$K$2:$K$630,MATCH(419,Engine!$C$2:$C$630,0)))</f>
        <v/>
      </c>
      <c r="L432" s="8">
        <f>IF(ISNA(MATCH(419,Engine!$C$2:$C$630,0)),"",INDEX('Compliance Database'!$L$2:$L$630,MATCH(419,Engine!$C$2:$C$630,0)))</f>
        <v/>
      </c>
      <c r="M432" s="8">
        <f>IF(ISNA(MATCH(419,Engine!$C$2:$C$630,0)),"",INDEX('Compliance Database'!$M$2:$M$630,MATCH(419,Engine!$C$2:$C$630,0)))</f>
        <v/>
      </c>
      <c r="N432" s="8">
        <f>IF(ISNA(MATCH(419,Engine!$C$2:$C$630,0)),"",INDEX('Compliance Database'!$N$2:$N$630,MATCH(419,Engine!$C$2:$C$630,0)))</f>
        <v/>
      </c>
      <c r="O432" s="8">
        <f>IF(ISNA(MATCH(419,Engine!$C$2:$C$630,0)),"",INDEX('Compliance Database'!$O$2:$O$630,MATCH(419,Engine!$C$2:$C$630,0)))</f>
        <v/>
      </c>
    </row>
    <row r="433">
      <c r="A433">
        <f>IF(ISNA(MATCH(420,Engine!$C$2:$C$630,0)),"",INDEX('Compliance Database'!$A$2:$A$630,MATCH(420,Engine!$C$2:$C$630,0)))</f>
        <v/>
      </c>
      <c r="B433">
        <f>IF(ISNA(MATCH(420,Engine!$C$2:$C$630,0)),"",INDEX('Compliance Database'!$B$2:$B$630,MATCH(420,Engine!$C$2:$C$630,0)))</f>
        <v/>
      </c>
      <c r="C433">
        <f>IF(ISNA(MATCH(420,Engine!$C$2:$C$630,0)),"",INDEX('Compliance Database'!$C$2:$C$630,MATCH(420,Engine!$C$2:$C$630,0)))</f>
        <v/>
      </c>
      <c r="D433" s="8">
        <f>IF(ISNA(MATCH(420,Engine!$C$2:$C$630,0)),"",INDEX('Compliance Database'!$D$2:$D$630,MATCH(420,Engine!$C$2:$C$630,0)))</f>
        <v/>
      </c>
      <c r="E433">
        <f>IF(ISNA(MATCH(420,Engine!$C$2:$C$630,0)),"",INDEX('Compliance Database'!$E$2:$E$630,MATCH(420,Engine!$C$2:$C$630,0)))</f>
        <v/>
      </c>
      <c r="F433">
        <f>IF(ISNA(MATCH(420,Engine!$C$2:$C$630,0)),"",INDEX('Compliance Database'!$F$2:$F$630,MATCH(420,Engine!$C$2:$C$630,0)))</f>
        <v/>
      </c>
      <c r="G433">
        <f>IF(ISNA(MATCH(420,Engine!$C$2:$C$630,0)),"",INDEX('Compliance Database'!$G$2:$G$630,MATCH(420,Engine!$C$2:$C$630,0)))</f>
        <v/>
      </c>
      <c r="H433">
        <f>IF(ISNA(MATCH(420,Engine!$C$2:$C$630,0)),"",INDEX('Compliance Database'!$H$2:$H$630,MATCH(420,Engine!$C$2:$C$630,0)))</f>
        <v/>
      </c>
      <c r="I433" s="8">
        <f>IF(ISNA(MATCH(420,Engine!$C$2:$C$630,0)),"",INDEX('Compliance Database'!$I$2:$I$630,MATCH(420,Engine!$C$2:$C$630,0)))</f>
        <v/>
      </c>
      <c r="J433" s="8">
        <f>IF(ISNA(MATCH(420,Engine!$C$2:$C$630,0)),"",INDEX('Compliance Database'!$J$2:$J$630,MATCH(420,Engine!$C$2:$C$630,0)))</f>
        <v/>
      </c>
      <c r="K433">
        <f>IF(ISNA(MATCH(420,Engine!$C$2:$C$630,0)),"",INDEX('Compliance Database'!$K$2:$K$630,MATCH(420,Engine!$C$2:$C$630,0)))</f>
        <v/>
      </c>
      <c r="L433" s="8">
        <f>IF(ISNA(MATCH(420,Engine!$C$2:$C$630,0)),"",INDEX('Compliance Database'!$L$2:$L$630,MATCH(420,Engine!$C$2:$C$630,0)))</f>
        <v/>
      </c>
      <c r="M433" s="8">
        <f>IF(ISNA(MATCH(420,Engine!$C$2:$C$630,0)),"",INDEX('Compliance Database'!$M$2:$M$630,MATCH(420,Engine!$C$2:$C$630,0)))</f>
        <v/>
      </c>
      <c r="N433" s="8">
        <f>IF(ISNA(MATCH(420,Engine!$C$2:$C$630,0)),"",INDEX('Compliance Database'!$N$2:$N$630,MATCH(420,Engine!$C$2:$C$630,0)))</f>
        <v/>
      </c>
      <c r="O433" s="8">
        <f>IF(ISNA(MATCH(420,Engine!$C$2:$C$630,0)),"",INDEX('Compliance Database'!$O$2:$O$630,MATCH(420,Engine!$C$2:$C$630,0)))</f>
        <v/>
      </c>
    </row>
    <row r="434">
      <c r="A434">
        <f>IF(ISNA(MATCH(421,Engine!$C$2:$C$630,0)),"",INDEX('Compliance Database'!$A$2:$A$630,MATCH(421,Engine!$C$2:$C$630,0)))</f>
        <v/>
      </c>
      <c r="B434">
        <f>IF(ISNA(MATCH(421,Engine!$C$2:$C$630,0)),"",INDEX('Compliance Database'!$B$2:$B$630,MATCH(421,Engine!$C$2:$C$630,0)))</f>
        <v/>
      </c>
      <c r="C434">
        <f>IF(ISNA(MATCH(421,Engine!$C$2:$C$630,0)),"",INDEX('Compliance Database'!$C$2:$C$630,MATCH(421,Engine!$C$2:$C$630,0)))</f>
        <v/>
      </c>
      <c r="D434" s="8">
        <f>IF(ISNA(MATCH(421,Engine!$C$2:$C$630,0)),"",INDEX('Compliance Database'!$D$2:$D$630,MATCH(421,Engine!$C$2:$C$630,0)))</f>
        <v/>
      </c>
      <c r="E434">
        <f>IF(ISNA(MATCH(421,Engine!$C$2:$C$630,0)),"",INDEX('Compliance Database'!$E$2:$E$630,MATCH(421,Engine!$C$2:$C$630,0)))</f>
        <v/>
      </c>
      <c r="F434">
        <f>IF(ISNA(MATCH(421,Engine!$C$2:$C$630,0)),"",INDEX('Compliance Database'!$F$2:$F$630,MATCH(421,Engine!$C$2:$C$630,0)))</f>
        <v/>
      </c>
      <c r="G434">
        <f>IF(ISNA(MATCH(421,Engine!$C$2:$C$630,0)),"",INDEX('Compliance Database'!$G$2:$G$630,MATCH(421,Engine!$C$2:$C$630,0)))</f>
        <v/>
      </c>
      <c r="H434">
        <f>IF(ISNA(MATCH(421,Engine!$C$2:$C$630,0)),"",INDEX('Compliance Database'!$H$2:$H$630,MATCH(421,Engine!$C$2:$C$630,0)))</f>
        <v/>
      </c>
      <c r="I434" s="8">
        <f>IF(ISNA(MATCH(421,Engine!$C$2:$C$630,0)),"",INDEX('Compliance Database'!$I$2:$I$630,MATCH(421,Engine!$C$2:$C$630,0)))</f>
        <v/>
      </c>
      <c r="J434" s="8">
        <f>IF(ISNA(MATCH(421,Engine!$C$2:$C$630,0)),"",INDEX('Compliance Database'!$J$2:$J$630,MATCH(421,Engine!$C$2:$C$630,0)))</f>
        <v/>
      </c>
      <c r="K434">
        <f>IF(ISNA(MATCH(421,Engine!$C$2:$C$630,0)),"",INDEX('Compliance Database'!$K$2:$K$630,MATCH(421,Engine!$C$2:$C$630,0)))</f>
        <v/>
      </c>
      <c r="L434" s="8">
        <f>IF(ISNA(MATCH(421,Engine!$C$2:$C$630,0)),"",INDEX('Compliance Database'!$L$2:$L$630,MATCH(421,Engine!$C$2:$C$630,0)))</f>
        <v/>
      </c>
      <c r="M434" s="8">
        <f>IF(ISNA(MATCH(421,Engine!$C$2:$C$630,0)),"",INDEX('Compliance Database'!$M$2:$M$630,MATCH(421,Engine!$C$2:$C$630,0)))</f>
        <v/>
      </c>
      <c r="N434" s="8">
        <f>IF(ISNA(MATCH(421,Engine!$C$2:$C$630,0)),"",INDEX('Compliance Database'!$N$2:$N$630,MATCH(421,Engine!$C$2:$C$630,0)))</f>
        <v/>
      </c>
      <c r="O434" s="8">
        <f>IF(ISNA(MATCH(421,Engine!$C$2:$C$630,0)),"",INDEX('Compliance Database'!$O$2:$O$630,MATCH(421,Engine!$C$2:$C$630,0)))</f>
        <v/>
      </c>
    </row>
    <row r="435">
      <c r="A435">
        <f>IF(ISNA(MATCH(422,Engine!$C$2:$C$630,0)),"",INDEX('Compliance Database'!$A$2:$A$630,MATCH(422,Engine!$C$2:$C$630,0)))</f>
        <v/>
      </c>
      <c r="B435">
        <f>IF(ISNA(MATCH(422,Engine!$C$2:$C$630,0)),"",INDEX('Compliance Database'!$B$2:$B$630,MATCH(422,Engine!$C$2:$C$630,0)))</f>
        <v/>
      </c>
      <c r="C435">
        <f>IF(ISNA(MATCH(422,Engine!$C$2:$C$630,0)),"",INDEX('Compliance Database'!$C$2:$C$630,MATCH(422,Engine!$C$2:$C$630,0)))</f>
        <v/>
      </c>
      <c r="D435" s="8">
        <f>IF(ISNA(MATCH(422,Engine!$C$2:$C$630,0)),"",INDEX('Compliance Database'!$D$2:$D$630,MATCH(422,Engine!$C$2:$C$630,0)))</f>
        <v/>
      </c>
      <c r="E435">
        <f>IF(ISNA(MATCH(422,Engine!$C$2:$C$630,0)),"",INDEX('Compliance Database'!$E$2:$E$630,MATCH(422,Engine!$C$2:$C$630,0)))</f>
        <v/>
      </c>
      <c r="F435">
        <f>IF(ISNA(MATCH(422,Engine!$C$2:$C$630,0)),"",INDEX('Compliance Database'!$F$2:$F$630,MATCH(422,Engine!$C$2:$C$630,0)))</f>
        <v/>
      </c>
      <c r="G435">
        <f>IF(ISNA(MATCH(422,Engine!$C$2:$C$630,0)),"",INDEX('Compliance Database'!$G$2:$G$630,MATCH(422,Engine!$C$2:$C$630,0)))</f>
        <v/>
      </c>
      <c r="H435">
        <f>IF(ISNA(MATCH(422,Engine!$C$2:$C$630,0)),"",INDEX('Compliance Database'!$H$2:$H$630,MATCH(422,Engine!$C$2:$C$630,0)))</f>
        <v/>
      </c>
      <c r="I435" s="8">
        <f>IF(ISNA(MATCH(422,Engine!$C$2:$C$630,0)),"",INDEX('Compliance Database'!$I$2:$I$630,MATCH(422,Engine!$C$2:$C$630,0)))</f>
        <v/>
      </c>
      <c r="J435" s="8">
        <f>IF(ISNA(MATCH(422,Engine!$C$2:$C$630,0)),"",INDEX('Compliance Database'!$J$2:$J$630,MATCH(422,Engine!$C$2:$C$630,0)))</f>
        <v/>
      </c>
      <c r="K435">
        <f>IF(ISNA(MATCH(422,Engine!$C$2:$C$630,0)),"",INDEX('Compliance Database'!$K$2:$K$630,MATCH(422,Engine!$C$2:$C$630,0)))</f>
        <v/>
      </c>
      <c r="L435" s="8">
        <f>IF(ISNA(MATCH(422,Engine!$C$2:$C$630,0)),"",INDEX('Compliance Database'!$L$2:$L$630,MATCH(422,Engine!$C$2:$C$630,0)))</f>
        <v/>
      </c>
      <c r="M435" s="8">
        <f>IF(ISNA(MATCH(422,Engine!$C$2:$C$630,0)),"",INDEX('Compliance Database'!$M$2:$M$630,MATCH(422,Engine!$C$2:$C$630,0)))</f>
        <v/>
      </c>
      <c r="N435" s="8">
        <f>IF(ISNA(MATCH(422,Engine!$C$2:$C$630,0)),"",INDEX('Compliance Database'!$N$2:$N$630,MATCH(422,Engine!$C$2:$C$630,0)))</f>
        <v/>
      </c>
      <c r="O435" s="8">
        <f>IF(ISNA(MATCH(422,Engine!$C$2:$C$630,0)),"",INDEX('Compliance Database'!$O$2:$O$630,MATCH(422,Engine!$C$2:$C$630,0)))</f>
        <v/>
      </c>
    </row>
    <row r="436">
      <c r="A436">
        <f>IF(ISNA(MATCH(423,Engine!$C$2:$C$630,0)),"",INDEX('Compliance Database'!$A$2:$A$630,MATCH(423,Engine!$C$2:$C$630,0)))</f>
        <v/>
      </c>
      <c r="B436">
        <f>IF(ISNA(MATCH(423,Engine!$C$2:$C$630,0)),"",INDEX('Compliance Database'!$B$2:$B$630,MATCH(423,Engine!$C$2:$C$630,0)))</f>
        <v/>
      </c>
      <c r="C436">
        <f>IF(ISNA(MATCH(423,Engine!$C$2:$C$630,0)),"",INDEX('Compliance Database'!$C$2:$C$630,MATCH(423,Engine!$C$2:$C$630,0)))</f>
        <v/>
      </c>
      <c r="D436" s="8">
        <f>IF(ISNA(MATCH(423,Engine!$C$2:$C$630,0)),"",INDEX('Compliance Database'!$D$2:$D$630,MATCH(423,Engine!$C$2:$C$630,0)))</f>
        <v/>
      </c>
      <c r="E436">
        <f>IF(ISNA(MATCH(423,Engine!$C$2:$C$630,0)),"",INDEX('Compliance Database'!$E$2:$E$630,MATCH(423,Engine!$C$2:$C$630,0)))</f>
        <v/>
      </c>
      <c r="F436">
        <f>IF(ISNA(MATCH(423,Engine!$C$2:$C$630,0)),"",INDEX('Compliance Database'!$F$2:$F$630,MATCH(423,Engine!$C$2:$C$630,0)))</f>
        <v/>
      </c>
      <c r="G436">
        <f>IF(ISNA(MATCH(423,Engine!$C$2:$C$630,0)),"",INDEX('Compliance Database'!$G$2:$G$630,MATCH(423,Engine!$C$2:$C$630,0)))</f>
        <v/>
      </c>
      <c r="H436">
        <f>IF(ISNA(MATCH(423,Engine!$C$2:$C$630,0)),"",INDEX('Compliance Database'!$H$2:$H$630,MATCH(423,Engine!$C$2:$C$630,0)))</f>
        <v/>
      </c>
      <c r="I436" s="8">
        <f>IF(ISNA(MATCH(423,Engine!$C$2:$C$630,0)),"",INDEX('Compliance Database'!$I$2:$I$630,MATCH(423,Engine!$C$2:$C$630,0)))</f>
        <v/>
      </c>
      <c r="J436" s="8">
        <f>IF(ISNA(MATCH(423,Engine!$C$2:$C$630,0)),"",INDEX('Compliance Database'!$J$2:$J$630,MATCH(423,Engine!$C$2:$C$630,0)))</f>
        <v/>
      </c>
      <c r="K436">
        <f>IF(ISNA(MATCH(423,Engine!$C$2:$C$630,0)),"",INDEX('Compliance Database'!$K$2:$K$630,MATCH(423,Engine!$C$2:$C$630,0)))</f>
        <v/>
      </c>
      <c r="L436" s="8">
        <f>IF(ISNA(MATCH(423,Engine!$C$2:$C$630,0)),"",INDEX('Compliance Database'!$L$2:$L$630,MATCH(423,Engine!$C$2:$C$630,0)))</f>
        <v/>
      </c>
      <c r="M436" s="8">
        <f>IF(ISNA(MATCH(423,Engine!$C$2:$C$630,0)),"",INDEX('Compliance Database'!$M$2:$M$630,MATCH(423,Engine!$C$2:$C$630,0)))</f>
        <v/>
      </c>
      <c r="N436" s="8">
        <f>IF(ISNA(MATCH(423,Engine!$C$2:$C$630,0)),"",INDEX('Compliance Database'!$N$2:$N$630,MATCH(423,Engine!$C$2:$C$630,0)))</f>
        <v/>
      </c>
      <c r="O436" s="8">
        <f>IF(ISNA(MATCH(423,Engine!$C$2:$C$630,0)),"",INDEX('Compliance Database'!$O$2:$O$630,MATCH(423,Engine!$C$2:$C$630,0)))</f>
        <v/>
      </c>
    </row>
    <row r="437">
      <c r="A437">
        <f>IF(ISNA(MATCH(424,Engine!$C$2:$C$630,0)),"",INDEX('Compliance Database'!$A$2:$A$630,MATCH(424,Engine!$C$2:$C$630,0)))</f>
        <v/>
      </c>
      <c r="B437">
        <f>IF(ISNA(MATCH(424,Engine!$C$2:$C$630,0)),"",INDEX('Compliance Database'!$B$2:$B$630,MATCH(424,Engine!$C$2:$C$630,0)))</f>
        <v/>
      </c>
      <c r="C437">
        <f>IF(ISNA(MATCH(424,Engine!$C$2:$C$630,0)),"",INDEX('Compliance Database'!$C$2:$C$630,MATCH(424,Engine!$C$2:$C$630,0)))</f>
        <v/>
      </c>
      <c r="D437" s="8">
        <f>IF(ISNA(MATCH(424,Engine!$C$2:$C$630,0)),"",INDEX('Compliance Database'!$D$2:$D$630,MATCH(424,Engine!$C$2:$C$630,0)))</f>
        <v/>
      </c>
      <c r="E437">
        <f>IF(ISNA(MATCH(424,Engine!$C$2:$C$630,0)),"",INDEX('Compliance Database'!$E$2:$E$630,MATCH(424,Engine!$C$2:$C$630,0)))</f>
        <v/>
      </c>
      <c r="F437">
        <f>IF(ISNA(MATCH(424,Engine!$C$2:$C$630,0)),"",INDEX('Compliance Database'!$F$2:$F$630,MATCH(424,Engine!$C$2:$C$630,0)))</f>
        <v/>
      </c>
      <c r="G437">
        <f>IF(ISNA(MATCH(424,Engine!$C$2:$C$630,0)),"",INDEX('Compliance Database'!$G$2:$G$630,MATCH(424,Engine!$C$2:$C$630,0)))</f>
        <v/>
      </c>
      <c r="H437">
        <f>IF(ISNA(MATCH(424,Engine!$C$2:$C$630,0)),"",INDEX('Compliance Database'!$H$2:$H$630,MATCH(424,Engine!$C$2:$C$630,0)))</f>
        <v/>
      </c>
      <c r="I437" s="8">
        <f>IF(ISNA(MATCH(424,Engine!$C$2:$C$630,0)),"",INDEX('Compliance Database'!$I$2:$I$630,MATCH(424,Engine!$C$2:$C$630,0)))</f>
        <v/>
      </c>
      <c r="J437" s="8">
        <f>IF(ISNA(MATCH(424,Engine!$C$2:$C$630,0)),"",INDEX('Compliance Database'!$J$2:$J$630,MATCH(424,Engine!$C$2:$C$630,0)))</f>
        <v/>
      </c>
      <c r="K437">
        <f>IF(ISNA(MATCH(424,Engine!$C$2:$C$630,0)),"",INDEX('Compliance Database'!$K$2:$K$630,MATCH(424,Engine!$C$2:$C$630,0)))</f>
        <v/>
      </c>
      <c r="L437" s="8">
        <f>IF(ISNA(MATCH(424,Engine!$C$2:$C$630,0)),"",INDEX('Compliance Database'!$L$2:$L$630,MATCH(424,Engine!$C$2:$C$630,0)))</f>
        <v/>
      </c>
      <c r="M437" s="8">
        <f>IF(ISNA(MATCH(424,Engine!$C$2:$C$630,0)),"",INDEX('Compliance Database'!$M$2:$M$630,MATCH(424,Engine!$C$2:$C$630,0)))</f>
        <v/>
      </c>
      <c r="N437" s="8">
        <f>IF(ISNA(MATCH(424,Engine!$C$2:$C$630,0)),"",INDEX('Compliance Database'!$N$2:$N$630,MATCH(424,Engine!$C$2:$C$630,0)))</f>
        <v/>
      </c>
      <c r="O437" s="8">
        <f>IF(ISNA(MATCH(424,Engine!$C$2:$C$630,0)),"",INDEX('Compliance Database'!$O$2:$O$630,MATCH(424,Engine!$C$2:$C$630,0)))</f>
        <v/>
      </c>
    </row>
    <row r="438">
      <c r="A438">
        <f>IF(ISNA(MATCH(425,Engine!$C$2:$C$630,0)),"",INDEX('Compliance Database'!$A$2:$A$630,MATCH(425,Engine!$C$2:$C$630,0)))</f>
        <v/>
      </c>
      <c r="B438">
        <f>IF(ISNA(MATCH(425,Engine!$C$2:$C$630,0)),"",INDEX('Compliance Database'!$B$2:$B$630,MATCH(425,Engine!$C$2:$C$630,0)))</f>
        <v/>
      </c>
      <c r="C438">
        <f>IF(ISNA(MATCH(425,Engine!$C$2:$C$630,0)),"",INDEX('Compliance Database'!$C$2:$C$630,MATCH(425,Engine!$C$2:$C$630,0)))</f>
        <v/>
      </c>
      <c r="D438" s="8">
        <f>IF(ISNA(MATCH(425,Engine!$C$2:$C$630,0)),"",INDEX('Compliance Database'!$D$2:$D$630,MATCH(425,Engine!$C$2:$C$630,0)))</f>
        <v/>
      </c>
      <c r="E438">
        <f>IF(ISNA(MATCH(425,Engine!$C$2:$C$630,0)),"",INDEX('Compliance Database'!$E$2:$E$630,MATCH(425,Engine!$C$2:$C$630,0)))</f>
        <v/>
      </c>
      <c r="F438">
        <f>IF(ISNA(MATCH(425,Engine!$C$2:$C$630,0)),"",INDEX('Compliance Database'!$F$2:$F$630,MATCH(425,Engine!$C$2:$C$630,0)))</f>
        <v/>
      </c>
      <c r="G438">
        <f>IF(ISNA(MATCH(425,Engine!$C$2:$C$630,0)),"",INDEX('Compliance Database'!$G$2:$G$630,MATCH(425,Engine!$C$2:$C$630,0)))</f>
        <v/>
      </c>
      <c r="H438">
        <f>IF(ISNA(MATCH(425,Engine!$C$2:$C$630,0)),"",INDEX('Compliance Database'!$H$2:$H$630,MATCH(425,Engine!$C$2:$C$630,0)))</f>
        <v/>
      </c>
      <c r="I438" s="8">
        <f>IF(ISNA(MATCH(425,Engine!$C$2:$C$630,0)),"",INDEX('Compliance Database'!$I$2:$I$630,MATCH(425,Engine!$C$2:$C$630,0)))</f>
        <v/>
      </c>
      <c r="J438" s="8">
        <f>IF(ISNA(MATCH(425,Engine!$C$2:$C$630,0)),"",INDEX('Compliance Database'!$J$2:$J$630,MATCH(425,Engine!$C$2:$C$630,0)))</f>
        <v/>
      </c>
      <c r="K438">
        <f>IF(ISNA(MATCH(425,Engine!$C$2:$C$630,0)),"",INDEX('Compliance Database'!$K$2:$K$630,MATCH(425,Engine!$C$2:$C$630,0)))</f>
        <v/>
      </c>
      <c r="L438" s="8">
        <f>IF(ISNA(MATCH(425,Engine!$C$2:$C$630,0)),"",INDEX('Compliance Database'!$L$2:$L$630,MATCH(425,Engine!$C$2:$C$630,0)))</f>
        <v/>
      </c>
      <c r="M438" s="8">
        <f>IF(ISNA(MATCH(425,Engine!$C$2:$C$630,0)),"",INDEX('Compliance Database'!$M$2:$M$630,MATCH(425,Engine!$C$2:$C$630,0)))</f>
        <v/>
      </c>
      <c r="N438" s="8">
        <f>IF(ISNA(MATCH(425,Engine!$C$2:$C$630,0)),"",INDEX('Compliance Database'!$N$2:$N$630,MATCH(425,Engine!$C$2:$C$630,0)))</f>
        <v/>
      </c>
      <c r="O438" s="8">
        <f>IF(ISNA(MATCH(425,Engine!$C$2:$C$630,0)),"",INDEX('Compliance Database'!$O$2:$O$630,MATCH(425,Engine!$C$2:$C$630,0)))</f>
        <v/>
      </c>
    </row>
    <row r="439">
      <c r="A439">
        <f>IF(ISNA(MATCH(426,Engine!$C$2:$C$630,0)),"",INDEX('Compliance Database'!$A$2:$A$630,MATCH(426,Engine!$C$2:$C$630,0)))</f>
        <v/>
      </c>
      <c r="B439">
        <f>IF(ISNA(MATCH(426,Engine!$C$2:$C$630,0)),"",INDEX('Compliance Database'!$B$2:$B$630,MATCH(426,Engine!$C$2:$C$630,0)))</f>
        <v/>
      </c>
      <c r="C439">
        <f>IF(ISNA(MATCH(426,Engine!$C$2:$C$630,0)),"",INDEX('Compliance Database'!$C$2:$C$630,MATCH(426,Engine!$C$2:$C$630,0)))</f>
        <v/>
      </c>
      <c r="D439" s="8">
        <f>IF(ISNA(MATCH(426,Engine!$C$2:$C$630,0)),"",INDEX('Compliance Database'!$D$2:$D$630,MATCH(426,Engine!$C$2:$C$630,0)))</f>
        <v/>
      </c>
      <c r="E439">
        <f>IF(ISNA(MATCH(426,Engine!$C$2:$C$630,0)),"",INDEX('Compliance Database'!$E$2:$E$630,MATCH(426,Engine!$C$2:$C$630,0)))</f>
        <v/>
      </c>
      <c r="F439">
        <f>IF(ISNA(MATCH(426,Engine!$C$2:$C$630,0)),"",INDEX('Compliance Database'!$F$2:$F$630,MATCH(426,Engine!$C$2:$C$630,0)))</f>
        <v/>
      </c>
      <c r="G439">
        <f>IF(ISNA(MATCH(426,Engine!$C$2:$C$630,0)),"",INDEX('Compliance Database'!$G$2:$G$630,MATCH(426,Engine!$C$2:$C$630,0)))</f>
        <v/>
      </c>
      <c r="H439">
        <f>IF(ISNA(MATCH(426,Engine!$C$2:$C$630,0)),"",INDEX('Compliance Database'!$H$2:$H$630,MATCH(426,Engine!$C$2:$C$630,0)))</f>
        <v/>
      </c>
      <c r="I439" s="8">
        <f>IF(ISNA(MATCH(426,Engine!$C$2:$C$630,0)),"",INDEX('Compliance Database'!$I$2:$I$630,MATCH(426,Engine!$C$2:$C$630,0)))</f>
        <v/>
      </c>
      <c r="J439" s="8">
        <f>IF(ISNA(MATCH(426,Engine!$C$2:$C$630,0)),"",INDEX('Compliance Database'!$J$2:$J$630,MATCH(426,Engine!$C$2:$C$630,0)))</f>
        <v/>
      </c>
      <c r="K439">
        <f>IF(ISNA(MATCH(426,Engine!$C$2:$C$630,0)),"",INDEX('Compliance Database'!$K$2:$K$630,MATCH(426,Engine!$C$2:$C$630,0)))</f>
        <v/>
      </c>
      <c r="L439" s="8">
        <f>IF(ISNA(MATCH(426,Engine!$C$2:$C$630,0)),"",INDEX('Compliance Database'!$L$2:$L$630,MATCH(426,Engine!$C$2:$C$630,0)))</f>
        <v/>
      </c>
      <c r="M439" s="8">
        <f>IF(ISNA(MATCH(426,Engine!$C$2:$C$630,0)),"",INDEX('Compliance Database'!$M$2:$M$630,MATCH(426,Engine!$C$2:$C$630,0)))</f>
        <v/>
      </c>
      <c r="N439" s="8">
        <f>IF(ISNA(MATCH(426,Engine!$C$2:$C$630,0)),"",INDEX('Compliance Database'!$N$2:$N$630,MATCH(426,Engine!$C$2:$C$630,0)))</f>
        <v/>
      </c>
      <c r="O439" s="8">
        <f>IF(ISNA(MATCH(426,Engine!$C$2:$C$630,0)),"",INDEX('Compliance Database'!$O$2:$O$630,MATCH(426,Engine!$C$2:$C$630,0)))</f>
        <v/>
      </c>
    </row>
    <row r="440">
      <c r="A440">
        <f>IF(ISNA(MATCH(427,Engine!$C$2:$C$630,0)),"",INDEX('Compliance Database'!$A$2:$A$630,MATCH(427,Engine!$C$2:$C$630,0)))</f>
        <v/>
      </c>
      <c r="B440">
        <f>IF(ISNA(MATCH(427,Engine!$C$2:$C$630,0)),"",INDEX('Compliance Database'!$B$2:$B$630,MATCH(427,Engine!$C$2:$C$630,0)))</f>
        <v/>
      </c>
      <c r="C440">
        <f>IF(ISNA(MATCH(427,Engine!$C$2:$C$630,0)),"",INDEX('Compliance Database'!$C$2:$C$630,MATCH(427,Engine!$C$2:$C$630,0)))</f>
        <v/>
      </c>
      <c r="D440" s="8">
        <f>IF(ISNA(MATCH(427,Engine!$C$2:$C$630,0)),"",INDEX('Compliance Database'!$D$2:$D$630,MATCH(427,Engine!$C$2:$C$630,0)))</f>
        <v/>
      </c>
      <c r="E440">
        <f>IF(ISNA(MATCH(427,Engine!$C$2:$C$630,0)),"",INDEX('Compliance Database'!$E$2:$E$630,MATCH(427,Engine!$C$2:$C$630,0)))</f>
        <v/>
      </c>
      <c r="F440">
        <f>IF(ISNA(MATCH(427,Engine!$C$2:$C$630,0)),"",INDEX('Compliance Database'!$F$2:$F$630,MATCH(427,Engine!$C$2:$C$630,0)))</f>
        <v/>
      </c>
      <c r="G440">
        <f>IF(ISNA(MATCH(427,Engine!$C$2:$C$630,0)),"",INDEX('Compliance Database'!$G$2:$G$630,MATCH(427,Engine!$C$2:$C$630,0)))</f>
        <v/>
      </c>
      <c r="H440">
        <f>IF(ISNA(MATCH(427,Engine!$C$2:$C$630,0)),"",INDEX('Compliance Database'!$H$2:$H$630,MATCH(427,Engine!$C$2:$C$630,0)))</f>
        <v/>
      </c>
      <c r="I440" s="8">
        <f>IF(ISNA(MATCH(427,Engine!$C$2:$C$630,0)),"",INDEX('Compliance Database'!$I$2:$I$630,MATCH(427,Engine!$C$2:$C$630,0)))</f>
        <v/>
      </c>
      <c r="J440" s="8">
        <f>IF(ISNA(MATCH(427,Engine!$C$2:$C$630,0)),"",INDEX('Compliance Database'!$J$2:$J$630,MATCH(427,Engine!$C$2:$C$630,0)))</f>
        <v/>
      </c>
      <c r="K440">
        <f>IF(ISNA(MATCH(427,Engine!$C$2:$C$630,0)),"",INDEX('Compliance Database'!$K$2:$K$630,MATCH(427,Engine!$C$2:$C$630,0)))</f>
        <v/>
      </c>
      <c r="L440" s="8">
        <f>IF(ISNA(MATCH(427,Engine!$C$2:$C$630,0)),"",INDEX('Compliance Database'!$L$2:$L$630,MATCH(427,Engine!$C$2:$C$630,0)))</f>
        <v/>
      </c>
      <c r="M440" s="8">
        <f>IF(ISNA(MATCH(427,Engine!$C$2:$C$630,0)),"",INDEX('Compliance Database'!$M$2:$M$630,MATCH(427,Engine!$C$2:$C$630,0)))</f>
        <v/>
      </c>
      <c r="N440" s="8">
        <f>IF(ISNA(MATCH(427,Engine!$C$2:$C$630,0)),"",INDEX('Compliance Database'!$N$2:$N$630,MATCH(427,Engine!$C$2:$C$630,0)))</f>
        <v/>
      </c>
      <c r="O440" s="8">
        <f>IF(ISNA(MATCH(427,Engine!$C$2:$C$630,0)),"",INDEX('Compliance Database'!$O$2:$O$630,MATCH(427,Engine!$C$2:$C$630,0)))</f>
        <v/>
      </c>
    </row>
    <row r="441">
      <c r="A441">
        <f>IF(ISNA(MATCH(428,Engine!$C$2:$C$630,0)),"",INDEX('Compliance Database'!$A$2:$A$630,MATCH(428,Engine!$C$2:$C$630,0)))</f>
        <v/>
      </c>
      <c r="B441">
        <f>IF(ISNA(MATCH(428,Engine!$C$2:$C$630,0)),"",INDEX('Compliance Database'!$B$2:$B$630,MATCH(428,Engine!$C$2:$C$630,0)))</f>
        <v/>
      </c>
      <c r="C441">
        <f>IF(ISNA(MATCH(428,Engine!$C$2:$C$630,0)),"",INDEX('Compliance Database'!$C$2:$C$630,MATCH(428,Engine!$C$2:$C$630,0)))</f>
        <v/>
      </c>
      <c r="D441" s="8">
        <f>IF(ISNA(MATCH(428,Engine!$C$2:$C$630,0)),"",INDEX('Compliance Database'!$D$2:$D$630,MATCH(428,Engine!$C$2:$C$630,0)))</f>
        <v/>
      </c>
      <c r="E441">
        <f>IF(ISNA(MATCH(428,Engine!$C$2:$C$630,0)),"",INDEX('Compliance Database'!$E$2:$E$630,MATCH(428,Engine!$C$2:$C$630,0)))</f>
        <v/>
      </c>
      <c r="F441">
        <f>IF(ISNA(MATCH(428,Engine!$C$2:$C$630,0)),"",INDEX('Compliance Database'!$F$2:$F$630,MATCH(428,Engine!$C$2:$C$630,0)))</f>
        <v/>
      </c>
      <c r="G441">
        <f>IF(ISNA(MATCH(428,Engine!$C$2:$C$630,0)),"",INDEX('Compliance Database'!$G$2:$G$630,MATCH(428,Engine!$C$2:$C$630,0)))</f>
        <v/>
      </c>
      <c r="H441">
        <f>IF(ISNA(MATCH(428,Engine!$C$2:$C$630,0)),"",INDEX('Compliance Database'!$H$2:$H$630,MATCH(428,Engine!$C$2:$C$630,0)))</f>
        <v/>
      </c>
      <c r="I441" s="8">
        <f>IF(ISNA(MATCH(428,Engine!$C$2:$C$630,0)),"",INDEX('Compliance Database'!$I$2:$I$630,MATCH(428,Engine!$C$2:$C$630,0)))</f>
        <v/>
      </c>
      <c r="J441" s="8">
        <f>IF(ISNA(MATCH(428,Engine!$C$2:$C$630,0)),"",INDEX('Compliance Database'!$J$2:$J$630,MATCH(428,Engine!$C$2:$C$630,0)))</f>
        <v/>
      </c>
      <c r="K441">
        <f>IF(ISNA(MATCH(428,Engine!$C$2:$C$630,0)),"",INDEX('Compliance Database'!$K$2:$K$630,MATCH(428,Engine!$C$2:$C$630,0)))</f>
        <v/>
      </c>
      <c r="L441" s="8">
        <f>IF(ISNA(MATCH(428,Engine!$C$2:$C$630,0)),"",INDEX('Compliance Database'!$L$2:$L$630,MATCH(428,Engine!$C$2:$C$630,0)))</f>
        <v/>
      </c>
      <c r="M441" s="8">
        <f>IF(ISNA(MATCH(428,Engine!$C$2:$C$630,0)),"",INDEX('Compliance Database'!$M$2:$M$630,MATCH(428,Engine!$C$2:$C$630,0)))</f>
        <v/>
      </c>
      <c r="N441" s="8">
        <f>IF(ISNA(MATCH(428,Engine!$C$2:$C$630,0)),"",INDEX('Compliance Database'!$N$2:$N$630,MATCH(428,Engine!$C$2:$C$630,0)))</f>
        <v/>
      </c>
      <c r="O441" s="8">
        <f>IF(ISNA(MATCH(428,Engine!$C$2:$C$630,0)),"",INDEX('Compliance Database'!$O$2:$O$630,MATCH(428,Engine!$C$2:$C$630,0)))</f>
        <v/>
      </c>
    </row>
    <row r="442">
      <c r="A442">
        <f>IF(ISNA(MATCH(429,Engine!$C$2:$C$630,0)),"",INDEX('Compliance Database'!$A$2:$A$630,MATCH(429,Engine!$C$2:$C$630,0)))</f>
        <v/>
      </c>
      <c r="B442">
        <f>IF(ISNA(MATCH(429,Engine!$C$2:$C$630,0)),"",INDEX('Compliance Database'!$B$2:$B$630,MATCH(429,Engine!$C$2:$C$630,0)))</f>
        <v/>
      </c>
      <c r="C442">
        <f>IF(ISNA(MATCH(429,Engine!$C$2:$C$630,0)),"",INDEX('Compliance Database'!$C$2:$C$630,MATCH(429,Engine!$C$2:$C$630,0)))</f>
        <v/>
      </c>
      <c r="D442" s="8">
        <f>IF(ISNA(MATCH(429,Engine!$C$2:$C$630,0)),"",INDEX('Compliance Database'!$D$2:$D$630,MATCH(429,Engine!$C$2:$C$630,0)))</f>
        <v/>
      </c>
      <c r="E442">
        <f>IF(ISNA(MATCH(429,Engine!$C$2:$C$630,0)),"",INDEX('Compliance Database'!$E$2:$E$630,MATCH(429,Engine!$C$2:$C$630,0)))</f>
        <v/>
      </c>
      <c r="F442">
        <f>IF(ISNA(MATCH(429,Engine!$C$2:$C$630,0)),"",INDEX('Compliance Database'!$F$2:$F$630,MATCH(429,Engine!$C$2:$C$630,0)))</f>
        <v/>
      </c>
      <c r="G442">
        <f>IF(ISNA(MATCH(429,Engine!$C$2:$C$630,0)),"",INDEX('Compliance Database'!$G$2:$G$630,MATCH(429,Engine!$C$2:$C$630,0)))</f>
        <v/>
      </c>
      <c r="H442">
        <f>IF(ISNA(MATCH(429,Engine!$C$2:$C$630,0)),"",INDEX('Compliance Database'!$H$2:$H$630,MATCH(429,Engine!$C$2:$C$630,0)))</f>
        <v/>
      </c>
      <c r="I442" s="8">
        <f>IF(ISNA(MATCH(429,Engine!$C$2:$C$630,0)),"",INDEX('Compliance Database'!$I$2:$I$630,MATCH(429,Engine!$C$2:$C$630,0)))</f>
        <v/>
      </c>
      <c r="J442" s="8">
        <f>IF(ISNA(MATCH(429,Engine!$C$2:$C$630,0)),"",INDEX('Compliance Database'!$J$2:$J$630,MATCH(429,Engine!$C$2:$C$630,0)))</f>
        <v/>
      </c>
      <c r="K442">
        <f>IF(ISNA(MATCH(429,Engine!$C$2:$C$630,0)),"",INDEX('Compliance Database'!$K$2:$K$630,MATCH(429,Engine!$C$2:$C$630,0)))</f>
        <v/>
      </c>
      <c r="L442" s="8">
        <f>IF(ISNA(MATCH(429,Engine!$C$2:$C$630,0)),"",INDEX('Compliance Database'!$L$2:$L$630,MATCH(429,Engine!$C$2:$C$630,0)))</f>
        <v/>
      </c>
      <c r="M442" s="8">
        <f>IF(ISNA(MATCH(429,Engine!$C$2:$C$630,0)),"",INDEX('Compliance Database'!$M$2:$M$630,MATCH(429,Engine!$C$2:$C$630,0)))</f>
        <v/>
      </c>
      <c r="N442" s="8">
        <f>IF(ISNA(MATCH(429,Engine!$C$2:$C$630,0)),"",INDEX('Compliance Database'!$N$2:$N$630,MATCH(429,Engine!$C$2:$C$630,0)))</f>
        <v/>
      </c>
      <c r="O442" s="8">
        <f>IF(ISNA(MATCH(429,Engine!$C$2:$C$630,0)),"",INDEX('Compliance Database'!$O$2:$O$630,MATCH(429,Engine!$C$2:$C$630,0)))</f>
        <v/>
      </c>
    </row>
    <row r="443">
      <c r="A443">
        <f>IF(ISNA(MATCH(430,Engine!$C$2:$C$630,0)),"",INDEX('Compliance Database'!$A$2:$A$630,MATCH(430,Engine!$C$2:$C$630,0)))</f>
        <v/>
      </c>
      <c r="B443">
        <f>IF(ISNA(MATCH(430,Engine!$C$2:$C$630,0)),"",INDEX('Compliance Database'!$B$2:$B$630,MATCH(430,Engine!$C$2:$C$630,0)))</f>
        <v/>
      </c>
      <c r="C443">
        <f>IF(ISNA(MATCH(430,Engine!$C$2:$C$630,0)),"",INDEX('Compliance Database'!$C$2:$C$630,MATCH(430,Engine!$C$2:$C$630,0)))</f>
        <v/>
      </c>
      <c r="D443" s="8">
        <f>IF(ISNA(MATCH(430,Engine!$C$2:$C$630,0)),"",INDEX('Compliance Database'!$D$2:$D$630,MATCH(430,Engine!$C$2:$C$630,0)))</f>
        <v/>
      </c>
      <c r="E443">
        <f>IF(ISNA(MATCH(430,Engine!$C$2:$C$630,0)),"",INDEX('Compliance Database'!$E$2:$E$630,MATCH(430,Engine!$C$2:$C$630,0)))</f>
        <v/>
      </c>
      <c r="F443">
        <f>IF(ISNA(MATCH(430,Engine!$C$2:$C$630,0)),"",INDEX('Compliance Database'!$F$2:$F$630,MATCH(430,Engine!$C$2:$C$630,0)))</f>
        <v/>
      </c>
      <c r="G443">
        <f>IF(ISNA(MATCH(430,Engine!$C$2:$C$630,0)),"",INDEX('Compliance Database'!$G$2:$G$630,MATCH(430,Engine!$C$2:$C$630,0)))</f>
        <v/>
      </c>
      <c r="H443">
        <f>IF(ISNA(MATCH(430,Engine!$C$2:$C$630,0)),"",INDEX('Compliance Database'!$H$2:$H$630,MATCH(430,Engine!$C$2:$C$630,0)))</f>
        <v/>
      </c>
      <c r="I443" s="8">
        <f>IF(ISNA(MATCH(430,Engine!$C$2:$C$630,0)),"",INDEX('Compliance Database'!$I$2:$I$630,MATCH(430,Engine!$C$2:$C$630,0)))</f>
        <v/>
      </c>
      <c r="J443" s="8">
        <f>IF(ISNA(MATCH(430,Engine!$C$2:$C$630,0)),"",INDEX('Compliance Database'!$J$2:$J$630,MATCH(430,Engine!$C$2:$C$630,0)))</f>
        <v/>
      </c>
      <c r="K443">
        <f>IF(ISNA(MATCH(430,Engine!$C$2:$C$630,0)),"",INDEX('Compliance Database'!$K$2:$K$630,MATCH(430,Engine!$C$2:$C$630,0)))</f>
        <v/>
      </c>
      <c r="L443" s="8">
        <f>IF(ISNA(MATCH(430,Engine!$C$2:$C$630,0)),"",INDEX('Compliance Database'!$L$2:$L$630,MATCH(430,Engine!$C$2:$C$630,0)))</f>
        <v/>
      </c>
      <c r="M443" s="8">
        <f>IF(ISNA(MATCH(430,Engine!$C$2:$C$630,0)),"",INDEX('Compliance Database'!$M$2:$M$630,MATCH(430,Engine!$C$2:$C$630,0)))</f>
        <v/>
      </c>
      <c r="N443" s="8">
        <f>IF(ISNA(MATCH(430,Engine!$C$2:$C$630,0)),"",INDEX('Compliance Database'!$N$2:$N$630,MATCH(430,Engine!$C$2:$C$630,0)))</f>
        <v/>
      </c>
      <c r="O443" s="8">
        <f>IF(ISNA(MATCH(430,Engine!$C$2:$C$630,0)),"",INDEX('Compliance Database'!$O$2:$O$630,MATCH(430,Engine!$C$2:$C$630,0)))</f>
        <v/>
      </c>
    </row>
    <row r="444">
      <c r="A444">
        <f>IF(ISNA(MATCH(431,Engine!$C$2:$C$630,0)),"",INDEX('Compliance Database'!$A$2:$A$630,MATCH(431,Engine!$C$2:$C$630,0)))</f>
        <v/>
      </c>
      <c r="B444">
        <f>IF(ISNA(MATCH(431,Engine!$C$2:$C$630,0)),"",INDEX('Compliance Database'!$B$2:$B$630,MATCH(431,Engine!$C$2:$C$630,0)))</f>
        <v/>
      </c>
      <c r="C444">
        <f>IF(ISNA(MATCH(431,Engine!$C$2:$C$630,0)),"",INDEX('Compliance Database'!$C$2:$C$630,MATCH(431,Engine!$C$2:$C$630,0)))</f>
        <v/>
      </c>
      <c r="D444" s="8">
        <f>IF(ISNA(MATCH(431,Engine!$C$2:$C$630,0)),"",INDEX('Compliance Database'!$D$2:$D$630,MATCH(431,Engine!$C$2:$C$630,0)))</f>
        <v/>
      </c>
      <c r="E444">
        <f>IF(ISNA(MATCH(431,Engine!$C$2:$C$630,0)),"",INDEX('Compliance Database'!$E$2:$E$630,MATCH(431,Engine!$C$2:$C$630,0)))</f>
        <v/>
      </c>
      <c r="F444">
        <f>IF(ISNA(MATCH(431,Engine!$C$2:$C$630,0)),"",INDEX('Compliance Database'!$F$2:$F$630,MATCH(431,Engine!$C$2:$C$630,0)))</f>
        <v/>
      </c>
      <c r="G444">
        <f>IF(ISNA(MATCH(431,Engine!$C$2:$C$630,0)),"",INDEX('Compliance Database'!$G$2:$G$630,MATCH(431,Engine!$C$2:$C$630,0)))</f>
        <v/>
      </c>
      <c r="H444">
        <f>IF(ISNA(MATCH(431,Engine!$C$2:$C$630,0)),"",INDEX('Compliance Database'!$H$2:$H$630,MATCH(431,Engine!$C$2:$C$630,0)))</f>
        <v/>
      </c>
      <c r="I444" s="8">
        <f>IF(ISNA(MATCH(431,Engine!$C$2:$C$630,0)),"",INDEX('Compliance Database'!$I$2:$I$630,MATCH(431,Engine!$C$2:$C$630,0)))</f>
        <v/>
      </c>
      <c r="J444" s="8">
        <f>IF(ISNA(MATCH(431,Engine!$C$2:$C$630,0)),"",INDEX('Compliance Database'!$J$2:$J$630,MATCH(431,Engine!$C$2:$C$630,0)))</f>
        <v/>
      </c>
      <c r="K444">
        <f>IF(ISNA(MATCH(431,Engine!$C$2:$C$630,0)),"",INDEX('Compliance Database'!$K$2:$K$630,MATCH(431,Engine!$C$2:$C$630,0)))</f>
        <v/>
      </c>
      <c r="L444" s="8">
        <f>IF(ISNA(MATCH(431,Engine!$C$2:$C$630,0)),"",INDEX('Compliance Database'!$L$2:$L$630,MATCH(431,Engine!$C$2:$C$630,0)))</f>
        <v/>
      </c>
      <c r="M444" s="8">
        <f>IF(ISNA(MATCH(431,Engine!$C$2:$C$630,0)),"",INDEX('Compliance Database'!$M$2:$M$630,MATCH(431,Engine!$C$2:$C$630,0)))</f>
        <v/>
      </c>
      <c r="N444" s="8">
        <f>IF(ISNA(MATCH(431,Engine!$C$2:$C$630,0)),"",INDEX('Compliance Database'!$N$2:$N$630,MATCH(431,Engine!$C$2:$C$630,0)))</f>
        <v/>
      </c>
      <c r="O444" s="8">
        <f>IF(ISNA(MATCH(431,Engine!$C$2:$C$630,0)),"",INDEX('Compliance Database'!$O$2:$O$630,MATCH(431,Engine!$C$2:$C$630,0)))</f>
        <v/>
      </c>
    </row>
    <row r="445">
      <c r="A445">
        <f>IF(ISNA(MATCH(432,Engine!$C$2:$C$630,0)),"",INDEX('Compliance Database'!$A$2:$A$630,MATCH(432,Engine!$C$2:$C$630,0)))</f>
        <v/>
      </c>
      <c r="B445">
        <f>IF(ISNA(MATCH(432,Engine!$C$2:$C$630,0)),"",INDEX('Compliance Database'!$B$2:$B$630,MATCH(432,Engine!$C$2:$C$630,0)))</f>
        <v/>
      </c>
      <c r="C445">
        <f>IF(ISNA(MATCH(432,Engine!$C$2:$C$630,0)),"",INDEX('Compliance Database'!$C$2:$C$630,MATCH(432,Engine!$C$2:$C$630,0)))</f>
        <v/>
      </c>
      <c r="D445" s="8">
        <f>IF(ISNA(MATCH(432,Engine!$C$2:$C$630,0)),"",INDEX('Compliance Database'!$D$2:$D$630,MATCH(432,Engine!$C$2:$C$630,0)))</f>
        <v/>
      </c>
      <c r="E445">
        <f>IF(ISNA(MATCH(432,Engine!$C$2:$C$630,0)),"",INDEX('Compliance Database'!$E$2:$E$630,MATCH(432,Engine!$C$2:$C$630,0)))</f>
        <v/>
      </c>
      <c r="F445">
        <f>IF(ISNA(MATCH(432,Engine!$C$2:$C$630,0)),"",INDEX('Compliance Database'!$F$2:$F$630,MATCH(432,Engine!$C$2:$C$630,0)))</f>
        <v/>
      </c>
      <c r="G445">
        <f>IF(ISNA(MATCH(432,Engine!$C$2:$C$630,0)),"",INDEX('Compliance Database'!$G$2:$G$630,MATCH(432,Engine!$C$2:$C$630,0)))</f>
        <v/>
      </c>
      <c r="H445">
        <f>IF(ISNA(MATCH(432,Engine!$C$2:$C$630,0)),"",INDEX('Compliance Database'!$H$2:$H$630,MATCH(432,Engine!$C$2:$C$630,0)))</f>
        <v/>
      </c>
      <c r="I445" s="8">
        <f>IF(ISNA(MATCH(432,Engine!$C$2:$C$630,0)),"",INDEX('Compliance Database'!$I$2:$I$630,MATCH(432,Engine!$C$2:$C$630,0)))</f>
        <v/>
      </c>
      <c r="J445" s="8">
        <f>IF(ISNA(MATCH(432,Engine!$C$2:$C$630,0)),"",INDEX('Compliance Database'!$J$2:$J$630,MATCH(432,Engine!$C$2:$C$630,0)))</f>
        <v/>
      </c>
      <c r="K445">
        <f>IF(ISNA(MATCH(432,Engine!$C$2:$C$630,0)),"",INDEX('Compliance Database'!$K$2:$K$630,MATCH(432,Engine!$C$2:$C$630,0)))</f>
        <v/>
      </c>
      <c r="L445" s="8">
        <f>IF(ISNA(MATCH(432,Engine!$C$2:$C$630,0)),"",INDEX('Compliance Database'!$L$2:$L$630,MATCH(432,Engine!$C$2:$C$630,0)))</f>
        <v/>
      </c>
      <c r="M445" s="8">
        <f>IF(ISNA(MATCH(432,Engine!$C$2:$C$630,0)),"",INDEX('Compliance Database'!$M$2:$M$630,MATCH(432,Engine!$C$2:$C$630,0)))</f>
        <v/>
      </c>
      <c r="N445" s="8">
        <f>IF(ISNA(MATCH(432,Engine!$C$2:$C$630,0)),"",INDEX('Compliance Database'!$N$2:$N$630,MATCH(432,Engine!$C$2:$C$630,0)))</f>
        <v/>
      </c>
      <c r="O445" s="8">
        <f>IF(ISNA(MATCH(432,Engine!$C$2:$C$630,0)),"",INDEX('Compliance Database'!$O$2:$O$630,MATCH(432,Engine!$C$2:$C$630,0)))</f>
        <v/>
      </c>
    </row>
    <row r="446">
      <c r="A446">
        <f>IF(ISNA(MATCH(433,Engine!$C$2:$C$630,0)),"",INDEX('Compliance Database'!$A$2:$A$630,MATCH(433,Engine!$C$2:$C$630,0)))</f>
        <v/>
      </c>
      <c r="B446">
        <f>IF(ISNA(MATCH(433,Engine!$C$2:$C$630,0)),"",INDEX('Compliance Database'!$B$2:$B$630,MATCH(433,Engine!$C$2:$C$630,0)))</f>
        <v/>
      </c>
      <c r="C446">
        <f>IF(ISNA(MATCH(433,Engine!$C$2:$C$630,0)),"",INDEX('Compliance Database'!$C$2:$C$630,MATCH(433,Engine!$C$2:$C$630,0)))</f>
        <v/>
      </c>
      <c r="D446" s="8">
        <f>IF(ISNA(MATCH(433,Engine!$C$2:$C$630,0)),"",INDEX('Compliance Database'!$D$2:$D$630,MATCH(433,Engine!$C$2:$C$630,0)))</f>
        <v/>
      </c>
      <c r="E446">
        <f>IF(ISNA(MATCH(433,Engine!$C$2:$C$630,0)),"",INDEX('Compliance Database'!$E$2:$E$630,MATCH(433,Engine!$C$2:$C$630,0)))</f>
        <v/>
      </c>
      <c r="F446">
        <f>IF(ISNA(MATCH(433,Engine!$C$2:$C$630,0)),"",INDEX('Compliance Database'!$F$2:$F$630,MATCH(433,Engine!$C$2:$C$630,0)))</f>
        <v/>
      </c>
      <c r="G446">
        <f>IF(ISNA(MATCH(433,Engine!$C$2:$C$630,0)),"",INDEX('Compliance Database'!$G$2:$G$630,MATCH(433,Engine!$C$2:$C$630,0)))</f>
        <v/>
      </c>
      <c r="H446">
        <f>IF(ISNA(MATCH(433,Engine!$C$2:$C$630,0)),"",INDEX('Compliance Database'!$H$2:$H$630,MATCH(433,Engine!$C$2:$C$630,0)))</f>
        <v/>
      </c>
      <c r="I446" s="8">
        <f>IF(ISNA(MATCH(433,Engine!$C$2:$C$630,0)),"",INDEX('Compliance Database'!$I$2:$I$630,MATCH(433,Engine!$C$2:$C$630,0)))</f>
        <v/>
      </c>
      <c r="J446" s="8">
        <f>IF(ISNA(MATCH(433,Engine!$C$2:$C$630,0)),"",INDEX('Compliance Database'!$J$2:$J$630,MATCH(433,Engine!$C$2:$C$630,0)))</f>
        <v/>
      </c>
      <c r="K446">
        <f>IF(ISNA(MATCH(433,Engine!$C$2:$C$630,0)),"",INDEX('Compliance Database'!$K$2:$K$630,MATCH(433,Engine!$C$2:$C$630,0)))</f>
        <v/>
      </c>
      <c r="L446" s="8">
        <f>IF(ISNA(MATCH(433,Engine!$C$2:$C$630,0)),"",INDEX('Compliance Database'!$L$2:$L$630,MATCH(433,Engine!$C$2:$C$630,0)))</f>
        <v/>
      </c>
      <c r="M446" s="8">
        <f>IF(ISNA(MATCH(433,Engine!$C$2:$C$630,0)),"",INDEX('Compliance Database'!$M$2:$M$630,MATCH(433,Engine!$C$2:$C$630,0)))</f>
        <v/>
      </c>
      <c r="N446" s="8">
        <f>IF(ISNA(MATCH(433,Engine!$C$2:$C$630,0)),"",INDEX('Compliance Database'!$N$2:$N$630,MATCH(433,Engine!$C$2:$C$630,0)))</f>
        <v/>
      </c>
      <c r="O446" s="8">
        <f>IF(ISNA(MATCH(433,Engine!$C$2:$C$630,0)),"",INDEX('Compliance Database'!$O$2:$O$630,MATCH(433,Engine!$C$2:$C$630,0)))</f>
        <v/>
      </c>
    </row>
    <row r="447">
      <c r="A447">
        <f>IF(ISNA(MATCH(434,Engine!$C$2:$C$630,0)),"",INDEX('Compliance Database'!$A$2:$A$630,MATCH(434,Engine!$C$2:$C$630,0)))</f>
        <v/>
      </c>
      <c r="B447">
        <f>IF(ISNA(MATCH(434,Engine!$C$2:$C$630,0)),"",INDEX('Compliance Database'!$B$2:$B$630,MATCH(434,Engine!$C$2:$C$630,0)))</f>
        <v/>
      </c>
      <c r="C447">
        <f>IF(ISNA(MATCH(434,Engine!$C$2:$C$630,0)),"",INDEX('Compliance Database'!$C$2:$C$630,MATCH(434,Engine!$C$2:$C$630,0)))</f>
        <v/>
      </c>
      <c r="D447" s="8">
        <f>IF(ISNA(MATCH(434,Engine!$C$2:$C$630,0)),"",INDEX('Compliance Database'!$D$2:$D$630,MATCH(434,Engine!$C$2:$C$630,0)))</f>
        <v/>
      </c>
      <c r="E447">
        <f>IF(ISNA(MATCH(434,Engine!$C$2:$C$630,0)),"",INDEX('Compliance Database'!$E$2:$E$630,MATCH(434,Engine!$C$2:$C$630,0)))</f>
        <v/>
      </c>
      <c r="F447">
        <f>IF(ISNA(MATCH(434,Engine!$C$2:$C$630,0)),"",INDEX('Compliance Database'!$F$2:$F$630,MATCH(434,Engine!$C$2:$C$630,0)))</f>
        <v/>
      </c>
      <c r="G447">
        <f>IF(ISNA(MATCH(434,Engine!$C$2:$C$630,0)),"",INDEX('Compliance Database'!$G$2:$G$630,MATCH(434,Engine!$C$2:$C$630,0)))</f>
        <v/>
      </c>
      <c r="H447">
        <f>IF(ISNA(MATCH(434,Engine!$C$2:$C$630,0)),"",INDEX('Compliance Database'!$H$2:$H$630,MATCH(434,Engine!$C$2:$C$630,0)))</f>
        <v/>
      </c>
      <c r="I447" s="8">
        <f>IF(ISNA(MATCH(434,Engine!$C$2:$C$630,0)),"",INDEX('Compliance Database'!$I$2:$I$630,MATCH(434,Engine!$C$2:$C$630,0)))</f>
        <v/>
      </c>
      <c r="J447" s="8">
        <f>IF(ISNA(MATCH(434,Engine!$C$2:$C$630,0)),"",INDEX('Compliance Database'!$J$2:$J$630,MATCH(434,Engine!$C$2:$C$630,0)))</f>
        <v/>
      </c>
      <c r="K447">
        <f>IF(ISNA(MATCH(434,Engine!$C$2:$C$630,0)),"",INDEX('Compliance Database'!$K$2:$K$630,MATCH(434,Engine!$C$2:$C$630,0)))</f>
        <v/>
      </c>
      <c r="L447" s="8">
        <f>IF(ISNA(MATCH(434,Engine!$C$2:$C$630,0)),"",INDEX('Compliance Database'!$L$2:$L$630,MATCH(434,Engine!$C$2:$C$630,0)))</f>
        <v/>
      </c>
      <c r="M447" s="8">
        <f>IF(ISNA(MATCH(434,Engine!$C$2:$C$630,0)),"",INDEX('Compliance Database'!$M$2:$M$630,MATCH(434,Engine!$C$2:$C$630,0)))</f>
        <v/>
      </c>
      <c r="N447" s="8">
        <f>IF(ISNA(MATCH(434,Engine!$C$2:$C$630,0)),"",INDEX('Compliance Database'!$N$2:$N$630,MATCH(434,Engine!$C$2:$C$630,0)))</f>
        <v/>
      </c>
      <c r="O447" s="8">
        <f>IF(ISNA(MATCH(434,Engine!$C$2:$C$630,0)),"",INDEX('Compliance Database'!$O$2:$O$630,MATCH(434,Engine!$C$2:$C$630,0)))</f>
        <v/>
      </c>
    </row>
    <row r="448">
      <c r="A448">
        <f>IF(ISNA(MATCH(435,Engine!$C$2:$C$630,0)),"",INDEX('Compliance Database'!$A$2:$A$630,MATCH(435,Engine!$C$2:$C$630,0)))</f>
        <v/>
      </c>
      <c r="B448">
        <f>IF(ISNA(MATCH(435,Engine!$C$2:$C$630,0)),"",INDEX('Compliance Database'!$B$2:$B$630,MATCH(435,Engine!$C$2:$C$630,0)))</f>
        <v/>
      </c>
      <c r="C448">
        <f>IF(ISNA(MATCH(435,Engine!$C$2:$C$630,0)),"",INDEX('Compliance Database'!$C$2:$C$630,MATCH(435,Engine!$C$2:$C$630,0)))</f>
        <v/>
      </c>
      <c r="D448" s="8">
        <f>IF(ISNA(MATCH(435,Engine!$C$2:$C$630,0)),"",INDEX('Compliance Database'!$D$2:$D$630,MATCH(435,Engine!$C$2:$C$630,0)))</f>
        <v/>
      </c>
      <c r="E448">
        <f>IF(ISNA(MATCH(435,Engine!$C$2:$C$630,0)),"",INDEX('Compliance Database'!$E$2:$E$630,MATCH(435,Engine!$C$2:$C$630,0)))</f>
        <v/>
      </c>
      <c r="F448">
        <f>IF(ISNA(MATCH(435,Engine!$C$2:$C$630,0)),"",INDEX('Compliance Database'!$F$2:$F$630,MATCH(435,Engine!$C$2:$C$630,0)))</f>
        <v/>
      </c>
      <c r="G448">
        <f>IF(ISNA(MATCH(435,Engine!$C$2:$C$630,0)),"",INDEX('Compliance Database'!$G$2:$G$630,MATCH(435,Engine!$C$2:$C$630,0)))</f>
        <v/>
      </c>
      <c r="H448">
        <f>IF(ISNA(MATCH(435,Engine!$C$2:$C$630,0)),"",INDEX('Compliance Database'!$H$2:$H$630,MATCH(435,Engine!$C$2:$C$630,0)))</f>
        <v/>
      </c>
      <c r="I448" s="8">
        <f>IF(ISNA(MATCH(435,Engine!$C$2:$C$630,0)),"",INDEX('Compliance Database'!$I$2:$I$630,MATCH(435,Engine!$C$2:$C$630,0)))</f>
        <v/>
      </c>
      <c r="J448" s="8">
        <f>IF(ISNA(MATCH(435,Engine!$C$2:$C$630,0)),"",INDEX('Compliance Database'!$J$2:$J$630,MATCH(435,Engine!$C$2:$C$630,0)))</f>
        <v/>
      </c>
      <c r="K448">
        <f>IF(ISNA(MATCH(435,Engine!$C$2:$C$630,0)),"",INDEX('Compliance Database'!$K$2:$K$630,MATCH(435,Engine!$C$2:$C$630,0)))</f>
        <v/>
      </c>
      <c r="L448" s="8">
        <f>IF(ISNA(MATCH(435,Engine!$C$2:$C$630,0)),"",INDEX('Compliance Database'!$L$2:$L$630,MATCH(435,Engine!$C$2:$C$630,0)))</f>
        <v/>
      </c>
      <c r="M448" s="8">
        <f>IF(ISNA(MATCH(435,Engine!$C$2:$C$630,0)),"",INDEX('Compliance Database'!$M$2:$M$630,MATCH(435,Engine!$C$2:$C$630,0)))</f>
        <v/>
      </c>
      <c r="N448" s="8">
        <f>IF(ISNA(MATCH(435,Engine!$C$2:$C$630,0)),"",INDEX('Compliance Database'!$N$2:$N$630,MATCH(435,Engine!$C$2:$C$630,0)))</f>
        <v/>
      </c>
      <c r="O448" s="8">
        <f>IF(ISNA(MATCH(435,Engine!$C$2:$C$630,0)),"",INDEX('Compliance Database'!$O$2:$O$630,MATCH(435,Engine!$C$2:$C$630,0)))</f>
        <v/>
      </c>
    </row>
    <row r="449">
      <c r="A449">
        <f>IF(ISNA(MATCH(436,Engine!$C$2:$C$630,0)),"",INDEX('Compliance Database'!$A$2:$A$630,MATCH(436,Engine!$C$2:$C$630,0)))</f>
        <v/>
      </c>
      <c r="B449">
        <f>IF(ISNA(MATCH(436,Engine!$C$2:$C$630,0)),"",INDEX('Compliance Database'!$B$2:$B$630,MATCH(436,Engine!$C$2:$C$630,0)))</f>
        <v/>
      </c>
      <c r="C449">
        <f>IF(ISNA(MATCH(436,Engine!$C$2:$C$630,0)),"",INDEX('Compliance Database'!$C$2:$C$630,MATCH(436,Engine!$C$2:$C$630,0)))</f>
        <v/>
      </c>
      <c r="D449" s="8">
        <f>IF(ISNA(MATCH(436,Engine!$C$2:$C$630,0)),"",INDEX('Compliance Database'!$D$2:$D$630,MATCH(436,Engine!$C$2:$C$630,0)))</f>
        <v/>
      </c>
      <c r="E449">
        <f>IF(ISNA(MATCH(436,Engine!$C$2:$C$630,0)),"",INDEX('Compliance Database'!$E$2:$E$630,MATCH(436,Engine!$C$2:$C$630,0)))</f>
        <v/>
      </c>
      <c r="F449">
        <f>IF(ISNA(MATCH(436,Engine!$C$2:$C$630,0)),"",INDEX('Compliance Database'!$F$2:$F$630,MATCH(436,Engine!$C$2:$C$630,0)))</f>
        <v/>
      </c>
      <c r="G449">
        <f>IF(ISNA(MATCH(436,Engine!$C$2:$C$630,0)),"",INDEX('Compliance Database'!$G$2:$G$630,MATCH(436,Engine!$C$2:$C$630,0)))</f>
        <v/>
      </c>
      <c r="H449">
        <f>IF(ISNA(MATCH(436,Engine!$C$2:$C$630,0)),"",INDEX('Compliance Database'!$H$2:$H$630,MATCH(436,Engine!$C$2:$C$630,0)))</f>
        <v/>
      </c>
      <c r="I449" s="8">
        <f>IF(ISNA(MATCH(436,Engine!$C$2:$C$630,0)),"",INDEX('Compliance Database'!$I$2:$I$630,MATCH(436,Engine!$C$2:$C$630,0)))</f>
        <v/>
      </c>
      <c r="J449" s="8">
        <f>IF(ISNA(MATCH(436,Engine!$C$2:$C$630,0)),"",INDEX('Compliance Database'!$J$2:$J$630,MATCH(436,Engine!$C$2:$C$630,0)))</f>
        <v/>
      </c>
      <c r="K449">
        <f>IF(ISNA(MATCH(436,Engine!$C$2:$C$630,0)),"",INDEX('Compliance Database'!$K$2:$K$630,MATCH(436,Engine!$C$2:$C$630,0)))</f>
        <v/>
      </c>
      <c r="L449" s="8">
        <f>IF(ISNA(MATCH(436,Engine!$C$2:$C$630,0)),"",INDEX('Compliance Database'!$L$2:$L$630,MATCH(436,Engine!$C$2:$C$630,0)))</f>
        <v/>
      </c>
      <c r="M449" s="8">
        <f>IF(ISNA(MATCH(436,Engine!$C$2:$C$630,0)),"",INDEX('Compliance Database'!$M$2:$M$630,MATCH(436,Engine!$C$2:$C$630,0)))</f>
        <v/>
      </c>
      <c r="N449" s="8">
        <f>IF(ISNA(MATCH(436,Engine!$C$2:$C$630,0)),"",INDEX('Compliance Database'!$N$2:$N$630,MATCH(436,Engine!$C$2:$C$630,0)))</f>
        <v/>
      </c>
      <c r="O449" s="8">
        <f>IF(ISNA(MATCH(436,Engine!$C$2:$C$630,0)),"",INDEX('Compliance Database'!$O$2:$O$630,MATCH(436,Engine!$C$2:$C$630,0)))</f>
        <v/>
      </c>
    </row>
    <row r="450">
      <c r="A450">
        <f>IF(ISNA(MATCH(437,Engine!$C$2:$C$630,0)),"",INDEX('Compliance Database'!$A$2:$A$630,MATCH(437,Engine!$C$2:$C$630,0)))</f>
        <v/>
      </c>
      <c r="B450">
        <f>IF(ISNA(MATCH(437,Engine!$C$2:$C$630,0)),"",INDEX('Compliance Database'!$B$2:$B$630,MATCH(437,Engine!$C$2:$C$630,0)))</f>
        <v/>
      </c>
      <c r="C450">
        <f>IF(ISNA(MATCH(437,Engine!$C$2:$C$630,0)),"",INDEX('Compliance Database'!$C$2:$C$630,MATCH(437,Engine!$C$2:$C$630,0)))</f>
        <v/>
      </c>
      <c r="D450" s="8">
        <f>IF(ISNA(MATCH(437,Engine!$C$2:$C$630,0)),"",INDEX('Compliance Database'!$D$2:$D$630,MATCH(437,Engine!$C$2:$C$630,0)))</f>
        <v/>
      </c>
      <c r="E450">
        <f>IF(ISNA(MATCH(437,Engine!$C$2:$C$630,0)),"",INDEX('Compliance Database'!$E$2:$E$630,MATCH(437,Engine!$C$2:$C$630,0)))</f>
        <v/>
      </c>
      <c r="F450">
        <f>IF(ISNA(MATCH(437,Engine!$C$2:$C$630,0)),"",INDEX('Compliance Database'!$F$2:$F$630,MATCH(437,Engine!$C$2:$C$630,0)))</f>
        <v/>
      </c>
      <c r="G450">
        <f>IF(ISNA(MATCH(437,Engine!$C$2:$C$630,0)),"",INDEX('Compliance Database'!$G$2:$G$630,MATCH(437,Engine!$C$2:$C$630,0)))</f>
        <v/>
      </c>
      <c r="H450">
        <f>IF(ISNA(MATCH(437,Engine!$C$2:$C$630,0)),"",INDEX('Compliance Database'!$H$2:$H$630,MATCH(437,Engine!$C$2:$C$630,0)))</f>
        <v/>
      </c>
      <c r="I450" s="8">
        <f>IF(ISNA(MATCH(437,Engine!$C$2:$C$630,0)),"",INDEX('Compliance Database'!$I$2:$I$630,MATCH(437,Engine!$C$2:$C$630,0)))</f>
        <v/>
      </c>
      <c r="J450" s="8">
        <f>IF(ISNA(MATCH(437,Engine!$C$2:$C$630,0)),"",INDEX('Compliance Database'!$J$2:$J$630,MATCH(437,Engine!$C$2:$C$630,0)))</f>
        <v/>
      </c>
      <c r="K450">
        <f>IF(ISNA(MATCH(437,Engine!$C$2:$C$630,0)),"",INDEX('Compliance Database'!$K$2:$K$630,MATCH(437,Engine!$C$2:$C$630,0)))</f>
        <v/>
      </c>
      <c r="L450" s="8">
        <f>IF(ISNA(MATCH(437,Engine!$C$2:$C$630,0)),"",INDEX('Compliance Database'!$L$2:$L$630,MATCH(437,Engine!$C$2:$C$630,0)))</f>
        <v/>
      </c>
      <c r="M450" s="8">
        <f>IF(ISNA(MATCH(437,Engine!$C$2:$C$630,0)),"",INDEX('Compliance Database'!$M$2:$M$630,MATCH(437,Engine!$C$2:$C$630,0)))</f>
        <v/>
      </c>
      <c r="N450" s="8">
        <f>IF(ISNA(MATCH(437,Engine!$C$2:$C$630,0)),"",INDEX('Compliance Database'!$N$2:$N$630,MATCH(437,Engine!$C$2:$C$630,0)))</f>
        <v/>
      </c>
      <c r="O450" s="8">
        <f>IF(ISNA(MATCH(437,Engine!$C$2:$C$630,0)),"",INDEX('Compliance Database'!$O$2:$O$630,MATCH(437,Engine!$C$2:$C$630,0)))</f>
        <v/>
      </c>
    </row>
    <row r="451">
      <c r="A451">
        <f>IF(ISNA(MATCH(438,Engine!$C$2:$C$630,0)),"",INDEX('Compliance Database'!$A$2:$A$630,MATCH(438,Engine!$C$2:$C$630,0)))</f>
        <v/>
      </c>
      <c r="B451">
        <f>IF(ISNA(MATCH(438,Engine!$C$2:$C$630,0)),"",INDEX('Compliance Database'!$B$2:$B$630,MATCH(438,Engine!$C$2:$C$630,0)))</f>
        <v/>
      </c>
      <c r="C451">
        <f>IF(ISNA(MATCH(438,Engine!$C$2:$C$630,0)),"",INDEX('Compliance Database'!$C$2:$C$630,MATCH(438,Engine!$C$2:$C$630,0)))</f>
        <v/>
      </c>
      <c r="D451" s="8">
        <f>IF(ISNA(MATCH(438,Engine!$C$2:$C$630,0)),"",INDEX('Compliance Database'!$D$2:$D$630,MATCH(438,Engine!$C$2:$C$630,0)))</f>
        <v/>
      </c>
      <c r="E451">
        <f>IF(ISNA(MATCH(438,Engine!$C$2:$C$630,0)),"",INDEX('Compliance Database'!$E$2:$E$630,MATCH(438,Engine!$C$2:$C$630,0)))</f>
        <v/>
      </c>
      <c r="F451">
        <f>IF(ISNA(MATCH(438,Engine!$C$2:$C$630,0)),"",INDEX('Compliance Database'!$F$2:$F$630,MATCH(438,Engine!$C$2:$C$630,0)))</f>
        <v/>
      </c>
      <c r="G451">
        <f>IF(ISNA(MATCH(438,Engine!$C$2:$C$630,0)),"",INDEX('Compliance Database'!$G$2:$G$630,MATCH(438,Engine!$C$2:$C$630,0)))</f>
        <v/>
      </c>
      <c r="H451">
        <f>IF(ISNA(MATCH(438,Engine!$C$2:$C$630,0)),"",INDEX('Compliance Database'!$H$2:$H$630,MATCH(438,Engine!$C$2:$C$630,0)))</f>
        <v/>
      </c>
      <c r="I451" s="8">
        <f>IF(ISNA(MATCH(438,Engine!$C$2:$C$630,0)),"",INDEX('Compliance Database'!$I$2:$I$630,MATCH(438,Engine!$C$2:$C$630,0)))</f>
        <v/>
      </c>
      <c r="J451" s="8">
        <f>IF(ISNA(MATCH(438,Engine!$C$2:$C$630,0)),"",INDEX('Compliance Database'!$J$2:$J$630,MATCH(438,Engine!$C$2:$C$630,0)))</f>
        <v/>
      </c>
      <c r="K451">
        <f>IF(ISNA(MATCH(438,Engine!$C$2:$C$630,0)),"",INDEX('Compliance Database'!$K$2:$K$630,MATCH(438,Engine!$C$2:$C$630,0)))</f>
        <v/>
      </c>
      <c r="L451" s="8">
        <f>IF(ISNA(MATCH(438,Engine!$C$2:$C$630,0)),"",INDEX('Compliance Database'!$L$2:$L$630,MATCH(438,Engine!$C$2:$C$630,0)))</f>
        <v/>
      </c>
      <c r="M451" s="8">
        <f>IF(ISNA(MATCH(438,Engine!$C$2:$C$630,0)),"",INDEX('Compliance Database'!$M$2:$M$630,MATCH(438,Engine!$C$2:$C$630,0)))</f>
        <v/>
      </c>
      <c r="N451" s="8">
        <f>IF(ISNA(MATCH(438,Engine!$C$2:$C$630,0)),"",INDEX('Compliance Database'!$N$2:$N$630,MATCH(438,Engine!$C$2:$C$630,0)))</f>
        <v/>
      </c>
      <c r="O451" s="8">
        <f>IF(ISNA(MATCH(438,Engine!$C$2:$C$630,0)),"",INDEX('Compliance Database'!$O$2:$O$630,MATCH(438,Engine!$C$2:$C$630,0)))</f>
        <v/>
      </c>
    </row>
    <row r="452">
      <c r="A452">
        <f>IF(ISNA(MATCH(439,Engine!$C$2:$C$630,0)),"",INDEX('Compliance Database'!$A$2:$A$630,MATCH(439,Engine!$C$2:$C$630,0)))</f>
        <v/>
      </c>
      <c r="B452">
        <f>IF(ISNA(MATCH(439,Engine!$C$2:$C$630,0)),"",INDEX('Compliance Database'!$B$2:$B$630,MATCH(439,Engine!$C$2:$C$630,0)))</f>
        <v/>
      </c>
      <c r="C452">
        <f>IF(ISNA(MATCH(439,Engine!$C$2:$C$630,0)),"",INDEX('Compliance Database'!$C$2:$C$630,MATCH(439,Engine!$C$2:$C$630,0)))</f>
        <v/>
      </c>
      <c r="D452" s="8">
        <f>IF(ISNA(MATCH(439,Engine!$C$2:$C$630,0)),"",INDEX('Compliance Database'!$D$2:$D$630,MATCH(439,Engine!$C$2:$C$630,0)))</f>
        <v/>
      </c>
      <c r="E452">
        <f>IF(ISNA(MATCH(439,Engine!$C$2:$C$630,0)),"",INDEX('Compliance Database'!$E$2:$E$630,MATCH(439,Engine!$C$2:$C$630,0)))</f>
        <v/>
      </c>
      <c r="F452">
        <f>IF(ISNA(MATCH(439,Engine!$C$2:$C$630,0)),"",INDEX('Compliance Database'!$F$2:$F$630,MATCH(439,Engine!$C$2:$C$630,0)))</f>
        <v/>
      </c>
      <c r="G452">
        <f>IF(ISNA(MATCH(439,Engine!$C$2:$C$630,0)),"",INDEX('Compliance Database'!$G$2:$G$630,MATCH(439,Engine!$C$2:$C$630,0)))</f>
        <v/>
      </c>
      <c r="H452">
        <f>IF(ISNA(MATCH(439,Engine!$C$2:$C$630,0)),"",INDEX('Compliance Database'!$H$2:$H$630,MATCH(439,Engine!$C$2:$C$630,0)))</f>
        <v/>
      </c>
      <c r="I452" s="8">
        <f>IF(ISNA(MATCH(439,Engine!$C$2:$C$630,0)),"",INDEX('Compliance Database'!$I$2:$I$630,MATCH(439,Engine!$C$2:$C$630,0)))</f>
        <v/>
      </c>
      <c r="J452" s="8">
        <f>IF(ISNA(MATCH(439,Engine!$C$2:$C$630,0)),"",INDEX('Compliance Database'!$J$2:$J$630,MATCH(439,Engine!$C$2:$C$630,0)))</f>
        <v/>
      </c>
      <c r="K452">
        <f>IF(ISNA(MATCH(439,Engine!$C$2:$C$630,0)),"",INDEX('Compliance Database'!$K$2:$K$630,MATCH(439,Engine!$C$2:$C$630,0)))</f>
        <v/>
      </c>
      <c r="L452" s="8">
        <f>IF(ISNA(MATCH(439,Engine!$C$2:$C$630,0)),"",INDEX('Compliance Database'!$L$2:$L$630,MATCH(439,Engine!$C$2:$C$630,0)))</f>
        <v/>
      </c>
      <c r="M452" s="8">
        <f>IF(ISNA(MATCH(439,Engine!$C$2:$C$630,0)),"",INDEX('Compliance Database'!$M$2:$M$630,MATCH(439,Engine!$C$2:$C$630,0)))</f>
        <v/>
      </c>
      <c r="N452" s="8">
        <f>IF(ISNA(MATCH(439,Engine!$C$2:$C$630,0)),"",INDEX('Compliance Database'!$N$2:$N$630,MATCH(439,Engine!$C$2:$C$630,0)))</f>
        <v/>
      </c>
      <c r="O452" s="8">
        <f>IF(ISNA(MATCH(439,Engine!$C$2:$C$630,0)),"",INDEX('Compliance Database'!$O$2:$O$630,MATCH(439,Engine!$C$2:$C$630,0)))</f>
        <v/>
      </c>
    </row>
    <row r="453">
      <c r="A453">
        <f>IF(ISNA(MATCH(440,Engine!$C$2:$C$630,0)),"",INDEX('Compliance Database'!$A$2:$A$630,MATCH(440,Engine!$C$2:$C$630,0)))</f>
        <v/>
      </c>
      <c r="B453">
        <f>IF(ISNA(MATCH(440,Engine!$C$2:$C$630,0)),"",INDEX('Compliance Database'!$B$2:$B$630,MATCH(440,Engine!$C$2:$C$630,0)))</f>
        <v/>
      </c>
      <c r="C453">
        <f>IF(ISNA(MATCH(440,Engine!$C$2:$C$630,0)),"",INDEX('Compliance Database'!$C$2:$C$630,MATCH(440,Engine!$C$2:$C$630,0)))</f>
        <v/>
      </c>
      <c r="D453" s="8">
        <f>IF(ISNA(MATCH(440,Engine!$C$2:$C$630,0)),"",INDEX('Compliance Database'!$D$2:$D$630,MATCH(440,Engine!$C$2:$C$630,0)))</f>
        <v/>
      </c>
      <c r="E453">
        <f>IF(ISNA(MATCH(440,Engine!$C$2:$C$630,0)),"",INDEX('Compliance Database'!$E$2:$E$630,MATCH(440,Engine!$C$2:$C$630,0)))</f>
        <v/>
      </c>
      <c r="F453">
        <f>IF(ISNA(MATCH(440,Engine!$C$2:$C$630,0)),"",INDEX('Compliance Database'!$F$2:$F$630,MATCH(440,Engine!$C$2:$C$630,0)))</f>
        <v/>
      </c>
      <c r="G453">
        <f>IF(ISNA(MATCH(440,Engine!$C$2:$C$630,0)),"",INDEX('Compliance Database'!$G$2:$G$630,MATCH(440,Engine!$C$2:$C$630,0)))</f>
        <v/>
      </c>
      <c r="H453">
        <f>IF(ISNA(MATCH(440,Engine!$C$2:$C$630,0)),"",INDEX('Compliance Database'!$H$2:$H$630,MATCH(440,Engine!$C$2:$C$630,0)))</f>
        <v/>
      </c>
      <c r="I453" s="8">
        <f>IF(ISNA(MATCH(440,Engine!$C$2:$C$630,0)),"",INDEX('Compliance Database'!$I$2:$I$630,MATCH(440,Engine!$C$2:$C$630,0)))</f>
        <v/>
      </c>
      <c r="J453" s="8">
        <f>IF(ISNA(MATCH(440,Engine!$C$2:$C$630,0)),"",INDEX('Compliance Database'!$J$2:$J$630,MATCH(440,Engine!$C$2:$C$630,0)))</f>
        <v/>
      </c>
      <c r="K453">
        <f>IF(ISNA(MATCH(440,Engine!$C$2:$C$630,0)),"",INDEX('Compliance Database'!$K$2:$K$630,MATCH(440,Engine!$C$2:$C$630,0)))</f>
        <v/>
      </c>
      <c r="L453" s="8">
        <f>IF(ISNA(MATCH(440,Engine!$C$2:$C$630,0)),"",INDEX('Compliance Database'!$L$2:$L$630,MATCH(440,Engine!$C$2:$C$630,0)))</f>
        <v/>
      </c>
      <c r="M453" s="8">
        <f>IF(ISNA(MATCH(440,Engine!$C$2:$C$630,0)),"",INDEX('Compliance Database'!$M$2:$M$630,MATCH(440,Engine!$C$2:$C$630,0)))</f>
        <v/>
      </c>
      <c r="N453" s="8">
        <f>IF(ISNA(MATCH(440,Engine!$C$2:$C$630,0)),"",INDEX('Compliance Database'!$N$2:$N$630,MATCH(440,Engine!$C$2:$C$630,0)))</f>
        <v/>
      </c>
      <c r="O453" s="8">
        <f>IF(ISNA(MATCH(440,Engine!$C$2:$C$630,0)),"",INDEX('Compliance Database'!$O$2:$O$630,MATCH(440,Engine!$C$2:$C$630,0)))</f>
        <v/>
      </c>
    </row>
    <row r="454">
      <c r="A454">
        <f>IF(ISNA(MATCH(441,Engine!$C$2:$C$630,0)),"",INDEX('Compliance Database'!$A$2:$A$630,MATCH(441,Engine!$C$2:$C$630,0)))</f>
        <v/>
      </c>
      <c r="B454">
        <f>IF(ISNA(MATCH(441,Engine!$C$2:$C$630,0)),"",INDEX('Compliance Database'!$B$2:$B$630,MATCH(441,Engine!$C$2:$C$630,0)))</f>
        <v/>
      </c>
      <c r="C454">
        <f>IF(ISNA(MATCH(441,Engine!$C$2:$C$630,0)),"",INDEX('Compliance Database'!$C$2:$C$630,MATCH(441,Engine!$C$2:$C$630,0)))</f>
        <v/>
      </c>
      <c r="D454" s="8">
        <f>IF(ISNA(MATCH(441,Engine!$C$2:$C$630,0)),"",INDEX('Compliance Database'!$D$2:$D$630,MATCH(441,Engine!$C$2:$C$630,0)))</f>
        <v/>
      </c>
      <c r="E454">
        <f>IF(ISNA(MATCH(441,Engine!$C$2:$C$630,0)),"",INDEX('Compliance Database'!$E$2:$E$630,MATCH(441,Engine!$C$2:$C$630,0)))</f>
        <v/>
      </c>
      <c r="F454">
        <f>IF(ISNA(MATCH(441,Engine!$C$2:$C$630,0)),"",INDEX('Compliance Database'!$F$2:$F$630,MATCH(441,Engine!$C$2:$C$630,0)))</f>
        <v/>
      </c>
      <c r="G454">
        <f>IF(ISNA(MATCH(441,Engine!$C$2:$C$630,0)),"",INDEX('Compliance Database'!$G$2:$G$630,MATCH(441,Engine!$C$2:$C$630,0)))</f>
        <v/>
      </c>
      <c r="H454">
        <f>IF(ISNA(MATCH(441,Engine!$C$2:$C$630,0)),"",INDEX('Compliance Database'!$H$2:$H$630,MATCH(441,Engine!$C$2:$C$630,0)))</f>
        <v/>
      </c>
      <c r="I454" s="8">
        <f>IF(ISNA(MATCH(441,Engine!$C$2:$C$630,0)),"",INDEX('Compliance Database'!$I$2:$I$630,MATCH(441,Engine!$C$2:$C$630,0)))</f>
        <v/>
      </c>
      <c r="J454" s="8">
        <f>IF(ISNA(MATCH(441,Engine!$C$2:$C$630,0)),"",INDEX('Compliance Database'!$J$2:$J$630,MATCH(441,Engine!$C$2:$C$630,0)))</f>
        <v/>
      </c>
      <c r="K454">
        <f>IF(ISNA(MATCH(441,Engine!$C$2:$C$630,0)),"",INDEX('Compliance Database'!$K$2:$K$630,MATCH(441,Engine!$C$2:$C$630,0)))</f>
        <v/>
      </c>
      <c r="L454" s="8">
        <f>IF(ISNA(MATCH(441,Engine!$C$2:$C$630,0)),"",INDEX('Compliance Database'!$L$2:$L$630,MATCH(441,Engine!$C$2:$C$630,0)))</f>
        <v/>
      </c>
      <c r="M454" s="8">
        <f>IF(ISNA(MATCH(441,Engine!$C$2:$C$630,0)),"",INDEX('Compliance Database'!$M$2:$M$630,MATCH(441,Engine!$C$2:$C$630,0)))</f>
        <v/>
      </c>
      <c r="N454" s="8">
        <f>IF(ISNA(MATCH(441,Engine!$C$2:$C$630,0)),"",INDEX('Compliance Database'!$N$2:$N$630,MATCH(441,Engine!$C$2:$C$630,0)))</f>
        <v/>
      </c>
      <c r="O454" s="8">
        <f>IF(ISNA(MATCH(441,Engine!$C$2:$C$630,0)),"",INDEX('Compliance Database'!$O$2:$O$630,MATCH(441,Engine!$C$2:$C$630,0)))</f>
        <v/>
      </c>
    </row>
    <row r="455">
      <c r="A455">
        <f>IF(ISNA(MATCH(442,Engine!$C$2:$C$630,0)),"",INDEX('Compliance Database'!$A$2:$A$630,MATCH(442,Engine!$C$2:$C$630,0)))</f>
        <v/>
      </c>
      <c r="B455">
        <f>IF(ISNA(MATCH(442,Engine!$C$2:$C$630,0)),"",INDEX('Compliance Database'!$B$2:$B$630,MATCH(442,Engine!$C$2:$C$630,0)))</f>
        <v/>
      </c>
      <c r="C455">
        <f>IF(ISNA(MATCH(442,Engine!$C$2:$C$630,0)),"",INDEX('Compliance Database'!$C$2:$C$630,MATCH(442,Engine!$C$2:$C$630,0)))</f>
        <v/>
      </c>
      <c r="D455" s="8">
        <f>IF(ISNA(MATCH(442,Engine!$C$2:$C$630,0)),"",INDEX('Compliance Database'!$D$2:$D$630,MATCH(442,Engine!$C$2:$C$630,0)))</f>
        <v/>
      </c>
      <c r="E455">
        <f>IF(ISNA(MATCH(442,Engine!$C$2:$C$630,0)),"",INDEX('Compliance Database'!$E$2:$E$630,MATCH(442,Engine!$C$2:$C$630,0)))</f>
        <v/>
      </c>
      <c r="F455">
        <f>IF(ISNA(MATCH(442,Engine!$C$2:$C$630,0)),"",INDEX('Compliance Database'!$F$2:$F$630,MATCH(442,Engine!$C$2:$C$630,0)))</f>
        <v/>
      </c>
      <c r="G455">
        <f>IF(ISNA(MATCH(442,Engine!$C$2:$C$630,0)),"",INDEX('Compliance Database'!$G$2:$G$630,MATCH(442,Engine!$C$2:$C$630,0)))</f>
        <v/>
      </c>
      <c r="H455">
        <f>IF(ISNA(MATCH(442,Engine!$C$2:$C$630,0)),"",INDEX('Compliance Database'!$H$2:$H$630,MATCH(442,Engine!$C$2:$C$630,0)))</f>
        <v/>
      </c>
      <c r="I455" s="8">
        <f>IF(ISNA(MATCH(442,Engine!$C$2:$C$630,0)),"",INDEX('Compliance Database'!$I$2:$I$630,MATCH(442,Engine!$C$2:$C$630,0)))</f>
        <v/>
      </c>
      <c r="J455" s="8">
        <f>IF(ISNA(MATCH(442,Engine!$C$2:$C$630,0)),"",INDEX('Compliance Database'!$J$2:$J$630,MATCH(442,Engine!$C$2:$C$630,0)))</f>
        <v/>
      </c>
      <c r="K455">
        <f>IF(ISNA(MATCH(442,Engine!$C$2:$C$630,0)),"",INDEX('Compliance Database'!$K$2:$K$630,MATCH(442,Engine!$C$2:$C$630,0)))</f>
        <v/>
      </c>
      <c r="L455" s="8">
        <f>IF(ISNA(MATCH(442,Engine!$C$2:$C$630,0)),"",INDEX('Compliance Database'!$L$2:$L$630,MATCH(442,Engine!$C$2:$C$630,0)))</f>
        <v/>
      </c>
      <c r="M455" s="8">
        <f>IF(ISNA(MATCH(442,Engine!$C$2:$C$630,0)),"",INDEX('Compliance Database'!$M$2:$M$630,MATCH(442,Engine!$C$2:$C$630,0)))</f>
        <v/>
      </c>
      <c r="N455" s="8">
        <f>IF(ISNA(MATCH(442,Engine!$C$2:$C$630,0)),"",INDEX('Compliance Database'!$N$2:$N$630,MATCH(442,Engine!$C$2:$C$630,0)))</f>
        <v/>
      </c>
      <c r="O455" s="8">
        <f>IF(ISNA(MATCH(442,Engine!$C$2:$C$630,0)),"",INDEX('Compliance Database'!$O$2:$O$630,MATCH(442,Engine!$C$2:$C$630,0)))</f>
        <v/>
      </c>
    </row>
    <row r="456">
      <c r="A456">
        <f>IF(ISNA(MATCH(443,Engine!$C$2:$C$630,0)),"",INDEX('Compliance Database'!$A$2:$A$630,MATCH(443,Engine!$C$2:$C$630,0)))</f>
        <v/>
      </c>
      <c r="B456">
        <f>IF(ISNA(MATCH(443,Engine!$C$2:$C$630,0)),"",INDEX('Compliance Database'!$B$2:$B$630,MATCH(443,Engine!$C$2:$C$630,0)))</f>
        <v/>
      </c>
      <c r="C456">
        <f>IF(ISNA(MATCH(443,Engine!$C$2:$C$630,0)),"",INDEX('Compliance Database'!$C$2:$C$630,MATCH(443,Engine!$C$2:$C$630,0)))</f>
        <v/>
      </c>
      <c r="D456" s="8">
        <f>IF(ISNA(MATCH(443,Engine!$C$2:$C$630,0)),"",INDEX('Compliance Database'!$D$2:$D$630,MATCH(443,Engine!$C$2:$C$630,0)))</f>
        <v/>
      </c>
      <c r="E456">
        <f>IF(ISNA(MATCH(443,Engine!$C$2:$C$630,0)),"",INDEX('Compliance Database'!$E$2:$E$630,MATCH(443,Engine!$C$2:$C$630,0)))</f>
        <v/>
      </c>
      <c r="F456">
        <f>IF(ISNA(MATCH(443,Engine!$C$2:$C$630,0)),"",INDEX('Compliance Database'!$F$2:$F$630,MATCH(443,Engine!$C$2:$C$630,0)))</f>
        <v/>
      </c>
      <c r="G456">
        <f>IF(ISNA(MATCH(443,Engine!$C$2:$C$630,0)),"",INDEX('Compliance Database'!$G$2:$G$630,MATCH(443,Engine!$C$2:$C$630,0)))</f>
        <v/>
      </c>
      <c r="H456">
        <f>IF(ISNA(MATCH(443,Engine!$C$2:$C$630,0)),"",INDEX('Compliance Database'!$H$2:$H$630,MATCH(443,Engine!$C$2:$C$630,0)))</f>
        <v/>
      </c>
      <c r="I456" s="8">
        <f>IF(ISNA(MATCH(443,Engine!$C$2:$C$630,0)),"",INDEX('Compliance Database'!$I$2:$I$630,MATCH(443,Engine!$C$2:$C$630,0)))</f>
        <v/>
      </c>
      <c r="J456" s="8">
        <f>IF(ISNA(MATCH(443,Engine!$C$2:$C$630,0)),"",INDEX('Compliance Database'!$J$2:$J$630,MATCH(443,Engine!$C$2:$C$630,0)))</f>
        <v/>
      </c>
      <c r="K456">
        <f>IF(ISNA(MATCH(443,Engine!$C$2:$C$630,0)),"",INDEX('Compliance Database'!$K$2:$K$630,MATCH(443,Engine!$C$2:$C$630,0)))</f>
        <v/>
      </c>
      <c r="L456" s="8">
        <f>IF(ISNA(MATCH(443,Engine!$C$2:$C$630,0)),"",INDEX('Compliance Database'!$L$2:$L$630,MATCH(443,Engine!$C$2:$C$630,0)))</f>
        <v/>
      </c>
      <c r="M456" s="8">
        <f>IF(ISNA(MATCH(443,Engine!$C$2:$C$630,0)),"",INDEX('Compliance Database'!$M$2:$M$630,MATCH(443,Engine!$C$2:$C$630,0)))</f>
        <v/>
      </c>
      <c r="N456" s="8">
        <f>IF(ISNA(MATCH(443,Engine!$C$2:$C$630,0)),"",INDEX('Compliance Database'!$N$2:$N$630,MATCH(443,Engine!$C$2:$C$630,0)))</f>
        <v/>
      </c>
      <c r="O456" s="8">
        <f>IF(ISNA(MATCH(443,Engine!$C$2:$C$630,0)),"",INDEX('Compliance Database'!$O$2:$O$630,MATCH(443,Engine!$C$2:$C$630,0)))</f>
        <v/>
      </c>
    </row>
    <row r="457">
      <c r="A457">
        <f>IF(ISNA(MATCH(444,Engine!$C$2:$C$630,0)),"",INDEX('Compliance Database'!$A$2:$A$630,MATCH(444,Engine!$C$2:$C$630,0)))</f>
        <v/>
      </c>
      <c r="B457">
        <f>IF(ISNA(MATCH(444,Engine!$C$2:$C$630,0)),"",INDEX('Compliance Database'!$B$2:$B$630,MATCH(444,Engine!$C$2:$C$630,0)))</f>
        <v/>
      </c>
      <c r="C457">
        <f>IF(ISNA(MATCH(444,Engine!$C$2:$C$630,0)),"",INDEX('Compliance Database'!$C$2:$C$630,MATCH(444,Engine!$C$2:$C$630,0)))</f>
        <v/>
      </c>
      <c r="D457" s="8">
        <f>IF(ISNA(MATCH(444,Engine!$C$2:$C$630,0)),"",INDEX('Compliance Database'!$D$2:$D$630,MATCH(444,Engine!$C$2:$C$630,0)))</f>
        <v/>
      </c>
      <c r="E457">
        <f>IF(ISNA(MATCH(444,Engine!$C$2:$C$630,0)),"",INDEX('Compliance Database'!$E$2:$E$630,MATCH(444,Engine!$C$2:$C$630,0)))</f>
        <v/>
      </c>
      <c r="F457">
        <f>IF(ISNA(MATCH(444,Engine!$C$2:$C$630,0)),"",INDEX('Compliance Database'!$F$2:$F$630,MATCH(444,Engine!$C$2:$C$630,0)))</f>
        <v/>
      </c>
      <c r="G457">
        <f>IF(ISNA(MATCH(444,Engine!$C$2:$C$630,0)),"",INDEX('Compliance Database'!$G$2:$G$630,MATCH(444,Engine!$C$2:$C$630,0)))</f>
        <v/>
      </c>
      <c r="H457">
        <f>IF(ISNA(MATCH(444,Engine!$C$2:$C$630,0)),"",INDEX('Compliance Database'!$H$2:$H$630,MATCH(444,Engine!$C$2:$C$630,0)))</f>
        <v/>
      </c>
      <c r="I457" s="8">
        <f>IF(ISNA(MATCH(444,Engine!$C$2:$C$630,0)),"",INDEX('Compliance Database'!$I$2:$I$630,MATCH(444,Engine!$C$2:$C$630,0)))</f>
        <v/>
      </c>
      <c r="J457" s="8">
        <f>IF(ISNA(MATCH(444,Engine!$C$2:$C$630,0)),"",INDEX('Compliance Database'!$J$2:$J$630,MATCH(444,Engine!$C$2:$C$630,0)))</f>
        <v/>
      </c>
      <c r="K457">
        <f>IF(ISNA(MATCH(444,Engine!$C$2:$C$630,0)),"",INDEX('Compliance Database'!$K$2:$K$630,MATCH(444,Engine!$C$2:$C$630,0)))</f>
        <v/>
      </c>
      <c r="L457" s="8">
        <f>IF(ISNA(MATCH(444,Engine!$C$2:$C$630,0)),"",INDEX('Compliance Database'!$L$2:$L$630,MATCH(444,Engine!$C$2:$C$630,0)))</f>
        <v/>
      </c>
      <c r="M457" s="8">
        <f>IF(ISNA(MATCH(444,Engine!$C$2:$C$630,0)),"",INDEX('Compliance Database'!$M$2:$M$630,MATCH(444,Engine!$C$2:$C$630,0)))</f>
        <v/>
      </c>
      <c r="N457" s="8">
        <f>IF(ISNA(MATCH(444,Engine!$C$2:$C$630,0)),"",INDEX('Compliance Database'!$N$2:$N$630,MATCH(444,Engine!$C$2:$C$630,0)))</f>
        <v/>
      </c>
      <c r="O457" s="8">
        <f>IF(ISNA(MATCH(444,Engine!$C$2:$C$630,0)),"",INDEX('Compliance Database'!$O$2:$O$630,MATCH(444,Engine!$C$2:$C$630,0)))</f>
        <v/>
      </c>
    </row>
    <row r="458">
      <c r="A458">
        <f>IF(ISNA(MATCH(445,Engine!$C$2:$C$630,0)),"",INDEX('Compliance Database'!$A$2:$A$630,MATCH(445,Engine!$C$2:$C$630,0)))</f>
        <v/>
      </c>
      <c r="B458">
        <f>IF(ISNA(MATCH(445,Engine!$C$2:$C$630,0)),"",INDEX('Compliance Database'!$B$2:$B$630,MATCH(445,Engine!$C$2:$C$630,0)))</f>
        <v/>
      </c>
      <c r="C458">
        <f>IF(ISNA(MATCH(445,Engine!$C$2:$C$630,0)),"",INDEX('Compliance Database'!$C$2:$C$630,MATCH(445,Engine!$C$2:$C$630,0)))</f>
        <v/>
      </c>
      <c r="D458" s="8">
        <f>IF(ISNA(MATCH(445,Engine!$C$2:$C$630,0)),"",INDEX('Compliance Database'!$D$2:$D$630,MATCH(445,Engine!$C$2:$C$630,0)))</f>
        <v/>
      </c>
      <c r="E458">
        <f>IF(ISNA(MATCH(445,Engine!$C$2:$C$630,0)),"",INDEX('Compliance Database'!$E$2:$E$630,MATCH(445,Engine!$C$2:$C$630,0)))</f>
        <v/>
      </c>
      <c r="F458">
        <f>IF(ISNA(MATCH(445,Engine!$C$2:$C$630,0)),"",INDEX('Compliance Database'!$F$2:$F$630,MATCH(445,Engine!$C$2:$C$630,0)))</f>
        <v/>
      </c>
      <c r="G458">
        <f>IF(ISNA(MATCH(445,Engine!$C$2:$C$630,0)),"",INDEX('Compliance Database'!$G$2:$G$630,MATCH(445,Engine!$C$2:$C$630,0)))</f>
        <v/>
      </c>
      <c r="H458">
        <f>IF(ISNA(MATCH(445,Engine!$C$2:$C$630,0)),"",INDEX('Compliance Database'!$H$2:$H$630,MATCH(445,Engine!$C$2:$C$630,0)))</f>
        <v/>
      </c>
      <c r="I458" s="8">
        <f>IF(ISNA(MATCH(445,Engine!$C$2:$C$630,0)),"",INDEX('Compliance Database'!$I$2:$I$630,MATCH(445,Engine!$C$2:$C$630,0)))</f>
        <v/>
      </c>
      <c r="J458" s="8">
        <f>IF(ISNA(MATCH(445,Engine!$C$2:$C$630,0)),"",INDEX('Compliance Database'!$J$2:$J$630,MATCH(445,Engine!$C$2:$C$630,0)))</f>
        <v/>
      </c>
      <c r="K458">
        <f>IF(ISNA(MATCH(445,Engine!$C$2:$C$630,0)),"",INDEX('Compliance Database'!$K$2:$K$630,MATCH(445,Engine!$C$2:$C$630,0)))</f>
        <v/>
      </c>
      <c r="L458" s="8">
        <f>IF(ISNA(MATCH(445,Engine!$C$2:$C$630,0)),"",INDEX('Compliance Database'!$L$2:$L$630,MATCH(445,Engine!$C$2:$C$630,0)))</f>
        <v/>
      </c>
      <c r="M458" s="8">
        <f>IF(ISNA(MATCH(445,Engine!$C$2:$C$630,0)),"",INDEX('Compliance Database'!$M$2:$M$630,MATCH(445,Engine!$C$2:$C$630,0)))</f>
        <v/>
      </c>
      <c r="N458" s="8">
        <f>IF(ISNA(MATCH(445,Engine!$C$2:$C$630,0)),"",INDEX('Compliance Database'!$N$2:$N$630,MATCH(445,Engine!$C$2:$C$630,0)))</f>
        <v/>
      </c>
      <c r="O458" s="8">
        <f>IF(ISNA(MATCH(445,Engine!$C$2:$C$630,0)),"",INDEX('Compliance Database'!$O$2:$O$630,MATCH(445,Engine!$C$2:$C$630,0)))</f>
        <v/>
      </c>
    </row>
    <row r="459">
      <c r="A459">
        <f>IF(ISNA(MATCH(446,Engine!$C$2:$C$630,0)),"",INDEX('Compliance Database'!$A$2:$A$630,MATCH(446,Engine!$C$2:$C$630,0)))</f>
        <v/>
      </c>
      <c r="B459">
        <f>IF(ISNA(MATCH(446,Engine!$C$2:$C$630,0)),"",INDEX('Compliance Database'!$B$2:$B$630,MATCH(446,Engine!$C$2:$C$630,0)))</f>
        <v/>
      </c>
      <c r="C459">
        <f>IF(ISNA(MATCH(446,Engine!$C$2:$C$630,0)),"",INDEX('Compliance Database'!$C$2:$C$630,MATCH(446,Engine!$C$2:$C$630,0)))</f>
        <v/>
      </c>
      <c r="D459" s="8">
        <f>IF(ISNA(MATCH(446,Engine!$C$2:$C$630,0)),"",INDEX('Compliance Database'!$D$2:$D$630,MATCH(446,Engine!$C$2:$C$630,0)))</f>
        <v/>
      </c>
      <c r="E459">
        <f>IF(ISNA(MATCH(446,Engine!$C$2:$C$630,0)),"",INDEX('Compliance Database'!$E$2:$E$630,MATCH(446,Engine!$C$2:$C$630,0)))</f>
        <v/>
      </c>
      <c r="F459">
        <f>IF(ISNA(MATCH(446,Engine!$C$2:$C$630,0)),"",INDEX('Compliance Database'!$F$2:$F$630,MATCH(446,Engine!$C$2:$C$630,0)))</f>
        <v/>
      </c>
      <c r="G459">
        <f>IF(ISNA(MATCH(446,Engine!$C$2:$C$630,0)),"",INDEX('Compliance Database'!$G$2:$G$630,MATCH(446,Engine!$C$2:$C$630,0)))</f>
        <v/>
      </c>
      <c r="H459">
        <f>IF(ISNA(MATCH(446,Engine!$C$2:$C$630,0)),"",INDEX('Compliance Database'!$H$2:$H$630,MATCH(446,Engine!$C$2:$C$630,0)))</f>
        <v/>
      </c>
      <c r="I459" s="8">
        <f>IF(ISNA(MATCH(446,Engine!$C$2:$C$630,0)),"",INDEX('Compliance Database'!$I$2:$I$630,MATCH(446,Engine!$C$2:$C$630,0)))</f>
        <v/>
      </c>
      <c r="J459" s="8">
        <f>IF(ISNA(MATCH(446,Engine!$C$2:$C$630,0)),"",INDEX('Compliance Database'!$J$2:$J$630,MATCH(446,Engine!$C$2:$C$630,0)))</f>
        <v/>
      </c>
      <c r="K459">
        <f>IF(ISNA(MATCH(446,Engine!$C$2:$C$630,0)),"",INDEX('Compliance Database'!$K$2:$K$630,MATCH(446,Engine!$C$2:$C$630,0)))</f>
        <v/>
      </c>
      <c r="L459" s="8">
        <f>IF(ISNA(MATCH(446,Engine!$C$2:$C$630,0)),"",INDEX('Compliance Database'!$L$2:$L$630,MATCH(446,Engine!$C$2:$C$630,0)))</f>
        <v/>
      </c>
      <c r="M459" s="8">
        <f>IF(ISNA(MATCH(446,Engine!$C$2:$C$630,0)),"",INDEX('Compliance Database'!$M$2:$M$630,MATCH(446,Engine!$C$2:$C$630,0)))</f>
        <v/>
      </c>
      <c r="N459" s="8">
        <f>IF(ISNA(MATCH(446,Engine!$C$2:$C$630,0)),"",INDEX('Compliance Database'!$N$2:$N$630,MATCH(446,Engine!$C$2:$C$630,0)))</f>
        <v/>
      </c>
      <c r="O459" s="8">
        <f>IF(ISNA(MATCH(446,Engine!$C$2:$C$630,0)),"",INDEX('Compliance Database'!$O$2:$O$630,MATCH(446,Engine!$C$2:$C$630,0)))</f>
        <v/>
      </c>
    </row>
    <row r="460">
      <c r="A460">
        <f>IF(ISNA(MATCH(447,Engine!$C$2:$C$630,0)),"",INDEX('Compliance Database'!$A$2:$A$630,MATCH(447,Engine!$C$2:$C$630,0)))</f>
        <v/>
      </c>
      <c r="B460">
        <f>IF(ISNA(MATCH(447,Engine!$C$2:$C$630,0)),"",INDEX('Compliance Database'!$B$2:$B$630,MATCH(447,Engine!$C$2:$C$630,0)))</f>
        <v/>
      </c>
      <c r="C460">
        <f>IF(ISNA(MATCH(447,Engine!$C$2:$C$630,0)),"",INDEX('Compliance Database'!$C$2:$C$630,MATCH(447,Engine!$C$2:$C$630,0)))</f>
        <v/>
      </c>
      <c r="D460" s="8">
        <f>IF(ISNA(MATCH(447,Engine!$C$2:$C$630,0)),"",INDEX('Compliance Database'!$D$2:$D$630,MATCH(447,Engine!$C$2:$C$630,0)))</f>
        <v/>
      </c>
      <c r="E460">
        <f>IF(ISNA(MATCH(447,Engine!$C$2:$C$630,0)),"",INDEX('Compliance Database'!$E$2:$E$630,MATCH(447,Engine!$C$2:$C$630,0)))</f>
        <v/>
      </c>
      <c r="F460">
        <f>IF(ISNA(MATCH(447,Engine!$C$2:$C$630,0)),"",INDEX('Compliance Database'!$F$2:$F$630,MATCH(447,Engine!$C$2:$C$630,0)))</f>
        <v/>
      </c>
      <c r="G460">
        <f>IF(ISNA(MATCH(447,Engine!$C$2:$C$630,0)),"",INDEX('Compliance Database'!$G$2:$G$630,MATCH(447,Engine!$C$2:$C$630,0)))</f>
        <v/>
      </c>
      <c r="H460">
        <f>IF(ISNA(MATCH(447,Engine!$C$2:$C$630,0)),"",INDEX('Compliance Database'!$H$2:$H$630,MATCH(447,Engine!$C$2:$C$630,0)))</f>
        <v/>
      </c>
      <c r="I460" s="8">
        <f>IF(ISNA(MATCH(447,Engine!$C$2:$C$630,0)),"",INDEX('Compliance Database'!$I$2:$I$630,MATCH(447,Engine!$C$2:$C$630,0)))</f>
        <v/>
      </c>
      <c r="J460" s="8">
        <f>IF(ISNA(MATCH(447,Engine!$C$2:$C$630,0)),"",INDEX('Compliance Database'!$J$2:$J$630,MATCH(447,Engine!$C$2:$C$630,0)))</f>
        <v/>
      </c>
      <c r="K460">
        <f>IF(ISNA(MATCH(447,Engine!$C$2:$C$630,0)),"",INDEX('Compliance Database'!$K$2:$K$630,MATCH(447,Engine!$C$2:$C$630,0)))</f>
        <v/>
      </c>
      <c r="L460" s="8">
        <f>IF(ISNA(MATCH(447,Engine!$C$2:$C$630,0)),"",INDEX('Compliance Database'!$L$2:$L$630,MATCH(447,Engine!$C$2:$C$630,0)))</f>
        <v/>
      </c>
      <c r="M460" s="8">
        <f>IF(ISNA(MATCH(447,Engine!$C$2:$C$630,0)),"",INDEX('Compliance Database'!$M$2:$M$630,MATCH(447,Engine!$C$2:$C$630,0)))</f>
        <v/>
      </c>
      <c r="N460" s="8">
        <f>IF(ISNA(MATCH(447,Engine!$C$2:$C$630,0)),"",INDEX('Compliance Database'!$N$2:$N$630,MATCH(447,Engine!$C$2:$C$630,0)))</f>
        <v/>
      </c>
      <c r="O460" s="8">
        <f>IF(ISNA(MATCH(447,Engine!$C$2:$C$630,0)),"",INDEX('Compliance Database'!$O$2:$O$630,MATCH(447,Engine!$C$2:$C$630,0)))</f>
        <v/>
      </c>
    </row>
    <row r="461">
      <c r="A461">
        <f>IF(ISNA(MATCH(448,Engine!$C$2:$C$630,0)),"",INDEX('Compliance Database'!$A$2:$A$630,MATCH(448,Engine!$C$2:$C$630,0)))</f>
        <v/>
      </c>
      <c r="B461">
        <f>IF(ISNA(MATCH(448,Engine!$C$2:$C$630,0)),"",INDEX('Compliance Database'!$B$2:$B$630,MATCH(448,Engine!$C$2:$C$630,0)))</f>
        <v/>
      </c>
      <c r="C461">
        <f>IF(ISNA(MATCH(448,Engine!$C$2:$C$630,0)),"",INDEX('Compliance Database'!$C$2:$C$630,MATCH(448,Engine!$C$2:$C$630,0)))</f>
        <v/>
      </c>
      <c r="D461" s="8">
        <f>IF(ISNA(MATCH(448,Engine!$C$2:$C$630,0)),"",INDEX('Compliance Database'!$D$2:$D$630,MATCH(448,Engine!$C$2:$C$630,0)))</f>
        <v/>
      </c>
      <c r="E461">
        <f>IF(ISNA(MATCH(448,Engine!$C$2:$C$630,0)),"",INDEX('Compliance Database'!$E$2:$E$630,MATCH(448,Engine!$C$2:$C$630,0)))</f>
        <v/>
      </c>
      <c r="F461">
        <f>IF(ISNA(MATCH(448,Engine!$C$2:$C$630,0)),"",INDEX('Compliance Database'!$F$2:$F$630,MATCH(448,Engine!$C$2:$C$630,0)))</f>
        <v/>
      </c>
      <c r="G461">
        <f>IF(ISNA(MATCH(448,Engine!$C$2:$C$630,0)),"",INDEX('Compliance Database'!$G$2:$G$630,MATCH(448,Engine!$C$2:$C$630,0)))</f>
        <v/>
      </c>
      <c r="H461">
        <f>IF(ISNA(MATCH(448,Engine!$C$2:$C$630,0)),"",INDEX('Compliance Database'!$H$2:$H$630,MATCH(448,Engine!$C$2:$C$630,0)))</f>
        <v/>
      </c>
      <c r="I461" s="8">
        <f>IF(ISNA(MATCH(448,Engine!$C$2:$C$630,0)),"",INDEX('Compliance Database'!$I$2:$I$630,MATCH(448,Engine!$C$2:$C$630,0)))</f>
        <v/>
      </c>
      <c r="J461" s="8">
        <f>IF(ISNA(MATCH(448,Engine!$C$2:$C$630,0)),"",INDEX('Compliance Database'!$J$2:$J$630,MATCH(448,Engine!$C$2:$C$630,0)))</f>
        <v/>
      </c>
      <c r="K461">
        <f>IF(ISNA(MATCH(448,Engine!$C$2:$C$630,0)),"",INDEX('Compliance Database'!$K$2:$K$630,MATCH(448,Engine!$C$2:$C$630,0)))</f>
        <v/>
      </c>
      <c r="L461" s="8">
        <f>IF(ISNA(MATCH(448,Engine!$C$2:$C$630,0)),"",INDEX('Compliance Database'!$L$2:$L$630,MATCH(448,Engine!$C$2:$C$630,0)))</f>
        <v/>
      </c>
      <c r="M461" s="8">
        <f>IF(ISNA(MATCH(448,Engine!$C$2:$C$630,0)),"",INDEX('Compliance Database'!$M$2:$M$630,MATCH(448,Engine!$C$2:$C$630,0)))</f>
        <v/>
      </c>
      <c r="N461" s="8">
        <f>IF(ISNA(MATCH(448,Engine!$C$2:$C$630,0)),"",INDEX('Compliance Database'!$N$2:$N$630,MATCH(448,Engine!$C$2:$C$630,0)))</f>
        <v/>
      </c>
      <c r="O461" s="8">
        <f>IF(ISNA(MATCH(448,Engine!$C$2:$C$630,0)),"",INDEX('Compliance Database'!$O$2:$O$630,MATCH(448,Engine!$C$2:$C$630,0)))</f>
        <v/>
      </c>
    </row>
    <row r="462">
      <c r="A462">
        <f>IF(ISNA(MATCH(449,Engine!$C$2:$C$630,0)),"",INDEX('Compliance Database'!$A$2:$A$630,MATCH(449,Engine!$C$2:$C$630,0)))</f>
        <v/>
      </c>
      <c r="B462">
        <f>IF(ISNA(MATCH(449,Engine!$C$2:$C$630,0)),"",INDEX('Compliance Database'!$B$2:$B$630,MATCH(449,Engine!$C$2:$C$630,0)))</f>
        <v/>
      </c>
      <c r="C462">
        <f>IF(ISNA(MATCH(449,Engine!$C$2:$C$630,0)),"",INDEX('Compliance Database'!$C$2:$C$630,MATCH(449,Engine!$C$2:$C$630,0)))</f>
        <v/>
      </c>
      <c r="D462" s="8">
        <f>IF(ISNA(MATCH(449,Engine!$C$2:$C$630,0)),"",INDEX('Compliance Database'!$D$2:$D$630,MATCH(449,Engine!$C$2:$C$630,0)))</f>
        <v/>
      </c>
      <c r="E462">
        <f>IF(ISNA(MATCH(449,Engine!$C$2:$C$630,0)),"",INDEX('Compliance Database'!$E$2:$E$630,MATCH(449,Engine!$C$2:$C$630,0)))</f>
        <v/>
      </c>
      <c r="F462">
        <f>IF(ISNA(MATCH(449,Engine!$C$2:$C$630,0)),"",INDEX('Compliance Database'!$F$2:$F$630,MATCH(449,Engine!$C$2:$C$630,0)))</f>
        <v/>
      </c>
      <c r="G462">
        <f>IF(ISNA(MATCH(449,Engine!$C$2:$C$630,0)),"",INDEX('Compliance Database'!$G$2:$G$630,MATCH(449,Engine!$C$2:$C$630,0)))</f>
        <v/>
      </c>
      <c r="H462">
        <f>IF(ISNA(MATCH(449,Engine!$C$2:$C$630,0)),"",INDEX('Compliance Database'!$H$2:$H$630,MATCH(449,Engine!$C$2:$C$630,0)))</f>
        <v/>
      </c>
      <c r="I462" s="8">
        <f>IF(ISNA(MATCH(449,Engine!$C$2:$C$630,0)),"",INDEX('Compliance Database'!$I$2:$I$630,MATCH(449,Engine!$C$2:$C$630,0)))</f>
        <v/>
      </c>
      <c r="J462" s="8">
        <f>IF(ISNA(MATCH(449,Engine!$C$2:$C$630,0)),"",INDEX('Compliance Database'!$J$2:$J$630,MATCH(449,Engine!$C$2:$C$630,0)))</f>
        <v/>
      </c>
      <c r="K462">
        <f>IF(ISNA(MATCH(449,Engine!$C$2:$C$630,0)),"",INDEX('Compliance Database'!$K$2:$K$630,MATCH(449,Engine!$C$2:$C$630,0)))</f>
        <v/>
      </c>
      <c r="L462" s="8">
        <f>IF(ISNA(MATCH(449,Engine!$C$2:$C$630,0)),"",INDEX('Compliance Database'!$L$2:$L$630,MATCH(449,Engine!$C$2:$C$630,0)))</f>
        <v/>
      </c>
      <c r="M462" s="8">
        <f>IF(ISNA(MATCH(449,Engine!$C$2:$C$630,0)),"",INDEX('Compliance Database'!$M$2:$M$630,MATCH(449,Engine!$C$2:$C$630,0)))</f>
        <v/>
      </c>
      <c r="N462" s="8">
        <f>IF(ISNA(MATCH(449,Engine!$C$2:$C$630,0)),"",INDEX('Compliance Database'!$N$2:$N$630,MATCH(449,Engine!$C$2:$C$630,0)))</f>
        <v/>
      </c>
      <c r="O462" s="8">
        <f>IF(ISNA(MATCH(449,Engine!$C$2:$C$630,0)),"",INDEX('Compliance Database'!$O$2:$O$630,MATCH(449,Engine!$C$2:$C$630,0)))</f>
        <v/>
      </c>
    </row>
    <row r="463">
      <c r="A463">
        <f>IF(ISNA(MATCH(450,Engine!$C$2:$C$630,0)),"",INDEX('Compliance Database'!$A$2:$A$630,MATCH(450,Engine!$C$2:$C$630,0)))</f>
        <v/>
      </c>
      <c r="B463">
        <f>IF(ISNA(MATCH(450,Engine!$C$2:$C$630,0)),"",INDEX('Compliance Database'!$B$2:$B$630,MATCH(450,Engine!$C$2:$C$630,0)))</f>
        <v/>
      </c>
      <c r="C463">
        <f>IF(ISNA(MATCH(450,Engine!$C$2:$C$630,0)),"",INDEX('Compliance Database'!$C$2:$C$630,MATCH(450,Engine!$C$2:$C$630,0)))</f>
        <v/>
      </c>
      <c r="D463" s="8">
        <f>IF(ISNA(MATCH(450,Engine!$C$2:$C$630,0)),"",INDEX('Compliance Database'!$D$2:$D$630,MATCH(450,Engine!$C$2:$C$630,0)))</f>
        <v/>
      </c>
      <c r="E463">
        <f>IF(ISNA(MATCH(450,Engine!$C$2:$C$630,0)),"",INDEX('Compliance Database'!$E$2:$E$630,MATCH(450,Engine!$C$2:$C$630,0)))</f>
        <v/>
      </c>
      <c r="F463">
        <f>IF(ISNA(MATCH(450,Engine!$C$2:$C$630,0)),"",INDEX('Compliance Database'!$F$2:$F$630,MATCH(450,Engine!$C$2:$C$630,0)))</f>
        <v/>
      </c>
      <c r="G463">
        <f>IF(ISNA(MATCH(450,Engine!$C$2:$C$630,0)),"",INDEX('Compliance Database'!$G$2:$G$630,MATCH(450,Engine!$C$2:$C$630,0)))</f>
        <v/>
      </c>
      <c r="H463">
        <f>IF(ISNA(MATCH(450,Engine!$C$2:$C$630,0)),"",INDEX('Compliance Database'!$H$2:$H$630,MATCH(450,Engine!$C$2:$C$630,0)))</f>
        <v/>
      </c>
      <c r="I463" s="8">
        <f>IF(ISNA(MATCH(450,Engine!$C$2:$C$630,0)),"",INDEX('Compliance Database'!$I$2:$I$630,MATCH(450,Engine!$C$2:$C$630,0)))</f>
        <v/>
      </c>
      <c r="J463" s="8">
        <f>IF(ISNA(MATCH(450,Engine!$C$2:$C$630,0)),"",INDEX('Compliance Database'!$J$2:$J$630,MATCH(450,Engine!$C$2:$C$630,0)))</f>
        <v/>
      </c>
      <c r="K463">
        <f>IF(ISNA(MATCH(450,Engine!$C$2:$C$630,0)),"",INDEX('Compliance Database'!$K$2:$K$630,MATCH(450,Engine!$C$2:$C$630,0)))</f>
        <v/>
      </c>
      <c r="L463" s="8">
        <f>IF(ISNA(MATCH(450,Engine!$C$2:$C$630,0)),"",INDEX('Compliance Database'!$L$2:$L$630,MATCH(450,Engine!$C$2:$C$630,0)))</f>
        <v/>
      </c>
      <c r="M463" s="8">
        <f>IF(ISNA(MATCH(450,Engine!$C$2:$C$630,0)),"",INDEX('Compliance Database'!$M$2:$M$630,MATCH(450,Engine!$C$2:$C$630,0)))</f>
        <v/>
      </c>
      <c r="N463" s="8">
        <f>IF(ISNA(MATCH(450,Engine!$C$2:$C$630,0)),"",INDEX('Compliance Database'!$N$2:$N$630,MATCH(450,Engine!$C$2:$C$630,0)))</f>
        <v/>
      </c>
      <c r="O463" s="8">
        <f>IF(ISNA(MATCH(450,Engine!$C$2:$C$630,0)),"",INDEX('Compliance Database'!$O$2:$O$630,MATCH(450,Engine!$C$2:$C$630,0)))</f>
        <v/>
      </c>
    </row>
    <row r="464">
      <c r="A464">
        <f>IF(ISNA(MATCH(451,Engine!$C$2:$C$630,0)),"",INDEX('Compliance Database'!$A$2:$A$630,MATCH(451,Engine!$C$2:$C$630,0)))</f>
        <v/>
      </c>
      <c r="B464">
        <f>IF(ISNA(MATCH(451,Engine!$C$2:$C$630,0)),"",INDEX('Compliance Database'!$B$2:$B$630,MATCH(451,Engine!$C$2:$C$630,0)))</f>
        <v/>
      </c>
      <c r="C464">
        <f>IF(ISNA(MATCH(451,Engine!$C$2:$C$630,0)),"",INDEX('Compliance Database'!$C$2:$C$630,MATCH(451,Engine!$C$2:$C$630,0)))</f>
        <v/>
      </c>
      <c r="D464" s="8">
        <f>IF(ISNA(MATCH(451,Engine!$C$2:$C$630,0)),"",INDEX('Compliance Database'!$D$2:$D$630,MATCH(451,Engine!$C$2:$C$630,0)))</f>
        <v/>
      </c>
      <c r="E464">
        <f>IF(ISNA(MATCH(451,Engine!$C$2:$C$630,0)),"",INDEX('Compliance Database'!$E$2:$E$630,MATCH(451,Engine!$C$2:$C$630,0)))</f>
        <v/>
      </c>
      <c r="F464">
        <f>IF(ISNA(MATCH(451,Engine!$C$2:$C$630,0)),"",INDEX('Compliance Database'!$F$2:$F$630,MATCH(451,Engine!$C$2:$C$630,0)))</f>
        <v/>
      </c>
      <c r="G464">
        <f>IF(ISNA(MATCH(451,Engine!$C$2:$C$630,0)),"",INDEX('Compliance Database'!$G$2:$G$630,MATCH(451,Engine!$C$2:$C$630,0)))</f>
        <v/>
      </c>
      <c r="H464">
        <f>IF(ISNA(MATCH(451,Engine!$C$2:$C$630,0)),"",INDEX('Compliance Database'!$H$2:$H$630,MATCH(451,Engine!$C$2:$C$630,0)))</f>
        <v/>
      </c>
      <c r="I464" s="8">
        <f>IF(ISNA(MATCH(451,Engine!$C$2:$C$630,0)),"",INDEX('Compliance Database'!$I$2:$I$630,MATCH(451,Engine!$C$2:$C$630,0)))</f>
        <v/>
      </c>
      <c r="J464" s="8">
        <f>IF(ISNA(MATCH(451,Engine!$C$2:$C$630,0)),"",INDEX('Compliance Database'!$J$2:$J$630,MATCH(451,Engine!$C$2:$C$630,0)))</f>
        <v/>
      </c>
      <c r="K464">
        <f>IF(ISNA(MATCH(451,Engine!$C$2:$C$630,0)),"",INDEX('Compliance Database'!$K$2:$K$630,MATCH(451,Engine!$C$2:$C$630,0)))</f>
        <v/>
      </c>
      <c r="L464" s="8">
        <f>IF(ISNA(MATCH(451,Engine!$C$2:$C$630,0)),"",INDEX('Compliance Database'!$L$2:$L$630,MATCH(451,Engine!$C$2:$C$630,0)))</f>
        <v/>
      </c>
      <c r="M464" s="8">
        <f>IF(ISNA(MATCH(451,Engine!$C$2:$C$630,0)),"",INDEX('Compliance Database'!$M$2:$M$630,MATCH(451,Engine!$C$2:$C$630,0)))</f>
        <v/>
      </c>
      <c r="N464" s="8">
        <f>IF(ISNA(MATCH(451,Engine!$C$2:$C$630,0)),"",INDEX('Compliance Database'!$N$2:$N$630,MATCH(451,Engine!$C$2:$C$630,0)))</f>
        <v/>
      </c>
      <c r="O464" s="8">
        <f>IF(ISNA(MATCH(451,Engine!$C$2:$C$630,0)),"",INDEX('Compliance Database'!$O$2:$O$630,MATCH(451,Engine!$C$2:$C$630,0)))</f>
        <v/>
      </c>
    </row>
    <row r="465">
      <c r="A465">
        <f>IF(ISNA(MATCH(452,Engine!$C$2:$C$630,0)),"",INDEX('Compliance Database'!$A$2:$A$630,MATCH(452,Engine!$C$2:$C$630,0)))</f>
        <v/>
      </c>
      <c r="B465">
        <f>IF(ISNA(MATCH(452,Engine!$C$2:$C$630,0)),"",INDEX('Compliance Database'!$B$2:$B$630,MATCH(452,Engine!$C$2:$C$630,0)))</f>
        <v/>
      </c>
      <c r="C465">
        <f>IF(ISNA(MATCH(452,Engine!$C$2:$C$630,0)),"",INDEX('Compliance Database'!$C$2:$C$630,MATCH(452,Engine!$C$2:$C$630,0)))</f>
        <v/>
      </c>
      <c r="D465" s="8">
        <f>IF(ISNA(MATCH(452,Engine!$C$2:$C$630,0)),"",INDEX('Compliance Database'!$D$2:$D$630,MATCH(452,Engine!$C$2:$C$630,0)))</f>
        <v/>
      </c>
      <c r="E465">
        <f>IF(ISNA(MATCH(452,Engine!$C$2:$C$630,0)),"",INDEX('Compliance Database'!$E$2:$E$630,MATCH(452,Engine!$C$2:$C$630,0)))</f>
        <v/>
      </c>
      <c r="F465">
        <f>IF(ISNA(MATCH(452,Engine!$C$2:$C$630,0)),"",INDEX('Compliance Database'!$F$2:$F$630,MATCH(452,Engine!$C$2:$C$630,0)))</f>
        <v/>
      </c>
      <c r="G465">
        <f>IF(ISNA(MATCH(452,Engine!$C$2:$C$630,0)),"",INDEX('Compliance Database'!$G$2:$G$630,MATCH(452,Engine!$C$2:$C$630,0)))</f>
        <v/>
      </c>
      <c r="H465">
        <f>IF(ISNA(MATCH(452,Engine!$C$2:$C$630,0)),"",INDEX('Compliance Database'!$H$2:$H$630,MATCH(452,Engine!$C$2:$C$630,0)))</f>
        <v/>
      </c>
      <c r="I465" s="8">
        <f>IF(ISNA(MATCH(452,Engine!$C$2:$C$630,0)),"",INDEX('Compliance Database'!$I$2:$I$630,MATCH(452,Engine!$C$2:$C$630,0)))</f>
        <v/>
      </c>
      <c r="J465" s="8">
        <f>IF(ISNA(MATCH(452,Engine!$C$2:$C$630,0)),"",INDEX('Compliance Database'!$J$2:$J$630,MATCH(452,Engine!$C$2:$C$630,0)))</f>
        <v/>
      </c>
      <c r="K465">
        <f>IF(ISNA(MATCH(452,Engine!$C$2:$C$630,0)),"",INDEX('Compliance Database'!$K$2:$K$630,MATCH(452,Engine!$C$2:$C$630,0)))</f>
        <v/>
      </c>
      <c r="L465" s="8">
        <f>IF(ISNA(MATCH(452,Engine!$C$2:$C$630,0)),"",INDEX('Compliance Database'!$L$2:$L$630,MATCH(452,Engine!$C$2:$C$630,0)))</f>
        <v/>
      </c>
      <c r="M465" s="8">
        <f>IF(ISNA(MATCH(452,Engine!$C$2:$C$630,0)),"",INDEX('Compliance Database'!$M$2:$M$630,MATCH(452,Engine!$C$2:$C$630,0)))</f>
        <v/>
      </c>
      <c r="N465" s="8">
        <f>IF(ISNA(MATCH(452,Engine!$C$2:$C$630,0)),"",INDEX('Compliance Database'!$N$2:$N$630,MATCH(452,Engine!$C$2:$C$630,0)))</f>
        <v/>
      </c>
      <c r="O465" s="8">
        <f>IF(ISNA(MATCH(452,Engine!$C$2:$C$630,0)),"",INDEX('Compliance Database'!$O$2:$O$630,MATCH(452,Engine!$C$2:$C$630,0)))</f>
        <v/>
      </c>
    </row>
    <row r="466">
      <c r="A466">
        <f>IF(ISNA(MATCH(453,Engine!$C$2:$C$630,0)),"",INDEX('Compliance Database'!$A$2:$A$630,MATCH(453,Engine!$C$2:$C$630,0)))</f>
        <v/>
      </c>
      <c r="B466">
        <f>IF(ISNA(MATCH(453,Engine!$C$2:$C$630,0)),"",INDEX('Compliance Database'!$B$2:$B$630,MATCH(453,Engine!$C$2:$C$630,0)))</f>
        <v/>
      </c>
      <c r="C466">
        <f>IF(ISNA(MATCH(453,Engine!$C$2:$C$630,0)),"",INDEX('Compliance Database'!$C$2:$C$630,MATCH(453,Engine!$C$2:$C$630,0)))</f>
        <v/>
      </c>
      <c r="D466" s="8">
        <f>IF(ISNA(MATCH(453,Engine!$C$2:$C$630,0)),"",INDEX('Compliance Database'!$D$2:$D$630,MATCH(453,Engine!$C$2:$C$630,0)))</f>
        <v/>
      </c>
      <c r="E466">
        <f>IF(ISNA(MATCH(453,Engine!$C$2:$C$630,0)),"",INDEX('Compliance Database'!$E$2:$E$630,MATCH(453,Engine!$C$2:$C$630,0)))</f>
        <v/>
      </c>
      <c r="F466">
        <f>IF(ISNA(MATCH(453,Engine!$C$2:$C$630,0)),"",INDEX('Compliance Database'!$F$2:$F$630,MATCH(453,Engine!$C$2:$C$630,0)))</f>
        <v/>
      </c>
      <c r="G466">
        <f>IF(ISNA(MATCH(453,Engine!$C$2:$C$630,0)),"",INDEX('Compliance Database'!$G$2:$G$630,MATCH(453,Engine!$C$2:$C$630,0)))</f>
        <v/>
      </c>
      <c r="H466">
        <f>IF(ISNA(MATCH(453,Engine!$C$2:$C$630,0)),"",INDEX('Compliance Database'!$H$2:$H$630,MATCH(453,Engine!$C$2:$C$630,0)))</f>
        <v/>
      </c>
      <c r="I466" s="8">
        <f>IF(ISNA(MATCH(453,Engine!$C$2:$C$630,0)),"",INDEX('Compliance Database'!$I$2:$I$630,MATCH(453,Engine!$C$2:$C$630,0)))</f>
        <v/>
      </c>
      <c r="J466" s="8">
        <f>IF(ISNA(MATCH(453,Engine!$C$2:$C$630,0)),"",INDEX('Compliance Database'!$J$2:$J$630,MATCH(453,Engine!$C$2:$C$630,0)))</f>
        <v/>
      </c>
      <c r="K466">
        <f>IF(ISNA(MATCH(453,Engine!$C$2:$C$630,0)),"",INDEX('Compliance Database'!$K$2:$K$630,MATCH(453,Engine!$C$2:$C$630,0)))</f>
        <v/>
      </c>
      <c r="L466" s="8">
        <f>IF(ISNA(MATCH(453,Engine!$C$2:$C$630,0)),"",INDEX('Compliance Database'!$L$2:$L$630,MATCH(453,Engine!$C$2:$C$630,0)))</f>
        <v/>
      </c>
      <c r="M466" s="8">
        <f>IF(ISNA(MATCH(453,Engine!$C$2:$C$630,0)),"",INDEX('Compliance Database'!$M$2:$M$630,MATCH(453,Engine!$C$2:$C$630,0)))</f>
        <v/>
      </c>
      <c r="N466" s="8">
        <f>IF(ISNA(MATCH(453,Engine!$C$2:$C$630,0)),"",INDEX('Compliance Database'!$N$2:$N$630,MATCH(453,Engine!$C$2:$C$630,0)))</f>
        <v/>
      </c>
      <c r="O466" s="8">
        <f>IF(ISNA(MATCH(453,Engine!$C$2:$C$630,0)),"",INDEX('Compliance Database'!$O$2:$O$630,MATCH(453,Engine!$C$2:$C$630,0)))</f>
        <v/>
      </c>
    </row>
    <row r="467">
      <c r="A467">
        <f>IF(ISNA(MATCH(454,Engine!$C$2:$C$630,0)),"",INDEX('Compliance Database'!$A$2:$A$630,MATCH(454,Engine!$C$2:$C$630,0)))</f>
        <v/>
      </c>
      <c r="B467">
        <f>IF(ISNA(MATCH(454,Engine!$C$2:$C$630,0)),"",INDEX('Compliance Database'!$B$2:$B$630,MATCH(454,Engine!$C$2:$C$630,0)))</f>
        <v/>
      </c>
      <c r="C467">
        <f>IF(ISNA(MATCH(454,Engine!$C$2:$C$630,0)),"",INDEX('Compliance Database'!$C$2:$C$630,MATCH(454,Engine!$C$2:$C$630,0)))</f>
        <v/>
      </c>
      <c r="D467" s="8">
        <f>IF(ISNA(MATCH(454,Engine!$C$2:$C$630,0)),"",INDEX('Compliance Database'!$D$2:$D$630,MATCH(454,Engine!$C$2:$C$630,0)))</f>
        <v/>
      </c>
      <c r="E467">
        <f>IF(ISNA(MATCH(454,Engine!$C$2:$C$630,0)),"",INDEX('Compliance Database'!$E$2:$E$630,MATCH(454,Engine!$C$2:$C$630,0)))</f>
        <v/>
      </c>
      <c r="F467">
        <f>IF(ISNA(MATCH(454,Engine!$C$2:$C$630,0)),"",INDEX('Compliance Database'!$F$2:$F$630,MATCH(454,Engine!$C$2:$C$630,0)))</f>
        <v/>
      </c>
      <c r="G467">
        <f>IF(ISNA(MATCH(454,Engine!$C$2:$C$630,0)),"",INDEX('Compliance Database'!$G$2:$G$630,MATCH(454,Engine!$C$2:$C$630,0)))</f>
        <v/>
      </c>
      <c r="H467">
        <f>IF(ISNA(MATCH(454,Engine!$C$2:$C$630,0)),"",INDEX('Compliance Database'!$H$2:$H$630,MATCH(454,Engine!$C$2:$C$630,0)))</f>
        <v/>
      </c>
      <c r="I467" s="8">
        <f>IF(ISNA(MATCH(454,Engine!$C$2:$C$630,0)),"",INDEX('Compliance Database'!$I$2:$I$630,MATCH(454,Engine!$C$2:$C$630,0)))</f>
        <v/>
      </c>
      <c r="J467" s="8">
        <f>IF(ISNA(MATCH(454,Engine!$C$2:$C$630,0)),"",INDEX('Compliance Database'!$J$2:$J$630,MATCH(454,Engine!$C$2:$C$630,0)))</f>
        <v/>
      </c>
      <c r="K467">
        <f>IF(ISNA(MATCH(454,Engine!$C$2:$C$630,0)),"",INDEX('Compliance Database'!$K$2:$K$630,MATCH(454,Engine!$C$2:$C$630,0)))</f>
        <v/>
      </c>
      <c r="L467" s="8">
        <f>IF(ISNA(MATCH(454,Engine!$C$2:$C$630,0)),"",INDEX('Compliance Database'!$L$2:$L$630,MATCH(454,Engine!$C$2:$C$630,0)))</f>
        <v/>
      </c>
      <c r="M467" s="8">
        <f>IF(ISNA(MATCH(454,Engine!$C$2:$C$630,0)),"",INDEX('Compliance Database'!$M$2:$M$630,MATCH(454,Engine!$C$2:$C$630,0)))</f>
        <v/>
      </c>
      <c r="N467" s="8">
        <f>IF(ISNA(MATCH(454,Engine!$C$2:$C$630,0)),"",INDEX('Compliance Database'!$N$2:$N$630,MATCH(454,Engine!$C$2:$C$630,0)))</f>
        <v/>
      </c>
      <c r="O467" s="8">
        <f>IF(ISNA(MATCH(454,Engine!$C$2:$C$630,0)),"",INDEX('Compliance Database'!$O$2:$O$630,MATCH(454,Engine!$C$2:$C$630,0)))</f>
        <v/>
      </c>
    </row>
    <row r="468">
      <c r="A468">
        <f>IF(ISNA(MATCH(455,Engine!$C$2:$C$630,0)),"",INDEX('Compliance Database'!$A$2:$A$630,MATCH(455,Engine!$C$2:$C$630,0)))</f>
        <v/>
      </c>
      <c r="B468">
        <f>IF(ISNA(MATCH(455,Engine!$C$2:$C$630,0)),"",INDEX('Compliance Database'!$B$2:$B$630,MATCH(455,Engine!$C$2:$C$630,0)))</f>
        <v/>
      </c>
      <c r="C468">
        <f>IF(ISNA(MATCH(455,Engine!$C$2:$C$630,0)),"",INDEX('Compliance Database'!$C$2:$C$630,MATCH(455,Engine!$C$2:$C$630,0)))</f>
        <v/>
      </c>
      <c r="D468" s="8">
        <f>IF(ISNA(MATCH(455,Engine!$C$2:$C$630,0)),"",INDEX('Compliance Database'!$D$2:$D$630,MATCH(455,Engine!$C$2:$C$630,0)))</f>
        <v/>
      </c>
      <c r="E468">
        <f>IF(ISNA(MATCH(455,Engine!$C$2:$C$630,0)),"",INDEX('Compliance Database'!$E$2:$E$630,MATCH(455,Engine!$C$2:$C$630,0)))</f>
        <v/>
      </c>
      <c r="F468">
        <f>IF(ISNA(MATCH(455,Engine!$C$2:$C$630,0)),"",INDEX('Compliance Database'!$F$2:$F$630,MATCH(455,Engine!$C$2:$C$630,0)))</f>
        <v/>
      </c>
      <c r="G468">
        <f>IF(ISNA(MATCH(455,Engine!$C$2:$C$630,0)),"",INDEX('Compliance Database'!$G$2:$G$630,MATCH(455,Engine!$C$2:$C$630,0)))</f>
        <v/>
      </c>
      <c r="H468">
        <f>IF(ISNA(MATCH(455,Engine!$C$2:$C$630,0)),"",INDEX('Compliance Database'!$H$2:$H$630,MATCH(455,Engine!$C$2:$C$630,0)))</f>
        <v/>
      </c>
      <c r="I468" s="8">
        <f>IF(ISNA(MATCH(455,Engine!$C$2:$C$630,0)),"",INDEX('Compliance Database'!$I$2:$I$630,MATCH(455,Engine!$C$2:$C$630,0)))</f>
        <v/>
      </c>
      <c r="J468" s="8">
        <f>IF(ISNA(MATCH(455,Engine!$C$2:$C$630,0)),"",INDEX('Compliance Database'!$J$2:$J$630,MATCH(455,Engine!$C$2:$C$630,0)))</f>
        <v/>
      </c>
      <c r="K468">
        <f>IF(ISNA(MATCH(455,Engine!$C$2:$C$630,0)),"",INDEX('Compliance Database'!$K$2:$K$630,MATCH(455,Engine!$C$2:$C$630,0)))</f>
        <v/>
      </c>
      <c r="L468" s="8">
        <f>IF(ISNA(MATCH(455,Engine!$C$2:$C$630,0)),"",INDEX('Compliance Database'!$L$2:$L$630,MATCH(455,Engine!$C$2:$C$630,0)))</f>
        <v/>
      </c>
      <c r="M468" s="8">
        <f>IF(ISNA(MATCH(455,Engine!$C$2:$C$630,0)),"",INDEX('Compliance Database'!$M$2:$M$630,MATCH(455,Engine!$C$2:$C$630,0)))</f>
        <v/>
      </c>
      <c r="N468" s="8">
        <f>IF(ISNA(MATCH(455,Engine!$C$2:$C$630,0)),"",INDEX('Compliance Database'!$N$2:$N$630,MATCH(455,Engine!$C$2:$C$630,0)))</f>
        <v/>
      </c>
      <c r="O468" s="8">
        <f>IF(ISNA(MATCH(455,Engine!$C$2:$C$630,0)),"",INDEX('Compliance Database'!$O$2:$O$630,MATCH(455,Engine!$C$2:$C$630,0)))</f>
        <v/>
      </c>
    </row>
    <row r="469">
      <c r="A469">
        <f>IF(ISNA(MATCH(456,Engine!$C$2:$C$630,0)),"",INDEX('Compliance Database'!$A$2:$A$630,MATCH(456,Engine!$C$2:$C$630,0)))</f>
        <v/>
      </c>
      <c r="B469">
        <f>IF(ISNA(MATCH(456,Engine!$C$2:$C$630,0)),"",INDEX('Compliance Database'!$B$2:$B$630,MATCH(456,Engine!$C$2:$C$630,0)))</f>
        <v/>
      </c>
      <c r="C469">
        <f>IF(ISNA(MATCH(456,Engine!$C$2:$C$630,0)),"",INDEX('Compliance Database'!$C$2:$C$630,MATCH(456,Engine!$C$2:$C$630,0)))</f>
        <v/>
      </c>
      <c r="D469" s="8">
        <f>IF(ISNA(MATCH(456,Engine!$C$2:$C$630,0)),"",INDEX('Compliance Database'!$D$2:$D$630,MATCH(456,Engine!$C$2:$C$630,0)))</f>
        <v/>
      </c>
      <c r="E469">
        <f>IF(ISNA(MATCH(456,Engine!$C$2:$C$630,0)),"",INDEX('Compliance Database'!$E$2:$E$630,MATCH(456,Engine!$C$2:$C$630,0)))</f>
        <v/>
      </c>
      <c r="F469">
        <f>IF(ISNA(MATCH(456,Engine!$C$2:$C$630,0)),"",INDEX('Compliance Database'!$F$2:$F$630,MATCH(456,Engine!$C$2:$C$630,0)))</f>
        <v/>
      </c>
      <c r="G469">
        <f>IF(ISNA(MATCH(456,Engine!$C$2:$C$630,0)),"",INDEX('Compliance Database'!$G$2:$G$630,MATCH(456,Engine!$C$2:$C$630,0)))</f>
        <v/>
      </c>
      <c r="H469">
        <f>IF(ISNA(MATCH(456,Engine!$C$2:$C$630,0)),"",INDEX('Compliance Database'!$H$2:$H$630,MATCH(456,Engine!$C$2:$C$630,0)))</f>
        <v/>
      </c>
      <c r="I469" s="8">
        <f>IF(ISNA(MATCH(456,Engine!$C$2:$C$630,0)),"",INDEX('Compliance Database'!$I$2:$I$630,MATCH(456,Engine!$C$2:$C$630,0)))</f>
        <v/>
      </c>
      <c r="J469" s="8">
        <f>IF(ISNA(MATCH(456,Engine!$C$2:$C$630,0)),"",INDEX('Compliance Database'!$J$2:$J$630,MATCH(456,Engine!$C$2:$C$630,0)))</f>
        <v/>
      </c>
      <c r="K469">
        <f>IF(ISNA(MATCH(456,Engine!$C$2:$C$630,0)),"",INDEX('Compliance Database'!$K$2:$K$630,MATCH(456,Engine!$C$2:$C$630,0)))</f>
        <v/>
      </c>
      <c r="L469" s="8">
        <f>IF(ISNA(MATCH(456,Engine!$C$2:$C$630,0)),"",INDEX('Compliance Database'!$L$2:$L$630,MATCH(456,Engine!$C$2:$C$630,0)))</f>
        <v/>
      </c>
      <c r="M469" s="8">
        <f>IF(ISNA(MATCH(456,Engine!$C$2:$C$630,0)),"",INDEX('Compliance Database'!$M$2:$M$630,MATCH(456,Engine!$C$2:$C$630,0)))</f>
        <v/>
      </c>
      <c r="N469" s="8">
        <f>IF(ISNA(MATCH(456,Engine!$C$2:$C$630,0)),"",INDEX('Compliance Database'!$N$2:$N$630,MATCH(456,Engine!$C$2:$C$630,0)))</f>
        <v/>
      </c>
      <c r="O469" s="8">
        <f>IF(ISNA(MATCH(456,Engine!$C$2:$C$630,0)),"",INDEX('Compliance Database'!$O$2:$O$630,MATCH(456,Engine!$C$2:$C$630,0)))</f>
        <v/>
      </c>
    </row>
    <row r="470">
      <c r="A470">
        <f>IF(ISNA(MATCH(457,Engine!$C$2:$C$630,0)),"",INDEX('Compliance Database'!$A$2:$A$630,MATCH(457,Engine!$C$2:$C$630,0)))</f>
        <v/>
      </c>
      <c r="B470">
        <f>IF(ISNA(MATCH(457,Engine!$C$2:$C$630,0)),"",INDEX('Compliance Database'!$B$2:$B$630,MATCH(457,Engine!$C$2:$C$630,0)))</f>
        <v/>
      </c>
      <c r="C470">
        <f>IF(ISNA(MATCH(457,Engine!$C$2:$C$630,0)),"",INDEX('Compliance Database'!$C$2:$C$630,MATCH(457,Engine!$C$2:$C$630,0)))</f>
        <v/>
      </c>
      <c r="D470" s="8">
        <f>IF(ISNA(MATCH(457,Engine!$C$2:$C$630,0)),"",INDEX('Compliance Database'!$D$2:$D$630,MATCH(457,Engine!$C$2:$C$630,0)))</f>
        <v/>
      </c>
      <c r="E470">
        <f>IF(ISNA(MATCH(457,Engine!$C$2:$C$630,0)),"",INDEX('Compliance Database'!$E$2:$E$630,MATCH(457,Engine!$C$2:$C$630,0)))</f>
        <v/>
      </c>
      <c r="F470">
        <f>IF(ISNA(MATCH(457,Engine!$C$2:$C$630,0)),"",INDEX('Compliance Database'!$F$2:$F$630,MATCH(457,Engine!$C$2:$C$630,0)))</f>
        <v/>
      </c>
      <c r="G470">
        <f>IF(ISNA(MATCH(457,Engine!$C$2:$C$630,0)),"",INDEX('Compliance Database'!$G$2:$G$630,MATCH(457,Engine!$C$2:$C$630,0)))</f>
        <v/>
      </c>
      <c r="H470">
        <f>IF(ISNA(MATCH(457,Engine!$C$2:$C$630,0)),"",INDEX('Compliance Database'!$H$2:$H$630,MATCH(457,Engine!$C$2:$C$630,0)))</f>
        <v/>
      </c>
      <c r="I470" s="8">
        <f>IF(ISNA(MATCH(457,Engine!$C$2:$C$630,0)),"",INDEX('Compliance Database'!$I$2:$I$630,MATCH(457,Engine!$C$2:$C$630,0)))</f>
        <v/>
      </c>
      <c r="J470" s="8">
        <f>IF(ISNA(MATCH(457,Engine!$C$2:$C$630,0)),"",INDEX('Compliance Database'!$J$2:$J$630,MATCH(457,Engine!$C$2:$C$630,0)))</f>
        <v/>
      </c>
      <c r="K470">
        <f>IF(ISNA(MATCH(457,Engine!$C$2:$C$630,0)),"",INDEX('Compliance Database'!$K$2:$K$630,MATCH(457,Engine!$C$2:$C$630,0)))</f>
        <v/>
      </c>
      <c r="L470" s="8">
        <f>IF(ISNA(MATCH(457,Engine!$C$2:$C$630,0)),"",INDEX('Compliance Database'!$L$2:$L$630,MATCH(457,Engine!$C$2:$C$630,0)))</f>
        <v/>
      </c>
      <c r="M470" s="8">
        <f>IF(ISNA(MATCH(457,Engine!$C$2:$C$630,0)),"",INDEX('Compliance Database'!$M$2:$M$630,MATCH(457,Engine!$C$2:$C$630,0)))</f>
        <v/>
      </c>
      <c r="N470" s="8">
        <f>IF(ISNA(MATCH(457,Engine!$C$2:$C$630,0)),"",INDEX('Compliance Database'!$N$2:$N$630,MATCH(457,Engine!$C$2:$C$630,0)))</f>
        <v/>
      </c>
      <c r="O470" s="8">
        <f>IF(ISNA(MATCH(457,Engine!$C$2:$C$630,0)),"",INDEX('Compliance Database'!$O$2:$O$630,MATCH(457,Engine!$C$2:$C$630,0)))</f>
        <v/>
      </c>
    </row>
    <row r="471">
      <c r="A471">
        <f>IF(ISNA(MATCH(458,Engine!$C$2:$C$630,0)),"",INDEX('Compliance Database'!$A$2:$A$630,MATCH(458,Engine!$C$2:$C$630,0)))</f>
        <v/>
      </c>
      <c r="B471">
        <f>IF(ISNA(MATCH(458,Engine!$C$2:$C$630,0)),"",INDEX('Compliance Database'!$B$2:$B$630,MATCH(458,Engine!$C$2:$C$630,0)))</f>
        <v/>
      </c>
      <c r="C471">
        <f>IF(ISNA(MATCH(458,Engine!$C$2:$C$630,0)),"",INDEX('Compliance Database'!$C$2:$C$630,MATCH(458,Engine!$C$2:$C$630,0)))</f>
        <v/>
      </c>
      <c r="D471" s="8">
        <f>IF(ISNA(MATCH(458,Engine!$C$2:$C$630,0)),"",INDEX('Compliance Database'!$D$2:$D$630,MATCH(458,Engine!$C$2:$C$630,0)))</f>
        <v/>
      </c>
      <c r="E471">
        <f>IF(ISNA(MATCH(458,Engine!$C$2:$C$630,0)),"",INDEX('Compliance Database'!$E$2:$E$630,MATCH(458,Engine!$C$2:$C$630,0)))</f>
        <v/>
      </c>
      <c r="F471">
        <f>IF(ISNA(MATCH(458,Engine!$C$2:$C$630,0)),"",INDEX('Compliance Database'!$F$2:$F$630,MATCH(458,Engine!$C$2:$C$630,0)))</f>
        <v/>
      </c>
      <c r="G471">
        <f>IF(ISNA(MATCH(458,Engine!$C$2:$C$630,0)),"",INDEX('Compliance Database'!$G$2:$G$630,MATCH(458,Engine!$C$2:$C$630,0)))</f>
        <v/>
      </c>
      <c r="H471">
        <f>IF(ISNA(MATCH(458,Engine!$C$2:$C$630,0)),"",INDEX('Compliance Database'!$H$2:$H$630,MATCH(458,Engine!$C$2:$C$630,0)))</f>
        <v/>
      </c>
      <c r="I471" s="8">
        <f>IF(ISNA(MATCH(458,Engine!$C$2:$C$630,0)),"",INDEX('Compliance Database'!$I$2:$I$630,MATCH(458,Engine!$C$2:$C$630,0)))</f>
        <v/>
      </c>
      <c r="J471" s="8">
        <f>IF(ISNA(MATCH(458,Engine!$C$2:$C$630,0)),"",INDEX('Compliance Database'!$J$2:$J$630,MATCH(458,Engine!$C$2:$C$630,0)))</f>
        <v/>
      </c>
      <c r="K471">
        <f>IF(ISNA(MATCH(458,Engine!$C$2:$C$630,0)),"",INDEX('Compliance Database'!$K$2:$K$630,MATCH(458,Engine!$C$2:$C$630,0)))</f>
        <v/>
      </c>
      <c r="L471" s="8">
        <f>IF(ISNA(MATCH(458,Engine!$C$2:$C$630,0)),"",INDEX('Compliance Database'!$L$2:$L$630,MATCH(458,Engine!$C$2:$C$630,0)))</f>
        <v/>
      </c>
      <c r="M471" s="8">
        <f>IF(ISNA(MATCH(458,Engine!$C$2:$C$630,0)),"",INDEX('Compliance Database'!$M$2:$M$630,MATCH(458,Engine!$C$2:$C$630,0)))</f>
        <v/>
      </c>
      <c r="N471" s="8">
        <f>IF(ISNA(MATCH(458,Engine!$C$2:$C$630,0)),"",INDEX('Compliance Database'!$N$2:$N$630,MATCH(458,Engine!$C$2:$C$630,0)))</f>
        <v/>
      </c>
      <c r="O471" s="8">
        <f>IF(ISNA(MATCH(458,Engine!$C$2:$C$630,0)),"",INDEX('Compliance Database'!$O$2:$O$630,MATCH(458,Engine!$C$2:$C$630,0)))</f>
        <v/>
      </c>
    </row>
    <row r="472">
      <c r="A472">
        <f>IF(ISNA(MATCH(459,Engine!$C$2:$C$630,0)),"",INDEX('Compliance Database'!$A$2:$A$630,MATCH(459,Engine!$C$2:$C$630,0)))</f>
        <v/>
      </c>
      <c r="B472">
        <f>IF(ISNA(MATCH(459,Engine!$C$2:$C$630,0)),"",INDEX('Compliance Database'!$B$2:$B$630,MATCH(459,Engine!$C$2:$C$630,0)))</f>
        <v/>
      </c>
      <c r="C472">
        <f>IF(ISNA(MATCH(459,Engine!$C$2:$C$630,0)),"",INDEX('Compliance Database'!$C$2:$C$630,MATCH(459,Engine!$C$2:$C$630,0)))</f>
        <v/>
      </c>
      <c r="D472" s="8">
        <f>IF(ISNA(MATCH(459,Engine!$C$2:$C$630,0)),"",INDEX('Compliance Database'!$D$2:$D$630,MATCH(459,Engine!$C$2:$C$630,0)))</f>
        <v/>
      </c>
      <c r="E472">
        <f>IF(ISNA(MATCH(459,Engine!$C$2:$C$630,0)),"",INDEX('Compliance Database'!$E$2:$E$630,MATCH(459,Engine!$C$2:$C$630,0)))</f>
        <v/>
      </c>
      <c r="F472">
        <f>IF(ISNA(MATCH(459,Engine!$C$2:$C$630,0)),"",INDEX('Compliance Database'!$F$2:$F$630,MATCH(459,Engine!$C$2:$C$630,0)))</f>
        <v/>
      </c>
      <c r="G472">
        <f>IF(ISNA(MATCH(459,Engine!$C$2:$C$630,0)),"",INDEX('Compliance Database'!$G$2:$G$630,MATCH(459,Engine!$C$2:$C$630,0)))</f>
        <v/>
      </c>
      <c r="H472">
        <f>IF(ISNA(MATCH(459,Engine!$C$2:$C$630,0)),"",INDEX('Compliance Database'!$H$2:$H$630,MATCH(459,Engine!$C$2:$C$630,0)))</f>
        <v/>
      </c>
      <c r="I472" s="8">
        <f>IF(ISNA(MATCH(459,Engine!$C$2:$C$630,0)),"",INDEX('Compliance Database'!$I$2:$I$630,MATCH(459,Engine!$C$2:$C$630,0)))</f>
        <v/>
      </c>
      <c r="J472" s="8">
        <f>IF(ISNA(MATCH(459,Engine!$C$2:$C$630,0)),"",INDEX('Compliance Database'!$J$2:$J$630,MATCH(459,Engine!$C$2:$C$630,0)))</f>
        <v/>
      </c>
      <c r="K472">
        <f>IF(ISNA(MATCH(459,Engine!$C$2:$C$630,0)),"",INDEX('Compliance Database'!$K$2:$K$630,MATCH(459,Engine!$C$2:$C$630,0)))</f>
        <v/>
      </c>
      <c r="L472" s="8">
        <f>IF(ISNA(MATCH(459,Engine!$C$2:$C$630,0)),"",INDEX('Compliance Database'!$L$2:$L$630,MATCH(459,Engine!$C$2:$C$630,0)))</f>
        <v/>
      </c>
      <c r="M472" s="8">
        <f>IF(ISNA(MATCH(459,Engine!$C$2:$C$630,0)),"",INDEX('Compliance Database'!$M$2:$M$630,MATCH(459,Engine!$C$2:$C$630,0)))</f>
        <v/>
      </c>
      <c r="N472" s="8">
        <f>IF(ISNA(MATCH(459,Engine!$C$2:$C$630,0)),"",INDEX('Compliance Database'!$N$2:$N$630,MATCH(459,Engine!$C$2:$C$630,0)))</f>
        <v/>
      </c>
      <c r="O472" s="8">
        <f>IF(ISNA(MATCH(459,Engine!$C$2:$C$630,0)),"",INDEX('Compliance Database'!$O$2:$O$630,MATCH(459,Engine!$C$2:$C$630,0)))</f>
        <v/>
      </c>
    </row>
    <row r="473">
      <c r="A473">
        <f>IF(ISNA(MATCH(460,Engine!$C$2:$C$630,0)),"",INDEX('Compliance Database'!$A$2:$A$630,MATCH(460,Engine!$C$2:$C$630,0)))</f>
        <v/>
      </c>
      <c r="B473">
        <f>IF(ISNA(MATCH(460,Engine!$C$2:$C$630,0)),"",INDEX('Compliance Database'!$B$2:$B$630,MATCH(460,Engine!$C$2:$C$630,0)))</f>
        <v/>
      </c>
      <c r="C473">
        <f>IF(ISNA(MATCH(460,Engine!$C$2:$C$630,0)),"",INDEX('Compliance Database'!$C$2:$C$630,MATCH(460,Engine!$C$2:$C$630,0)))</f>
        <v/>
      </c>
      <c r="D473" s="8">
        <f>IF(ISNA(MATCH(460,Engine!$C$2:$C$630,0)),"",INDEX('Compliance Database'!$D$2:$D$630,MATCH(460,Engine!$C$2:$C$630,0)))</f>
        <v/>
      </c>
      <c r="E473">
        <f>IF(ISNA(MATCH(460,Engine!$C$2:$C$630,0)),"",INDEX('Compliance Database'!$E$2:$E$630,MATCH(460,Engine!$C$2:$C$630,0)))</f>
        <v/>
      </c>
      <c r="F473">
        <f>IF(ISNA(MATCH(460,Engine!$C$2:$C$630,0)),"",INDEX('Compliance Database'!$F$2:$F$630,MATCH(460,Engine!$C$2:$C$630,0)))</f>
        <v/>
      </c>
      <c r="G473">
        <f>IF(ISNA(MATCH(460,Engine!$C$2:$C$630,0)),"",INDEX('Compliance Database'!$G$2:$G$630,MATCH(460,Engine!$C$2:$C$630,0)))</f>
        <v/>
      </c>
      <c r="H473">
        <f>IF(ISNA(MATCH(460,Engine!$C$2:$C$630,0)),"",INDEX('Compliance Database'!$H$2:$H$630,MATCH(460,Engine!$C$2:$C$630,0)))</f>
        <v/>
      </c>
      <c r="I473" s="8">
        <f>IF(ISNA(MATCH(460,Engine!$C$2:$C$630,0)),"",INDEX('Compliance Database'!$I$2:$I$630,MATCH(460,Engine!$C$2:$C$630,0)))</f>
        <v/>
      </c>
      <c r="J473" s="8">
        <f>IF(ISNA(MATCH(460,Engine!$C$2:$C$630,0)),"",INDEX('Compliance Database'!$J$2:$J$630,MATCH(460,Engine!$C$2:$C$630,0)))</f>
        <v/>
      </c>
      <c r="K473">
        <f>IF(ISNA(MATCH(460,Engine!$C$2:$C$630,0)),"",INDEX('Compliance Database'!$K$2:$K$630,MATCH(460,Engine!$C$2:$C$630,0)))</f>
        <v/>
      </c>
      <c r="L473" s="8">
        <f>IF(ISNA(MATCH(460,Engine!$C$2:$C$630,0)),"",INDEX('Compliance Database'!$L$2:$L$630,MATCH(460,Engine!$C$2:$C$630,0)))</f>
        <v/>
      </c>
      <c r="M473" s="8">
        <f>IF(ISNA(MATCH(460,Engine!$C$2:$C$630,0)),"",INDEX('Compliance Database'!$M$2:$M$630,MATCH(460,Engine!$C$2:$C$630,0)))</f>
        <v/>
      </c>
      <c r="N473" s="8">
        <f>IF(ISNA(MATCH(460,Engine!$C$2:$C$630,0)),"",INDEX('Compliance Database'!$N$2:$N$630,MATCH(460,Engine!$C$2:$C$630,0)))</f>
        <v/>
      </c>
      <c r="O473" s="8">
        <f>IF(ISNA(MATCH(460,Engine!$C$2:$C$630,0)),"",INDEX('Compliance Database'!$O$2:$O$630,MATCH(460,Engine!$C$2:$C$630,0)))</f>
        <v/>
      </c>
    </row>
    <row r="474">
      <c r="A474">
        <f>IF(ISNA(MATCH(461,Engine!$C$2:$C$630,0)),"",INDEX('Compliance Database'!$A$2:$A$630,MATCH(461,Engine!$C$2:$C$630,0)))</f>
        <v/>
      </c>
      <c r="B474">
        <f>IF(ISNA(MATCH(461,Engine!$C$2:$C$630,0)),"",INDEX('Compliance Database'!$B$2:$B$630,MATCH(461,Engine!$C$2:$C$630,0)))</f>
        <v/>
      </c>
      <c r="C474">
        <f>IF(ISNA(MATCH(461,Engine!$C$2:$C$630,0)),"",INDEX('Compliance Database'!$C$2:$C$630,MATCH(461,Engine!$C$2:$C$630,0)))</f>
        <v/>
      </c>
      <c r="D474" s="8">
        <f>IF(ISNA(MATCH(461,Engine!$C$2:$C$630,0)),"",INDEX('Compliance Database'!$D$2:$D$630,MATCH(461,Engine!$C$2:$C$630,0)))</f>
        <v/>
      </c>
      <c r="E474">
        <f>IF(ISNA(MATCH(461,Engine!$C$2:$C$630,0)),"",INDEX('Compliance Database'!$E$2:$E$630,MATCH(461,Engine!$C$2:$C$630,0)))</f>
        <v/>
      </c>
      <c r="F474">
        <f>IF(ISNA(MATCH(461,Engine!$C$2:$C$630,0)),"",INDEX('Compliance Database'!$F$2:$F$630,MATCH(461,Engine!$C$2:$C$630,0)))</f>
        <v/>
      </c>
      <c r="G474">
        <f>IF(ISNA(MATCH(461,Engine!$C$2:$C$630,0)),"",INDEX('Compliance Database'!$G$2:$G$630,MATCH(461,Engine!$C$2:$C$630,0)))</f>
        <v/>
      </c>
      <c r="H474">
        <f>IF(ISNA(MATCH(461,Engine!$C$2:$C$630,0)),"",INDEX('Compliance Database'!$H$2:$H$630,MATCH(461,Engine!$C$2:$C$630,0)))</f>
        <v/>
      </c>
      <c r="I474" s="8">
        <f>IF(ISNA(MATCH(461,Engine!$C$2:$C$630,0)),"",INDEX('Compliance Database'!$I$2:$I$630,MATCH(461,Engine!$C$2:$C$630,0)))</f>
        <v/>
      </c>
      <c r="J474" s="8">
        <f>IF(ISNA(MATCH(461,Engine!$C$2:$C$630,0)),"",INDEX('Compliance Database'!$J$2:$J$630,MATCH(461,Engine!$C$2:$C$630,0)))</f>
        <v/>
      </c>
      <c r="K474">
        <f>IF(ISNA(MATCH(461,Engine!$C$2:$C$630,0)),"",INDEX('Compliance Database'!$K$2:$K$630,MATCH(461,Engine!$C$2:$C$630,0)))</f>
        <v/>
      </c>
      <c r="L474" s="8">
        <f>IF(ISNA(MATCH(461,Engine!$C$2:$C$630,0)),"",INDEX('Compliance Database'!$L$2:$L$630,MATCH(461,Engine!$C$2:$C$630,0)))</f>
        <v/>
      </c>
      <c r="M474" s="8">
        <f>IF(ISNA(MATCH(461,Engine!$C$2:$C$630,0)),"",INDEX('Compliance Database'!$M$2:$M$630,MATCH(461,Engine!$C$2:$C$630,0)))</f>
        <v/>
      </c>
      <c r="N474" s="8">
        <f>IF(ISNA(MATCH(461,Engine!$C$2:$C$630,0)),"",INDEX('Compliance Database'!$N$2:$N$630,MATCH(461,Engine!$C$2:$C$630,0)))</f>
        <v/>
      </c>
      <c r="O474" s="8">
        <f>IF(ISNA(MATCH(461,Engine!$C$2:$C$630,0)),"",INDEX('Compliance Database'!$O$2:$O$630,MATCH(461,Engine!$C$2:$C$630,0)))</f>
        <v/>
      </c>
    </row>
    <row r="475">
      <c r="A475">
        <f>IF(ISNA(MATCH(462,Engine!$C$2:$C$630,0)),"",INDEX('Compliance Database'!$A$2:$A$630,MATCH(462,Engine!$C$2:$C$630,0)))</f>
        <v/>
      </c>
      <c r="B475">
        <f>IF(ISNA(MATCH(462,Engine!$C$2:$C$630,0)),"",INDEX('Compliance Database'!$B$2:$B$630,MATCH(462,Engine!$C$2:$C$630,0)))</f>
        <v/>
      </c>
      <c r="C475">
        <f>IF(ISNA(MATCH(462,Engine!$C$2:$C$630,0)),"",INDEX('Compliance Database'!$C$2:$C$630,MATCH(462,Engine!$C$2:$C$630,0)))</f>
        <v/>
      </c>
      <c r="D475" s="8">
        <f>IF(ISNA(MATCH(462,Engine!$C$2:$C$630,0)),"",INDEX('Compliance Database'!$D$2:$D$630,MATCH(462,Engine!$C$2:$C$630,0)))</f>
        <v/>
      </c>
      <c r="E475">
        <f>IF(ISNA(MATCH(462,Engine!$C$2:$C$630,0)),"",INDEX('Compliance Database'!$E$2:$E$630,MATCH(462,Engine!$C$2:$C$630,0)))</f>
        <v/>
      </c>
      <c r="F475">
        <f>IF(ISNA(MATCH(462,Engine!$C$2:$C$630,0)),"",INDEX('Compliance Database'!$F$2:$F$630,MATCH(462,Engine!$C$2:$C$630,0)))</f>
        <v/>
      </c>
      <c r="G475">
        <f>IF(ISNA(MATCH(462,Engine!$C$2:$C$630,0)),"",INDEX('Compliance Database'!$G$2:$G$630,MATCH(462,Engine!$C$2:$C$630,0)))</f>
        <v/>
      </c>
      <c r="H475">
        <f>IF(ISNA(MATCH(462,Engine!$C$2:$C$630,0)),"",INDEX('Compliance Database'!$H$2:$H$630,MATCH(462,Engine!$C$2:$C$630,0)))</f>
        <v/>
      </c>
      <c r="I475" s="8">
        <f>IF(ISNA(MATCH(462,Engine!$C$2:$C$630,0)),"",INDEX('Compliance Database'!$I$2:$I$630,MATCH(462,Engine!$C$2:$C$630,0)))</f>
        <v/>
      </c>
      <c r="J475" s="8">
        <f>IF(ISNA(MATCH(462,Engine!$C$2:$C$630,0)),"",INDEX('Compliance Database'!$J$2:$J$630,MATCH(462,Engine!$C$2:$C$630,0)))</f>
        <v/>
      </c>
      <c r="K475">
        <f>IF(ISNA(MATCH(462,Engine!$C$2:$C$630,0)),"",INDEX('Compliance Database'!$K$2:$K$630,MATCH(462,Engine!$C$2:$C$630,0)))</f>
        <v/>
      </c>
      <c r="L475" s="8">
        <f>IF(ISNA(MATCH(462,Engine!$C$2:$C$630,0)),"",INDEX('Compliance Database'!$L$2:$L$630,MATCH(462,Engine!$C$2:$C$630,0)))</f>
        <v/>
      </c>
      <c r="M475" s="8">
        <f>IF(ISNA(MATCH(462,Engine!$C$2:$C$630,0)),"",INDEX('Compliance Database'!$M$2:$M$630,MATCH(462,Engine!$C$2:$C$630,0)))</f>
        <v/>
      </c>
      <c r="N475" s="8">
        <f>IF(ISNA(MATCH(462,Engine!$C$2:$C$630,0)),"",INDEX('Compliance Database'!$N$2:$N$630,MATCH(462,Engine!$C$2:$C$630,0)))</f>
        <v/>
      </c>
      <c r="O475" s="8">
        <f>IF(ISNA(MATCH(462,Engine!$C$2:$C$630,0)),"",INDEX('Compliance Database'!$O$2:$O$630,MATCH(462,Engine!$C$2:$C$630,0)))</f>
        <v/>
      </c>
    </row>
    <row r="476">
      <c r="A476">
        <f>IF(ISNA(MATCH(463,Engine!$C$2:$C$630,0)),"",INDEX('Compliance Database'!$A$2:$A$630,MATCH(463,Engine!$C$2:$C$630,0)))</f>
        <v/>
      </c>
      <c r="B476">
        <f>IF(ISNA(MATCH(463,Engine!$C$2:$C$630,0)),"",INDEX('Compliance Database'!$B$2:$B$630,MATCH(463,Engine!$C$2:$C$630,0)))</f>
        <v/>
      </c>
      <c r="C476">
        <f>IF(ISNA(MATCH(463,Engine!$C$2:$C$630,0)),"",INDEX('Compliance Database'!$C$2:$C$630,MATCH(463,Engine!$C$2:$C$630,0)))</f>
        <v/>
      </c>
      <c r="D476" s="8">
        <f>IF(ISNA(MATCH(463,Engine!$C$2:$C$630,0)),"",INDEX('Compliance Database'!$D$2:$D$630,MATCH(463,Engine!$C$2:$C$630,0)))</f>
        <v/>
      </c>
      <c r="E476">
        <f>IF(ISNA(MATCH(463,Engine!$C$2:$C$630,0)),"",INDEX('Compliance Database'!$E$2:$E$630,MATCH(463,Engine!$C$2:$C$630,0)))</f>
        <v/>
      </c>
      <c r="F476">
        <f>IF(ISNA(MATCH(463,Engine!$C$2:$C$630,0)),"",INDEX('Compliance Database'!$F$2:$F$630,MATCH(463,Engine!$C$2:$C$630,0)))</f>
        <v/>
      </c>
      <c r="G476">
        <f>IF(ISNA(MATCH(463,Engine!$C$2:$C$630,0)),"",INDEX('Compliance Database'!$G$2:$G$630,MATCH(463,Engine!$C$2:$C$630,0)))</f>
        <v/>
      </c>
      <c r="H476">
        <f>IF(ISNA(MATCH(463,Engine!$C$2:$C$630,0)),"",INDEX('Compliance Database'!$H$2:$H$630,MATCH(463,Engine!$C$2:$C$630,0)))</f>
        <v/>
      </c>
      <c r="I476" s="8">
        <f>IF(ISNA(MATCH(463,Engine!$C$2:$C$630,0)),"",INDEX('Compliance Database'!$I$2:$I$630,MATCH(463,Engine!$C$2:$C$630,0)))</f>
        <v/>
      </c>
      <c r="J476" s="8">
        <f>IF(ISNA(MATCH(463,Engine!$C$2:$C$630,0)),"",INDEX('Compliance Database'!$J$2:$J$630,MATCH(463,Engine!$C$2:$C$630,0)))</f>
        <v/>
      </c>
      <c r="K476">
        <f>IF(ISNA(MATCH(463,Engine!$C$2:$C$630,0)),"",INDEX('Compliance Database'!$K$2:$K$630,MATCH(463,Engine!$C$2:$C$630,0)))</f>
        <v/>
      </c>
      <c r="L476" s="8">
        <f>IF(ISNA(MATCH(463,Engine!$C$2:$C$630,0)),"",INDEX('Compliance Database'!$L$2:$L$630,MATCH(463,Engine!$C$2:$C$630,0)))</f>
        <v/>
      </c>
      <c r="M476" s="8">
        <f>IF(ISNA(MATCH(463,Engine!$C$2:$C$630,0)),"",INDEX('Compliance Database'!$M$2:$M$630,MATCH(463,Engine!$C$2:$C$630,0)))</f>
        <v/>
      </c>
      <c r="N476" s="8">
        <f>IF(ISNA(MATCH(463,Engine!$C$2:$C$630,0)),"",INDEX('Compliance Database'!$N$2:$N$630,MATCH(463,Engine!$C$2:$C$630,0)))</f>
        <v/>
      </c>
      <c r="O476" s="8">
        <f>IF(ISNA(MATCH(463,Engine!$C$2:$C$630,0)),"",INDEX('Compliance Database'!$O$2:$O$630,MATCH(463,Engine!$C$2:$C$630,0)))</f>
        <v/>
      </c>
    </row>
    <row r="477">
      <c r="A477">
        <f>IF(ISNA(MATCH(464,Engine!$C$2:$C$630,0)),"",INDEX('Compliance Database'!$A$2:$A$630,MATCH(464,Engine!$C$2:$C$630,0)))</f>
        <v/>
      </c>
      <c r="B477">
        <f>IF(ISNA(MATCH(464,Engine!$C$2:$C$630,0)),"",INDEX('Compliance Database'!$B$2:$B$630,MATCH(464,Engine!$C$2:$C$630,0)))</f>
        <v/>
      </c>
      <c r="C477">
        <f>IF(ISNA(MATCH(464,Engine!$C$2:$C$630,0)),"",INDEX('Compliance Database'!$C$2:$C$630,MATCH(464,Engine!$C$2:$C$630,0)))</f>
        <v/>
      </c>
      <c r="D477" s="8">
        <f>IF(ISNA(MATCH(464,Engine!$C$2:$C$630,0)),"",INDEX('Compliance Database'!$D$2:$D$630,MATCH(464,Engine!$C$2:$C$630,0)))</f>
        <v/>
      </c>
      <c r="E477">
        <f>IF(ISNA(MATCH(464,Engine!$C$2:$C$630,0)),"",INDEX('Compliance Database'!$E$2:$E$630,MATCH(464,Engine!$C$2:$C$630,0)))</f>
        <v/>
      </c>
      <c r="F477">
        <f>IF(ISNA(MATCH(464,Engine!$C$2:$C$630,0)),"",INDEX('Compliance Database'!$F$2:$F$630,MATCH(464,Engine!$C$2:$C$630,0)))</f>
        <v/>
      </c>
      <c r="G477">
        <f>IF(ISNA(MATCH(464,Engine!$C$2:$C$630,0)),"",INDEX('Compliance Database'!$G$2:$G$630,MATCH(464,Engine!$C$2:$C$630,0)))</f>
        <v/>
      </c>
      <c r="H477">
        <f>IF(ISNA(MATCH(464,Engine!$C$2:$C$630,0)),"",INDEX('Compliance Database'!$H$2:$H$630,MATCH(464,Engine!$C$2:$C$630,0)))</f>
        <v/>
      </c>
      <c r="I477" s="8">
        <f>IF(ISNA(MATCH(464,Engine!$C$2:$C$630,0)),"",INDEX('Compliance Database'!$I$2:$I$630,MATCH(464,Engine!$C$2:$C$630,0)))</f>
        <v/>
      </c>
      <c r="J477" s="8">
        <f>IF(ISNA(MATCH(464,Engine!$C$2:$C$630,0)),"",INDEX('Compliance Database'!$J$2:$J$630,MATCH(464,Engine!$C$2:$C$630,0)))</f>
        <v/>
      </c>
      <c r="K477">
        <f>IF(ISNA(MATCH(464,Engine!$C$2:$C$630,0)),"",INDEX('Compliance Database'!$K$2:$K$630,MATCH(464,Engine!$C$2:$C$630,0)))</f>
        <v/>
      </c>
      <c r="L477" s="8">
        <f>IF(ISNA(MATCH(464,Engine!$C$2:$C$630,0)),"",INDEX('Compliance Database'!$L$2:$L$630,MATCH(464,Engine!$C$2:$C$630,0)))</f>
        <v/>
      </c>
      <c r="M477" s="8">
        <f>IF(ISNA(MATCH(464,Engine!$C$2:$C$630,0)),"",INDEX('Compliance Database'!$M$2:$M$630,MATCH(464,Engine!$C$2:$C$630,0)))</f>
        <v/>
      </c>
      <c r="N477" s="8">
        <f>IF(ISNA(MATCH(464,Engine!$C$2:$C$630,0)),"",INDEX('Compliance Database'!$N$2:$N$630,MATCH(464,Engine!$C$2:$C$630,0)))</f>
        <v/>
      </c>
      <c r="O477" s="8">
        <f>IF(ISNA(MATCH(464,Engine!$C$2:$C$630,0)),"",INDEX('Compliance Database'!$O$2:$O$630,MATCH(464,Engine!$C$2:$C$630,0)))</f>
        <v/>
      </c>
    </row>
    <row r="478">
      <c r="A478">
        <f>IF(ISNA(MATCH(465,Engine!$C$2:$C$630,0)),"",INDEX('Compliance Database'!$A$2:$A$630,MATCH(465,Engine!$C$2:$C$630,0)))</f>
        <v/>
      </c>
      <c r="B478">
        <f>IF(ISNA(MATCH(465,Engine!$C$2:$C$630,0)),"",INDEX('Compliance Database'!$B$2:$B$630,MATCH(465,Engine!$C$2:$C$630,0)))</f>
        <v/>
      </c>
      <c r="C478">
        <f>IF(ISNA(MATCH(465,Engine!$C$2:$C$630,0)),"",INDEX('Compliance Database'!$C$2:$C$630,MATCH(465,Engine!$C$2:$C$630,0)))</f>
        <v/>
      </c>
      <c r="D478" s="8">
        <f>IF(ISNA(MATCH(465,Engine!$C$2:$C$630,0)),"",INDEX('Compliance Database'!$D$2:$D$630,MATCH(465,Engine!$C$2:$C$630,0)))</f>
        <v/>
      </c>
      <c r="E478">
        <f>IF(ISNA(MATCH(465,Engine!$C$2:$C$630,0)),"",INDEX('Compliance Database'!$E$2:$E$630,MATCH(465,Engine!$C$2:$C$630,0)))</f>
        <v/>
      </c>
      <c r="F478">
        <f>IF(ISNA(MATCH(465,Engine!$C$2:$C$630,0)),"",INDEX('Compliance Database'!$F$2:$F$630,MATCH(465,Engine!$C$2:$C$630,0)))</f>
        <v/>
      </c>
      <c r="G478">
        <f>IF(ISNA(MATCH(465,Engine!$C$2:$C$630,0)),"",INDEX('Compliance Database'!$G$2:$G$630,MATCH(465,Engine!$C$2:$C$630,0)))</f>
        <v/>
      </c>
      <c r="H478">
        <f>IF(ISNA(MATCH(465,Engine!$C$2:$C$630,0)),"",INDEX('Compliance Database'!$H$2:$H$630,MATCH(465,Engine!$C$2:$C$630,0)))</f>
        <v/>
      </c>
      <c r="I478" s="8">
        <f>IF(ISNA(MATCH(465,Engine!$C$2:$C$630,0)),"",INDEX('Compliance Database'!$I$2:$I$630,MATCH(465,Engine!$C$2:$C$630,0)))</f>
        <v/>
      </c>
      <c r="J478" s="8">
        <f>IF(ISNA(MATCH(465,Engine!$C$2:$C$630,0)),"",INDEX('Compliance Database'!$J$2:$J$630,MATCH(465,Engine!$C$2:$C$630,0)))</f>
        <v/>
      </c>
      <c r="K478">
        <f>IF(ISNA(MATCH(465,Engine!$C$2:$C$630,0)),"",INDEX('Compliance Database'!$K$2:$K$630,MATCH(465,Engine!$C$2:$C$630,0)))</f>
        <v/>
      </c>
      <c r="L478" s="8">
        <f>IF(ISNA(MATCH(465,Engine!$C$2:$C$630,0)),"",INDEX('Compliance Database'!$L$2:$L$630,MATCH(465,Engine!$C$2:$C$630,0)))</f>
        <v/>
      </c>
      <c r="M478" s="8">
        <f>IF(ISNA(MATCH(465,Engine!$C$2:$C$630,0)),"",INDEX('Compliance Database'!$M$2:$M$630,MATCH(465,Engine!$C$2:$C$630,0)))</f>
        <v/>
      </c>
      <c r="N478" s="8">
        <f>IF(ISNA(MATCH(465,Engine!$C$2:$C$630,0)),"",INDEX('Compliance Database'!$N$2:$N$630,MATCH(465,Engine!$C$2:$C$630,0)))</f>
        <v/>
      </c>
      <c r="O478" s="8">
        <f>IF(ISNA(MATCH(465,Engine!$C$2:$C$630,0)),"",INDEX('Compliance Database'!$O$2:$O$630,MATCH(465,Engine!$C$2:$C$630,0)))</f>
        <v/>
      </c>
    </row>
    <row r="479">
      <c r="A479">
        <f>IF(ISNA(MATCH(466,Engine!$C$2:$C$630,0)),"",INDEX('Compliance Database'!$A$2:$A$630,MATCH(466,Engine!$C$2:$C$630,0)))</f>
        <v/>
      </c>
      <c r="B479">
        <f>IF(ISNA(MATCH(466,Engine!$C$2:$C$630,0)),"",INDEX('Compliance Database'!$B$2:$B$630,MATCH(466,Engine!$C$2:$C$630,0)))</f>
        <v/>
      </c>
      <c r="C479">
        <f>IF(ISNA(MATCH(466,Engine!$C$2:$C$630,0)),"",INDEX('Compliance Database'!$C$2:$C$630,MATCH(466,Engine!$C$2:$C$630,0)))</f>
        <v/>
      </c>
      <c r="D479" s="8">
        <f>IF(ISNA(MATCH(466,Engine!$C$2:$C$630,0)),"",INDEX('Compliance Database'!$D$2:$D$630,MATCH(466,Engine!$C$2:$C$630,0)))</f>
        <v/>
      </c>
      <c r="E479">
        <f>IF(ISNA(MATCH(466,Engine!$C$2:$C$630,0)),"",INDEX('Compliance Database'!$E$2:$E$630,MATCH(466,Engine!$C$2:$C$630,0)))</f>
        <v/>
      </c>
      <c r="F479">
        <f>IF(ISNA(MATCH(466,Engine!$C$2:$C$630,0)),"",INDEX('Compliance Database'!$F$2:$F$630,MATCH(466,Engine!$C$2:$C$630,0)))</f>
        <v/>
      </c>
      <c r="G479">
        <f>IF(ISNA(MATCH(466,Engine!$C$2:$C$630,0)),"",INDEX('Compliance Database'!$G$2:$G$630,MATCH(466,Engine!$C$2:$C$630,0)))</f>
        <v/>
      </c>
      <c r="H479">
        <f>IF(ISNA(MATCH(466,Engine!$C$2:$C$630,0)),"",INDEX('Compliance Database'!$H$2:$H$630,MATCH(466,Engine!$C$2:$C$630,0)))</f>
        <v/>
      </c>
      <c r="I479" s="8">
        <f>IF(ISNA(MATCH(466,Engine!$C$2:$C$630,0)),"",INDEX('Compliance Database'!$I$2:$I$630,MATCH(466,Engine!$C$2:$C$630,0)))</f>
        <v/>
      </c>
      <c r="J479" s="8">
        <f>IF(ISNA(MATCH(466,Engine!$C$2:$C$630,0)),"",INDEX('Compliance Database'!$J$2:$J$630,MATCH(466,Engine!$C$2:$C$630,0)))</f>
        <v/>
      </c>
      <c r="K479">
        <f>IF(ISNA(MATCH(466,Engine!$C$2:$C$630,0)),"",INDEX('Compliance Database'!$K$2:$K$630,MATCH(466,Engine!$C$2:$C$630,0)))</f>
        <v/>
      </c>
      <c r="L479" s="8">
        <f>IF(ISNA(MATCH(466,Engine!$C$2:$C$630,0)),"",INDEX('Compliance Database'!$L$2:$L$630,MATCH(466,Engine!$C$2:$C$630,0)))</f>
        <v/>
      </c>
      <c r="M479" s="8">
        <f>IF(ISNA(MATCH(466,Engine!$C$2:$C$630,0)),"",INDEX('Compliance Database'!$M$2:$M$630,MATCH(466,Engine!$C$2:$C$630,0)))</f>
        <v/>
      </c>
      <c r="N479" s="8">
        <f>IF(ISNA(MATCH(466,Engine!$C$2:$C$630,0)),"",INDEX('Compliance Database'!$N$2:$N$630,MATCH(466,Engine!$C$2:$C$630,0)))</f>
        <v/>
      </c>
      <c r="O479" s="8">
        <f>IF(ISNA(MATCH(466,Engine!$C$2:$C$630,0)),"",INDEX('Compliance Database'!$O$2:$O$630,MATCH(466,Engine!$C$2:$C$630,0)))</f>
        <v/>
      </c>
    </row>
    <row r="480">
      <c r="A480">
        <f>IF(ISNA(MATCH(467,Engine!$C$2:$C$630,0)),"",INDEX('Compliance Database'!$A$2:$A$630,MATCH(467,Engine!$C$2:$C$630,0)))</f>
        <v/>
      </c>
      <c r="B480">
        <f>IF(ISNA(MATCH(467,Engine!$C$2:$C$630,0)),"",INDEX('Compliance Database'!$B$2:$B$630,MATCH(467,Engine!$C$2:$C$630,0)))</f>
        <v/>
      </c>
      <c r="C480">
        <f>IF(ISNA(MATCH(467,Engine!$C$2:$C$630,0)),"",INDEX('Compliance Database'!$C$2:$C$630,MATCH(467,Engine!$C$2:$C$630,0)))</f>
        <v/>
      </c>
      <c r="D480" s="8">
        <f>IF(ISNA(MATCH(467,Engine!$C$2:$C$630,0)),"",INDEX('Compliance Database'!$D$2:$D$630,MATCH(467,Engine!$C$2:$C$630,0)))</f>
        <v/>
      </c>
      <c r="E480">
        <f>IF(ISNA(MATCH(467,Engine!$C$2:$C$630,0)),"",INDEX('Compliance Database'!$E$2:$E$630,MATCH(467,Engine!$C$2:$C$630,0)))</f>
        <v/>
      </c>
      <c r="F480">
        <f>IF(ISNA(MATCH(467,Engine!$C$2:$C$630,0)),"",INDEX('Compliance Database'!$F$2:$F$630,MATCH(467,Engine!$C$2:$C$630,0)))</f>
        <v/>
      </c>
      <c r="G480">
        <f>IF(ISNA(MATCH(467,Engine!$C$2:$C$630,0)),"",INDEX('Compliance Database'!$G$2:$G$630,MATCH(467,Engine!$C$2:$C$630,0)))</f>
        <v/>
      </c>
      <c r="H480">
        <f>IF(ISNA(MATCH(467,Engine!$C$2:$C$630,0)),"",INDEX('Compliance Database'!$H$2:$H$630,MATCH(467,Engine!$C$2:$C$630,0)))</f>
        <v/>
      </c>
      <c r="I480" s="8">
        <f>IF(ISNA(MATCH(467,Engine!$C$2:$C$630,0)),"",INDEX('Compliance Database'!$I$2:$I$630,MATCH(467,Engine!$C$2:$C$630,0)))</f>
        <v/>
      </c>
      <c r="J480" s="8">
        <f>IF(ISNA(MATCH(467,Engine!$C$2:$C$630,0)),"",INDEX('Compliance Database'!$J$2:$J$630,MATCH(467,Engine!$C$2:$C$630,0)))</f>
        <v/>
      </c>
      <c r="K480">
        <f>IF(ISNA(MATCH(467,Engine!$C$2:$C$630,0)),"",INDEX('Compliance Database'!$K$2:$K$630,MATCH(467,Engine!$C$2:$C$630,0)))</f>
        <v/>
      </c>
      <c r="L480" s="8">
        <f>IF(ISNA(MATCH(467,Engine!$C$2:$C$630,0)),"",INDEX('Compliance Database'!$L$2:$L$630,MATCH(467,Engine!$C$2:$C$630,0)))</f>
        <v/>
      </c>
      <c r="M480" s="8">
        <f>IF(ISNA(MATCH(467,Engine!$C$2:$C$630,0)),"",INDEX('Compliance Database'!$M$2:$M$630,MATCH(467,Engine!$C$2:$C$630,0)))</f>
        <v/>
      </c>
      <c r="N480" s="8">
        <f>IF(ISNA(MATCH(467,Engine!$C$2:$C$630,0)),"",INDEX('Compliance Database'!$N$2:$N$630,MATCH(467,Engine!$C$2:$C$630,0)))</f>
        <v/>
      </c>
      <c r="O480" s="8">
        <f>IF(ISNA(MATCH(467,Engine!$C$2:$C$630,0)),"",INDEX('Compliance Database'!$O$2:$O$630,MATCH(467,Engine!$C$2:$C$630,0)))</f>
        <v/>
      </c>
    </row>
    <row r="481">
      <c r="A481">
        <f>IF(ISNA(MATCH(468,Engine!$C$2:$C$630,0)),"",INDEX('Compliance Database'!$A$2:$A$630,MATCH(468,Engine!$C$2:$C$630,0)))</f>
        <v/>
      </c>
      <c r="B481">
        <f>IF(ISNA(MATCH(468,Engine!$C$2:$C$630,0)),"",INDEX('Compliance Database'!$B$2:$B$630,MATCH(468,Engine!$C$2:$C$630,0)))</f>
        <v/>
      </c>
      <c r="C481">
        <f>IF(ISNA(MATCH(468,Engine!$C$2:$C$630,0)),"",INDEX('Compliance Database'!$C$2:$C$630,MATCH(468,Engine!$C$2:$C$630,0)))</f>
        <v/>
      </c>
      <c r="D481" s="8">
        <f>IF(ISNA(MATCH(468,Engine!$C$2:$C$630,0)),"",INDEX('Compliance Database'!$D$2:$D$630,MATCH(468,Engine!$C$2:$C$630,0)))</f>
        <v/>
      </c>
      <c r="E481">
        <f>IF(ISNA(MATCH(468,Engine!$C$2:$C$630,0)),"",INDEX('Compliance Database'!$E$2:$E$630,MATCH(468,Engine!$C$2:$C$630,0)))</f>
        <v/>
      </c>
      <c r="F481">
        <f>IF(ISNA(MATCH(468,Engine!$C$2:$C$630,0)),"",INDEX('Compliance Database'!$F$2:$F$630,MATCH(468,Engine!$C$2:$C$630,0)))</f>
        <v/>
      </c>
      <c r="G481">
        <f>IF(ISNA(MATCH(468,Engine!$C$2:$C$630,0)),"",INDEX('Compliance Database'!$G$2:$G$630,MATCH(468,Engine!$C$2:$C$630,0)))</f>
        <v/>
      </c>
      <c r="H481">
        <f>IF(ISNA(MATCH(468,Engine!$C$2:$C$630,0)),"",INDEX('Compliance Database'!$H$2:$H$630,MATCH(468,Engine!$C$2:$C$630,0)))</f>
        <v/>
      </c>
      <c r="I481" s="8">
        <f>IF(ISNA(MATCH(468,Engine!$C$2:$C$630,0)),"",INDEX('Compliance Database'!$I$2:$I$630,MATCH(468,Engine!$C$2:$C$630,0)))</f>
        <v/>
      </c>
      <c r="J481" s="8">
        <f>IF(ISNA(MATCH(468,Engine!$C$2:$C$630,0)),"",INDEX('Compliance Database'!$J$2:$J$630,MATCH(468,Engine!$C$2:$C$630,0)))</f>
        <v/>
      </c>
      <c r="K481">
        <f>IF(ISNA(MATCH(468,Engine!$C$2:$C$630,0)),"",INDEX('Compliance Database'!$K$2:$K$630,MATCH(468,Engine!$C$2:$C$630,0)))</f>
        <v/>
      </c>
      <c r="L481" s="8">
        <f>IF(ISNA(MATCH(468,Engine!$C$2:$C$630,0)),"",INDEX('Compliance Database'!$L$2:$L$630,MATCH(468,Engine!$C$2:$C$630,0)))</f>
        <v/>
      </c>
      <c r="M481" s="8">
        <f>IF(ISNA(MATCH(468,Engine!$C$2:$C$630,0)),"",INDEX('Compliance Database'!$M$2:$M$630,MATCH(468,Engine!$C$2:$C$630,0)))</f>
        <v/>
      </c>
      <c r="N481" s="8">
        <f>IF(ISNA(MATCH(468,Engine!$C$2:$C$630,0)),"",INDEX('Compliance Database'!$N$2:$N$630,MATCH(468,Engine!$C$2:$C$630,0)))</f>
        <v/>
      </c>
      <c r="O481" s="8">
        <f>IF(ISNA(MATCH(468,Engine!$C$2:$C$630,0)),"",INDEX('Compliance Database'!$O$2:$O$630,MATCH(468,Engine!$C$2:$C$630,0)))</f>
        <v/>
      </c>
    </row>
    <row r="482">
      <c r="A482">
        <f>IF(ISNA(MATCH(469,Engine!$C$2:$C$630,0)),"",INDEX('Compliance Database'!$A$2:$A$630,MATCH(469,Engine!$C$2:$C$630,0)))</f>
        <v/>
      </c>
      <c r="B482">
        <f>IF(ISNA(MATCH(469,Engine!$C$2:$C$630,0)),"",INDEX('Compliance Database'!$B$2:$B$630,MATCH(469,Engine!$C$2:$C$630,0)))</f>
        <v/>
      </c>
      <c r="C482">
        <f>IF(ISNA(MATCH(469,Engine!$C$2:$C$630,0)),"",INDEX('Compliance Database'!$C$2:$C$630,MATCH(469,Engine!$C$2:$C$630,0)))</f>
        <v/>
      </c>
      <c r="D482" s="8">
        <f>IF(ISNA(MATCH(469,Engine!$C$2:$C$630,0)),"",INDEX('Compliance Database'!$D$2:$D$630,MATCH(469,Engine!$C$2:$C$630,0)))</f>
        <v/>
      </c>
      <c r="E482">
        <f>IF(ISNA(MATCH(469,Engine!$C$2:$C$630,0)),"",INDEX('Compliance Database'!$E$2:$E$630,MATCH(469,Engine!$C$2:$C$630,0)))</f>
        <v/>
      </c>
      <c r="F482">
        <f>IF(ISNA(MATCH(469,Engine!$C$2:$C$630,0)),"",INDEX('Compliance Database'!$F$2:$F$630,MATCH(469,Engine!$C$2:$C$630,0)))</f>
        <v/>
      </c>
      <c r="G482">
        <f>IF(ISNA(MATCH(469,Engine!$C$2:$C$630,0)),"",INDEX('Compliance Database'!$G$2:$G$630,MATCH(469,Engine!$C$2:$C$630,0)))</f>
        <v/>
      </c>
      <c r="H482">
        <f>IF(ISNA(MATCH(469,Engine!$C$2:$C$630,0)),"",INDEX('Compliance Database'!$H$2:$H$630,MATCH(469,Engine!$C$2:$C$630,0)))</f>
        <v/>
      </c>
      <c r="I482" s="8">
        <f>IF(ISNA(MATCH(469,Engine!$C$2:$C$630,0)),"",INDEX('Compliance Database'!$I$2:$I$630,MATCH(469,Engine!$C$2:$C$630,0)))</f>
        <v/>
      </c>
      <c r="J482" s="8">
        <f>IF(ISNA(MATCH(469,Engine!$C$2:$C$630,0)),"",INDEX('Compliance Database'!$J$2:$J$630,MATCH(469,Engine!$C$2:$C$630,0)))</f>
        <v/>
      </c>
      <c r="K482">
        <f>IF(ISNA(MATCH(469,Engine!$C$2:$C$630,0)),"",INDEX('Compliance Database'!$K$2:$K$630,MATCH(469,Engine!$C$2:$C$630,0)))</f>
        <v/>
      </c>
      <c r="L482" s="8">
        <f>IF(ISNA(MATCH(469,Engine!$C$2:$C$630,0)),"",INDEX('Compliance Database'!$L$2:$L$630,MATCH(469,Engine!$C$2:$C$630,0)))</f>
        <v/>
      </c>
      <c r="M482" s="8">
        <f>IF(ISNA(MATCH(469,Engine!$C$2:$C$630,0)),"",INDEX('Compliance Database'!$M$2:$M$630,MATCH(469,Engine!$C$2:$C$630,0)))</f>
        <v/>
      </c>
      <c r="N482" s="8">
        <f>IF(ISNA(MATCH(469,Engine!$C$2:$C$630,0)),"",INDEX('Compliance Database'!$N$2:$N$630,MATCH(469,Engine!$C$2:$C$630,0)))</f>
        <v/>
      </c>
      <c r="O482" s="8">
        <f>IF(ISNA(MATCH(469,Engine!$C$2:$C$630,0)),"",INDEX('Compliance Database'!$O$2:$O$630,MATCH(469,Engine!$C$2:$C$630,0)))</f>
        <v/>
      </c>
    </row>
    <row r="483">
      <c r="A483">
        <f>IF(ISNA(MATCH(470,Engine!$C$2:$C$630,0)),"",INDEX('Compliance Database'!$A$2:$A$630,MATCH(470,Engine!$C$2:$C$630,0)))</f>
        <v/>
      </c>
      <c r="B483">
        <f>IF(ISNA(MATCH(470,Engine!$C$2:$C$630,0)),"",INDEX('Compliance Database'!$B$2:$B$630,MATCH(470,Engine!$C$2:$C$630,0)))</f>
        <v/>
      </c>
      <c r="C483">
        <f>IF(ISNA(MATCH(470,Engine!$C$2:$C$630,0)),"",INDEX('Compliance Database'!$C$2:$C$630,MATCH(470,Engine!$C$2:$C$630,0)))</f>
        <v/>
      </c>
      <c r="D483" s="8">
        <f>IF(ISNA(MATCH(470,Engine!$C$2:$C$630,0)),"",INDEX('Compliance Database'!$D$2:$D$630,MATCH(470,Engine!$C$2:$C$630,0)))</f>
        <v/>
      </c>
      <c r="E483">
        <f>IF(ISNA(MATCH(470,Engine!$C$2:$C$630,0)),"",INDEX('Compliance Database'!$E$2:$E$630,MATCH(470,Engine!$C$2:$C$630,0)))</f>
        <v/>
      </c>
      <c r="F483">
        <f>IF(ISNA(MATCH(470,Engine!$C$2:$C$630,0)),"",INDEX('Compliance Database'!$F$2:$F$630,MATCH(470,Engine!$C$2:$C$630,0)))</f>
        <v/>
      </c>
      <c r="G483">
        <f>IF(ISNA(MATCH(470,Engine!$C$2:$C$630,0)),"",INDEX('Compliance Database'!$G$2:$G$630,MATCH(470,Engine!$C$2:$C$630,0)))</f>
        <v/>
      </c>
      <c r="H483">
        <f>IF(ISNA(MATCH(470,Engine!$C$2:$C$630,0)),"",INDEX('Compliance Database'!$H$2:$H$630,MATCH(470,Engine!$C$2:$C$630,0)))</f>
        <v/>
      </c>
      <c r="I483" s="8">
        <f>IF(ISNA(MATCH(470,Engine!$C$2:$C$630,0)),"",INDEX('Compliance Database'!$I$2:$I$630,MATCH(470,Engine!$C$2:$C$630,0)))</f>
        <v/>
      </c>
      <c r="J483" s="8">
        <f>IF(ISNA(MATCH(470,Engine!$C$2:$C$630,0)),"",INDEX('Compliance Database'!$J$2:$J$630,MATCH(470,Engine!$C$2:$C$630,0)))</f>
        <v/>
      </c>
      <c r="K483">
        <f>IF(ISNA(MATCH(470,Engine!$C$2:$C$630,0)),"",INDEX('Compliance Database'!$K$2:$K$630,MATCH(470,Engine!$C$2:$C$630,0)))</f>
        <v/>
      </c>
      <c r="L483" s="8">
        <f>IF(ISNA(MATCH(470,Engine!$C$2:$C$630,0)),"",INDEX('Compliance Database'!$L$2:$L$630,MATCH(470,Engine!$C$2:$C$630,0)))</f>
        <v/>
      </c>
      <c r="M483" s="8">
        <f>IF(ISNA(MATCH(470,Engine!$C$2:$C$630,0)),"",INDEX('Compliance Database'!$M$2:$M$630,MATCH(470,Engine!$C$2:$C$630,0)))</f>
        <v/>
      </c>
      <c r="N483" s="8">
        <f>IF(ISNA(MATCH(470,Engine!$C$2:$C$630,0)),"",INDEX('Compliance Database'!$N$2:$N$630,MATCH(470,Engine!$C$2:$C$630,0)))</f>
        <v/>
      </c>
      <c r="O483" s="8">
        <f>IF(ISNA(MATCH(470,Engine!$C$2:$C$630,0)),"",INDEX('Compliance Database'!$O$2:$O$630,MATCH(470,Engine!$C$2:$C$630,0)))</f>
        <v/>
      </c>
    </row>
    <row r="484">
      <c r="A484">
        <f>IF(ISNA(MATCH(471,Engine!$C$2:$C$630,0)),"",INDEX('Compliance Database'!$A$2:$A$630,MATCH(471,Engine!$C$2:$C$630,0)))</f>
        <v/>
      </c>
      <c r="B484">
        <f>IF(ISNA(MATCH(471,Engine!$C$2:$C$630,0)),"",INDEX('Compliance Database'!$B$2:$B$630,MATCH(471,Engine!$C$2:$C$630,0)))</f>
        <v/>
      </c>
      <c r="C484">
        <f>IF(ISNA(MATCH(471,Engine!$C$2:$C$630,0)),"",INDEX('Compliance Database'!$C$2:$C$630,MATCH(471,Engine!$C$2:$C$630,0)))</f>
        <v/>
      </c>
      <c r="D484" s="8">
        <f>IF(ISNA(MATCH(471,Engine!$C$2:$C$630,0)),"",INDEX('Compliance Database'!$D$2:$D$630,MATCH(471,Engine!$C$2:$C$630,0)))</f>
        <v/>
      </c>
      <c r="E484">
        <f>IF(ISNA(MATCH(471,Engine!$C$2:$C$630,0)),"",INDEX('Compliance Database'!$E$2:$E$630,MATCH(471,Engine!$C$2:$C$630,0)))</f>
        <v/>
      </c>
      <c r="F484">
        <f>IF(ISNA(MATCH(471,Engine!$C$2:$C$630,0)),"",INDEX('Compliance Database'!$F$2:$F$630,MATCH(471,Engine!$C$2:$C$630,0)))</f>
        <v/>
      </c>
      <c r="G484">
        <f>IF(ISNA(MATCH(471,Engine!$C$2:$C$630,0)),"",INDEX('Compliance Database'!$G$2:$G$630,MATCH(471,Engine!$C$2:$C$630,0)))</f>
        <v/>
      </c>
      <c r="H484">
        <f>IF(ISNA(MATCH(471,Engine!$C$2:$C$630,0)),"",INDEX('Compliance Database'!$H$2:$H$630,MATCH(471,Engine!$C$2:$C$630,0)))</f>
        <v/>
      </c>
      <c r="I484" s="8">
        <f>IF(ISNA(MATCH(471,Engine!$C$2:$C$630,0)),"",INDEX('Compliance Database'!$I$2:$I$630,MATCH(471,Engine!$C$2:$C$630,0)))</f>
        <v/>
      </c>
      <c r="J484" s="8">
        <f>IF(ISNA(MATCH(471,Engine!$C$2:$C$630,0)),"",INDEX('Compliance Database'!$J$2:$J$630,MATCH(471,Engine!$C$2:$C$630,0)))</f>
        <v/>
      </c>
      <c r="K484">
        <f>IF(ISNA(MATCH(471,Engine!$C$2:$C$630,0)),"",INDEX('Compliance Database'!$K$2:$K$630,MATCH(471,Engine!$C$2:$C$630,0)))</f>
        <v/>
      </c>
      <c r="L484" s="8">
        <f>IF(ISNA(MATCH(471,Engine!$C$2:$C$630,0)),"",INDEX('Compliance Database'!$L$2:$L$630,MATCH(471,Engine!$C$2:$C$630,0)))</f>
        <v/>
      </c>
      <c r="M484" s="8">
        <f>IF(ISNA(MATCH(471,Engine!$C$2:$C$630,0)),"",INDEX('Compliance Database'!$M$2:$M$630,MATCH(471,Engine!$C$2:$C$630,0)))</f>
        <v/>
      </c>
      <c r="N484" s="8">
        <f>IF(ISNA(MATCH(471,Engine!$C$2:$C$630,0)),"",INDEX('Compliance Database'!$N$2:$N$630,MATCH(471,Engine!$C$2:$C$630,0)))</f>
        <v/>
      </c>
      <c r="O484" s="8">
        <f>IF(ISNA(MATCH(471,Engine!$C$2:$C$630,0)),"",INDEX('Compliance Database'!$O$2:$O$630,MATCH(471,Engine!$C$2:$C$630,0)))</f>
        <v/>
      </c>
    </row>
    <row r="485">
      <c r="A485">
        <f>IF(ISNA(MATCH(472,Engine!$C$2:$C$630,0)),"",INDEX('Compliance Database'!$A$2:$A$630,MATCH(472,Engine!$C$2:$C$630,0)))</f>
        <v/>
      </c>
      <c r="B485">
        <f>IF(ISNA(MATCH(472,Engine!$C$2:$C$630,0)),"",INDEX('Compliance Database'!$B$2:$B$630,MATCH(472,Engine!$C$2:$C$630,0)))</f>
        <v/>
      </c>
      <c r="C485">
        <f>IF(ISNA(MATCH(472,Engine!$C$2:$C$630,0)),"",INDEX('Compliance Database'!$C$2:$C$630,MATCH(472,Engine!$C$2:$C$630,0)))</f>
        <v/>
      </c>
      <c r="D485" s="8">
        <f>IF(ISNA(MATCH(472,Engine!$C$2:$C$630,0)),"",INDEX('Compliance Database'!$D$2:$D$630,MATCH(472,Engine!$C$2:$C$630,0)))</f>
        <v/>
      </c>
      <c r="E485">
        <f>IF(ISNA(MATCH(472,Engine!$C$2:$C$630,0)),"",INDEX('Compliance Database'!$E$2:$E$630,MATCH(472,Engine!$C$2:$C$630,0)))</f>
        <v/>
      </c>
      <c r="F485">
        <f>IF(ISNA(MATCH(472,Engine!$C$2:$C$630,0)),"",INDEX('Compliance Database'!$F$2:$F$630,MATCH(472,Engine!$C$2:$C$630,0)))</f>
        <v/>
      </c>
      <c r="G485">
        <f>IF(ISNA(MATCH(472,Engine!$C$2:$C$630,0)),"",INDEX('Compliance Database'!$G$2:$G$630,MATCH(472,Engine!$C$2:$C$630,0)))</f>
        <v/>
      </c>
      <c r="H485">
        <f>IF(ISNA(MATCH(472,Engine!$C$2:$C$630,0)),"",INDEX('Compliance Database'!$H$2:$H$630,MATCH(472,Engine!$C$2:$C$630,0)))</f>
        <v/>
      </c>
      <c r="I485" s="8">
        <f>IF(ISNA(MATCH(472,Engine!$C$2:$C$630,0)),"",INDEX('Compliance Database'!$I$2:$I$630,MATCH(472,Engine!$C$2:$C$630,0)))</f>
        <v/>
      </c>
      <c r="J485" s="8">
        <f>IF(ISNA(MATCH(472,Engine!$C$2:$C$630,0)),"",INDEX('Compliance Database'!$J$2:$J$630,MATCH(472,Engine!$C$2:$C$630,0)))</f>
        <v/>
      </c>
      <c r="K485">
        <f>IF(ISNA(MATCH(472,Engine!$C$2:$C$630,0)),"",INDEX('Compliance Database'!$K$2:$K$630,MATCH(472,Engine!$C$2:$C$630,0)))</f>
        <v/>
      </c>
      <c r="L485" s="8">
        <f>IF(ISNA(MATCH(472,Engine!$C$2:$C$630,0)),"",INDEX('Compliance Database'!$L$2:$L$630,MATCH(472,Engine!$C$2:$C$630,0)))</f>
        <v/>
      </c>
      <c r="M485" s="8">
        <f>IF(ISNA(MATCH(472,Engine!$C$2:$C$630,0)),"",INDEX('Compliance Database'!$M$2:$M$630,MATCH(472,Engine!$C$2:$C$630,0)))</f>
        <v/>
      </c>
      <c r="N485" s="8">
        <f>IF(ISNA(MATCH(472,Engine!$C$2:$C$630,0)),"",INDEX('Compliance Database'!$N$2:$N$630,MATCH(472,Engine!$C$2:$C$630,0)))</f>
        <v/>
      </c>
      <c r="O485" s="8">
        <f>IF(ISNA(MATCH(472,Engine!$C$2:$C$630,0)),"",INDEX('Compliance Database'!$O$2:$O$630,MATCH(472,Engine!$C$2:$C$630,0)))</f>
        <v/>
      </c>
    </row>
    <row r="486">
      <c r="A486">
        <f>IF(ISNA(MATCH(473,Engine!$C$2:$C$630,0)),"",INDEX('Compliance Database'!$A$2:$A$630,MATCH(473,Engine!$C$2:$C$630,0)))</f>
        <v/>
      </c>
      <c r="B486">
        <f>IF(ISNA(MATCH(473,Engine!$C$2:$C$630,0)),"",INDEX('Compliance Database'!$B$2:$B$630,MATCH(473,Engine!$C$2:$C$630,0)))</f>
        <v/>
      </c>
      <c r="C486">
        <f>IF(ISNA(MATCH(473,Engine!$C$2:$C$630,0)),"",INDEX('Compliance Database'!$C$2:$C$630,MATCH(473,Engine!$C$2:$C$630,0)))</f>
        <v/>
      </c>
      <c r="D486" s="8">
        <f>IF(ISNA(MATCH(473,Engine!$C$2:$C$630,0)),"",INDEX('Compliance Database'!$D$2:$D$630,MATCH(473,Engine!$C$2:$C$630,0)))</f>
        <v/>
      </c>
      <c r="E486">
        <f>IF(ISNA(MATCH(473,Engine!$C$2:$C$630,0)),"",INDEX('Compliance Database'!$E$2:$E$630,MATCH(473,Engine!$C$2:$C$630,0)))</f>
        <v/>
      </c>
      <c r="F486">
        <f>IF(ISNA(MATCH(473,Engine!$C$2:$C$630,0)),"",INDEX('Compliance Database'!$F$2:$F$630,MATCH(473,Engine!$C$2:$C$630,0)))</f>
        <v/>
      </c>
      <c r="G486">
        <f>IF(ISNA(MATCH(473,Engine!$C$2:$C$630,0)),"",INDEX('Compliance Database'!$G$2:$G$630,MATCH(473,Engine!$C$2:$C$630,0)))</f>
        <v/>
      </c>
      <c r="H486">
        <f>IF(ISNA(MATCH(473,Engine!$C$2:$C$630,0)),"",INDEX('Compliance Database'!$H$2:$H$630,MATCH(473,Engine!$C$2:$C$630,0)))</f>
        <v/>
      </c>
      <c r="I486" s="8">
        <f>IF(ISNA(MATCH(473,Engine!$C$2:$C$630,0)),"",INDEX('Compliance Database'!$I$2:$I$630,MATCH(473,Engine!$C$2:$C$630,0)))</f>
        <v/>
      </c>
      <c r="J486" s="8">
        <f>IF(ISNA(MATCH(473,Engine!$C$2:$C$630,0)),"",INDEX('Compliance Database'!$J$2:$J$630,MATCH(473,Engine!$C$2:$C$630,0)))</f>
        <v/>
      </c>
      <c r="K486">
        <f>IF(ISNA(MATCH(473,Engine!$C$2:$C$630,0)),"",INDEX('Compliance Database'!$K$2:$K$630,MATCH(473,Engine!$C$2:$C$630,0)))</f>
        <v/>
      </c>
      <c r="L486" s="8">
        <f>IF(ISNA(MATCH(473,Engine!$C$2:$C$630,0)),"",INDEX('Compliance Database'!$L$2:$L$630,MATCH(473,Engine!$C$2:$C$630,0)))</f>
        <v/>
      </c>
      <c r="M486" s="8">
        <f>IF(ISNA(MATCH(473,Engine!$C$2:$C$630,0)),"",INDEX('Compliance Database'!$M$2:$M$630,MATCH(473,Engine!$C$2:$C$630,0)))</f>
        <v/>
      </c>
      <c r="N486" s="8">
        <f>IF(ISNA(MATCH(473,Engine!$C$2:$C$630,0)),"",INDEX('Compliance Database'!$N$2:$N$630,MATCH(473,Engine!$C$2:$C$630,0)))</f>
        <v/>
      </c>
      <c r="O486" s="8">
        <f>IF(ISNA(MATCH(473,Engine!$C$2:$C$630,0)),"",INDEX('Compliance Database'!$O$2:$O$630,MATCH(473,Engine!$C$2:$C$630,0)))</f>
        <v/>
      </c>
    </row>
    <row r="487">
      <c r="A487">
        <f>IF(ISNA(MATCH(474,Engine!$C$2:$C$630,0)),"",INDEX('Compliance Database'!$A$2:$A$630,MATCH(474,Engine!$C$2:$C$630,0)))</f>
        <v/>
      </c>
      <c r="B487">
        <f>IF(ISNA(MATCH(474,Engine!$C$2:$C$630,0)),"",INDEX('Compliance Database'!$B$2:$B$630,MATCH(474,Engine!$C$2:$C$630,0)))</f>
        <v/>
      </c>
      <c r="C487">
        <f>IF(ISNA(MATCH(474,Engine!$C$2:$C$630,0)),"",INDEX('Compliance Database'!$C$2:$C$630,MATCH(474,Engine!$C$2:$C$630,0)))</f>
        <v/>
      </c>
      <c r="D487" s="8">
        <f>IF(ISNA(MATCH(474,Engine!$C$2:$C$630,0)),"",INDEX('Compliance Database'!$D$2:$D$630,MATCH(474,Engine!$C$2:$C$630,0)))</f>
        <v/>
      </c>
      <c r="E487">
        <f>IF(ISNA(MATCH(474,Engine!$C$2:$C$630,0)),"",INDEX('Compliance Database'!$E$2:$E$630,MATCH(474,Engine!$C$2:$C$630,0)))</f>
        <v/>
      </c>
      <c r="F487">
        <f>IF(ISNA(MATCH(474,Engine!$C$2:$C$630,0)),"",INDEX('Compliance Database'!$F$2:$F$630,MATCH(474,Engine!$C$2:$C$630,0)))</f>
        <v/>
      </c>
      <c r="G487">
        <f>IF(ISNA(MATCH(474,Engine!$C$2:$C$630,0)),"",INDEX('Compliance Database'!$G$2:$G$630,MATCH(474,Engine!$C$2:$C$630,0)))</f>
        <v/>
      </c>
      <c r="H487">
        <f>IF(ISNA(MATCH(474,Engine!$C$2:$C$630,0)),"",INDEX('Compliance Database'!$H$2:$H$630,MATCH(474,Engine!$C$2:$C$630,0)))</f>
        <v/>
      </c>
      <c r="I487" s="8">
        <f>IF(ISNA(MATCH(474,Engine!$C$2:$C$630,0)),"",INDEX('Compliance Database'!$I$2:$I$630,MATCH(474,Engine!$C$2:$C$630,0)))</f>
        <v/>
      </c>
      <c r="J487" s="8">
        <f>IF(ISNA(MATCH(474,Engine!$C$2:$C$630,0)),"",INDEX('Compliance Database'!$J$2:$J$630,MATCH(474,Engine!$C$2:$C$630,0)))</f>
        <v/>
      </c>
      <c r="K487">
        <f>IF(ISNA(MATCH(474,Engine!$C$2:$C$630,0)),"",INDEX('Compliance Database'!$K$2:$K$630,MATCH(474,Engine!$C$2:$C$630,0)))</f>
        <v/>
      </c>
      <c r="L487" s="8">
        <f>IF(ISNA(MATCH(474,Engine!$C$2:$C$630,0)),"",INDEX('Compliance Database'!$L$2:$L$630,MATCH(474,Engine!$C$2:$C$630,0)))</f>
        <v/>
      </c>
      <c r="M487" s="8">
        <f>IF(ISNA(MATCH(474,Engine!$C$2:$C$630,0)),"",INDEX('Compliance Database'!$M$2:$M$630,MATCH(474,Engine!$C$2:$C$630,0)))</f>
        <v/>
      </c>
      <c r="N487" s="8">
        <f>IF(ISNA(MATCH(474,Engine!$C$2:$C$630,0)),"",INDEX('Compliance Database'!$N$2:$N$630,MATCH(474,Engine!$C$2:$C$630,0)))</f>
        <v/>
      </c>
      <c r="O487" s="8">
        <f>IF(ISNA(MATCH(474,Engine!$C$2:$C$630,0)),"",INDEX('Compliance Database'!$O$2:$O$630,MATCH(474,Engine!$C$2:$C$630,0)))</f>
        <v/>
      </c>
    </row>
    <row r="488">
      <c r="A488">
        <f>IF(ISNA(MATCH(475,Engine!$C$2:$C$630,0)),"",INDEX('Compliance Database'!$A$2:$A$630,MATCH(475,Engine!$C$2:$C$630,0)))</f>
        <v/>
      </c>
      <c r="B488">
        <f>IF(ISNA(MATCH(475,Engine!$C$2:$C$630,0)),"",INDEX('Compliance Database'!$B$2:$B$630,MATCH(475,Engine!$C$2:$C$630,0)))</f>
        <v/>
      </c>
      <c r="C488">
        <f>IF(ISNA(MATCH(475,Engine!$C$2:$C$630,0)),"",INDEX('Compliance Database'!$C$2:$C$630,MATCH(475,Engine!$C$2:$C$630,0)))</f>
        <v/>
      </c>
      <c r="D488" s="8">
        <f>IF(ISNA(MATCH(475,Engine!$C$2:$C$630,0)),"",INDEX('Compliance Database'!$D$2:$D$630,MATCH(475,Engine!$C$2:$C$630,0)))</f>
        <v/>
      </c>
      <c r="E488">
        <f>IF(ISNA(MATCH(475,Engine!$C$2:$C$630,0)),"",INDEX('Compliance Database'!$E$2:$E$630,MATCH(475,Engine!$C$2:$C$630,0)))</f>
        <v/>
      </c>
      <c r="F488">
        <f>IF(ISNA(MATCH(475,Engine!$C$2:$C$630,0)),"",INDEX('Compliance Database'!$F$2:$F$630,MATCH(475,Engine!$C$2:$C$630,0)))</f>
        <v/>
      </c>
      <c r="G488">
        <f>IF(ISNA(MATCH(475,Engine!$C$2:$C$630,0)),"",INDEX('Compliance Database'!$G$2:$G$630,MATCH(475,Engine!$C$2:$C$630,0)))</f>
        <v/>
      </c>
      <c r="H488">
        <f>IF(ISNA(MATCH(475,Engine!$C$2:$C$630,0)),"",INDEX('Compliance Database'!$H$2:$H$630,MATCH(475,Engine!$C$2:$C$630,0)))</f>
        <v/>
      </c>
      <c r="I488" s="8">
        <f>IF(ISNA(MATCH(475,Engine!$C$2:$C$630,0)),"",INDEX('Compliance Database'!$I$2:$I$630,MATCH(475,Engine!$C$2:$C$630,0)))</f>
        <v/>
      </c>
      <c r="J488" s="8">
        <f>IF(ISNA(MATCH(475,Engine!$C$2:$C$630,0)),"",INDEX('Compliance Database'!$J$2:$J$630,MATCH(475,Engine!$C$2:$C$630,0)))</f>
        <v/>
      </c>
      <c r="K488">
        <f>IF(ISNA(MATCH(475,Engine!$C$2:$C$630,0)),"",INDEX('Compliance Database'!$K$2:$K$630,MATCH(475,Engine!$C$2:$C$630,0)))</f>
        <v/>
      </c>
      <c r="L488" s="8">
        <f>IF(ISNA(MATCH(475,Engine!$C$2:$C$630,0)),"",INDEX('Compliance Database'!$L$2:$L$630,MATCH(475,Engine!$C$2:$C$630,0)))</f>
        <v/>
      </c>
      <c r="M488" s="8">
        <f>IF(ISNA(MATCH(475,Engine!$C$2:$C$630,0)),"",INDEX('Compliance Database'!$M$2:$M$630,MATCH(475,Engine!$C$2:$C$630,0)))</f>
        <v/>
      </c>
      <c r="N488" s="8">
        <f>IF(ISNA(MATCH(475,Engine!$C$2:$C$630,0)),"",INDEX('Compliance Database'!$N$2:$N$630,MATCH(475,Engine!$C$2:$C$630,0)))</f>
        <v/>
      </c>
      <c r="O488" s="8">
        <f>IF(ISNA(MATCH(475,Engine!$C$2:$C$630,0)),"",INDEX('Compliance Database'!$O$2:$O$630,MATCH(475,Engine!$C$2:$C$630,0)))</f>
        <v/>
      </c>
    </row>
    <row r="489">
      <c r="A489">
        <f>IF(ISNA(MATCH(476,Engine!$C$2:$C$630,0)),"",INDEX('Compliance Database'!$A$2:$A$630,MATCH(476,Engine!$C$2:$C$630,0)))</f>
        <v/>
      </c>
      <c r="B489">
        <f>IF(ISNA(MATCH(476,Engine!$C$2:$C$630,0)),"",INDEX('Compliance Database'!$B$2:$B$630,MATCH(476,Engine!$C$2:$C$630,0)))</f>
        <v/>
      </c>
      <c r="C489">
        <f>IF(ISNA(MATCH(476,Engine!$C$2:$C$630,0)),"",INDEX('Compliance Database'!$C$2:$C$630,MATCH(476,Engine!$C$2:$C$630,0)))</f>
        <v/>
      </c>
      <c r="D489" s="8">
        <f>IF(ISNA(MATCH(476,Engine!$C$2:$C$630,0)),"",INDEX('Compliance Database'!$D$2:$D$630,MATCH(476,Engine!$C$2:$C$630,0)))</f>
        <v/>
      </c>
      <c r="E489">
        <f>IF(ISNA(MATCH(476,Engine!$C$2:$C$630,0)),"",INDEX('Compliance Database'!$E$2:$E$630,MATCH(476,Engine!$C$2:$C$630,0)))</f>
        <v/>
      </c>
      <c r="F489">
        <f>IF(ISNA(MATCH(476,Engine!$C$2:$C$630,0)),"",INDEX('Compliance Database'!$F$2:$F$630,MATCH(476,Engine!$C$2:$C$630,0)))</f>
        <v/>
      </c>
      <c r="G489">
        <f>IF(ISNA(MATCH(476,Engine!$C$2:$C$630,0)),"",INDEX('Compliance Database'!$G$2:$G$630,MATCH(476,Engine!$C$2:$C$630,0)))</f>
        <v/>
      </c>
      <c r="H489">
        <f>IF(ISNA(MATCH(476,Engine!$C$2:$C$630,0)),"",INDEX('Compliance Database'!$H$2:$H$630,MATCH(476,Engine!$C$2:$C$630,0)))</f>
        <v/>
      </c>
      <c r="I489" s="8">
        <f>IF(ISNA(MATCH(476,Engine!$C$2:$C$630,0)),"",INDEX('Compliance Database'!$I$2:$I$630,MATCH(476,Engine!$C$2:$C$630,0)))</f>
        <v/>
      </c>
      <c r="J489" s="8">
        <f>IF(ISNA(MATCH(476,Engine!$C$2:$C$630,0)),"",INDEX('Compliance Database'!$J$2:$J$630,MATCH(476,Engine!$C$2:$C$630,0)))</f>
        <v/>
      </c>
      <c r="K489">
        <f>IF(ISNA(MATCH(476,Engine!$C$2:$C$630,0)),"",INDEX('Compliance Database'!$K$2:$K$630,MATCH(476,Engine!$C$2:$C$630,0)))</f>
        <v/>
      </c>
      <c r="L489" s="8">
        <f>IF(ISNA(MATCH(476,Engine!$C$2:$C$630,0)),"",INDEX('Compliance Database'!$L$2:$L$630,MATCH(476,Engine!$C$2:$C$630,0)))</f>
        <v/>
      </c>
      <c r="M489" s="8">
        <f>IF(ISNA(MATCH(476,Engine!$C$2:$C$630,0)),"",INDEX('Compliance Database'!$M$2:$M$630,MATCH(476,Engine!$C$2:$C$630,0)))</f>
        <v/>
      </c>
      <c r="N489" s="8">
        <f>IF(ISNA(MATCH(476,Engine!$C$2:$C$630,0)),"",INDEX('Compliance Database'!$N$2:$N$630,MATCH(476,Engine!$C$2:$C$630,0)))</f>
        <v/>
      </c>
      <c r="O489" s="8">
        <f>IF(ISNA(MATCH(476,Engine!$C$2:$C$630,0)),"",INDEX('Compliance Database'!$O$2:$O$630,MATCH(476,Engine!$C$2:$C$630,0)))</f>
        <v/>
      </c>
    </row>
    <row r="490">
      <c r="A490">
        <f>IF(ISNA(MATCH(477,Engine!$C$2:$C$630,0)),"",INDEX('Compliance Database'!$A$2:$A$630,MATCH(477,Engine!$C$2:$C$630,0)))</f>
        <v/>
      </c>
      <c r="B490">
        <f>IF(ISNA(MATCH(477,Engine!$C$2:$C$630,0)),"",INDEX('Compliance Database'!$B$2:$B$630,MATCH(477,Engine!$C$2:$C$630,0)))</f>
        <v/>
      </c>
      <c r="C490">
        <f>IF(ISNA(MATCH(477,Engine!$C$2:$C$630,0)),"",INDEX('Compliance Database'!$C$2:$C$630,MATCH(477,Engine!$C$2:$C$630,0)))</f>
        <v/>
      </c>
      <c r="D490" s="8">
        <f>IF(ISNA(MATCH(477,Engine!$C$2:$C$630,0)),"",INDEX('Compliance Database'!$D$2:$D$630,MATCH(477,Engine!$C$2:$C$630,0)))</f>
        <v/>
      </c>
      <c r="E490">
        <f>IF(ISNA(MATCH(477,Engine!$C$2:$C$630,0)),"",INDEX('Compliance Database'!$E$2:$E$630,MATCH(477,Engine!$C$2:$C$630,0)))</f>
        <v/>
      </c>
      <c r="F490">
        <f>IF(ISNA(MATCH(477,Engine!$C$2:$C$630,0)),"",INDEX('Compliance Database'!$F$2:$F$630,MATCH(477,Engine!$C$2:$C$630,0)))</f>
        <v/>
      </c>
      <c r="G490">
        <f>IF(ISNA(MATCH(477,Engine!$C$2:$C$630,0)),"",INDEX('Compliance Database'!$G$2:$G$630,MATCH(477,Engine!$C$2:$C$630,0)))</f>
        <v/>
      </c>
      <c r="H490">
        <f>IF(ISNA(MATCH(477,Engine!$C$2:$C$630,0)),"",INDEX('Compliance Database'!$H$2:$H$630,MATCH(477,Engine!$C$2:$C$630,0)))</f>
        <v/>
      </c>
      <c r="I490" s="8">
        <f>IF(ISNA(MATCH(477,Engine!$C$2:$C$630,0)),"",INDEX('Compliance Database'!$I$2:$I$630,MATCH(477,Engine!$C$2:$C$630,0)))</f>
        <v/>
      </c>
      <c r="J490" s="8">
        <f>IF(ISNA(MATCH(477,Engine!$C$2:$C$630,0)),"",INDEX('Compliance Database'!$J$2:$J$630,MATCH(477,Engine!$C$2:$C$630,0)))</f>
        <v/>
      </c>
      <c r="K490">
        <f>IF(ISNA(MATCH(477,Engine!$C$2:$C$630,0)),"",INDEX('Compliance Database'!$K$2:$K$630,MATCH(477,Engine!$C$2:$C$630,0)))</f>
        <v/>
      </c>
      <c r="L490" s="8">
        <f>IF(ISNA(MATCH(477,Engine!$C$2:$C$630,0)),"",INDEX('Compliance Database'!$L$2:$L$630,MATCH(477,Engine!$C$2:$C$630,0)))</f>
        <v/>
      </c>
      <c r="M490" s="8">
        <f>IF(ISNA(MATCH(477,Engine!$C$2:$C$630,0)),"",INDEX('Compliance Database'!$M$2:$M$630,MATCH(477,Engine!$C$2:$C$630,0)))</f>
        <v/>
      </c>
      <c r="N490" s="8">
        <f>IF(ISNA(MATCH(477,Engine!$C$2:$C$630,0)),"",INDEX('Compliance Database'!$N$2:$N$630,MATCH(477,Engine!$C$2:$C$630,0)))</f>
        <v/>
      </c>
      <c r="O490" s="8">
        <f>IF(ISNA(MATCH(477,Engine!$C$2:$C$630,0)),"",INDEX('Compliance Database'!$O$2:$O$630,MATCH(477,Engine!$C$2:$C$630,0)))</f>
        <v/>
      </c>
    </row>
    <row r="491">
      <c r="A491">
        <f>IF(ISNA(MATCH(478,Engine!$C$2:$C$630,0)),"",INDEX('Compliance Database'!$A$2:$A$630,MATCH(478,Engine!$C$2:$C$630,0)))</f>
        <v/>
      </c>
      <c r="B491">
        <f>IF(ISNA(MATCH(478,Engine!$C$2:$C$630,0)),"",INDEX('Compliance Database'!$B$2:$B$630,MATCH(478,Engine!$C$2:$C$630,0)))</f>
        <v/>
      </c>
      <c r="C491">
        <f>IF(ISNA(MATCH(478,Engine!$C$2:$C$630,0)),"",INDEX('Compliance Database'!$C$2:$C$630,MATCH(478,Engine!$C$2:$C$630,0)))</f>
        <v/>
      </c>
      <c r="D491" s="8">
        <f>IF(ISNA(MATCH(478,Engine!$C$2:$C$630,0)),"",INDEX('Compliance Database'!$D$2:$D$630,MATCH(478,Engine!$C$2:$C$630,0)))</f>
        <v/>
      </c>
      <c r="E491">
        <f>IF(ISNA(MATCH(478,Engine!$C$2:$C$630,0)),"",INDEX('Compliance Database'!$E$2:$E$630,MATCH(478,Engine!$C$2:$C$630,0)))</f>
        <v/>
      </c>
      <c r="F491">
        <f>IF(ISNA(MATCH(478,Engine!$C$2:$C$630,0)),"",INDEX('Compliance Database'!$F$2:$F$630,MATCH(478,Engine!$C$2:$C$630,0)))</f>
        <v/>
      </c>
      <c r="G491">
        <f>IF(ISNA(MATCH(478,Engine!$C$2:$C$630,0)),"",INDEX('Compliance Database'!$G$2:$G$630,MATCH(478,Engine!$C$2:$C$630,0)))</f>
        <v/>
      </c>
      <c r="H491">
        <f>IF(ISNA(MATCH(478,Engine!$C$2:$C$630,0)),"",INDEX('Compliance Database'!$H$2:$H$630,MATCH(478,Engine!$C$2:$C$630,0)))</f>
        <v/>
      </c>
      <c r="I491" s="8">
        <f>IF(ISNA(MATCH(478,Engine!$C$2:$C$630,0)),"",INDEX('Compliance Database'!$I$2:$I$630,MATCH(478,Engine!$C$2:$C$630,0)))</f>
        <v/>
      </c>
      <c r="J491" s="8">
        <f>IF(ISNA(MATCH(478,Engine!$C$2:$C$630,0)),"",INDEX('Compliance Database'!$J$2:$J$630,MATCH(478,Engine!$C$2:$C$630,0)))</f>
        <v/>
      </c>
      <c r="K491">
        <f>IF(ISNA(MATCH(478,Engine!$C$2:$C$630,0)),"",INDEX('Compliance Database'!$K$2:$K$630,MATCH(478,Engine!$C$2:$C$630,0)))</f>
        <v/>
      </c>
      <c r="L491" s="8">
        <f>IF(ISNA(MATCH(478,Engine!$C$2:$C$630,0)),"",INDEX('Compliance Database'!$L$2:$L$630,MATCH(478,Engine!$C$2:$C$630,0)))</f>
        <v/>
      </c>
      <c r="M491" s="8">
        <f>IF(ISNA(MATCH(478,Engine!$C$2:$C$630,0)),"",INDEX('Compliance Database'!$M$2:$M$630,MATCH(478,Engine!$C$2:$C$630,0)))</f>
        <v/>
      </c>
      <c r="N491" s="8">
        <f>IF(ISNA(MATCH(478,Engine!$C$2:$C$630,0)),"",INDEX('Compliance Database'!$N$2:$N$630,MATCH(478,Engine!$C$2:$C$630,0)))</f>
        <v/>
      </c>
      <c r="O491" s="8">
        <f>IF(ISNA(MATCH(478,Engine!$C$2:$C$630,0)),"",INDEX('Compliance Database'!$O$2:$O$630,MATCH(478,Engine!$C$2:$C$630,0)))</f>
        <v/>
      </c>
    </row>
    <row r="492">
      <c r="A492">
        <f>IF(ISNA(MATCH(479,Engine!$C$2:$C$630,0)),"",INDEX('Compliance Database'!$A$2:$A$630,MATCH(479,Engine!$C$2:$C$630,0)))</f>
        <v/>
      </c>
      <c r="B492">
        <f>IF(ISNA(MATCH(479,Engine!$C$2:$C$630,0)),"",INDEX('Compliance Database'!$B$2:$B$630,MATCH(479,Engine!$C$2:$C$630,0)))</f>
        <v/>
      </c>
      <c r="C492">
        <f>IF(ISNA(MATCH(479,Engine!$C$2:$C$630,0)),"",INDEX('Compliance Database'!$C$2:$C$630,MATCH(479,Engine!$C$2:$C$630,0)))</f>
        <v/>
      </c>
      <c r="D492" s="8">
        <f>IF(ISNA(MATCH(479,Engine!$C$2:$C$630,0)),"",INDEX('Compliance Database'!$D$2:$D$630,MATCH(479,Engine!$C$2:$C$630,0)))</f>
        <v/>
      </c>
      <c r="E492">
        <f>IF(ISNA(MATCH(479,Engine!$C$2:$C$630,0)),"",INDEX('Compliance Database'!$E$2:$E$630,MATCH(479,Engine!$C$2:$C$630,0)))</f>
        <v/>
      </c>
      <c r="F492">
        <f>IF(ISNA(MATCH(479,Engine!$C$2:$C$630,0)),"",INDEX('Compliance Database'!$F$2:$F$630,MATCH(479,Engine!$C$2:$C$630,0)))</f>
        <v/>
      </c>
      <c r="G492">
        <f>IF(ISNA(MATCH(479,Engine!$C$2:$C$630,0)),"",INDEX('Compliance Database'!$G$2:$G$630,MATCH(479,Engine!$C$2:$C$630,0)))</f>
        <v/>
      </c>
      <c r="H492">
        <f>IF(ISNA(MATCH(479,Engine!$C$2:$C$630,0)),"",INDEX('Compliance Database'!$H$2:$H$630,MATCH(479,Engine!$C$2:$C$630,0)))</f>
        <v/>
      </c>
      <c r="I492" s="8">
        <f>IF(ISNA(MATCH(479,Engine!$C$2:$C$630,0)),"",INDEX('Compliance Database'!$I$2:$I$630,MATCH(479,Engine!$C$2:$C$630,0)))</f>
        <v/>
      </c>
      <c r="J492" s="8">
        <f>IF(ISNA(MATCH(479,Engine!$C$2:$C$630,0)),"",INDEX('Compliance Database'!$J$2:$J$630,MATCH(479,Engine!$C$2:$C$630,0)))</f>
        <v/>
      </c>
      <c r="K492">
        <f>IF(ISNA(MATCH(479,Engine!$C$2:$C$630,0)),"",INDEX('Compliance Database'!$K$2:$K$630,MATCH(479,Engine!$C$2:$C$630,0)))</f>
        <v/>
      </c>
      <c r="L492" s="8">
        <f>IF(ISNA(MATCH(479,Engine!$C$2:$C$630,0)),"",INDEX('Compliance Database'!$L$2:$L$630,MATCH(479,Engine!$C$2:$C$630,0)))</f>
        <v/>
      </c>
      <c r="M492" s="8">
        <f>IF(ISNA(MATCH(479,Engine!$C$2:$C$630,0)),"",INDEX('Compliance Database'!$M$2:$M$630,MATCH(479,Engine!$C$2:$C$630,0)))</f>
        <v/>
      </c>
      <c r="N492" s="8">
        <f>IF(ISNA(MATCH(479,Engine!$C$2:$C$630,0)),"",INDEX('Compliance Database'!$N$2:$N$630,MATCH(479,Engine!$C$2:$C$630,0)))</f>
        <v/>
      </c>
      <c r="O492" s="8">
        <f>IF(ISNA(MATCH(479,Engine!$C$2:$C$630,0)),"",INDEX('Compliance Database'!$O$2:$O$630,MATCH(479,Engine!$C$2:$C$630,0)))</f>
        <v/>
      </c>
    </row>
    <row r="493">
      <c r="A493">
        <f>IF(ISNA(MATCH(480,Engine!$C$2:$C$630,0)),"",INDEX('Compliance Database'!$A$2:$A$630,MATCH(480,Engine!$C$2:$C$630,0)))</f>
        <v/>
      </c>
      <c r="B493">
        <f>IF(ISNA(MATCH(480,Engine!$C$2:$C$630,0)),"",INDEX('Compliance Database'!$B$2:$B$630,MATCH(480,Engine!$C$2:$C$630,0)))</f>
        <v/>
      </c>
      <c r="C493">
        <f>IF(ISNA(MATCH(480,Engine!$C$2:$C$630,0)),"",INDEX('Compliance Database'!$C$2:$C$630,MATCH(480,Engine!$C$2:$C$630,0)))</f>
        <v/>
      </c>
      <c r="D493" s="8">
        <f>IF(ISNA(MATCH(480,Engine!$C$2:$C$630,0)),"",INDEX('Compliance Database'!$D$2:$D$630,MATCH(480,Engine!$C$2:$C$630,0)))</f>
        <v/>
      </c>
      <c r="E493">
        <f>IF(ISNA(MATCH(480,Engine!$C$2:$C$630,0)),"",INDEX('Compliance Database'!$E$2:$E$630,MATCH(480,Engine!$C$2:$C$630,0)))</f>
        <v/>
      </c>
      <c r="F493">
        <f>IF(ISNA(MATCH(480,Engine!$C$2:$C$630,0)),"",INDEX('Compliance Database'!$F$2:$F$630,MATCH(480,Engine!$C$2:$C$630,0)))</f>
        <v/>
      </c>
      <c r="G493">
        <f>IF(ISNA(MATCH(480,Engine!$C$2:$C$630,0)),"",INDEX('Compliance Database'!$G$2:$G$630,MATCH(480,Engine!$C$2:$C$630,0)))</f>
        <v/>
      </c>
      <c r="H493">
        <f>IF(ISNA(MATCH(480,Engine!$C$2:$C$630,0)),"",INDEX('Compliance Database'!$H$2:$H$630,MATCH(480,Engine!$C$2:$C$630,0)))</f>
        <v/>
      </c>
      <c r="I493" s="8">
        <f>IF(ISNA(MATCH(480,Engine!$C$2:$C$630,0)),"",INDEX('Compliance Database'!$I$2:$I$630,MATCH(480,Engine!$C$2:$C$630,0)))</f>
        <v/>
      </c>
      <c r="J493" s="8">
        <f>IF(ISNA(MATCH(480,Engine!$C$2:$C$630,0)),"",INDEX('Compliance Database'!$J$2:$J$630,MATCH(480,Engine!$C$2:$C$630,0)))</f>
        <v/>
      </c>
      <c r="K493">
        <f>IF(ISNA(MATCH(480,Engine!$C$2:$C$630,0)),"",INDEX('Compliance Database'!$K$2:$K$630,MATCH(480,Engine!$C$2:$C$630,0)))</f>
        <v/>
      </c>
      <c r="L493" s="8">
        <f>IF(ISNA(MATCH(480,Engine!$C$2:$C$630,0)),"",INDEX('Compliance Database'!$L$2:$L$630,MATCH(480,Engine!$C$2:$C$630,0)))</f>
        <v/>
      </c>
      <c r="M493" s="8">
        <f>IF(ISNA(MATCH(480,Engine!$C$2:$C$630,0)),"",INDEX('Compliance Database'!$M$2:$M$630,MATCH(480,Engine!$C$2:$C$630,0)))</f>
        <v/>
      </c>
      <c r="N493" s="8">
        <f>IF(ISNA(MATCH(480,Engine!$C$2:$C$630,0)),"",INDEX('Compliance Database'!$N$2:$N$630,MATCH(480,Engine!$C$2:$C$630,0)))</f>
        <v/>
      </c>
      <c r="O493" s="8">
        <f>IF(ISNA(MATCH(480,Engine!$C$2:$C$630,0)),"",INDEX('Compliance Database'!$O$2:$O$630,MATCH(480,Engine!$C$2:$C$630,0)))</f>
        <v/>
      </c>
    </row>
    <row r="494">
      <c r="A494">
        <f>IF(ISNA(MATCH(481,Engine!$C$2:$C$630,0)),"",INDEX('Compliance Database'!$A$2:$A$630,MATCH(481,Engine!$C$2:$C$630,0)))</f>
        <v/>
      </c>
      <c r="B494">
        <f>IF(ISNA(MATCH(481,Engine!$C$2:$C$630,0)),"",INDEX('Compliance Database'!$B$2:$B$630,MATCH(481,Engine!$C$2:$C$630,0)))</f>
        <v/>
      </c>
      <c r="C494">
        <f>IF(ISNA(MATCH(481,Engine!$C$2:$C$630,0)),"",INDEX('Compliance Database'!$C$2:$C$630,MATCH(481,Engine!$C$2:$C$630,0)))</f>
        <v/>
      </c>
      <c r="D494" s="8">
        <f>IF(ISNA(MATCH(481,Engine!$C$2:$C$630,0)),"",INDEX('Compliance Database'!$D$2:$D$630,MATCH(481,Engine!$C$2:$C$630,0)))</f>
        <v/>
      </c>
      <c r="E494">
        <f>IF(ISNA(MATCH(481,Engine!$C$2:$C$630,0)),"",INDEX('Compliance Database'!$E$2:$E$630,MATCH(481,Engine!$C$2:$C$630,0)))</f>
        <v/>
      </c>
      <c r="F494">
        <f>IF(ISNA(MATCH(481,Engine!$C$2:$C$630,0)),"",INDEX('Compliance Database'!$F$2:$F$630,MATCH(481,Engine!$C$2:$C$630,0)))</f>
        <v/>
      </c>
      <c r="G494">
        <f>IF(ISNA(MATCH(481,Engine!$C$2:$C$630,0)),"",INDEX('Compliance Database'!$G$2:$G$630,MATCH(481,Engine!$C$2:$C$630,0)))</f>
        <v/>
      </c>
      <c r="H494">
        <f>IF(ISNA(MATCH(481,Engine!$C$2:$C$630,0)),"",INDEX('Compliance Database'!$H$2:$H$630,MATCH(481,Engine!$C$2:$C$630,0)))</f>
        <v/>
      </c>
      <c r="I494" s="8">
        <f>IF(ISNA(MATCH(481,Engine!$C$2:$C$630,0)),"",INDEX('Compliance Database'!$I$2:$I$630,MATCH(481,Engine!$C$2:$C$630,0)))</f>
        <v/>
      </c>
      <c r="J494" s="8">
        <f>IF(ISNA(MATCH(481,Engine!$C$2:$C$630,0)),"",INDEX('Compliance Database'!$J$2:$J$630,MATCH(481,Engine!$C$2:$C$630,0)))</f>
        <v/>
      </c>
      <c r="K494">
        <f>IF(ISNA(MATCH(481,Engine!$C$2:$C$630,0)),"",INDEX('Compliance Database'!$K$2:$K$630,MATCH(481,Engine!$C$2:$C$630,0)))</f>
        <v/>
      </c>
      <c r="L494" s="8">
        <f>IF(ISNA(MATCH(481,Engine!$C$2:$C$630,0)),"",INDEX('Compliance Database'!$L$2:$L$630,MATCH(481,Engine!$C$2:$C$630,0)))</f>
        <v/>
      </c>
      <c r="M494" s="8">
        <f>IF(ISNA(MATCH(481,Engine!$C$2:$C$630,0)),"",INDEX('Compliance Database'!$M$2:$M$630,MATCH(481,Engine!$C$2:$C$630,0)))</f>
        <v/>
      </c>
      <c r="N494" s="8">
        <f>IF(ISNA(MATCH(481,Engine!$C$2:$C$630,0)),"",INDEX('Compliance Database'!$N$2:$N$630,MATCH(481,Engine!$C$2:$C$630,0)))</f>
        <v/>
      </c>
      <c r="O494" s="8">
        <f>IF(ISNA(MATCH(481,Engine!$C$2:$C$630,0)),"",INDEX('Compliance Database'!$O$2:$O$630,MATCH(481,Engine!$C$2:$C$630,0)))</f>
        <v/>
      </c>
    </row>
    <row r="495">
      <c r="A495">
        <f>IF(ISNA(MATCH(482,Engine!$C$2:$C$630,0)),"",INDEX('Compliance Database'!$A$2:$A$630,MATCH(482,Engine!$C$2:$C$630,0)))</f>
        <v/>
      </c>
      <c r="B495">
        <f>IF(ISNA(MATCH(482,Engine!$C$2:$C$630,0)),"",INDEX('Compliance Database'!$B$2:$B$630,MATCH(482,Engine!$C$2:$C$630,0)))</f>
        <v/>
      </c>
      <c r="C495">
        <f>IF(ISNA(MATCH(482,Engine!$C$2:$C$630,0)),"",INDEX('Compliance Database'!$C$2:$C$630,MATCH(482,Engine!$C$2:$C$630,0)))</f>
        <v/>
      </c>
      <c r="D495" s="8">
        <f>IF(ISNA(MATCH(482,Engine!$C$2:$C$630,0)),"",INDEX('Compliance Database'!$D$2:$D$630,MATCH(482,Engine!$C$2:$C$630,0)))</f>
        <v/>
      </c>
      <c r="E495">
        <f>IF(ISNA(MATCH(482,Engine!$C$2:$C$630,0)),"",INDEX('Compliance Database'!$E$2:$E$630,MATCH(482,Engine!$C$2:$C$630,0)))</f>
        <v/>
      </c>
      <c r="F495">
        <f>IF(ISNA(MATCH(482,Engine!$C$2:$C$630,0)),"",INDEX('Compliance Database'!$F$2:$F$630,MATCH(482,Engine!$C$2:$C$630,0)))</f>
        <v/>
      </c>
      <c r="G495">
        <f>IF(ISNA(MATCH(482,Engine!$C$2:$C$630,0)),"",INDEX('Compliance Database'!$G$2:$G$630,MATCH(482,Engine!$C$2:$C$630,0)))</f>
        <v/>
      </c>
      <c r="H495">
        <f>IF(ISNA(MATCH(482,Engine!$C$2:$C$630,0)),"",INDEX('Compliance Database'!$H$2:$H$630,MATCH(482,Engine!$C$2:$C$630,0)))</f>
        <v/>
      </c>
      <c r="I495" s="8">
        <f>IF(ISNA(MATCH(482,Engine!$C$2:$C$630,0)),"",INDEX('Compliance Database'!$I$2:$I$630,MATCH(482,Engine!$C$2:$C$630,0)))</f>
        <v/>
      </c>
      <c r="J495" s="8">
        <f>IF(ISNA(MATCH(482,Engine!$C$2:$C$630,0)),"",INDEX('Compliance Database'!$J$2:$J$630,MATCH(482,Engine!$C$2:$C$630,0)))</f>
        <v/>
      </c>
      <c r="K495">
        <f>IF(ISNA(MATCH(482,Engine!$C$2:$C$630,0)),"",INDEX('Compliance Database'!$K$2:$K$630,MATCH(482,Engine!$C$2:$C$630,0)))</f>
        <v/>
      </c>
      <c r="L495" s="8">
        <f>IF(ISNA(MATCH(482,Engine!$C$2:$C$630,0)),"",INDEX('Compliance Database'!$L$2:$L$630,MATCH(482,Engine!$C$2:$C$630,0)))</f>
        <v/>
      </c>
      <c r="M495" s="8">
        <f>IF(ISNA(MATCH(482,Engine!$C$2:$C$630,0)),"",INDEX('Compliance Database'!$M$2:$M$630,MATCH(482,Engine!$C$2:$C$630,0)))</f>
        <v/>
      </c>
      <c r="N495" s="8">
        <f>IF(ISNA(MATCH(482,Engine!$C$2:$C$630,0)),"",INDEX('Compliance Database'!$N$2:$N$630,MATCH(482,Engine!$C$2:$C$630,0)))</f>
        <v/>
      </c>
      <c r="O495" s="8">
        <f>IF(ISNA(MATCH(482,Engine!$C$2:$C$630,0)),"",INDEX('Compliance Database'!$O$2:$O$630,MATCH(482,Engine!$C$2:$C$630,0)))</f>
        <v/>
      </c>
    </row>
    <row r="496">
      <c r="A496">
        <f>IF(ISNA(MATCH(483,Engine!$C$2:$C$630,0)),"",INDEX('Compliance Database'!$A$2:$A$630,MATCH(483,Engine!$C$2:$C$630,0)))</f>
        <v/>
      </c>
      <c r="B496">
        <f>IF(ISNA(MATCH(483,Engine!$C$2:$C$630,0)),"",INDEX('Compliance Database'!$B$2:$B$630,MATCH(483,Engine!$C$2:$C$630,0)))</f>
        <v/>
      </c>
      <c r="C496">
        <f>IF(ISNA(MATCH(483,Engine!$C$2:$C$630,0)),"",INDEX('Compliance Database'!$C$2:$C$630,MATCH(483,Engine!$C$2:$C$630,0)))</f>
        <v/>
      </c>
      <c r="D496" s="8">
        <f>IF(ISNA(MATCH(483,Engine!$C$2:$C$630,0)),"",INDEX('Compliance Database'!$D$2:$D$630,MATCH(483,Engine!$C$2:$C$630,0)))</f>
        <v/>
      </c>
      <c r="E496">
        <f>IF(ISNA(MATCH(483,Engine!$C$2:$C$630,0)),"",INDEX('Compliance Database'!$E$2:$E$630,MATCH(483,Engine!$C$2:$C$630,0)))</f>
        <v/>
      </c>
      <c r="F496">
        <f>IF(ISNA(MATCH(483,Engine!$C$2:$C$630,0)),"",INDEX('Compliance Database'!$F$2:$F$630,MATCH(483,Engine!$C$2:$C$630,0)))</f>
        <v/>
      </c>
      <c r="G496">
        <f>IF(ISNA(MATCH(483,Engine!$C$2:$C$630,0)),"",INDEX('Compliance Database'!$G$2:$G$630,MATCH(483,Engine!$C$2:$C$630,0)))</f>
        <v/>
      </c>
      <c r="H496">
        <f>IF(ISNA(MATCH(483,Engine!$C$2:$C$630,0)),"",INDEX('Compliance Database'!$H$2:$H$630,MATCH(483,Engine!$C$2:$C$630,0)))</f>
        <v/>
      </c>
      <c r="I496" s="8">
        <f>IF(ISNA(MATCH(483,Engine!$C$2:$C$630,0)),"",INDEX('Compliance Database'!$I$2:$I$630,MATCH(483,Engine!$C$2:$C$630,0)))</f>
        <v/>
      </c>
      <c r="J496" s="8">
        <f>IF(ISNA(MATCH(483,Engine!$C$2:$C$630,0)),"",INDEX('Compliance Database'!$J$2:$J$630,MATCH(483,Engine!$C$2:$C$630,0)))</f>
        <v/>
      </c>
      <c r="K496">
        <f>IF(ISNA(MATCH(483,Engine!$C$2:$C$630,0)),"",INDEX('Compliance Database'!$K$2:$K$630,MATCH(483,Engine!$C$2:$C$630,0)))</f>
        <v/>
      </c>
      <c r="L496" s="8">
        <f>IF(ISNA(MATCH(483,Engine!$C$2:$C$630,0)),"",INDEX('Compliance Database'!$L$2:$L$630,MATCH(483,Engine!$C$2:$C$630,0)))</f>
        <v/>
      </c>
      <c r="M496" s="8">
        <f>IF(ISNA(MATCH(483,Engine!$C$2:$C$630,0)),"",INDEX('Compliance Database'!$M$2:$M$630,MATCH(483,Engine!$C$2:$C$630,0)))</f>
        <v/>
      </c>
      <c r="N496" s="8">
        <f>IF(ISNA(MATCH(483,Engine!$C$2:$C$630,0)),"",INDEX('Compliance Database'!$N$2:$N$630,MATCH(483,Engine!$C$2:$C$630,0)))</f>
        <v/>
      </c>
      <c r="O496" s="8">
        <f>IF(ISNA(MATCH(483,Engine!$C$2:$C$630,0)),"",INDEX('Compliance Database'!$O$2:$O$630,MATCH(483,Engine!$C$2:$C$630,0)))</f>
        <v/>
      </c>
    </row>
    <row r="497">
      <c r="A497">
        <f>IF(ISNA(MATCH(484,Engine!$C$2:$C$630,0)),"",INDEX('Compliance Database'!$A$2:$A$630,MATCH(484,Engine!$C$2:$C$630,0)))</f>
        <v/>
      </c>
      <c r="B497">
        <f>IF(ISNA(MATCH(484,Engine!$C$2:$C$630,0)),"",INDEX('Compliance Database'!$B$2:$B$630,MATCH(484,Engine!$C$2:$C$630,0)))</f>
        <v/>
      </c>
      <c r="C497">
        <f>IF(ISNA(MATCH(484,Engine!$C$2:$C$630,0)),"",INDEX('Compliance Database'!$C$2:$C$630,MATCH(484,Engine!$C$2:$C$630,0)))</f>
        <v/>
      </c>
      <c r="D497" s="8">
        <f>IF(ISNA(MATCH(484,Engine!$C$2:$C$630,0)),"",INDEX('Compliance Database'!$D$2:$D$630,MATCH(484,Engine!$C$2:$C$630,0)))</f>
        <v/>
      </c>
      <c r="E497">
        <f>IF(ISNA(MATCH(484,Engine!$C$2:$C$630,0)),"",INDEX('Compliance Database'!$E$2:$E$630,MATCH(484,Engine!$C$2:$C$630,0)))</f>
        <v/>
      </c>
      <c r="F497">
        <f>IF(ISNA(MATCH(484,Engine!$C$2:$C$630,0)),"",INDEX('Compliance Database'!$F$2:$F$630,MATCH(484,Engine!$C$2:$C$630,0)))</f>
        <v/>
      </c>
      <c r="G497">
        <f>IF(ISNA(MATCH(484,Engine!$C$2:$C$630,0)),"",INDEX('Compliance Database'!$G$2:$G$630,MATCH(484,Engine!$C$2:$C$630,0)))</f>
        <v/>
      </c>
      <c r="H497">
        <f>IF(ISNA(MATCH(484,Engine!$C$2:$C$630,0)),"",INDEX('Compliance Database'!$H$2:$H$630,MATCH(484,Engine!$C$2:$C$630,0)))</f>
        <v/>
      </c>
      <c r="I497" s="8">
        <f>IF(ISNA(MATCH(484,Engine!$C$2:$C$630,0)),"",INDEX('Compliance Database'!$I$2:$I$630,MATCH(484,Engine!$C$2:$C$630,0)))</f>
        <v/>
      </c>
      <c r="J497" s="8">
        <f>IF(ISNA(MATCH(484,Engine!$C$2:$C$630,0)),"",INDEX('Compliance Database'!$J$2:$J$630,MATCH(484,Engine!$C$2:$C$630,0)))</f>
        <v/>
      </c>
      <c r="K497">
        <f>IF(ISNA(MATCH(484,Engine!$C$2:$C$630,0)),"",INDEX('Compliance Database'!$K$2:$K$630,MATCH(484,Engine!$C$2:$C$630,0)))</f>
        <v/>
      </c>
      <c r="L497" s="8">
        <f>IF(ISNA(MATCH(484,Engine!$C$2:$C$630,0)),"",INDEX('Compliance Database'!$L$2:$L$630,MATCH(484,Engine!$C$2:$C$630,0)))</f>
        <v/>
      </c>
      <c r="M497" s="8">
        <f>IF(ISNA(MATCH(484,Engine!$C$2:$C$630,0)),"",INDEX('Compliance Database'!$M$2:$M$630,MATCH(484,Engine!$C$2:$C$630,0)))</f>
        <v/>
      </c>
      <c r="N497" s="8">
        <f>IF(ISNA(MATCH(484,Engine!$C$2:$C$630,0)),"",INDEX('Compliance Database'!$N$2:$N$630,MATCH(484,Engine!$C$2:$C$630,0)))</f>
        <v/>
      </c>
      <c r="O497" s="8">
        <f>IF(ISNA(MATCH(484,Engine!$C$2:$C$630,0)),"",INDEX('Compliance Database'!$O$2:$O$630,MATCH(484,Engine!$C$2:$C$630,0)))</f>
        <v/>
      </c>
    </row>
    <row r="498">
      <c r="A498">
        <f>IF(ISNA(MATCH(485,Engine!$C$2:$C$630,0)),"",INDEX('Compliance Database'!$A$2:$A$630,MATCH(485,Engine!$C$2:$C$630,0)))</f>
        <v/>
      </c>
      <c r="B498">
        <f>IF(ISNA(MATCH(485,Engine!$C$2:$C$630,0)),"",INDEX('Compliance Database'!$B$2:$B$630,MATCH(485,Engine!$C$2:$C$630,0)))</f>
        <v/>
      </c>
      <c r="C498">
        <f>IF(ISNA(MATCH(485,Engine!$C$2:$C$630,0)),"",INDEX('Compliance Database'!$C$2:$C$630,MATCH(485,Engine!$C$2:$C$630,0)))</f>
        <v/>
      </c>
      <c r="D498" s="8">
        <f>IF(ISNA(MATCH(485,Engine!$C$2:$C$630,0)),"",INDEX('Compliance Database'!$D$2:$D$630,MATCH(485,Engine!$C$2:$C$630,0)))</f>
        <v/>
      </c>
      <c r="E498">
        <f>IF(ISNA(MATCH(485,Engine!$C$2:$C$630,0)),"",INDEX('Compliance Database'!$E$2:$E$630,MATCH(485,Engine!$C$2:$C$630,0)))</f>
        <v/>
      </c>
      <c r="F498">
        <f>IF(ISNA(MATCH(485,Engine!$C$2:$C$630,0)),"",INDEX('Compliance Database'!$F$2:$F$630,MATCH(485,Engine!$C$2:$C$630,0)))</f>
        <v/>
      </c>
      <c r="G498">
        <f>IF(ISNA(MATCH(485,Engine!$C$2:$C$630,0)),"",INDEX('Compliance Database'!$G$2:$G$630,MATCH(485,Engine!$C$2:$C$630,0)))</f>
        <v/>
      </c>
      <c r="H498">
        <f>IF(ISNA(MATCH(485,Engine!$C$2:$C$630,0)),"",INDEX('Compliance Database'!$H$2:$H$630,MATCH(485,Engine!$C$2:$C$630,0)))</f>
        <v/>
      </c>
      <c r="I498" s="8">
        <f>IF(ISNA(MATCH(485,Engine!$C$2:$C$630,0)),"",INDEX('Compliance Database'!$I$2:$I$630,MATCH(485,Engine!$C$2:$C$630,0)))</f>
        <v/>
      </c>
      <c r="J498" s="8">
        <f>IF(ISNA(MATCH(485,Engine!$C$2:$C$630,0)),"",INDEX('Compliance Database'!$J$2:$J$630,MATCH(485,Engine!$C$2:$C$630,0)))</f>
        <v/>
      </c>
      <c r="K498">
        <f>IF(ISNA(MATCH(485,Engine!$C$2:$C$630,0)),"",INDEX('Compliance Database'!$K$2:$K$630,MATCH(485,Engine!$C$2:$C$630,0)))</f>
        <v/>
      </c>
      <c r="L498" s="8">
        <f>IF(ISNA(MATCH(485,Engine!$C$2:$C$630,0)),"",INDEX('Compliance Database'!$L$2:$L$630,MATCH(485,Engine!$C$2:$C$630,0)))</f>
        <v/>
      </c>
      <c r="M498" s="8">
        <f>IF(ISNA(MATCH(485,Engine!$C$2:$C$630,0)),"",INDEX('Compliance Database'!$M$2:$M$630,MATCH(485,Engine!$C$2:$C$630,0)))</f>
        <v/>
      </c>
      <c r="N498" s="8">
        <f>IF(ISNA(MATCH(485,Engine!$C$2:$C$630,0)),"",INDEX('Compliance Database'!$N$2:$N$630,MATCH(485,Engine!$C$2:$C$630,0)))</f>
        <v/>
      </c>
      <c r="O498" s="8">
        <f>IF(ISNA(MATCH(485,Engine!$C$2:$C$630,0)),"",INDEX('Compliance Database'!$O$2:$O$630,MATCH(485,Engine!$C$2:$C$630,0)))</f>
        <v/>
      </c>
    </row>
    <row r="499">
      <c r="A499">
        <f>IF(ISNA(MATCH(486,Engine!$C$2:$C$630,0)),"",INDEX('Compliance Database'!$A$2:$A$630,MATCH(486,Engine!$C$2:$C$630,0)))</f>
        <v/>
      </c>
      <c r="B499">
        <f>IF(ISNA(MATCH(486,Engine!$C$2:$C$630,0)),"",INDEX('Compliance Database'!$B$2:$B$630,MATCH(486,Engine!$C$2:$C$630,0)))</f>
        <v/>
      </c>
      <c r="C499">
        <f>IF(ISNA(MATCH(486,Engine!$C$2:$C$630,0)),"",INDEX('Compliance Database'!$C$2:$C$630,MATCH(486,Engine!$C$2:$C$630,0)))</f>
        <v/>
      </c>
      <c r="D499" s="8">
        <f>IF(ISNA(MATCH(486,Engine!$C$2:$C$630,0)),"",INDEX('Compliance Database'!$D$2:$D$630,MATCH(486,Engine!$C$2:$C$630,0)))</f>
        <v/>
      </c>
      <c r="E499">
        <f>IF(ISNA(MATCH(486,Engine!$C$2:$C$630,0)),"",INDEX('Compliance Database'!$E$2:$E$630,MATCH(486,Engine!$C$2:$C$630,0)))</f>
        <v/>
      </c>
      <c r="F499">
        <f>IF(ISNA(MATCH(486,Engine!$C$2:$C$630,0)),"",INDEX('Compliance Database'!$F$2:$F$630,MATCH(486,Engine!$C$2:$C$630,0)))</f>
        <v/>
      </c>
      <c r="G499">
        <f>IF(ISNA(MATCH(486,Engine!$C$2:$C$630,0)),"",INDEX('Compliance Database'!$G$2:$G$630,MATCH(486,Engine!$C$2:$C$630,0)))</f>
        <v/>
      </c>
      <c r="H499">
        <f>IF(ISNA(MATCH(486,Engine!$C$2:$C$630,0)),"",INDEX('Compliance Database'!$H$2:$H$630,MATCH(486,Engine!$C$2:$C$630,0)))</f>
        <v/>
      </c>
      <c r="I499" s="8">
        <f>IF(ISNA(MATCH(486,Engine!$C$2:$C$630,0)),"",INDEX('Compliance Database'!$I$2:$I$630,MATCH(486,Engine!$C$2:$C$630,0)))</f>
        <v/>
      </c>
      <c r="J499" s="8">
        <f>IF(ISNA(MATCH(486,Engine!$C$2:$C$630,0)),"",INDEX('Compliance Database'!$J$2:$J$630,MATCH(486,Engine!$C$2:$C$630,0)))</f>
        <v/>
      </c>
      <c r="K499">
        <f>IF(ISNA(MATCH(486,Engine!$C$2:$C$630,0)),"",INDEX('Compliance Database'!$K$2:$K$630,MATCH(486,Engine!$C$2:$C$630,0)))</f>
        <v/>
      </c>
      <c r="L499" s="8">
        <f>IF(ISNA(MATCH(486,Engine!$C$2:$C$630,0)),"",INDEX('Compliance Database'!$L$2:$L$630,MATCH(486,Engine!$C$2:$C$630,0)))</f>
        <v/>
      </c>
      <c r="M499" s="8">
        <f>IF(ISNA(MATCH(486,Engine!$C$2:$C$630,0)),"",INDEX('Compliance Database'!$M$2:$M$630,MATCH(486,Engine!$C$2:$C$630,0)))</f>
        <v/>
      </c>
      <c r="N499" s="8">
        <f>IF(ISNA(MATCH(486,Engine!$C$2:$C$630,0)),"",INDEX('Compliance Database'!$N$2:$N$630,MATCH(486,Engine!$C$2:$C$630,0)))</f>
        <v/>
      </c>
      <c r="O499" s="8">
        <f>IF(ISNA(MATCH(486,Engine!$C$2:$C$630,0)),"",INDEX('Compliance Database'!$O$2:$O$630,MATCH(486,Engine!$C$2:$C$630,0)))</f>
        <v/>
      </c>
    </row>
    <row r="500">
      <c r="A500">
        <f>IF(ISNA(MATCH(487,Engine!$C$2:$C$630,0)),"",INDEX('Compliance Database'!$A$2:$A$630,MATCH(487,Engine!$C$2:$C$630,0)))</f>
        <v/>
      </c>
      <c r="B500">
        <f>IF(ISNA(MATCH(487,Engine!$C$2:$C$630,0)),"",INDEX('Compliance Database'!$B$2:$B$630,MATCH(487,Engine!$C$2:$C$630,0)))</f>
        <v/>
      </c>
      <c r="C500">
        <f>IF(ISNA(MATCH(487,Engine!$C$2:$C$630,0)),"",INDEX('Compliance Database'!$C$2:$C$630,MATCH(487,Engine!$C$2:$C$630,0)))</f>
        <v/>
      </c>
      <c r="D500" s="8">
        <f>IF(ISNA(MATCH(487,Engine!$C$2:$C$630,0)),"",INDEX('Compliance Database'!$D$2:$D$630,MATCH(487,Engine!$C$2:$C$630,0)))</f>
        <v/>
      </c>
      <c r="E500">
        <f>IF(ISNA(MATCH(487,Engine!$C$2:$C$630,0)),"",INDEX('Compliance Database'!$E$2:$E$630,MATCH(487,Engine!$C$2:$C$630,0)))</f>
        <v/>
      </c>
      <c r="F500">
        <f>IF(ISNA(MATCH(487,Engine!$C$2:$C$630,0)),"",INDEX('Compliance Database'!$F$2:$F$630,MATCH(487,Engine!$C$2:$C$630,0)))</f>
        <v/>
      </c>
      <c r="G500">
        <f>IF(ISNA(MATCH(487,Engine!$C$2:$C$630,0)),"",INDEX('Compliance Database'!$G$2:$G$630,MATCH(487,Engine!$C$2:$C$630,0)))</f>
        <v/>
      </c>
      <c r="H500">
        <f>IF(ISNA(MATCH(487,Engine!$C$2:$C$630,0)),"",INDEX('Compliance Database'!$H$2:$H$630,MATCH(487,Engine!$C$2:$C$630,0)))</f>
        <v/>
      </c>
      <c r="I500" s="8">
        <f>IF(ISNA(MATCH(487,Engine!$C$2:$C$630,0)),"",INDEX('Compliance Database'!$I$2:$I$630,MATCH(487,Engine!$C$2:$C$630,0)))</f>
        <v/>
      </c>
      <c r="J500" s="8">
        <f>IF(ISNA(MATCH(487,Engine!$C$2:$C$630,0)),"",INDEX('Compliance Database'!$J$2:$J$630,MATCH(487,Engine!$C$2:$C$630,0)))</f>
        <v/>
      </c>
      <c r="K500">
        <f>IF(ISNA(MATCH(487,Engine!$C$2:$C$630,0)),"",INDEX('Compliance Database'!$K$2:$K$630,MATCH(487,Engine!$C$2:$C$630,0)))</f>
        <v/>
      </c>
      <c r="L500" s="8">
        <f>IF(ISNA(MATCH(487,Engine!$C$2:$C$630,0)),"",INDEX('Compliance Database'!$L$2:$L$630,MATCH(487,Engine!$C$2:$C$630,0)))</f>
        <v/>
      </c>
      <c r="M500" s="8">
        <f>IF(ISNA(MATCH(487,Engine!$C$2:$C$630,0)),"",INDEX('Compliance Database'!$M$2:$M$630,MATCH(487,Engine!$C$2:$C$630,0)))</f>
        <v/>
      </c>
      <c r="N500" s="8">
        <f>IF(ISNA(MATCH(487,Engine!$C$2:$C$630,0)),"",INDEX('Compliance Database'!$N$2:$N$630,MATCH(487,Engine!$C$2:$C$630,0)))</f>
        <v/>
      </c>
      <c r="O500" s="8">
        <f>IF(ISNA(MATCH(487,Engine!$C$2:$C$630,0)),"",INDEX('Compliance Database'!$O$2:$O$630,MATCH(487,Engine!$C$2:$C$630,0)))</f>
        <v/>
      </c>
    </row>
    <row r="501">
      <c r="A501">
        <f>IF(ISNA(MATCH(488,Engine!$C$2:$C$630,0)),"",INDEX('Compliance Database'!$A$2:$A$630,MATCH(488,Engine!$C$2:$C$630,0)))</f>
        <v/>
      </c>
      <c r="B501">
        <f>IF(ISNA(MATCH(488,Engine!$C$2:$C$630,0)),"",INDEX('Compliance Database'!$B$2:$B$630,MATCH(488,Engine!$C$2:$C$630,0)))</f>
        <v/>
      </c>
      <c r="C501">
        <f>IF(ISNA(MATCH(488,Engine!$C$2:$C$630,0)),"",INDEX('Compliance Database'!$C$2:$C$630,MATCH(488,Engine!$C$2:$C$630,0)))</f>
        <v/>
      </c>
      <c r="D501" s="8">
        <f>IF(ISNA(MATCH(488,Engine!$C$2:$C$630,0)),"",INDEX('Compliance Database'!$D$2:$D$630,MATCH(488,Engine!$C$2:$C$630,0)))</f>
        <v/>
      </c>
      <c r="E501">
        <f>IF(ISNA(MATCH(488,Engine!$C$2:$C$630,0)),"",INDEX('Compliance Database'!$E$2:$E$630,MATCH(488,Engine!$C$2:$C$630,0)))</f>
        <v/>
      </c>
      <c r="F501">
        <f>IF(ISNA(MATCH(488,Engine!$C$2:$C$630,0)),"",INDEX('Compliance Database'!$F$2:$F$630,MATCH(488,Engine!$C$2:$C$630,0)))</f>
        <v/>
      </c>
      <c r="G501">
        <f>IF(ISNA(MATCH(488,Engine!$C$2:$C$630,0)),"",INDEX('Compliance Database'!$G$2:$G$630,MATCH(488,Engine!$C$2:$C$630,0)))</f>
        <v/>
      </c>
      <c r="H501">
        <f>IF(ISNA(MATCH(488,Engine!$C$2:$C$630,0)),"",INDEX('Compliance Database'!$H$2:$H$630,MATCH(488,Engine!$C$2:$C$630,0)))</f>
        <v/>
      </c>
      <c r="I501" s="8">
        <f>IF(ISNA(MATCH(488,Engine!$C$2:$C$630,0)),"",INDEX('Compliance Database'!$I$2:$I$630,MATCH(488,Engine!$C$2:$C$630,0)))</f>
        <v/>
      </c>
      <c r="J501" s="8">
        <f>IF(ISNA(MATCH(488,Engine!$C$2:$C$630,0)),"",INDEX('Compliance Database'!$J$2:$J$630,MATCH(488,Engine!$C$2:$C$630,0)))</f>
        <v/>
      </c>
      <c r="K501">
        <f>IF(ISNA(MATCH(488,Engine!$C$2:$C$630,0)),"",INDEX('Compliance Database'!$K$2:$K$630,MATCH(488,Engine!$C$2:$C$630,0)))</f>
        <v/>
      </c>
      <c r="L501" s="8">
        <f>IF(ISNA(MATCH(488,Engine!$C$2:$C$630,0)),"",INDEX('Compliance Database'!$L$2:$L$630,MATCH(488,Engine!$C$2:$C$630,0)))</f>
        <v/>
      </c>
      <c r="M501" s="8">
        <f>IF(ISNA(MATCH(488,Engine!$C$2:$C$630,0)),"",INDEX('Compliance Database'!$M$2:$M$630,MATCH(488,Engine!$C$2:$C$630,0)))</f>
        <v/>
      </c>
      <c r="N501" s="8">
        <f>IF(ISNA(MATCH(488,Engine!$C$2:$C$630,0)),"",INDEX('Compliance Database'!$N$2:$N$630,MATCH(488,Engine!$C$2:$C$630,0)))</f>
        <v/>
      </c>
      <c r="O501" s="8">
        <f>IF(ISNA(MATCH(488,Engine!$C$2:$C$630,0)),"",INDEX('Compliance Database'!$O$2:$O$630,MATCH(488,Engine!$C$2:$C$630,0)))</f>
        <v/>
      </c>
    </row>
    <row r="502">
      <c r="A502">
        <f>IF(ISNA(MATCH(489,Engine!$C$2:$C$630,0)),"",INDEX('Compliance Database'!$A$2:$A$630,MATCH(489,Engine!$C$2:$C$630,0)))</f>
        <v/>
      </c>
      <c r="B502">
        <f>IF(ISNA(MATCH(489,Engine!$C$2:$C$630,0)),"",INDEX('Compliance Database'!$B$2:$B$630,MATCH(489,Engine!$C$2:$C$630,0)))</f>
        <v/>
      </c>
      <c r="C502">
        <f>IF(ISNA(MATCH(489,Engine!$C$2:$C$630,0)),"",INDEX('Compliance Database'!$C$2:$C$630,MATCH(489,Engine!$C$2:$C$630,0)))</f>
        <v/>
      </c>
      <c r="D502" s="8">
        <f>IF(ISNA(MATCH(489,Engine!$C$2:$C$630,0)),"",INDEX('Compliance Database'!$D$2:$D$630,MATCH(489,Engine!$C$2:$C$630,0)))</f>
        <v/>
      </c>
      <c r="E502">
        <f>IF(ISNA(MATCH(489,Engine!$C$2:$C$630,0)),"",INDEX('Compliance Database'!$E$2:$E$630,MATCH(489,Engine!$C$2:$C$630,0)))</f>
        <v/>
      </c>
      <c r="F502">
        <f>IF(ISNA(MATCH(489,Engine!$C$2:$C$630,0)),"",INDEX('Compliance Database'!$F$2:$F$630,MATCH(489,Engine!$C$2:$C$630,0)))</f>
        <v/>
      </c>
      <c r="G502">
        <f>IF(ISNA(MATCH(489,Engine!$C$2:$C$630,0)),"",INDEX('Compliance Database'!$G$2:$G$630,MATCH(489,Engine!$C$2:$C$630,0)))</f>
        <v/>
      </c>
      <c r="H502">
        <f>IF(ISNA(MATCH(489,Engine!$C$2:$C$630,0)),"",INDEX('Compliance Database'!$H$2:$H$630,MATCH(489,Engine!$C$2:$C$630,0)))</f>
        <v/>
      </c>
      <c r="I502" s="8">
        <f>IF(ISNA(MATCH(489,Engine!$C$2:$C$630,0)),"",INDEX('Compliance Database'!$I$2:$I$630,MATCH(489,Engine!$C$2:$C$630,0)))</f>
        <v/>
      </c>
      <c r="J502" s="8">
        <f>IF(ISNA(MATCH(489,Engine!$C$2:$C$630,0)),"",INDEX('Compliance Database'!$J$2:$J$630,MATCH(489,Engine!$C$2:$C$630,0)))</f>
        <v/>
      </c>
      <c r="K502">
        <f>IF(ISNA(MATCH(489,Engine!$C$2:$C$630,0)),"",INDEX('Compliance Database'!$K$2:$K$630,MATCH(489,Engine!$C$2:$C$630,0)))</f>
        <v/>
      </c>
      <c r="L502" s="8">
        <f>IF(ISNA(MATCH(489,Engine!$C$2:$C$630,0)),"",INDEX('Compliance Database'!$L$2:$L$630,MATCH(489,Engine!$C$2:$C$630,0)))</f>
        <v/>
      </c>
      <c r="M502" s="8">
        <f>IF(ISNA(MATCH(489,Engine!$C$2:$C$630,0)),"",INDEX('Compliance Database'!$M$2:$M$630,MATCH(489,Engine!$C$2:$C$630,0)))</f>
        <v/>
      </c>
      <c r="N502" s="8">
        <f>IF(ISNA(MATCH(489,Engine!$C$2:$C$630,0)),"",INDEX('Compliance Database'!$N$2:$N$630,MATCH(489,Engine!$C$2:$C$630,0)))</f>
        <v/>
      </c>
      <c r="O502" s="8">
        <f>IF(ISNA(MATCH(489,Engine!$C$2:$C$630,0)),"",INDEX('Compliance Database'!$O$2:$O$630,MATCH(489,Engine!$C$2:$C$630,0)))</f>
        <v/>
      </c>
    </row>
    <row r="503">
      <c r="A503">
        <f>IF(ISNA(MATCH(490,Engine!$C$2:$C$630,0)),"",INDEX('Compliance Database'!$A$2:$A$630,MATCH(490,Engine!$C$2:$C$630,0)))</f>
        <v/>
      </c>
      <c r="B503">
        <f>IF(ISNA(MATCH(490,Engine!$C$2:$C$630,0)),"",INDEX('Compliance Database'!$B$2:$B$630,MATCH(490,Engine!$C$2:$C$630,0)))</f>
        <v/>
      </c>
      <c r="C503">
        <f>IF(ISNA(MATCH(490,Engine!$C$2:$C$630,0)),"",INDEX('Compliance Database'!$C$2:$C$630,MATCH(490,Engine!$C$2:$C$630,0)))</f>
        <v/>
      </c>
      <c r="D503" s="8">
        <f>IF(ISNA(MATCH(490,Engine!$C$2:$C$630,0)),"",INDEX('Compliance Database'!$D$2:$D$630,MATCH(490,Engine!$C$2:$C$630,0)))</f>
        <v/>
      </c>
      <c r="E503">
        <f>IF(ISNA(MATCH(490,Engine!$C$2:$C$630,0)),"",INDEX('Compliance Database'!$E$2:$E$630,MATCH(490,Engine!$C$2:$C$630,0)))</f>
        <v/>
      </c>
      <c r="F503">
        <f>IF(ISNA(MATCH(490,Engine!$C$2:$C$630,0)),"",INDEX('Compliance Database'!$F$2:$F$630,MATCH(490,Engine!$C$2:$C$630,0)))</f>
        <v/>
      </c>
      <c r="G503">
        <f>IF(ISNA(MATCH(490,Engine!$C$2:$C$630,0)),"",INDEX('Compliance Database'!$G$2:$G$630,MATCH(490,Engine!$C$2:$C$630,0)))</f>
        <v/>
      </c>
      <c r="H503">
        <f>IF(ISNA(MATCH(490,Engine!$C$2:$C$630,0)),"",INDEX('Compliance Database'!$H$2:$H$630,MATCH(490,Engine!$C$2:$C$630,0)))</f>
        <v/>
      </c>
      <c r="I503" s="8">
        <f>IF(ISNA(MATCH(490,Engine!$C$2:$C$630,0)),"",INDEX('Compliance Database'!$I$2:$I$630,MATCH(490,Engine!$C$2:$C$630,0)))</f>
        <v/>
      </c>
      <c r="J503" s="8">
        <f>IF(ISNA(MATCH(490,Engine!$C$2:$C$630,0)),"",INDEX('Compliance Database'!$J$2:$J$630,MATCH(490,Engine!$C$2:$C$630,0)))</f>
        <v/>
      </c>
      <c r="K503">
        <f>IF(ISNA(MATCH(490,Engine!$C$2:$C$630,0)),"",INDEX('Compliance Database'!$K$2:$K$630,MATCH(490,Engine!$C$2:$C$630,0)))</f>
        <v/>
      </c>
      <c r="L503" s="8">
        <f>IF(ISNA(MATCH(490,Engine!$C$2:$C$630,0)),"",INDEX('Compliance Database'!$L$2:$L$630,MATCH(490,Engine!$C$2:$C$630,0)))</f>
        <v/>
      </c>
      <c r="M503" s="8">
        <f>IF(ISNA(MATCH(490,Engine!$C$2:$C$630,0)),"",INDEX('Compliance Database'!$M$2:$M$630,MATCH(490,Engine!$C$2:$C$630,0)))</f>
        <v/>
      </c>
      <c r="N503" s="8">
        <f>IF(ISNA(MATCH(490,Engine!$C$2:$C$630,0)),"",INDEX('Compliance Database'!$N$2:$N$630,MATCH(490,Engine!$C$2:$C$630,0)))</f>
        <v/>
      </c>
      <c r="O503" s="8">
        <f>IF(ISNA(MATCH(490,Engine!$C$2:$C$630,0)),"",INDEX('Compliance Database'!$O$2:$O$630,MATCH(490,Engine!$C$2:$C$630,0)))</f>
        <v/>
      </c>
    </row>
    <row r="504">
      <c r="A504">
        <f>IF(ISNA(MATCH(491,Engine!$C$2:$C$630,0)),"",INDEX('Compliance Database'!$A$2:$A$630,MATCH(491,Engine!$C$2:$C$630,0)))</f>
        <v/>
      </c>
      <c r="B504">
        <f>IF(ISNA(MATCH(491,Engine!$C$2:$C$630,0)),"",INDEX('Compliance Database'!$B$2:$B$630,MATCH(491,Engine!$C$2:$C$630,0)))</f>
        <v/>
      </c>
      <c r="C504">
        <f>IF(ISNA(MATCH(491,Engine!$C$2:$C$630,0)),"",INDEX('Compliance Database'!$C$2:$C$630,MATCH(491,Engine!$C$2:$C$630,0)))</f>
        <v/>
      </c>
      <c r="D504" s="8">
        <f>IF(ISNA(MATCH(491,Engine!$C$2:$C$630,0)),"",INDEX('Compliance Database'!$D$2:$D$630,MATCH(491,Engine!$C$2:$C$630,0)))</f>
        <v/>
      </c>
      <c r="E504">
        <f>IF(ISNA(MATCH(491,Engine!$C$2:$C$630,0)),"",INDEX('Compliance Database'!$E$2:$E$630,MATCH(491,Engine!$C$2:$C$630,0)))</f>
        <v/>
      </c>
      <c r="F504">
        <f>IF(ISNA(MATCH(491,Engine!$C$2:$C$630,0)),"",INDEX('Compliance Database'!$F$2:$F$630,MATCH(491,Engine!$C$2:$C$630,0)))</f>
        <v/>
      </c>
      <c r="G504">
        <f>IF(ISNA(MATCH(491,Engine!$C$2:$C$630,0)),"",INDEX('Compliance Database'!$G$2:$G$630,MATCH(491,Engine!$C$2:$C$630,0)))</f>
        <v/>
      </c>
      <c r="H504">
        <f>IF(ISNA(MATCH(491,Engine!$C$2:$C$630,0)),"",INDEX('Compliance Database'!$H$2:$H$630,MATCH(491,Engine!$C$2:$C$630,0)))</f>
        <v/>
      </c>
      <c r="I504" s="8">
        <f>IF(ISNA(MATCH(491,Engine!$C$2:$C$630,0)),"",INDEX('Compliance Database'!$I$2:$I$630,MATCH(491,Engine!$C$2:$C$630,0)))</f>
        <v/>
      </c>
      <c r="J504" s="8">
        <f>IF(ISNA(MATCH(491,Engine!$C$2:$C$630,0)),"",INDEX('Compliance Database'!$J$2:$J$630,MATCH(491,Engine!$C$2:$C$630,0)))</f>
        <v/>
      </c>
      <c r="K504">
        <f>IF(ISNA(MATCH(491,Engine!$C$2:$C$630,0)),"",INDEX('Compliance Database'!$K$2:$K$630,MATCH(491,Engine!$C$2:$C$630,0)))</f>
        <v/>
      </c>
      <c r="L504" s="8">
        <f>IF(ISNA(MATCH(491,Engine!$C$2:$C$630,0)),"",INDEX('Compliance Database'!$L$2:$L$630,MATCH(491,Engine!$C$2:$C$630,0)))</f>
        <v/>
      </c>
      <c r="M504" s="8">
        <f>IF(ISNA(MATCH(491,Engine!$C$2:$C$630,0)),"",INDEX('Compliance Database'!$M$2:$M$630,MATCH(491,Engine!$C$2:$C$630,0)))</f>
        <v/>
      </c>
      <c r="N504" s="8">
        <f>IF(ISNA(MATCH(491,Engine!$C$2:$C$630,0)),"",INDEX('Compliance Database'!$N$2:$N$630,MATCH(491,Engine!$C$2:$C$630,0)))</f>
        <v/>
      </c>
      <c r="O504" s="8">
        <f>IF(ISNA(MATCH(491,Engine!$C$2:$C$630,0)),"",INDEX('Compliance Database'!$O$2:$O$630,MATCH(491,Engine!$C$2:$C$630,0)))</f>
        <v/>
      </c>
    </row>
    <row r="505">
      <c r="A505">
        <f>IF(ISNA(MATCH(492,Engine!$C$2:$C$630,0)),"",INDEX('Compliance Database'!$A$2:$A$630,MATCH(492,Engine!$C$2:$C$630,0)))</f>
        <v/>
      </c>
      <c r="B505">
        <f>IF(ISNA(MATCH(492,Engine!$C$2:$C$630,0)),"",INDEX('Compliance Database'!$B$2:$B$630,MATCH(492,Engine!$C$2:$C$630,0)))</f>
        <v/>
      </c>
      <c r="C505">
        <f>IF(ISNA(MATCH(492,Engine!$C$2:$C$630,0)),"",INDEX('Compliance Database'!$C$2:$C$630,MATCH(492,Engine!$C$2:$C$630,0)))</f>
        <v/>
      </c>
      <c r="D505" s="8">
        <f>IF(ISNA(MATCH(492,Engine!$C$2:$C$630,0)),"",INDEX('Compliance Database'!$D$2:$D$630,MATCH(492,Engine!$C$2:$C$630,0)))</f>
        <v/>
      </c>
      <c r="E505">
        <f>IF(ISNA(MATCH(492,Engine!$C$2:$C$630,0)),"",INDEX('Compliance Database'!$E$2:$E$630,MATCH(492,Engine!$C$2:$C$630,0)))</f>
        <v/>
      </c>
      <c r="F505">
        <f>IF(ISNA(MATCH(492,Engine!$C$2:$C$630,0)),"",INDEX('Compliance Database'!$F$2:$F$630,MATCH(492,Engine!$C$2:$C$630,0)))</f>
        <v/>
      </c>
      <c r="G505">
        <f>IF(ISNA(MATCH(492,Engine!$C$2:$C$630,0)),"",INDEX('Compliance Database'!$G$2:$G$630,MATCH(492,Engine!$C$2:$C$630,0)))</f>
        <v/>
      </c>
      <c r="H505">
        <f>IF(ISNA(MATCH(492,Engine!$C$2:$C$630,0)),"",INDEX('Compliance Database'!$H$2:$H$630,MATCH(492,Engine!$C$2:$C$630,0)))</f>
        <v/>
      </c>
      <c r="I505" s="8">
        <f>IF(ISNA(MATCH(492,Engine!$C$2:$C$630,0)),"",INDEX('Compliance Database'!$I$2:$I$630,MATCH(492,Engine!$C$2:$C$630,0)))</f>
        <v/>
      </c>
      <c r="J505" s="8">
        <f>IF(ISNA(MATCH(492,Engine!$C$2:$C$630,0)),"",INDEX('Compliance Database'!$J$2:$J$630,MATCH(492,Engine!$C$2:$C$630,0)))</f>
        <v/>
      </c>
      <c r="K505">
        <f>IF(ISNA(MATCH(492,Engine!$C$2:$C$630,0)),"",INDEX('Compliance Database'!$K$2:$K$630,MATCH(492,Engine!$C$2:$C$630,0)))</f>
        <v/>
      </c>
      <c r="L505" s="8">
        <f>IF(ISNA(MATCH(492,Engine!$C$2:$C$630,0)),"",INDEX('Compliance Database'!$L$2:$L$630,MATCH(492,Engine!$C$2:$C$630,0)))</f>
        <v/>
      </c>
      <c r="M505" s="8">
        <f>IF(ISNA(MATCH(492,Engine!$C$2:$C$630,0)),"",INDEX('Compliance Database'!$M$2:$M$630,MATCH(492,Engine!$C$2:$C$630,0)))</f>
        <v/>
      </c>
      <c r="N505" s="8">
        <f>IF(ISNA(MATCH(492,Engine!$C$2:$C$630,0)),"",INDEX('Compliance Database'!$N$2:$N$630,MATCH(492,Engine!$C$2:$C$630,0)))</f>
        <v/>
      </c>
      <c r="O505" s="8">
        <f>IF(ISNA(MATCH(492,Engine!$C$2:$C$630,0)),"",INDEX('Compliance Database'!$O$2:$O$630,MATCH(492,Engine!$C$2:$C$630,0)))</f>
        <v/>
      </c>
    </row>
    <row r="506">
      <c r="A506">
        <f>IF(ISNA(MATCH(493,Engine!$C$2:$C$630,0)),"",INDEX('Compliance Database'!$A$2:$A$630,MATCH(493,Engine!$C$2:$C$630,0)))</f>
        <v/>
      </c>
      <c r="B506">
        <f>IF(ISNA(MATCH(493,Engine!$C$2:$C$630,0)),"",INDEX('Compliance Database'!$B$2:$B$630,MATCH(493,Engine!$C$2:$C$630,0)))</f>
        <v/>
      </c>
      <c r="C506">
        <f>IF(ISNA(MATCH(493,Engine!$C$2:$C$630,0)),"",INDEX('Compliance Database'!$C$2:$C$630,MATCH(493,Engine!$C$2:$C$630,0)))</f>
        <v/>
      </c>
      <c r="D506" s="8">
        <f>IF(ISNA(MATCH(493,Engine!$C$2:$C$630,0)),"",INDEX('Compliance Database'!$D$2:$D$630,MATCH(493,Engine!$C$2:$C$630,0)))</f>
        <v/>
      </c>
      <c r="E506">
        <f>IF(ISNA(MATCH(493,Engine!$C$2:$C$630,0)),"",INDEX('Compliance Database'!$E$2:$E$630,MATCH(493,Engine!$C$2:$C$630,0)))</f>
        <v/>
      </c>
      <c r="F506">
        <f>IF(ISNA(MATCH(493,Engine!$C$2:$C$630,0)),"",INDEX('Compliance Database'!$F$2:$F$630,MATCH(493,Engine!$C$2:$C$630,0)))</f>
        <v/>
      </c>
      <c r="G506">
        <f>IF(ISNA(MATCH(493,Engine!$C$2:$C$630,0)),"",INDEX('Compliance Database'!$G$2:$G$630,MATCH(493,Engine!$C$2:$C$630,0)))</f>
        <v/>
      </c>
      <c r="H506">
        <f>IF(ISNA(MATCH(493,Engine!$C$2:$C$630,0)),"",INDEX('Compliance Database'!$H$2:$H$630,MATCH(493,Engine!$C$2:$C$630,0)))</f>
        <v/>
      </c>
      <c r="I506" s="8">
        <f>IF(ISNA(MATCH(493,Engine!$C$2:$C$630,0)),"",INDEX('Compliance Database'!$I$2:$I$630,MATCH(493,Engine!$C$2:$C$630,0)))</f>
        <v/>
      </c>
      <c r="J506" s="8">
        <f>IF(ISNA(MATCH(493,Engine!$C$2:$C$630,0)),"",INDEX('Compliance Database'!$J$2:$J$630,MATCH(493,Engine!$C$2:$C$630,0)))</f>
        <v/>
      </c>
      <c r="K506">
        <f>IF(ISNA(MATCH(493,Engine!$C$2:$C$630,0)),"",INDEX('Compliance Database'!$K$2:$K$630,MATCH(493,Engine!$C$2:$C$630,0)))</f>
        <v/>
      </c>
      <c r="L506" s="8">
        <f>IF(ISNA(MATCH(493,Engine!$C$2:$C$630,0)),"",INDEX('Compliance Database'!$L$2:$L$630,MATCH(493,Engine!$C$2:$C$630,0)))</f>
        <v/>
      </c>
      <c r="M506" s="8">
        <f>IF(ISNA(MATCH(493,Engine!$C$2:$C$630,0)),"",INDEX('Compliance Database'!$M$2:$M$630,MATCH(493,Engine!$C$2:$C$630,0)))</f>
        <v/>
      </c>
      <c r="N506" s="8">
        <f>IF(ISNA(MATCH(493,Engine!$C$2:$C$630,0)),"",INDEX('Compliance Database'!$N$2:$N$630,MATCH(493,Engine!$C$2:$C$630,0)))</f>
        <v/>
      </c>
      <c r="O506" s="8">
        <f>IF(ISNA(MATCH(493,Engine!$C$2:$C$630,0)),"",INDEX('Compliance Database'!$O$2:$O$630,MATCH(493,Engine!$C$2:$C$630,0)))</f>
        <v/>
      </c>
    </row>
    <row r="507">
      <c r="A507">
        <f>IF(ISNA(MATCH(494,Engine!$C$2:$C$630,0)),"",INDEX('Compliance Database'!$A$2:$A$630,MATCH(494,Engine!$C$2:$C$630,0)))</f>
        <v/>
      </c>
      <c r="B507">
        <f>IF(ISNA(MATCH(494,Engine!$C$2:$C$630,0)),"",INDEX('Compliance Database'!$B$2:$B$630,MATCH(494,Engine!$C$2:$C$630,0)))</f>
        <v/>
      </c>
      <c r="C507">
        <f>IF(ISNA(MATCH(494,Engine!$C$2:$C$630,0)),"",INDEX('Compliance Database'!$C$2:$C$630,MATCH(494,Engine!$C$2:$C$630,0)))</f>
        <v/>
      </c>
      <c r="D507" s="8">
        <f>IF(ISNA(MATCH(494,Engine!$C$2:$C$630,0)),"",INDEX('Compliance Database'!$D$2:$D$630,MATCH(494,Engine!$C$2:$C$630,0)))</f>
        <v/>
      </c>
      <c r="E507">
        <f>IF(ISNA(MATCH(494,Engine!$C$2:$C$630,0)),"",INDEX('Compliance Database'!$E$2:$E$630,MATCH(494,Engine!$C$2:$C$630,0)))</f>
        <v/>
      </c>
      <c r="F507">
        <f>IF(ISNA(MATCH(494,Engine!$C$2:$C$630,0)),"",INDEX('Compliance Database'!$F$2:$F$630,MATCH(494,Engine!$C$2:$C$630,0)))</f>
        <v/>
      </c>
      <c r="G507">
        <f>IF(ISNA(MATCH(494,Engine!$C$2:$C$630,0)),"",INDEX('Compliance Database'!$G$2:$G$630,MATCH(494,Engine!$C$2:$C$630,0)))</f>
        <v/>
      </c>
      <c r="H507">
        <f>IF(ISNA(MATCH(494,Engine!$C$2:$C$630,0)),"",INDEX('Compliance Database'!$H$2:$H$630,MATCH(494,Engine!$C$2:$C$630,0)))</f>
        <v/>
      </c>
      <c r="I507" s="8">
        <f>IF(ISNA(MATCH(494,Engine!$C$2:$C$630,0)),"",INDEX('Compliance Database'!$I$2:$I$630,MATCH(494,Engine!$C$2:$C$630,0)))</f>
        <v/>
      </c>
      <c r="J507" s="8">
        <f>IF(ISNA(MATCH(494,Engine!$C$2:$C$630,0)),"",INDEX('Compliance Database'!$J$2:$J$630,MATCH(494,Engine!$C$2:$C$630,0)))</f>
        <v/>
      </c>
      <c r="K507">
        <f>IF(ISNA(MATCH(494,Engine!$C$2:$C$630,0)),"",INDEX('Compliance Database'!$K$2:$K$630,MATCH(494,Engine!$C$2:$C$630,0)))</f>
        <v/>
      </c>
      <c r="L507" s="8">
        <f>IF(ISNA(MATCH(494,Engine!$C$2:$C$630,0)),"",INDEX('Compliance Database'!$L$2:$L$630,MATCH(494,Engine!$C$2:$C$630,0)))</f>
        <v/>
      </c>
      <c r="M507" s="8">
        <f>IF(ISNA(MATCH(494,Engine!$C$2:$C$630,0)),"",INDEX('Compliance Database'!$M$2:$M$630,MATCH(494,Engine!$C$2:$C$630,0)))</f>
        <v/>
      </c>
      <c r="N507" s="8">
        <f>IF(ISNA(MATCH(494,Engine!$C$2:$C$630,0)),"",INDEX('Compliance Database'!$N$2:$N$630,MATCH(494,Engine!$C$2:$C$630,0)))</f>
        <v/>
      </c>
      <c r="O507" s="8">
        <f>IF(ISNA(MATCH(494,Engine!$C$2:$C$630,0)),"",INDEX('Compliance Database'!$O$2:$O$630,MATCH(494,Engine!$C$2:$C$630,0)))</f>
        <v/>
      </c>
    </row>
    <row r="508">
      <c r="A508">
        <f>IF(ISNA(MATCH(495,Engine!$C$2:$C$630,0)),"",INDEX('Compliance Database'!$A$2:$A$630,MATCH(495,Engine!$C$2:$C$630,0)))</f>
        <v/>
      </c>
      <c r="B508">
        <f>IF(ISNA(MATCH(495,Engine!$C$2:$C$630,0)),"",INDEX('Compliance Database'!$B$2:$B$630,MATCH(495,Engine!$C$2:$C$630,0)))</f>
        <v/>
      </c>
      <c r="C508">
        <f>IF(ISNA(MATCH(495,Engine!$C$2:$C$630,0)),"",INDEX('Compliance Database'!$C$2:$C$630,MATCH(495,Engine!$C$2:$C$630,0)))</f>
        <v/>
      </c>
      <c r="D508" s="8">
        <f>IF(ISNA(MATCH(495,Engine!$C$2:$C$630,0)),"",INDEX('Compliance Database'!$D$2:$D$630,MATCH(495,Engine!$C$2:$C$630,0)))</f>
        <v/>
      </c>
      <c r="E508">
        <f>IF(ISNA(MATCH(495,Engine!$C$2:$C$630,0)),"",INDEX('Compliance Database'!$E$2:$E$630,MATCH(495,Engine!$C$2:$C$630,0)))</f>
        <v/>
      </c>
      <c r="F508">
        <f>IF(ISNA(MATCH(495,Engine!$C$2:$C$630,0)),"",INDEX('Compliance Database'!$F$2:$F$630,MATCH(495,Engine!$C$2:$C$630,0)))</f>
        <v/>
      </c>
      <c r="G508">
        <f>IF(ISNA(MATCH(495,Engine!$C$2:$C$630,0)),"",INDEX('Compliance Database'!$G$2:$G$630,MATCH(495,Engine!$C$2:$C$630,0)))</f>
        <v/>
      </c>
      <c r="H508">
        <f>IF(ISNA(MATCH(495,Engine!$C$2:$C$630,0)),"",INDEX('Compliance Database'!$H$2:$H$630,MATCH(495,Engine!$C$2:$C$630,0)))</f>
        <v/>
      </c>
      <c r="I508" s="8">
        <f>IF(ISNA(MATCH(495,Engine!$C$2:$C$630,0)),"",INDEX('Compliance Database'!$I$2:$I$630,MATCH(495,Engine!$C$2:$C$630,0)))</f>
        <v/>
      </c>
      <c r="J508" s="8">
        <f>IF(ISNA(MATCH(495,Engine!$C$2:$C$630,0)),"",INDEX('Compliance Database'!$J$2:$J$630,MATCH(495,Engine!$C$2:$C$630,0)))</f>
        <v/>
      </c>
      <c r="K508">
        <f>IF(ISNA(MATCH(495,Engine!$C$2:$C$630,0)),"",INDEX('Compliance Database'!$K$2:$K$630,MATCH(495,Engine!$C$2:$C$630,0)))</f>
        <v/>
      </c>
      <c r="L508" s="8">
        <f>IF(ISNA(MATCH(495,Engine!$C$2:$C$630,0)),"",INDEX('Compliance Database'!$L$2:$L$630,MATCH(495,Engine!$C$2:$C$630,0)))</f>
        <v/>
      </c>
      <c r="M508" s="8">
        <f>IF(ISNA(MATCH(495,Engine!$C$2:$C$630,0)),"",INDEX('Compliance Database'!$M$2:$M$630,MATCH(495,Engine!$C$2:$C$630,0)))</f>
        <v/>
      </c>
      <c r="N508" s="8">
        <f>IF(ISNA(MATCH(495,Engine!$C$2:$C$630,0)),"",INDEX('Compliance Database'!$N$2:$N$630,MATCH(495,Engine!$C$2:$C$630,0)))</f>
        <v/>
      </c>
      <c r="O508" s="8">
        <f>IF(ISNA(MATCH(495,Engine!$C$2:$C$630,0)),"",INDEX('Compliance Database'!$O$2:$O$630,MATCH(495,Engine!$C$2:$C$630,0)))</f>
        <v/>
      </c>
    </row>
    <row r="509">
      <c r="A509">
        <f>IF(ISNA(MATCH(496,Engine!$C$2:$C$630,0)),"",INDEX('Compliance Database'!$A$2:$A$630,MATCH(496,Engine!$C$2:$C$630,0)))</f>
        <v/>
      </c>
      <c r="B509">
        <f>IF(ISNA(MATCH(496,Engine!$C$2:$C$630,0)),"",INDEX('Compliance Database'!$B$2:$B$630,MATCH(496,Engine!$C$2:$C$630,0)))</f>
        <v/>
      </c>
      <c r="C509">
        <f>IF(ISNA(MATCH(496,Engine!$C$2:$C$630,0)),"",INDEX('Compliance Database'!$C$2:$C$630,MATCH(496,Engine!$C$2:$C$630,0)))</f>
        <v/>
      </c>
      <c r="D509" s="8">
        <f>IF(ISNA(MATCH(496,Engine!$C$2:$C$630,0)),"",INDEX('Compliance Database'!$D$2:$D$630,MATCH(496,Engine!$C$2:$C$630,0)))</f>
        <v/>
      </c>
      <c r="E509">
        <f>IF(ISNA(MATCH(496,Engine!$C$2:$C$630,0)),"",INDEX('Compliance Database'!$E$2:$E$630,MATCH(496,Engine!$C$2:$C$630,0)))</f>
        <v/>
      </c>
      <c r="F509">
        <f>IF(ISNA(MATCH(496,Engine!$C$2:$C$630,0)),"",INDEX('Compliance Database'!$F$2:$F$630,MATCH(496,Engine!$C$2:$C$630,0)))</f>
        <v/>
      </c>
      <c r="G509">
        <f>IF(ISNA(MATCH(496,Engine!$C$2:$C$630,0)),"",INDEX('Compliance Database'!$G$2:$G$630,MATCH(496,Engine!$C$2:$C$630,0)))</f>
        <v/>
      </c>
      <c r="H509">
        <f>IF(ISNA(MATCH(496,Engine!$C$2:$C$630,0)),"",INDEX('Compliance Database'!$H$2:$H$630,MATCH(496,Engine!$C$2:$C$630,0)))</f>
        <v/>
      </c>
      <c r="I509" s="8">
        <f>IF(ISNA(MATCH(496,Engine!$C$2:$C$630,0)),"",INDEX('Compliance Database'!$I$2:$I$630,MATCH(496,Engine!$C$2:$C$630,0)))</f>
        <v/>
      </c>
      <c r="J509" s="8">
        <f>IF(ISNA(MATCH(496,Engine!$C$2:$C$630,0)),"",INDEX('Compliance Database'!$J$2:$J$630,MATCH(496,Engine!$C$2:$C$630,0)))</f>
        <v/>
      </c>
      <c r="K509">
        <f>IF(ISNA(MATCH(496,Engine!$C$2:$C$630,0)),"",INDEX('Compliance Database'!$K$2:$K$630,MATCH(496,Engine!$C$2:$C$630,0)))</f>
        <v/>
      </c>
      <c r="L509" s="8">
        <f>IF(ISNA(MATCH(496,Engine!$C$2:$C$630,0)),"",INDEX('Compliance Database'!$L$2:$L$630,MATCH(496,Engine!$C$2:$C$630,0)))</f>
        <v/>
      </c>
      <c r="M509" s="8">
        <f>IF(ISNA(MATCH(496,Engine!$C$2:$C$630,0)),"",INDEX('Compliance Database'!$M$2:$M$630,MATCH(496,Engine!$C$2:$C$630,0)))</f>
        <v/>
      </c>
      <c r="N509" s="8">
        <f>IF(ISNA(MATCH(496,Engine!$C$2:$C$630,0)),"",INDEX('Compliance Database'!$N$2:$N$630,MATCH(496,Engine!$C$2:$C$630,0)))</f>
        <v/>
      </c>
      <c r="O509" s="8">
        <f>IF(ISNA(MATCH(496,Engine!$C$2:$C$630,0)),"",INDEX('Compliance Database'!$O$2:$O$630,MATCH(496,Engine!$C$2:$C$630,0)))</f>
        <v/>
      </c>
    </row>
    <row r="510">
      <c r="A510">
        <f>IF(ISNA(MATCH(497,Engine!$C$2:$C$630,0)),"",INDEX('Compliance Database'!$A$2:$A$630,MATCH(497,Engine!$C$2:$C$630,0)))</f>
        <v/>
      </c>
      <c r="B510">
        <f>IF(ISNA(MATCH(497,Engine!$C$2:$C$630,0)),"",INDEX('Compliance Database'!$B$2:$B$630,MATCH(497,Engine!$C$2:$C$630,0)))</f>
        <v/>
      </c>
      <c r="C510">
        <f>IF(ISNA(MATCH(497,Engine!$C$2:$C$630,0)),"",INDEX('Compliance Database'!$C$2:$C$630,MATCH(497,Engine!$C$2:$C$630,0)))</f>
        <v/>
      </c>
      <c r="D510" s="8">
        <f>IF(ISNA(MATCH(497,Engine!$C$2:$C$630,0)),"",INDEX('Compliance Database'!$D$2:$D$630,MATCH(497,Engine!$C$2:$C$630,0)))</f>
        <v/>
      </c>
      <c r="E510">
        <f>IF(ISNA(MATCH(497,Engine!$C$2:$C$630,0)),"",INDEX('Compliance Database'!$E$2:$E$630,MATCH(497,Engine!$C$2:$C$630,0)))</f>
        <v/>
      </c>
      <c r="F510">
        <f>IF(ISNA(MATCH(497,Engine!$C$2:$C$630,0)),"",INDEX('Compliance Database'!$F$2:$F$630,MATCH(497,Engine!$C$2:$C$630,0)))</f>
        <v/>
      </c>
      <c r="G510">
        <f>IF(ISNA(MATCH(497,Engine!$C$2:$C$630,0)),"",INDEX('Compliance Database'!$G$2:$G$630,MATCH(497,Engine!$C$2:$C$630,0)))</f>
        <v/>
      </c>
      <c r="H510">
        <f>IF(ISNA(MATCH(497,Engine!$C$2:$C$630,0)),"",INDEX('Compliance Database'!$H$2:$H$630,MATCH(497,Engine!$C$2:$C$630,0)))</f>
        <v/>
      </c>
      <c r="I510" s="8">
        <f>IF(ISNA(MATCH(497,Engine!$C$2:$C$630,0)),"",INDEX('Compliance Database'!$I$2:$I$630,MATCH(497,Engine!$C$2:$C$630,0)))</f>
        <v/>
      </c>
      <c r="J510" s="8">
        <f>IF(ISNA(MATCH(497,Engine!$C$2:$C$630,0)),"",INDEX('Compliance Database'!$J$2:$J$630,MATCH(497,Engine!$C$2:$C$630,0)))</f>
        <v/>
      </c>
      <c r="K510">
        <f>IF(ISNA(MATCH(497,Engine!$C$2:$C$630,0)),"",INDEX('Compliance Database'!$K$2:$K$630,MATCH(497,Engine!$C$2:$C$630,0)))</f>
        <v/>
      </c>
      <c r="L510" s="8">
        <f>IF(ISNA(MATCH(497,Engine!$C$2:$C$630,0)),"",INDEX('Compliance Database'!$L$2:$L$630,MATCH(497,Engine!$C$2:$C$630,0)))</f>
        <v/>
      </c>
      <c r="M510" s="8">
        <f>IF(ISNA(MATCH(497,Engine!$C$2:$C$630,0)),"",INDEX('Compliance Database'!$M$2:$M$630,MATCH(497,Engine!$C$2:$C$630,0)))</f>
        <v/>
      </c>
      <c r="N510" s="8">
        <f>IF(ISNA(MATCH(497,Engine!$C$2:$C$630,0)),"",INDEX('Compliance Database'!$N$2:$N$630,MATCH(497,Engine!$C$2:$C$630,0)))</f>
        <v/>
      </c>
      <c r="O510" s="8">
        <f>IF(ISNA(MATCH(497,Engine!$C$2:$C$630,0)),"",INDEX('Compliance Database'!$O$2:$O$630,MATCH(497,Engine!$C$2:$C$630,0)))</f>
        <v/>
      </c>
    </row>
    <row r="511">
      <c r="A511">
        <f>IF(ISNA(MATCH(498,Engine!$C$2:$C$630,0)),"",INDEX('Compliance Database'!$A$2:$A$630,MATCH(498,Engine!$C$2:$C$630,0)))</f>
        <v/>
      </c>
      <c r="B511">
        <f>IF(ISNA(MATCH(498,Engine!$C$2:$C$630,0)),"",INDEX('Compliance Database'!$B$2:$B$630,MATCH(498,Engine!$C$2:$C$630,0)))</f>
        <v/>
      </c>
      <c r="C511">
        <f>IF(ISNA(MATCH(498,Engine!$C$2:$C$630,0)),"",INDEX('Compliance Database'!$C$2:$C$630,MATCH(498,Engine!$C$2:$C$630,0)))</f>
        <v/>
      </c>
      <c r="D511" s="8">
        <f>IF(ISNA(MATCH(498,Engine!$C$2:$C$630,0)),"",INDEX('Compliance Database'!$D$2:$D$630,MATCH(498,Engine!$C$2:$C$630,0)))</f>
        <v/>
      </c>
      <c r="E511">
        <f>IF(ISNA(MATCH(498,Engine!$C$2:$C$630,0)),"",INDEX('Compliance Database'!$E$2:$E$630,MATCH(498,Engine!$C$2:$C$630,0)))</f>
        <v/>
      </c>
      <c r="F511">
        <f>IF(ISNA(MATCH(498,Engine!$C$2:$C$630,0)),"",INDEX('Compliance Database'!$F$2:$F$630,MATCH(498,Engine!$C$2:$C$630,0)))</f>
        <v/>
      </c>
      <c r="G511">
        <f>IF(ISNA(MATCH(498,Engine!$C$2:$C$630,0)),"",INDEX('Compliance Database'!$G$2:$G$630,MATCH(498,Engine!$C$2:$C$630,0)))</f>
        <v/>
      </c>
      <c r="H511">
        <f>IF(ISNA(MATCH(498,Engine!$C$2:$C$630,0)),"",INDEX('Compliance Database'!$H$2:$H$630,MATCH(498,Engine!$C$2:$C$630,0)))</f>
        <v/>
      </c>
      <c r="I511" s="8">
        <f>IF(ISNA(MATCH(498,Engine!$C$2:$C$630,0)),"",INDEX('Compliance Database'!$I$2:$I$630,MATCH(498,Engine!$C$2:$C$630,0)))</f>
        <v/>
      </c>
      <c r="J511" s="8">
        <f>IF(ISNA(MATCH(498,Engine!$C$2:$C$630,0)),"",INDEX('Compliance Database'!$J$2:$J$630,MATCH(498,Engine!$C$2:$C$630,0)))</f>
        <v/>
      </c>
      <c r="K511">
        <f>IF(ISNA(MATCH(498,Engine!$C$2:$C$630,0)),"",INDEX('Compliance Database'!$K$2:$K$630,MATCH(498,Engine!$C$2:$C$630,0)))</f>
        <v/>
      </c>
      <c r="L511" s="8">
        <f>IF(ISNA(MATCH(498,Engine!$C$2:$C$630,0)),"",INDEX('Compliance Database'!$L$2:$L$630,MATCH(498,Engine!$C$2:$C$630,0)))</f>
        <v/>
      </c>
      <c r="M511" s="8">
        <f>IF(ISNA(MATCH(498,Engine!$C$2:$C$630,0)),"",INDEX('Compliance Database'!$M$2:$M$630,MATCH(498,Engine!$C$2:$C$630,0)))</f>
        <v/>
      </c>
      <c r="N511" s="8">
        <f>IF(ISNA(MATCH(498,Engine!$C$2:$C$630,0)),"",INDEX('Compliance Database'!$N$2:$N$630,MATCH(498,Engine!$C$2:$C$630,0)))</f>
        <v/>
      </c>
      <c r="O511" s="8">
        <f>IF(ISNA(MATCH(498,Engine!$C$2:$C$630,0)),"",INDEX('Compliance Database'!$O$2:$O$630,MATCH(498,Engine!$C$2:$C$630,0)))</f>
        <v/>
      </c>
    </row>
    <row r="512">
      <c r="A512">
        <f>IF(ISNA(MATCH(499,Engine!$C$2:$C$630,0)),"",INDEX('Compliance Database'!$A$2:$A$630,MATCH(499,Engine!$C$2:$C$630,0)))</f>
        <v/>
      </c>
      <c r="B512">
        <f>IF(ISNA(MATCH(499,Engine!$C$2:$C$630,0)),"",INDEX('Compliance Database'!$B$2:$B$630,MATCH(499,Engine!$C$2:$C$630,0)))</f>
        <v/>
      </c>
      <c r="C512">
        <f>IF(ISNA(MATCH(499,Engine!$C$2:$C$630,0)),"",INDEX('Compliance Database'!$C$2:$C$630,MATCH(499,Engine!$C$2:$C$630,0)))</f>
        <v/>
      </c>
      <c r="D512" s="8">
        <f>IF(ISNA(MATCH(499,Engine!$C$2:$C$630,0)),"",INDEX('Compliance Database'!$D$2:$D$630,MATCH(499,Engine!$C$2:$C$630,0)))</f>
        <v/>
      </c>
      <c r="E512">
        <f>IF(ISNA(MATCH(499,Engine!$C$2:$C$630,0)),"",INDEX('Compliance Database'!$E$2:$E$630,MATCH(499,Engine!$C$2:$C$630,0)))</f>
        <v/>
      </c>
      <c r="F512">
        <f>IF(ISNA(MATCH(499,Engine!$C$2:$C$630,0)),"",INDEX('Compliance Database'!$F$2:$F$630,MATCH(499,Engine!$C$2:$C$630,0)))</f>
        <v/>
      </c>
      <c r="G512">
        <f>IF(ISNA(MATCH(499,Engine!$C$2:$C$630,0)),"",INDEX('Compliance Database'!$G$2:$G$630,MATCH(499,Engine!$C$2:$C$630,0)))</f>
        <v/>
      </c>
      <c r="H512">
        <f>IF(ISNA(MATCH(499,Engine!$C$2:$C$630,0)),"",INDEX('Compliance Database'!$H$2:$H$630,MATCH(499,Engine!$C$2:$C$630,0)))</f>
        <v/>
      </c>
      <c r="I512" s="8">
        <f>IF(ISNA(MATCH(499,Engine!$C$2:$C$630,0)),"",INDEX('Compliance Database'!$I$2:$I$630,MATCH(499,Engine!$C$2:$C$630,0)))</f>
        <v/>
      </c>
      <c r="J512" s="8">
        <f>IF(ISNA(MATCH(499,Engine!$C$2:$C$630,0)),"",INDEX('Compliance Database'!$J$2:$J$630,MATCH(499,Engine!$C$2:$C$630,0)))</f>
        <v/>
      </c>
      <c r="K512">
        <f>IF(ISNA(MATCH(499,Engine!$C$2:$C$630,0)),"",INDEX('Compliance Database'!$K$2:$K$630,MATCH(499,Engine!$C$2:$C$630,0)))</f>
        <v/>
      </c>
      <c r="L512" s="8">
        <f>IF(ISNA(MATCH(499,Engine!$C$2:$C$630,0)),"",INDEX('Compliance Database'!$L$2:$L$630,MATCH(499,Engine!$C$2:$C$630,0)))</f>
        <v/>
      </c>
      <c r="M512" s="8">
        <f>IF(ISNA(MATCH(499,Engine!$C$2:$C$630,0)),"",INDEX('Compliance Database'!$M$2:$M$630,MATCH(499,Engine!$C$2:$C$630,0)))</f>
        <v/>
      </c>
      <c r="N512" s="8">
        <f>IF(ISNA(MATCH(499,Engine!$C$2:$C$630,0)),"",INDEX('Compliance Database'!$N$2:$N$630,MATCH(499,Engine!$C$2:$C$630,0)))</f>
        <v/>
      </c>
      <c r="O512" s="8">
        <f>IF(ISNA(MATCH(499,Engine!$C$2:$C$630,0)),"",INDEX('Compliance Database'!$O$2:$O$630,MATCH(499,Engine!$C$2:$C$630,0)))</f>
        <v/>
      </c>
    </row>
    <row r="513">
      <c r="A513">
        <f>IF(ISNA(MATCH(500,Engine!$C$2:$C$630,0)),"",INDEX('Compliance Database'!$A$2:$A$630,MATCH(500,Engine!$C$2:$C$630,0)))</f>
        <v/>
      </c>
      <c r="B513">
        <f>IF(ISNA(MATCH(500,Engine!$C$2:$C$630,0)),"",INDEX('Compliance Database'!$B$2:$B$630,MATCH(500,Engine!$C$2:$C$630,0)))</f>
        <v/>
      </c>
      <c r="C513">
        <f>IF(ISNA(MATCH(500,Engine!$C$2:$C$630,0)),"",INDEX('Compliance Database'!$C$2:$C$630,MATCH(500,Engine!$C$2:$C$630,0)))</f>
        <v/>
      </c>
      <c r="D513" s="8">
        <f>IF(ISNA(MATCH(500,Engine!$C$2:$C$630,0)),"",INDEX('Compliance Database'!$D$2:$D$630,MATCH(500,Engine!$C$2:$C$630,0)))</f>
        <v/>
      </c>
      <c r="E513">
        <f>IF(ISNA(MATCH(500,Engine!$C$2:$C$630,0)),"",INDEX('Compliance Database'!$E$2:$E$630,MATCH(500,Engine!$C$2:$C$630,0)))</f>
        <v/>
      </c>
      <c r="F513">
        <f>IF(ISNA(MATCH(500,Engine!$C$2:$C$630,0)),"",INDEX('Compliance Database'!$F$2:$F$630,MATCH(500,Engine!$C$2:$C$630,0)))</f>
        <v/>
      </c>
      <c r="G513">
        <f>IF(ISNA(MATCH(500,Engine!$C$2:$C$630,0)),"",INDEX('Compliance Database'!$G$2:$G$630,MATCH(500,Engine!$C$2:$C$630,0)))</f>
        <v/>
      </c>
      <c r="H513">
        <f>IF(ISNA(MATCH(500,Engine!$C$2:$C$630,0)),"",INDEX('Compliance Database'!$H$2:$H$630,MATCH(500,Engine!$C$2:$C$630,0)))</f>
        <v/>
      </c>
      <c r="I513" s="8">
        <f>IF(ISNA(MATCH(500,Engine!$C$2:$C$630,0)),"",INDEX('Compliance Database'!$I$2:$I$630,MATCH(500,Engine!$C$2:$C$630,0)))</f>
        <v/>
      </c>
      <c r="J513" s="8">
        <f>IF(ISNA(MATCH(500,Engine!$C$2:$C$630,0)),"",INDEX('Compliance Database'!$J$2:$J$630,MATCH(500,Engine!$C$2:$C$630,0)))</f>
        <v/>
      </c>
      <c r="K513">
        <f>IF(ISNA(MATCH(500,Engine!$C$2:$C$630,0)),"",INDEX('Compliance Database'!$K$2:$K$630,MATCH(500,Engine!$C$2:$C$630,0)))</f>
        <v/>
      </c>
      <c r="L513" s="8">
        <f>IF(ISNA(MATCH(500,Engine!$C$2:$C$630,0)),"",INDEX('Compliance Database'!$L$2:$L$630,MATCH(500,Engine!$C$2:$C$630,0)))</f>
        <v/>
      </c>
      <c r="M513" s="8">
        <f>IF(ISNA(MATCH(500,Engine!$C$2:$C$630,0)),"",INDEX('Compliance Database'!$M$2:$M$630,MATCH(500,Engine!$C$2:$C$630,0)))</f>
        <v/>
      </c>
      <c r="N513" s="8">
        <f>IF(ISNA(MATCH(500,Engine!$C$2:$C$630,0)),"",INDEX('Compliance Database'!$N$2:$N$630,MATCH(500,Engine!$C$2:$C$630,0)))</f>
        <v/>
      </c>
      <c r="O513" s="8">
        <f>IF(ISNA(MATCH(500,Engine!$C$2:$C$630,0)),"",INDEX('Compliance Database'!$O$2:$O$630,MATCH(500,Engine!$C$2:$C$630,0)))</f>
        <v/>
      </c>
    </row>
    <row r="514">
      <c r="A514">
        <f>IF(ISNA(MATCH(501,Engine!$C$2:$C$630,0)),"",INDEX('Compliance Database'!$A$2:$A$630,MATCH(501,Engine!$C$2:$C$630,0)))</f>
        <v/>
      </c>
      <c r="B514">
        <f>IF(ISNA(MATCH(501,Engine!$C$2:$C$630,0)),"",INDEX('Compliance Database'!$B$2:$B$630,MATCH(501,Engine!$C$2:$C$630,0)))</f>
        <v/>
      </c>
      <c r="C514">
        <f>IF(ISNA(MATCH(501,Engine!$C$2:$C$630,0)),"",INDEX('Compliance Database'!$C$2:$C$630,MATCH(501,Engine!$C$2:$C$630,0)))</f>
        <v/>
      </c>
      <c r="D514" s="8">
        <f>IF(ISNA(MATCH(501,Engine!$C$2:$C$630,0)),"",INDEX('Compliance Database'!$D$2:$D$630,MATCH(501,Engine!$C$2:$C$630,0)))</f>
        <v/>
      </c>
      <c r="E514">
        <f>IF(ISNA(MATCH(501,Engine!$C$2:$C$630,0)),"",INDEX('Compliance Database'!$E$2:$E$630,MATCH(501,Engine!$C$2:$C$630,0)))</f>
        <v/>
      </c>
      <c r="F514">
        <f>IF(ISNA(MATCH(501,Engine!$C$2:$C$630,0)),"",INDEX('Compliance Database'!$F$2:$F$630,MATCH(501,Engine!$C$2:$C$630,0)))</f>
        <v/>
      </c>
      <c r="G514">
        <f>IF(ISNA(MATCH(501,Engine!$C$2:$C$630,0)),"",INDEX('Compliance Database'!$G$2:$G$630,MATCH(501,Engine!$C$2:$C$630,0)))</f>
        <v/>
      </c>
      <c r="H514">
        <f>IF(ISNA(MATCH(501,Engine!$C$2:$C$630,0)),"",INDEX('Compliance Database'!$H$2:$H$630,MATCH(501,Engine!$C$2:$C$630,0)))</f>
        <v/>
      </c>
      <c r="I514" s="8">
        <f>IF(ISNA(MATCH(501,Engine!$C$2:$C$630,0)),"",INDEX('Compliance Database'!$I$2:$I$630,MATCH(501,Engine!$C$2:$C$630,0)))</f>
        <v/>
      </c>
      <c r="J514" s="8">
        <f>IF(ISNA(MATCH(501,Engine!$C$2:$C$630,0)),"",INDEX('Compliance Database'!$J$2:$J$630,MATCH(501,Engine!$C$2:$C$630,0)))</f>
        <v/>
      </c>
      <c r="K514">
        <f>IF(ISNA(MATCH(501,Engine!$C$2:$C$630,0)),"",INDEX('Compliance Database'!$K$2:$K$630,MATCH(501,Engine!$C$2:$C$630,0)))</f>
        <v/>
      </c>
      <c r="L514" s="8">
        <f>IF(ISNA(MATCH(501,Engine!$C$2:$C$630,0)),"",INDEX('Compliance Database'!$L$2:$L$630,MATCH(501,Engine!$C$2:$C$630,0)))</f>
        <v/>
      </c>
      <c r="M514" s="8">
        <f>IF(ISNA(MATCH(501,Engine!$C$2:$C$630,0)),"",INDEX('Compliance Database'!$M$2:$M$630,MATCH(501,Engine!$C$2:$C$630,0)))</f>
        <v/>
      </c>
      <c r="N514" s="8">
        <f>IF(ISNA(MATCH(501,Engine!$C$2:$C$630,0)),"",INDEX('Compliance Database'!$N$2:$N$630,MATCH(501,Engine!$C$2:$C$630,0)))</f>
        <v/>
      </c>
      <c r="O514" s="8">
        <f>IF(ISNA(MATCH(501,Engine!$C$2:$C$630,0)),"",INDEX('Compliance Database'!$O$2:$O$630,MATCH(501,Engine!$C$2:$C$630,0)))</f>
        <v/>
      </c>
    </row>
    <row r="515">
      <c r="A515">
        <f>IF(ISNA(MATCH(502,Engine!$C$2:$C$630,0)),"",INDEX('Compliance Database'!$A$2:$A$630,MATCH(502,Engine!$C$2:$C$630,0)))</f>
        <v/>
      </c>
      <c r="B515">
        <f>IF(ISNA(MATCH(502,Engine!$C$2:$C$630,0)),"",INDEX('Compliance Database'!$B$2:$B$630,MATCH(502,Engine!$C$2:$C$630,0)))</f>
        <v/>
      </c>
      <c r="C515">
        <f>IF(ISNA(MATCH(502,Engine!$C$2:$C$630,0)),"",INDEX('Compliance Database'!$C$2:$C$630,MATCH(502,Engine!$C$2:$C$630,0)))</f>
        <v/>
      </c>
      <c r="D515" s="8">
        <f>IF(ISNA(MATCH(502,Engine!$C$2:$C$630,0)),"",INDEX('Compliance Database'!$D$2:$D$630,MATCH(502,Engine!$C$2:$C$630,0)))</f>
        <v/>
      </c>
      <c r="E515">
        <f>IF(ISNA(MATCH(502,Engine!$C$2:$C$630,0)),"",INDEX('Compliance Database'!$E$2:$E$630,MATCH(502,Engine!$C$2:$C$630,0)))</f>
        <v/>
      </c>
      <c r="F515">
        <f>IF(ISNA(MATCH(502,Engine!$C$2:$C$630,0)),"",INDEX('Compliance Database'!$F$2:$F$630,MATCH(502,Engine!$C$2:$C$630,0)))</f>
        <v/>
      </c>
      <c r="G515">
        <f>IF(ISNA(MATCH(502,Engine!$C$2:$C$630,0)),"",INDEX('Compliance Database'!$G$2:$G$630,MATCH(502,Engine!$C$2:$C$630,0)))</f>
        <v/>
      </c>
      <c r="H515">
        <f>IF(ISNA(MATCH(502,Engine!$C$2:$C$630,0)),"",INDEX('Compliance Database'!$H$2:$H$630,MATCH(502,Engine!$C$2:$C$630,0)))</f>
        <v/>
      </c>
      <c r="I515" s="8">
        <f>IF(ISNA(MATCH(502,Engine!$C$2:$C$630,0)),"",INDEX('Compliance Database'!$I$2:$I$630,MATCH(502,Engine!$C$2:$C$630,0)))</f>
        <v/>
      </c>
      <c r="J515" s="8">
        <f>IF(ISNA(MATCH(502,Engine!$C$2:$C$630,0)),"",INDEX('Compliance Database'!$J$2:$J$630,MATCH(502,Engine!$C$2:$C$630,0)))</f>
        <v/>
      </c>
      <c r="K515">
        <f>IF(ISNA(MATCH(502,Engine!$C$2:$C$630,0)),"",INDEX('Compliance Database'!$K$2:$K$630,MATCH(502,Engine!$C$2:$C$630,0)))</f>
        <v/>
      </c>
      <c r="L515" s="8">
        <f>IF(ISNA(MATCH(502,Engine!$C$2:$C$630,0)),"",INDEX('Compliance Database'!$L$2:$L$630,MATCH(502,Engine!$C$2:$C$630,0)))</f>
        <v/>
      </c>
      <c r="M515" s="8">
        <f>IF(ISNA(MATCH(502,Engine!$C$2:$C$630,0)),"",INDEX('Compliance Database'!$M$2:$M$630,MATCH(502,Engine!$C$2:$C$630,0)))</f>
        <v/>
      </c>
      <c r="N515" s="8">
        <f>IF(ISNA(MATCH(502,Engine!$C$2:$C$630,0)),"",INDEX('Compliance Database'!$N$2:$N$630,MATCH(502,Engine!$C$2:$C$630,0)))</f>
        <v/>
      </c>
      <c r="O515" s="8">
        <f>IF(ISNA(MATCH(502,Engine!$C$2:$C$630,0)),"",INDEX('Compliance Database'!$O$2:$O$630,MATCH(502,Engine!$C$2:$C$630,0)))</f>
        <v/>
      </c>
    </row>
    <row r="516">
      <c r="A516">
        <f>IF(ISNA(MATCH(503,Engine!$C$2:$C$630,0)),"",INDEX('Compliance Database'!$A$2:$A$630,MATCH(503,Engine!$C$2:$C$630,0)))</f>
        <v/>
      </c>
      <c r="B516">
        <f>IF(ISNA(MATCH(503,Engine!$C$2:$C$630,0)),"",INDEX('Compliance Database'!$B$2:$B$630,MATCH(503,Engine!$C$2:$C$630,0)))</f>
        <v/>
      </c>
      <c r="C516">
        <f>IF(ISNA(MATCH(503,Engine!$C$2:$C$630,0)),"",INDEX('Compliance Database'!$C$2:$C$630,MATCH(503,Engine!$C$2:$C$630,0)))</f>
        <v/>
      </c>
      <c r="D516" s="8">
        <f>IF(ISNA(MATCH(503,Engine!$C$2:$C$630,0)),"",INDEX('Compliance Database'!$D$2:$D$630,MATCH(503,Engine!$C$2:$C$630,0)))</f>
        <v/>
      </c>
      <c r="E516">
        <f>IF(ISNA(MATCH(503,Engine!$C$2:$C$630,0)),"",INDEX('Compliance Database'!$E$2:$E$630,MATCH(503,Engine!$C$2:$C$630,0)))</f>
        <v/>
      </c>
      <c r="F516">
        <f>IF(ISNA(MATCH(503,Engine!$C$2:$C$630,0)),"",INDEX('Compliance Database'!$F$2:$F$630,MATCH(503,Engine!$C$2:$C$630,0)))</f>
        <v/>
      </c>
      <c r="G516">
        <f>IF(ISNA(MATCH(503,Engine!$C$2:$C$630,0)),"",INDEX('Compliance Database'!$G$2:$G$630,MATCH(503,Engine!$C$2:$C$630,0)))</f>
        <v/>
      </c>
      <c r="H516">
        <f>IF(ISNA(MATCH(503,Engine!$C$2:$C$630,0)),"",INDEX('Compliance Database'!$H$2:$H$630,MATCH(503,Engine!$C$2:$C$630,0)))</f>
        <v/>
      </c>
      <c r="I516" s="8">
        <f>IF(ISNA(MATCH(503,Engine!$C$2:$C$630,0)),"",INDEX('Compliance Database'!$I$2:$I$630,MATCH(503,Engine!$C$2:$C$630,0)))</f>
        <v/>
      </c>
      <c r="J516" s="8">
        <f>IF(ISNA(MATCH(503,Engine!$C$2:$C$630,0)),"",INDEX('Compliance Database'!$J$2:$J$630,MATCH(503,Engine!$C$2:$C$630,0)))</f>
        <v/>
      </c>
      <c r="K516">
        <f>IF(ISNA(MATCH(503,Engine!$C$2:$C$630,0)),"",INDEX('Compliance Database'!$K$2:$K$630,MATCH(503,Engine!$C$2:$C$630,0)))</f>
        <v/>
      </c>
      <c r="L516" s="8">
        <f>IF(ISNA(MATCH(503,Engine!$C$2:$C$630,0)),"",INDEX('Compliance Database'!$L$2:$L$630,MATCH(503,Engine!$C$2:$C$630,0)))</f>
        <v/>
      </c>
      <c r="M516" s="8">
        <f>IF(ISNA(MATCH(503,Engine!$C$2:$C$630,0)),"",INDEX('Compliance Database'!$M$2:$M$630,MATCH(503,Engine!$C$2:$C$630,0)))</f>
        <v/>
      </c>
      <c r="N516" s="8">
        <f>IF(ISNA(MATCH(503,Engine!$C$2:$C$630,0)),"",INDEX('Compliance Database'!$N$2:$N$630,MATCH(503,Engine!$C$2:$C$630,0)))</f>
        <v/>
      </c>
      <c r="O516" s="8">
        <f>IF(ISNA(MATCH(503,Engine!$C$2:$C$630,0)),"",INDEX('Compliance Database'!$O$2:$O$630,MATCH(503,Engine!$C$2:$C$630,0)))</f>
        <v/>
      </c>
    </row>
    <row r="517">
      <c r="A517">
        <f>IF(ISNA(MATCH(504,Engine!$C$2:$C$630,0)),"",INDEX('Compliance Database'!$A$2:$A$630,MATCH(504,Engine!$C$2:$C$630,0)))</f>
        <v/>
      </c>
      <c r="B517">
        <f>IF(ISNA(MATCH(504,Engine!$C$2:$C$630,0)),"",INDEX('Compliance Database'!$B$2:$B$630,MATCH(504,Engine!$C$2:$C$630,0)))</f>
        <v/>
      </c>
      <c r="C517">
        <f>IF(ISNA(MATCH(504,Engine!$C$2:$C$630,0)),"",INDEX('Compliance Database'!$C$2:$C$630,MATCH(504,Engine!$C$2:$C$630,0)))</f>
        <v/>
      </c>
      <c r="D517" s="8">
        <f>IF(ISNA(MATCH(504,Engine!$C$2:$C$630,0)),"",INDEX('Compliance Database'!$D$2:$D$630,MATCH(504,Engine!$C$2:$C$630,0)))</f>
        <v/>
      </c>
      <c r="E517">
        <f>IF(ISNA(MATCH(504,Engine!$C$2:$C$630,0)),"",INDEX('Compliance Database'!$E$2:$E$630,MATCH(504,Engine!$C$2:$C$630,0)))</f>
        <v/>
      </c>
      <c r="F517">
        <f>IF(ISNA(MATCH(504,Engine!$C$2:$C$630,0)),"",INDEX('Compliance Database'!$F$2:$F$630,MATCH(504,Engine!$C$2:$C$630,0)))</f>
        <v/>
      </c>
      <c r="G517">
        <f>IF(ISNA(MATCH(504,Engine!$C$2:$C$630,0)),"",INDEX('Compliance Database'!$G$2:$G$630,MATCH(504,Engine!$C$2:$C$630,0)))</f>
        <v/>
      </c>
      <c r="H517">
        <f>IF(ISNA(MATCH(504,Engine!$C$2:$C$630,0)),"",INDEX('Compliance Database'!$H$2:$H$630,MATCH(504,Engine!$C$2:$C$630,0)))</f>
        <v/>
      </c>
      <c r="I517" s="8">
        <f>IF(ISNA(MATCH(504,Engine!$C$2:$C$630,0)),"",INDEX('Compliance Database'!$I$2:$I$630,MATCH(504,Engine!$C$2:$C$630,0)))</f>
        <v/>
      </c>
      <c r="J517" s="8">
        <f>IF(ISNA(MATCH(504,Engine!$C$2:$C$630,0)),"",INDEX('Compliance Database'!$J$2:$J$630,MATCH(504,Engine!$C$2:$C$630,0)))</f>
        <v/>
      </c>
      <c r="K517">
        <f>IF(ISNA(MATCH(504,Engine!$C$2:$C$630,0)),"",INDEX('Compliance Database'!$K$2:$K$630,MATCH(504,Engine!$C$2:$C$630,0)))</f>
        <v/>
      </c>
      <c r="L517" s="8">
        <f>IF(ISNA(MATCH(504,Engine!$C$2:$C$630,0)),"",INDEX('Compliance Database'!$L$2:$L$630,MATCH(504,Engine!$C$2:$C$630,0)))</f>
        <v/>
      </c>
      <c r="M517" s="8">
        <f>IF(ISNA(MATCH(504,Engine!$C$2:$C$630,0)),"",INDEX('Compliance Database'!$M$2:$M$630,MATCH(504,Engine!$C$2:$C$630,0)))</f>
        <v/>
      </c>
      <c r="N517" s="8">
        <f>IF(ISNA(MATCH(504,Engine!$C$2:$C$630,0)),"",INDEX('Compliance Database'!$N$2:$N$630,MATCH(504,Engine!$C$2:$C$630,0)))</f>
        <v/>
      </c>
      <c r="O517" s="8">
        <f>IF(ISNA(MATCH(504,Engine!$C$2:$C$630,0)),"",INDEX('Compliance Database'!$O$2:$O$630,MATCH(504,Engine!$C$2:$C$630,0)))</f>
        <v/>
      </c>
    </row>
    <row r="518">
      <c r="A518">
        <f>IF(ISNA(MATCH(505,Engine!$C$2:$C$630,0)),"",INDEX('Compliance Database'!$A$2:$A$630,MATCH(505,Engine!$C$2:$C$630,0)))</f>
        <v/>
      </c>
      <c r="B518">
        <f>IF(ISNA(MATCH(505,Engine!$C$2:$C$630,0)),"",INDEX('Compliance Database'!$B$2:$B$630,MATCH(505,Engine!$C$2:$C$630,0)))</f>
        <v/>
      </c>
      <c r="C518">
        <f>IF(ISNA(MATCH(505,Engine!$C$2:$C$630,0)),"",INDEX('Compliance Database'!$C$2:$C$630,MATCH(505,Engine!$C$2:$C$630,0)))</f>
        <v/>
      </c>
      <c r="D518" s="8">
        <f>IF(ISNA(MATCH(505,Engine!$C$2:$C$630,0)),"",INDEX('Compliance Database'!$D$2:$D$630,MATCH(505,Engine!$C$2:$C$630,0)))</f>
        <v/>
      </c>
      <c r="E518">
        <f>IF(ISNA(MATCH(505,Engine!$C$2:$C$630,0)),"",INDEX('Compliance Database'!$E$2:$E$630,MATCH(505,Engine!$C$2:$C$630,0)))</f>
        <v/>
      </c>
      <c r="F518">
        <f>IF(ISNA(MATCH(505,Engine!$C$2:$C$630,0)),"",INDEX('Compliance Database'!$F$2:$F$630,MATCH(505,Engine!$C$2:$C$630,0)))</f>
        <v/>
      </c>
      <c r="G518">
        <f>IF(ISNA(MATCH(505,Engine!$C$2:$C$630,0)),"",INDEX('Compliance Database'!$G$2:$G$630,MATCH(505,Engine!$C$2:$C$630,0)))</f>
        <v/>
      </c>
      <c r="H518">
        <f>IF(ISNA(MATCH(505,Engine!$C$2:$C$630,0)),"",INDEX('Compliance Database'!$H$2:$H$630,MATCH(505,Engine!$C$2:$C$630,0)))</f>
        <v/>
      </c>
      <c r="I518" s="8">
        <f>IF(ISNA(MATCH(505,Engine!$C$2:$C$630,0)),"",INDEX('Compliance Database'!$I$2:$I$630,MATCH(505,Engine!$C$2:$C$630,0)))</f>
        <v/>
      </c>
      <c r="J518" s="8">
        <f>IF(ISNA(MATCH(505,Engine!$C$2:$C$630,0)),"",INDEX('Compliance Database'!$J$2:$J$630,MATCH(505,Engine!$C$2:$C$630,0)))</f>
        <v/>
      </c>
      <c r="K518">
        <f>IF(ISNA(MATCH(505,Engine!$C$2:$C$630,0)),"",INDEX('Compliance Database'!$K$2:$K$630,MATCH(505,Engine!$C$2:$C$630,0)))</f>
        <v/>
      </c>
      <c r="L518" s="8">
        <f>IF(ISNA(MATCH(505,Engine!$C$2:$C$630,0)),"",INDEX('Compliance Database'!$L$2:$L$630,MATCH(505,Engine!$C$2:$C$630,0)))</f>
        <v/>
      </c>
      <c r="M518" s="8">
        <f>IF(ISNA(MATCH(505,Engine!$C$2:$C$630,0)),"",INDEX('Compliance Database'!$M$2:$M$630,MATCH(505,Engine!$C$2:$C$630,0)))</f>
        <v/>
      </c>
      <c r="N518" s="8">
        <f>IF(ISNA(MATCH(505,Engine!$C$2:$C$630,0)),"",INDEX('Compliance Database'!$N$2:$N$630,MATCH(505,Engine!$C$2:$C$630,0)))</f>
        <v/>
      </c>
      <c r="O518" s="8">
        <f>IF(ISNA(MATCH(505,Engine!$C$2:$C$630,0)),"",INDEX('Compliance Database'!$O$2:$O$630,MATCH(505,Engine!$C$2:$C$630,0)))</f>
        <v/>
      </c>
    </row>
    <row r="519">
      <c r="A519">
        <f>IF(ISNA(MATCH(506,Engine!$C$2:$C$630,0)),"",INDEX('Compliance Database'!$A$2:$A$630,MATCH(506,Engine!$C$2:$C$630,0)))</f>
        <v/>
      </c>
      <c r="B519">
        <f>IF(ISNA(MATCH(506,Engine!$C$2:$C$630,0)),"",INDEX('Compliance Database'!$B$2:$B$630,MATCH(506,Engine!$C$2:$C$630,0)))</f>
        <v/>
      </c>
      <c r="C519">
        <f>IF(ISNA(MATCH(506,Engine!$C$2:$C$630,0)),"",INDEX('Compliance Database'!$C$2:$C$630,MATCH(506,Engine!$C$2:$C$630,0)))</f>
        <v/>
      </c>
      <c r="D519" s="8">
        <f>IF(ISNA(MATCH(506,Engine!$C$2:$C$630,0)),"",INDEX('Compliance Database'!$D$2:$D$630,MATCH(506,Engine!$C$2:$C$630,0)))</f>
        <v/>
      </c>
      <c r="E519">
        <f>IF(ISNA(MATCH(506,Engine!$C$2:$C$630,0)),"",INDEX('Compliance Database'!$E$2:$E$630,MATCH(506,Engine!$C$2:$C$630,0)))</f>
        <v/>
      </c>
      <c r="F519">
        <f>IF(ISNA(MATCH(506,Engine!$C$2:$C$630,0)),"",INDEX('Compliance Database'!$F$2:$F$630,MATCH(506,Engine!$C$2:$C$630,0)))</f>
        <v/>
      </c>
      <c r="G519">
        <f>IF(ISNA(MATCH(506,Engine!$C$2:$C$630,0)),"",INDEX('Compliance Database'!$G$2:$G$630,MATCH(506,Engine!$C$2:$C$630,0)))</f>
        <v/>
      </c>
      <c r="H519">
        <f>IF(ISNA(MATCH(506,Engine!$C$2:$C$630,0)),"",INDEX('Compliance Database'!$H$2:$H$630,MATCH(506,Engine!$C$2:$C$630,0)))</f>
        <v/>
      </c>
      <c r="I519" s="8">
        <f>IF(ISNA(MATCH(506,Engine!$C$2:$C$630,0)),"",INDEX('Compliance Database'!$I$2:$I$630,MATCH(506,Engine!$C$2:$C$630,0)))</f>
        <v/>
      </c>
      <c r="J519" s="8">
        <f>IF(ISNA(MATCH(506,Engine!$C$2:$C$630,0)),"",INDEX('Compliance Database'!$J$2:$J$630,MATCH(506,Engine!$C$2:$C$630,0)))</f>
        <v/>
      </c>
      <c r="K519">
        <f>IF(ISNA(MATCH(506,Engine!$C$2:$C$630,0)),"",INDEX('Compliance Database'!$K$2:$K$630,MATCH(506,Engine!$C$2:$C$630,0)))</f>
        <v/>
      </c>
      <c r="L519" s="8">
        <f>IF(ISNA(MATCH(506,Engine!$C$2:$C$630,0)),"",INDEX('Compliance Database'!$L$2:$L$630,MATCH(506,Engine!$C$2:$C$630,0)))</f>
        <v/>
      </c>
      <c r="M519" s="8">
        <f>IF(ISNA(MATCH(506,Engine!$C$2:$C$630,0)),"",INDEX('Compliance Database'!$M$2:$M$630,MATCH(506,Engine!$C$2:$C$630,0)))</f>
        <v/>
      </c>
      <c r="N519" s="8">
        <f>IF(ISNA(MATCH(506,Engine!$C$2:$C$630,0)),"",INDEX('Compliance Database'!$N$2:$N$630,MATCH(506,Engine!$C$2:$C$630,0)))</f>
        <v/>
      </c>
      <c r="O519" s="8">
        <f>IF(ISNA(MATCH(506,Engine!$C$2:$C$630,0)),"",INDEX('Compliance Database'!$O$2:$O$630,MATCH(506,Engine!$C$2:$C$630,0)))</f>
        <v/>
      </c>
    </row>
    <row r="520">
      <c r="A520">
        <f>IF(ISNA(MATCH(507,Engine!$C$2:$C$630,0)),"",INDEX('Compliance Database'!$A$2:$A$630,MATCH(507,Engine!$C$2:$C$630,0)))</f>
        <v/>
      </c>
      <c r="B520">
        <f>IF(ISNA(MATCH(507,Engine!$C$2:$C$630,0)),"",INDEX('Compliance Database'!$B$2:$B$630,MATCH(507,Engine!$C$2:$C$630,0)))</f>
        <v/>
      </c>
      <c r="C520">
        <f>IF(ISNA(MATCH(507,Engine!$C$2:$C$630,0)),"",INDEX('Compliance Database'!$C$2:$C$630,MATCH(507,Engine!$C$2:$C$630,0)))</f>
        <v/>
      </c>
      <c r="D520" s="8">
        <f>IF(ISNA(MATCH(507,Engine!$C$2:$C$630,0)),"",INDEX('Compliance Database'!$D$2:$D$630,MATCH(507,Engine!$C$2:$C$630,0)))</f>
        <v/>
      </c>
      <c r="E520">
        <f>IF(ISNA(MATCH(507,Engine!$C$2:$C$630,0)),"",INDEX('Compliance Database'!$E$2:$E$630,MATCH(507,Engine!$C$2:$C$630,0)))</f>
        <v/>
      </c>
      <c r="F520">
        <f>IF(ISNA(MATCH(507,Engine!$C$2:$C$630,0)),"",INDEX('Compliance Database'!$F$2:$F$630,MATCH(507,Engine!$C$2:$C$630,0)))</f>
        <v/>
      </c>
      <c r="G520">
        <f>IF(ISNA(MATCH(507,Engine!$C$2:$C$630,0)),"",INDEX('Compliance Database'!$G$2:$G$630,MATCH(507,Engine!$C$2:$C$630,0)))</f>
        <v/>
      </c>
      <c r="H520">
        <f>IF(ISNA(MATCH(507,Engine!$C$2:$C$630,0)),"",INDEX('Compliance Database'!$H$2:$H$630,MATCH(507,Engine!$C$2:$C$630,0)))</f>
        <v/>
      </c>
      <c r="I520" s="8">
        <f>IF(ISNA(MATCH(507,Engine!$C$2:$C$630,0)),"",INDEX('Compliance Database'!$I$2:$I$630,MATCH(507,Engine!$C$2:$C$630,0)))</f>
        <v/>
      </c>
      <c r="J520" s="8">
        <f>IF(ISNA(MATCH(507,Engine!$C$2:$C$630,0)),"",INDEX('Compliance Database'!$J$2:$J$630,MATCH(507,Engine!$C$2:$C$630,0)))</f>
        <v/>
      </c>
      <c r="K520">
        <f>IF(ISNA(MATCH(507,Engine!$C$2:$C$630,0)),"",INDEX('Compliance Database'!$K$2:$K$630,MATCH(507,Engine!$C$2:$C$630,0)))</f>
        <v/>
      </c>
      <c r="L520" s="8">
        <f>IF(ISNA(MATCH(507,Engine!$C$2:$C$630,0)),"",INDEX('Compliance Database'!$L$2:$L$630,MATCH(507,Engine!$C$2:$C$630,0)))</f>
        <v/>
      </c>
      <c r="M520" s="8">
        <f>IF(ISNA(MATCH(507,Engine!$C$2:$C$630,0)),"",INDEX('Compliance Database'!$M$2:$M$630,MATCH(507,Engine!$C$2:$C$630,0)))</f>
        <v/>
      </c>
      <c r="N520" s="8">
        <f>IF(ISNA(MATCH(507,Engine!$C$2:$C$630,0)),"",INDEX('Compliance Database'!$N$2:$N$630,MATCH(507,Engine!$C$2:$C$630,0)))</f>
        <v/>
      </c>
      <c r="O520" s="8">
        <f>IF(ISNA(MATCH(507,Engine!$C$2:$C$630,0)),"",INDEX('Compliance Database'!$O$2:$O$630,MATCH(507,Engine!$C$2:$C$630,0)))</f>
        <v/>
      </c>
    </row>
    <row r="521">
      <c r="A521">
        <f>IF(ISNA(MATCH(508,Engine!$C$2:$C$630,0)),"",INDEX('Compliance Database'!$A$2:$A$630,MATCH(508,Engine!$C$2:$C$630,0)))</f>
        <v/>
      </c>
      <c r="B521">
        <f>IF(ISNA(MATCH(508,Engine!$C$2:$C$630,0)),"",INDEX('Compliance Database'!$B$2:$B$630,MATCH(508,Engine!$C$2:$C$630,0)))</f>
        <v/>
      </c>
      <c r="C521">
        <f>IF(ISNA(MATCH(508,Engine!$C$2:$C$630,0)),"",INDEX('Compliance Database'!$C$2:$C$630,MATCH(508,Engine!$C$2:$C$630,0)))</f>
        <v/>
      </c>
      <c r="D521" s="8">
        <f>IF(ISNA(MATCH(508,Engine!$C$2:$C$630,0)),"",INDEX('Compliance Database'!$D$2:$D$630,MATCH(508,Engine!$C$2:$C$630,0)))</f>
        <v/>
      </c>
      <c r="E521">
        <f>IF(ISNA(MATCH(508,Engine!$C$2:$C$630,0)),"",INDEX('Compliance Database'!$E$2:$E$630,MATCH(508,Engine!$C$2:$C$630,0)))</f>
        <v/>
      </c>
      <c r="F521">
        <f>IF(ISNA(MATCH(508,Engine!$C$2:$C$630,0)),"",INDEX('Compliance Database'!$F$2:$F$630,MATCH(508,Engine!$C$2:$C$630,0)))</f>
        <v/>
      </c>
      <c r="G521">
        <f>IF(ISNA(MATCH(508,Engine!$C$2:$C$630,0)),"",INDEX('Compliance Database'!$G$2:$G$630,MATCH(508,Engine!$C$2:$C$630,0)))</f>
        <v/>
      </c>
      <c r="H521">
        <f>IF(ISNA(MATCH(508,Engine!$C$2:$C$630,0)),"",INDEX('Compliance Database'!$H$2:$H$630,MATCH(508,Engine!$C$2:$C$630,0)))</f>
        <v/>
      </c>
      <c r="I521" s="8">
        <f>IF(ISNA(MATCH(508,Engine!$C$2:$C$630,0)),"",INDEX('Compliance Database'!$I$2:$I$630,MATCH(508,Engine!$C$2:$C$630,0)))</f>
        <v/>
      </c>
      <c r="J521" s="8">
        <f>IF(ISNA(MATCH(508,Engine!$C$2:$C$630,0)),"",INDEX('Compliance Database'!$J$2:$J$630,MATCH(508,Engine!$C$2:$C$630,0)))</f>
        <v/>
      </c>
      <c r="K521">
        <f>IF(ISNA(MATCH(508,Engine!$C$2:$C$630,0)),"",INDEX('Compliance Database'!$K$2:$K$630,MATCH(508,Engine!$C$2:$C$630,0)))</f>
        <v/>
      </c>
      <c r="L521" s="8">
        <f>IF(ISNA(MATCH(508,Engine!$C$2:$C$630,0)),"",INDEX('Compliance Database'!$L$2:$L$630,MATCH(508,Engine!$C$2:$C$630,0)))</f>
        <v/>
      </c>
      <c r="M521" s="8">
        <f>IF(ISNA(MATCH(508,Engine!$C$2:$C$630,0)),"",INDEX('Compliance Database'!$M$2:$M$630,MATCH(508,Engine!$C$2:$C$630,0)))</f>
        <v/>
      </c>
      <c r="N521" s="8">
        <f>IF(ISNA(MATCH(508,Engine!$C$2:$C$630,0)),"",INDEX('Compliance Database'!$N$2:$N$630,MATCH(508,Engine!$C$2:$C$630,0)))</f>
        <v/>
      </c>
      <c r="O521" s="8">
        <f>IF(ISNA(MATCH(508,Engine!$C$2:$C$630,0)),"",INDEX('Compliance Database'!$O$2:$O$630,MATCH(508,Engine!$C$2:$C$630,0)))</f>
        <v/>
      </c>
    </row>
    <row r="522">
      <c r="A522">
        <f>IF(ISNA(MATCH(509,Engine!$C$2:$C$630,0)),"",INDEX('Compliance Database'!$A$2:$A$630,MATCH(509,Engine!$C$2:$C$630,0)))</f>
        <v/>
      </c>
      <c r="B522">
        <f>IF(ISNA(MATCH(509,Engine!$C$2:$C$630,0)),"",INDEX('Compliance Database'!$B$2:$B$630,MATCH(509,Engine!$C$2:$C$630,0)))</f>
        <v/>
      </c>
      <c r="C522">
        <f>IF(ISNA(MATCH(509,Engine!$C$2:$C$630,0)),"",INDEX('Compliance Database'!$C$2:$C$630,MATCH(509,Engine!$C$2:$C$630,0)))</f>
        <v/>
      </c>
      <c r="D522" s="8">
        <f>IF(ISNA(MATCH(509,Engine!$C$2:$C$630,0)),"",INDEX('Compliance Database'!$D$2:$D$630,MATCH(509,Engine!$C$2:$C$630,0)))</f>
        <v/>
      </c>
      <c r="E522">
        <f>IF(ISNA(MATCH(509,Engine!$C$2:$C$630,0)),"",INDEX('Compliance Database'!$E$2:$E$630,MATCH(509,Engine!$C$2:$C$630,0)))</f>
        <v/>
      </c>
      <c r="F522">
        <f>IF(ISNA(MATCH(509,Engine!$C$2:$C$630,0)),"",INDEX('Compliance Database'!$F$2:$F$630,MATCH(509,Engine!$C$2:$C$630,0)))</f>
        <v/>
      </c>
      <c r="G522">
        <f>IF(ISNA(MATCH(509,Engine!$C$2:$C$630,0)),"",INDEX('Compliance Database'!$G$2:$G$630,MATCH(509,Engine!$C$2:$C$630,0)))</f>
        <v/>
      </c>
      <c r="H522">
        <f>IF(ISNA(MATCH(509,Engine!$C$2:$C$630,0)),"",INDEX('Compliance Database'!$H$2:$H$630,MATCH(509,Engine!$C$2:$C$630,0)))</f>
        <v/>
      </c>
      <c r="I522" s="8">
        <f>IF(ISNA(MATCH(509,Engine!$C$2:$C$630,0)),"",INDEX('Compliance Database'!$I$2:$I$630,MATCH(509,Engine!$C$2:$C$630,0)))</f>
        <v/>
      </c>
      <c r="J522" s="8">
        <f>IF(ISNA(MATCH(509,Engine!$C$2:$C$630,0)),"",INDEX('Compliance Database'!$J$2:$J$630,MATCH(509,Engine!$C$2:$C$630,0)))</f>
        <v/>
      </c>
      <c r="K522">
        <f>IF(ISNA(MATCH(509,Engine!$C$2:$C$630,0)),"",INDEX('Compliance Database'!$K$2:$K$630,MATCH(509,Engine!$C$2:$C$630,0)))</f>
        <v/>
      </c>
      <c r="L522" s="8">
        <f>IF(ISNA(MATCH(509,Engine!$C$2:$C$630,0)),"",INDEX('Compliance Database'!$L$2:$L$630,MATCH(509,Engine!$C$2:$C$630,0)))</f>
        <v/>
      </c>
      <c r="M522" s="8">
        <f>IF(ISNA(MATCH(509,Engine!$C$2:$C$630,0)),"",INDEX('Compliance Database'!$M$2:$M$630,MATCH(509,Engine!$C$2:$C$630,0)))</f>
        <v/>
      </c>
      <c r="N522" s="8">
        <f>IF(ISNA(MATCH(509,Engine!$C$2:$C$630,0)),"",INDEX('Compliance Database'!$N$2:$N$630,MATCH(509,Engine!$C$2:$C$630,0)))</f>
        <v/>
      </c>
      <c r="O522" s="8">
        <f>IF(ISNA(MATCH(509,Engine!$C$2:$C$630,0)),"",INDEX('Compliance Database'!$O$2:$O$630,MATCH(509,Engine!$C$2:$C$630,0)))</f>
        <v/>
      </c>
    </row>
    <row r="523">
      <c r="A523">
        <f>IF(ISNA(MATCH(510,Engine!$C$2:$C$630,0)),"",INDEX('Compliance Database'!$A$2:$A$630,MATCH(510,Engine!$C$2:$C$630,0)))</f>
        <v/>
      </c>
      <c r="B523">
        <f>IF(ISNA(MATCH(510,Engine!$C$2:$C$630,0)),"",INDEX('Compliance Database'!$B$2:$B$630,MATCH(510,Engine!$C$2:$C$630,0)))</f>
        <v/>
      </c>
      <c r="C523">
        <f>IF(ISNA(MATCH(510,Engine!$C$2:$C$630,0)),"",INDEX('Compliance Database'!$C$2:$C$630,MATCH(510,Engine!$C$2:$C$630,0)))</f>
        <v/>
      </c>
      <c r="D523" s="8">
        <f>IF(ISNA(MATCH(510,Engine!$C$2:$C$630,0)),"",INDEX('Compliance Database'!$D$2:$D$630,MATCH(510,Engine!$C$2:$C$630,0)))</f>
        <v/>
      </c>
      <c r="E523">
        <f>IF(ISNA(MATCH(510,Engine!$C$2:$C$630,0)),"",INDEX('Compliance Database'!$E$2:$E$630,MATCH(510,Engine!$C$2:$C$630,0)))</f>
        <v/>
      </c>
      <c r="F523">
        <f>IF(ISNA(MATCH(510,Engine!$C$2:$C$630,0)),"",INDEX('Compliance Database'!$F$2:$F$630,MATCH(510,Engine!$C$2:$C$630,0)))</f>
        <v/>
      </c>
      <c r="G523">
        <f>IF(ISNA(MATCH(510,Engine!$C$2:$C$630,0)),"",INDEX('Compliance Database'!$G$2:$G$630,MATCH(510,Engine!$C$2:$C$630,0)))</f>
        <v/>
      </c>
      <c r="H523">
        <f>IF(ISNA(MATCH(510,Engine!$C$2:$C$630,0)),"",INDEX('Compliance Database'!$H$2:$H$630,MATCH(510,Engine!$C$2:$C$630,0)))</f>
        <v/>
      </c>
      <c r="I523" s="8">
        <f>IF(ISNA(MATCH(510,Engine!$C$2:$C$630,0)),"",INDEX('Compliance Database'!$I$2:$I$630,MATCH(510,Engine!$C$2:$C$630,0)))</f>
        <v/>
      </c>
      <c r="J523" s="8">
        <f>IF(ISNA(MATCH(510,Engine!$C$2:$C$630,0)),"",INDEX('Compliance Database'!$J$2:$J$630,MATCH(510,Engine!$C$2:$C$630,0)))</f>
        <v/>
      </c>
      <c r="K523">
        <f>IF(ISNA(MATCH(510,Engine!$C$2:$C$630,0)),"",INDEX('Compliance Database'!$K$2:$K$630,MATCH(510,Engine!$C$2:$C$630,0)))</f>
        <v/>
      </c>
      <c r="L523" s="8">
        <f>IF(ISNA(MATCH(510,Engine!$C$2:$C$630,0)),"",INDEX('Compliance Database'!$L$2:$L$630,MATCH(510,Engine!$C$2:$C$630,0)))</f>
        <v/>
      </c>
      <c r="M523" s="8">
        <f>IF(ISNA(MATCH(510,Engine!$C$2:$C$630,0)),"",INDEX('Compliance Database'!$M$2:$M$630,MATCH(510,Engine!$C$2:$C$630,0)))</f>
        <v/>
      </c>
      <c r="N523" s="8">
        <f>IF(ISNA(MATCH(510,Engine!$C$2:$C$630,0)),"",INDEX('Compliance Database'!$N$2:$N$630,MATCH(510,Engine!$C$2:$C$630,0)))</f>
        <v/>
      </c>
      <c r="O523" s="8">
        <f>IF(ISNA(MATCH(510,Engine!$C$2:$C$630,0)),"",INDEX('Compliance Database'!$O$2:$O$630,MATCH(510,Engine!$C$2:$C$630,0)))</f>
        <v/>
      </c>
    </row>
    <row r="524">
      <c r="A524">
        <f>IF(ISNA(MATCH(511,Engine!$C$2:$C$630,0)),"",INDEX('Compliance Database'!$A$2:$A$630,MATCH(511,Engine!$C$2:$C$630,0)))</f>
        <v/>
      </c>
      <c r="B524">
        <f>IF(ISNA(MATCH(511,Engine!$C$2:$C$630,0)),"",INDEX('Compliance Database'!$B$2:$B$630,MATCH(511,Engine!$C$2:$C$630,0)))</f>
        <v/>
      </c>
      <c r="C524">
        <f>IF(ISNA(MATCH(511,Engine!$C$2:$C$630,0)),"",INDEX('Compliance Database'!$C$2:$C$630,MATCH(511,Engine!$C$2:$C$630,0)))</f>
        <v/>
      </c>
      <c r="D524" s="8">
        <f>IF(ISNA(MATCH(511,Engine!$C$2:$C$630,0)),"",INDEX('Compliance Database'!$D$2:$D$630,MATCH(511,Engine!$C$2:$C$630,0)))</f>
        <v/>
      </c>
      <c r="E524">
        <f>IF(ISNA(MATCH(511,Engine!$C$2:$C$630,0)),"",INDEX('Compliance Database'!$E$2:$E$630,MATCH(511,Engine!$C$2:$C$630,0)))</f>
        <v/>
      </c>
      <c r="F524">
        <f>IF(ISNA(MATCH(511,Engine!$C$2:$C$630,0)),"",INDEX('Compliance Database'!$F$2:$F$630,MATCH(511,Engine!$C$2:$C$630,0)))</f>
        <v/>
      </c>
      <c r="G524">
        <f>IF(ISNA(MATCH(511,Engine!$C$2:$C$630,0)),"",INDEX('Compliance Database'!$G$2:$G$630,MATCH(511,Engine!$C$2:$C$630,0)))</f>
        <v/>
      </c>
      <c r="H524">
        <f>IF(ISNA(MATCH(511,Engine!$C$2:$C$630,0)),"",INDEX('Compliance Database'!$H$2:$H$630,MATCH(511,Engine!$C$2:$C$630,0)))</f>
        <v/>
      </c>
      <c r="I524" s="8">
        <f>IF(ISNA(MATCH(511,Engine!$C$2:$C$630,0)),"",INDEX('Compliance Database'!$I$2:$I$630,MATCH(511,Engine!$C$2:$C$630,0)))</f>
        <v/>
      </c>
      <c r="J524" s="8">
        <f>IF(ISNA(MATCH(511,Engine!$C$2:$C$630,0)),"",INDEX('Compliance Database'!$J$2:$J$630,MATCH(511,Engine!$C$2:$C$630,0)))</f>
        <v/>
      </c>
      <c r="K524">
        <f>IF(ISNA(MATCH(511,Engine!$C$2:$C$630,0)),"",INDEX('Compliance Database'!$K$2:$K$630,MATCH(511,Engine!$C$2:$C$630,0)))</f>
        <v/>
      </c>
      <c r="L524" s="8">
        <f>IF(ISNA(MATCH(511,Engine!$C$2:$C$630,0)),"",INDEX('Compliance Database'!$L$2:$L$630,MATCH(511,Engine!$C$2:$C$630,0)))</f>
        <v/>
      </c>
      <c r="M524" s="8">
        <f>IF(ISNA(MATCH(511,Engine!$C$2:$C$630,0)),"",INDEX('Compliance Database'!$M$2:$M$630,MATCH(511,Engine!$C$2:$C$630,0)))</f>
        <v/>
      </c>
      <c r="N524" s="8">
        <f>IF(ISNA(MATCH(511,Engine!$C$2:$C$630,0)),"",INDEX('Compliance Database'!$N$2:$N$630,MATCH(511,Engine!$C$2:$C$630,0)))</f>
        <v/>
      </c>
      <c r="O524" s="8">
        <f>IF(ISNA(MATCH(511,Engine!$C$2:$C$630,0)),"",INDEX('Compliance Database'!$O$2:$O$630,MATCH(511,Engine!$C$2:$C$630,0)))</f>
        <v/>
      </c>
    </row>
    <row r="525">
      <c r="A525">
        <f>IF(ISNA(MATCH(512,Engine!$C$2:$C$630,0)),"",INDEX('Compliance Database'!$A$2:$A$630,MATCH(512,Engine!$C$2:$C$630,0)))</f>
        <v/>
      </c>
      <c r="B525">
        <f>IF(ISNA(MATCH(512,Engine!$C$2:$C$630,0)),"",INDEX('Compliance Database'!$B$2:$B$630,MATCH(512,Engine!$C$2:$C$630,0)))</f>
        <v/>
      </c>
      <c r="C525">
        <f>IF(ISNA(MATCH(512,Engine!$C$2:$C$630,0)),"",INDEX('Compliance Database'!$C$2:$C$630,MATCH(512,Engine!$C$2:$C$630,0)))</f>
        <v/>
      </c>
      <c r="D525" s="8">
        <f>IF(ISNA(MATCH(512,Engine!$C$2:$C$630,0)),"",INDEX('Compliance Database'!$D$2:$D$630,MATCH(512,Engine!$C$2:$C$630,0)))</f>
        <v/>
      </c>
      <c r="E525">
        <f>IF(ISNA(MATCH(512,Engine!$C$2:$C$630,0)),"",INDEX('Compliance Database'!$E$2:$E$630,MATCH(512,Engine!$C$2:$C$630,0)))</f>
        <v/>
      </c>
      <c r="F525">
        <f>IF(ISNA(MATCH(512,Engine!$C$2:$C$630,0)),"",INDEX('Compliance Database'!$F$2:$F$630,MATCH(512,Engine!$C$2:$C$630,0)))</f>
        <v/>
      </c>
      <c r="G525">
        <f>IF(ISNA(MATCH(512,Engine!$C$2:$C$630,0)),"",INDEX('Compliance Database'!$G$2:$G$630,MATCH(512,Engine!$C$2:$C$630,0)))</f>
        <v/>
      </c>
      <c r="H525">
        <f>IF(ISNA(MATCH(512,Engine!$C$2:$C$630,0)),"",INDEX('Compliance Database'!$H$2:$H$630,MATCH(512,Engine!$C$2:$C$630,0)))</f>
        <v/>
      </c>
      <c r="I525" s="8">
        <f>IF(ISNA(MATCH(512,Engine!$C$2:$C$630,0)),"",INDEX('Compliance Database'!$I$2:$I$630,MATCH(512,Engine!$C$2:$C$630,0)))</f>
        <v/>
      </c>
      <c r="J525" s="8">
        <f>IF(ISNA(MATCH(512,Engine!$C$2:$C$630,0)),"",INDEX('Compliance Database'!$J$2:$J$630,MATCH(512,Engine!$C$2:$C$630,0)))</f>
        <v/>
      </c>
      <c r="K525">
        <f>IF(ISNA(MATCH(512,Engine!$C$2:$C$630,0)),"",INDEX('Compliance Database'!$K$2:$K$630,MATCH(512,Engine!$C$2:$C$630,0)))</f>
        <v/>
      </c>
      <c r="L525" s="8">
        <f>IF(ISNA(MATCH(512,Engine!$C$2:$C$630,0)),"",INDEX('Compliance Database'!$L$2:$L$630,MATCH(512,Engine!$C$2:$C$630,0)))</f>
        <v/>
      </c>
      <c r="M525" s="8">
        <f>IF(ISNA(MATCH(512,Engine!$C$2:$C$630,0)),"",INDEX('Compliance Database'!$M$2:$M$630,MATCH(512,Engine!$C$2:$C$630,0)))</f>
        <v/>
      </c>
      <c r="N525" s="8">
        <f>IF(ISNA(MATCH(512,Engine!$C$2:$C$630,0)),"",INDEX('Compliance Database'!$N$2:$N$630,MATCH(512,Engine!$C$2:$C$630,0)))</f>
        <v/>
      </c>
      <c r="O525" s="8">
        <f>IF(ISNA(MATCH(512,Engine!$C$2:$C$630,0)),"",INDEX('Compliance Database'!$O$2:$O$630,MATCH(512,Engine!$C$2:$C$630,0)))</f>
        <v/>
      </c>
    </row>
    <row r="526">
      <c r="A526">
        <f>IF(ISNA(MATCH(513,Engine!$C$2:$C$630,0)),"",INDEX('Compliance Database'!$A$2:$A$630,MATCH(513,Engine!$C$2:$C$630,0)))</f>
        <v/>
      </c>
      <c r="B526">
        <f>IF(ISNA(MATCH(513,Engine!$C$2:$C$630,0)),"",INDEX('Compliance Database'!$B$2:$B$630,MATCH(513,Engine!$C$2:$C$630,0)))</f>
        <v/>
      </c>
      <c r="C526">
        <f>IF(ISNA(MATCH(513,Engine!$C$2:$C$630,0)),"",INDEX('Compliance Database'!$C$2:$C$630,MATCH(513,Engine!$C$2:$C$630,0)))</f>
        <v/>
      </c>
      <c r="D526" s="8">
        <f>IF(ISNA(MATCH(513,Engine!$C$2:$C$630,0)),"",INDEX('Compliance Database'!$D$2:$D$630,MATCH(513,Engine!$C$2:$C$630,0)))</f>
        <v/>
      </c>
      <c r="E526">
        <f>IF(ISNA(MATCH(513,Engine!$C$2:$C$630,0)),"",INDEX('Compliance Database'!$E$2:$E$630,MATCH(513,Engine!$C$2:$C$630,0)))</f>
        <v/>
      </c>
      <c r="F526">
        <f>IF(ISNA(MATCH(513,Engine!$C$2:$C$630,0)),"",INDEX('Compliance Database'!$F$2:$F$630,MATCH(513,Engine!$C$2:$C$630,0)))</f>
        <v/>
      </c>
      <c r="G526">
        <f>IF(ISNA(MATCH(513,Engine!$C$2:$C$630,0)),"",INDEX('Compliance Database'!$G$2:$G$630,MATCH(513,Engine!$C$2:$C$630,0)))</f>
        <v/>
      </c>
      <c r="H526">
        <f>IF(ISNA(MATCH(513,Engine!$C$2:$C$630,0)),"",INDEX('Compliance Database'!$H$2:$H$630,MATCH(513,Engine!$C$2:$C$630,0)))</f>
        <v/>
      </c>
      <c r="I526" s="8">
        <f>IF(ISNA(MATCH(513,Engine!$C$2:$C$630,0)),"",INDEX('Compliance Database'!$I$2:$I$630,MATCH(513,Engine!$C$2:$C$630,0)))</f>
        <v/>
      </c>
      <c r="J526" s="8">
        <f>IF(ISNA(MATCH(513,Engine!$C$2:$C$630,0)),"",INDEX('Compliance Database'!$J$2:$J$630,MATCH(513,Engine!$C$2:$C$630,0)))</f>
        <v/>
      </c>
      <c r="K526">
        <f>IF(ISNA(MATCH(513,Engine!$C$2:$C$630,0)),"",INDEX('Compliance Database'!$K$2:$K$630,MATCH(513,Engine!$C$2:$C$630,0)))</f>
        <v/>
      </c>
      <c r="L526" s="8">
        <f>IF(ISNA(MATCH(513,Engine!$C$2:$C$630,0)),"",INDEX('Compliance Database'!$L$2:$L$630,MATCH(513,Engine!$C$2:$C$630,0)))</f>
        <v/>
      </c>
      <c r="M526" s="8">
        <f>IF(ISNA(MATCH(513,Engine!$C$2:$C$630,0)),"",INDEX('Compliance Database'!$M$2:$M$630,MATCH(513,Engine!$C$2:$C$630,0)))</f>
        <v/>
      </c>
      <c r="N526" s="8">
        <f>IF(ISNA(MATCH(513,Engine!$C$2:$C$630,0)),"",INDEX('Compliance Database'!$N$2:$N$630,MATCH(513,Engine!$C$2:$C$630,0)))</f>
        <v/>
      </c>
      <c r="O526" s="8">
        <f>IF(ISNA(MATCH(513,Engine!$C$2:$C$630,0)),"",INDEX('Compliance Database'!$O$2:$O$630,MATCH(513,Engine!$C$2:$C$630,0)))</f>
        <v/>
      </c>
    </row>
    <row r="527">
      <c r="A527">
        <f>IF(ISNA(MATCH(514,Engine!$C$2:$C$630,0)),"",INDEX('Compliance Database'!$A$2:$A$630,MATCH(514,Engine!$C$2:$C$630,0)))</f>
        <v/>
      </c>
      <c r="B527">
        <f>IF(ISNA(MATCH(514,Engine!$C$2:$C$630,0)),"",INDEX('Compliance Database'!$B$2:$B$630,MATCH(514,Engine!$C$2:$C$630,0)))</f>
        <v/>
      </c>
      <c r="C527">
        <f>IF(ISNA(MATCH(514,Engine!$C$2:$C$630,0)),"",INDEX('Compliance Database'!$C$2:$C$630,MATCH(514,Engine!$C$2:$C$630,0)))</f>
        <v/>
      </c>
      <c r="D527" s="8">
        <f>IF(ISNA(MATCH(514,Engine!$C$2:$C$630,0)),"",INDEX('Compliance Database'!$D$2:$D$630,MATCH(514,Engine!$C$2:$C$630,0)))</f>
        <v/>
      </c>
      <c r="E527">
        <f>IF(ISNA(MATCH(514,Engine!$C$2:$C$630,0)),"",INDEX('Compliance Database'!$E$2:$E$630,MATCH(514,Engine!$C$2:$C$630,0)))</f>
        <v/>
      </c>
      <c r="F527">
        <f>IF(ISNA(MATCH(514,Engine!$C$2:$C$630,0)),"",INDEX('Compliance Database'!$F$2:$F$630,MATCH(514,Engine!$C$2:$C$630,0)))</f>
        <v/>
      </c>
      <c r="G527">
        <f>IF(ISNA(MATCH(514,Engine!$C$2:$C$630,0)),"",INDEX('Compliance Database'!$G$2:$G$630,MATCH(514,Engine!$C$2:$C$630,0)))</f>
        <v/>
      </c>
      <c r="H527">
        <f>IF(ISNA(MATCH(514,Engine!$C$2:$C$630,0)),"",INDEX('Compliance Database'!$H$2:$H$630,MATCH(514,Engine!$C$2:$C$630,0)))</f>
        <v/>
      </c>
      <c r="I527" s="8">
        <f>IF(ISNA(MATCH(514,Engine!$C$2:$C$630,0)),"",INDEX('Compliance Database'!$I$2:$I$630,MATCH(514,Engine!$C$2:$C$630,0)))</f>
        <v/>
      </c>
      <c r="J527" s="8">
        <f>IF(ISNA(MATCH(514,Engine!$C$2:$C$630,0)),"",INDEX('Compliance Database'!$J$2:$J$630,MATCH(514,Engine!$C$2:$C$630,0)))</f>
        <v/>
      </c>
      <c r="K527">
        <f>IF(ISNA(MATCH(514,Engine!$C$2:$C$630,0)),"",INDEX('Compliance Database'!$K$2:$K$630,MATCH(514,Engine!$C$2:$C$630,0)))</f>
        <v/>
      </c>
      <c r="L527" s="8">
        <f>IF(ISNA(MATCH(514,Engine!$C$2:$C$630,0)),"",INDEX('Compliance Database'!$L$2:$L$630,MATCH(514,Engine!$C$2:$C$630,0)))</f>
        <v/>
      </c>
      <c r="M527" s="8">
        <f>IF(ISNA(MATCH(514,Engine!$C$2:$C$630,0)),"",INDEX('Compliance Database'!$M$2:$M$630,MATCH(514,Engine!$C$2:$C$630,0)))</f>
        <v/>
      </c>
      <c r="N527" s="8">
        <f>IF(ISNA(MATCH(514,Engine!$C$2:$C$630,0)),"",INDEX('Compliance Database'!$N$2:$N$630,MATCH(514,Engine!$C$2:$C$630,0)))</f>
        <v/>
      </c>
      <c r="O527" s="8">
        <f>IF(ISNA(MATCH(514,Engine!$C$2:$C$630,0)),"",INDEX('Compliance Database'!$O$2:$O$630,MATCH(514,Engine!$C$2:$C$630,0)))</f>
        <v/>
      </c>
    </row>
    <row r="528">
      <c r="A528">
        <f>IF(ISNA(MATCH(515,Engine!$C$2:$C$630,0)),"",INDEX('Compliance Database'!$A$2:$A$630,MATCH(515,Engine!$C$2:$C$630,0)))</f>
        <v/>
      </c>
      <c r="B528">
        <f>IF(ISNA(MATCH(515,Engine!$C$2:$C$630,0)),"",INDEX('Compliance Database'!$B$2:$B$630,MATCH(515,Engine!$C$2:$C$630,0)))</f>
        <v/>
      </c>
      <c r="C528">
        <f>IF(ISNA(MATCH(515,Engine!$C$2:$C$630,0)),"",INDEX('Compliance Database'!$C$2:$C$630,MATCH(515,Engine!$C$2:$C$630,0)))</f>
        <v/>
      </c>
      <c r="D528" s="8">
        <f>IF(ISNA(MATCH(515,Engine!$C$2:$C$630,0)),"",INDEX('Compliance Database'!$D$2:$D$630,MATCH(515,Engine!$C$2:$C$630,0)))</f>
        <v/>
      </c>
      <c r="E528">
        <f>IF(ISNA(MATCH(515,Engine!$C$2:$C$630,0)),"",INDEX('Compliance Database'!$E$2:$E$630,MATCH(515,Engine!$C$2:$C$630,0)))</f>
        <v/>
      </c>
      <c r="F528">
        <f>IF(ISNA(MATCH(515,Engine!$C$2:$C$630,0)),"",INDEX('Compliance Database'!$F$2:$F$630,MATCH(515,Engine!$C$2:$C$630,0)))</f>
        <v/>
      </c>
      <c r="G528">
        <f>IF(ISNA(MATCH(515,Engine!$C$2:$C$630,0)),"",INDEX('Compliance Database'!$G$2:$G$630,MATCH(515,Engine!$C$2:$C$630,0)))</f>
        <v/>
      </c>
      <c r="H528">
        <f>IF(ISNA(MATCH(515,Engine!$C$2:$C$630,0)),"",INDEX('Compliance Database'!$H$2:$H$630,MATCH(515,Engine!$C$2:$C$630,0)))</f>
        <v/>
      </c>
      <c r="I528" s="8">
        <f>IF(ISNA(MATCH(515,Engine!$C$2:$C$630,0)),"",INDEX('Compliance Database'!$I$2:$I$630,MATCH(515,Engine!$C$2:$C$630,0)))</f>
        <v/>
      </c>
      <c r="J528" s="8">
        <f>IF(ISNA(MATCH(515,Engine!$C$2:$C$630,0)),"",INDEX('Compliance Database'!$J$2:$J$630,MATCH(515,Engine!$C$2:$C$630,0)))</f>
        <v/>
      </c>
      <c r="K528">
        <f>IF(ISNA(MATCH(515,Engine!$C$2:$C$630,0)),"",INDEX('Compliance Database'!$K$2:$K$630,MATCH(515,Engine!$C$2:$C$630,0)))</f>
        <v/>
      </c>
      <c r="L528" s="8">
        <f>IF(ISNA(MATCH(515,Engine!$C$2:$C$630,0)),"",INDEX('Compliance Database'!$L$2:$L$630,MATCH(515,Engine!$C$2:$C$630,0)))</f>
        <v/>
      </c>
      <c r="M528" s="8">
        <f>IF(ISNA(MATCH(515,Engine!$C$2:$C$630,0)),"",INDEX('Compliance Database'!$M$2:$M$630,MATCH(515,Engine!$C$2:$C$630,0)))</f>
        <v/>
      </c>
      <c r="N528" s="8">
        <f>IF(ISNA(MATCH(515,Engine!$C$2:$C$630,0)),"",INDEX('Compliance Database'!$N$2:$N$630,MATCH(515,Engine!$C$2:$C$630,0)))</f>
        <v/>
      </c>
      <c r="O528" s="8">
        <f>IF(ISNA(MATCH(515,Engine!$C$2:$C$630,0)),"",INDEX('Compliance Database'!$O$2:$O$630,MATCH(515,Engine!$C$2:$C$630,0)))</f>
        <v/>
      </c>
    </row>
    <row r="529">
      <c r="A529">
        <f>IF(ISNA(MATCH(516,Engine!$C$2:$C$630,0)),"",INDEX('Compliance Database'!$A$2:$A$630,MATCH(516,Engine!$C$2:$C$630,0)))</f>
        <v/>
      </c>
      <c r="B529">
        <f>IF(ISNA(MATCH(516,Engine!$C$2:$C$630,0)),"",INDEX('Compliance Database'!$B$2:$B$630,MATCH(516,Engine!$C$2:$C$630,0)))</f>
        <v/>
      </c>
      <c r="C529">
        <f>IF(ISNA(MATCH(516,Engine!$C$2:$C$630,0)),"",INDEX('Compliance Database'!$C$2:$C$630,MATCH(516,Engine!$C$2:$C$630,0)))</f>
        <v/>
      </c>
      <c r="D529" s="8">
        <f>IF(ISNA(MATCH(516,Engine!$C$2:$C$630,0)),"",INDEX('Compliance Database'!$D$2:$D$630,MATCH(516,Engine!$C$2:$C$630,0)))</f>
        <v/>
      </c>
      <c r="E529">
        <f>IF(ISNA(MATCH(516,Engine!$C$2:$C$630,0)),"",INDEX('Compliance Database'!$E$2:$E$630,MATCH(516,Engine!$C$2:$C$630,0)))</f>
        <v/>
      </c>
      <c r="F529">
        <f>IF(ISNA(MATCH(516,Engine!$C$2:$C$630,0)),"",INDEX('Compliance Database'!$F$2:$F$630,MATCH(516,Engine!$C$2:$C$630,0)))</f>
        <v/>
      </c>
      <c r="G529">
        <f>IF(ISNA(MATCH(516,Engine!$C$2:$C$630,0)),"",INDEX('Compliance Database'!$G$2:$G$630,MATCH(516,Engine!$C$2:$C$630,0)))</f>
        <v/>
      </c>
      <c r="H529">
        <f>IF(ISNA(MATCH(516,Engine!$C$2:$C$630,0)),"",INDEX('Compliance Database'!$H$2:$H$630,MATCH(516,Engine!$C$2:$C$630,0)))</f>
        <v/>
      </c>
      <c r="I529" s="8">
        <f>IF(ISNA(MATCH(516,Engine!$C$2:$C$630,0)),"",INDEX('Compliance Database'!$I$2:$I$630,MATCH(516,Engine!$C$2:$C$630,0)))</f>
        <v/>
      </c>
      <c r="J529" s="8">
        <f>IF(ISNA(MATCH(516,Engine!$C$2:$C$630,0)),"",INDEX('Compliance Database'!$J$2:$J$630,MATCH(516,Engine!$C$2:$C$630,0)))</f>
        <v/>
      </c>
      <c r="K529">
        <f>IF(ISNA(MATCH(516,Engine!$C$2:$C$630,0)),"",INDEX('Compliance Database'!$K$2:$K$630,MATCH(516,Engine!$C$2:$C$630,0)))</f>
        <v/>
      </c>
      <c r="L529" s="8">
        <f>IF(ISNA(MATCH(516,Engine!$C$2:$C$630,0)),"",INDEX('Compliance Database'!$L$2:$L$630,MATCH(516,Engine!$C$2:$C$630,0)))</f>
        <v/>
      </c>
      <c r="M529" s="8">
        <f>IF(ISNA(MATCH(516,Engine!$C$2:$C$630,0)),"",INDEX('Compliance Database'!$M$2:$M$630,MATCH(516,Engine!$C$2:$C$630,0)))</f>
        <v/>
      </c>
      <c r="N529" s="8">
        <f>IF(ISNA(MATCH(516,Engine!$C$2:$C$630,0)),"",INDEX('Compliance Database'!$N$2:$N$630,MATCH(516,Engine!$C$2:$C$630,0)))</f>
        <v/>
      </c>
      <c r="O529" s="8">
        <f>IF(ISNA(MATCH(516,Engine!$C$2:$C$630,0)),"",INDEX('Compliance Database'!$O$2:$O$630,MATCH(516,Engine!$C$2:$C$630,0)))</f>
        <v/>
      </c>
    </row>
    <row r="530">
      <c r="A530">
        <f>IF(ISNA(MATCH(517,Engine!$C$2:$C$630,0)),"",INDEX('Compliance Database'!$A$2:$A$630,MATCH(517,Engine!$C$2:$C$630,0)))</f>
        <v/>
      </c>
      <c r="B530">
        <f>IF(ISNA(MATCH(517,Engine!$C$2:$C$630,0)),"",INDEX('Compliance Database'!$B$2:$B$630,MATCH(517,Engine!$C$2:$C$630,0)))</f>
        <v/>
      </c>
      <c r="C530">
        <f>IF(ISNA(MATCH(517,Engine!$C$2:$C$630,0)),"",INDEX('Compliance Database'!$C$2:$C$630,MATCH(517,Engine!$C$2:$C$630,0)))</f>
        <v/>
      </c>
      <c r="D530" s="8">
        <f>IF(ISNA(MATCH(517,Engine!$C$2:$C$630,0)),"",INDEX('Compliance Database'!$D$2:$D$630,MATCH(517,Engine!$C$2:$C$630,0)))</f>
        <v/>
      </c>
      <c r="E530">
        <f>IF(ISNA(MATCH(517,Engine!$C$2:$C$630,0)),"",INDEX('Compliance Database'!$E$2:$E$630,MATCH(517,Engine!$C$2:$C$630,0)))</f>
        <v/>
      </c>
      <c r="F530">
        <f>IF(ISNA(MATCH(517,Engine!$C$2:$C$630,0)),"",INDEX('Compliance Database'!$F$2:$F$630,MATCH(517,Engine!$C$2:$C$630,0)))</f>
        <v/>
      </c>
      <c r="G530">
        <f>IF(ISNA(MATCH(517,Engine!$C$2:$C$630,0)),"",INDEX('Compliance Database'!$G$2:$G$630,MATCH(517,Engine!$C$2:$C$630,0)))</f>
        <v/>
      </c>
      <c r="H530">
        <f>IF(ISNA(MATCH(517,Engine!$C$2:$C$630,0)),"",INDEX('Compliance Database'!$H$2:$H$630,MATCH(517,Engine!$C$2:$C$630,0)))</f>
        <v/>
      </c>
      <c r="I530" s="8">
        <f>IF(ISNA(MATCH(517,Engine!$C$2:$C$630,0)),"",INDEX('Compliance Database'!$I$2:$I$630,MATCH(517,Engine!$C$2:$C$630,0)))</f>
        <v/>
      </c>
      <c r="J530" s="8">
        <f>IF(ISNA(MATCH(517,Engine!$C$2:$C$630,0)),"",INDEX('Compliance Database'!$J$2:$J$630,MATCH(517,Engine!$C$2:$C$630,0)))</f>
        <v/>
      </c>
      <c r="K530">
        <f>IF(ISNA(MATCH(517,Engine!$C$2:$C$630,0)),"",INDEX('Compliance Database'!$K$2:$K$630,MATCH(517,Engine!$C$2:$C$630,0)))</f>
        <v/>
      </c>
      <c r="L530" s="8">
        <f>IF(ISNA(MATCH(517,Engine!$C$2:$C$630,0)),"",INDEX('Compliance Database'!$L$2:$L$630,MATCH(517,Engine!$C$2:$C$630,0)))</f>
        <v/>
      </c>
      <c r="M530" s="8">
        <f>IF(ISNA(MATCH(517,Engine!$C$2:$C$630,0)),"",INDEX('Compliance Database'!$M$2:$M$630,MATCH(517,Engine!$C$2:$C$630,0)))</f>
        <v/>
      </c>
      <c r="N530" s="8">
        <f>IF(ISNA(MATCH(517,Engine!$C$2:$C$630,0)),"",INDEX('Compliance Database'!$N$2:$N$630,MATCH(517,Engine!$C$2:$C$630,0)))</f>
        <v/>
      </c>
      <c r="O530" s="8">
        <f>IF(ISNA(MATCH(517,Engine!$C$2:$C$630,0)),"",INDEX('Compliance Database'!$O$2:$O$630,MATCH(517,Engine!$C$2:$C$630,0)))</f>
        <v/>
      </c>
    </row>
    <row r="531">
      <c r="A531">
        <f>IF(ISNA(MATCH(518,Engine!$C$2:$C$630,0)),"",INDEX('Compliance Database'!$A$2:$A$630,MATCH(518,Engine!$C$2:$C$630,0)))</f>
        <v/>
      </c>
      <c r="B531">
        <f>IF(ISNA(MATCH(518,Engine!$C$2:$C$630,0)),"",INDEX('Compliance Database'!$B$2:$B$630,MATCH(518,Engine!$C$2:$C$630,0)))</f>
        <v/>
      </c>
      <c r="C531">
        <f>IF(ISNA(MATCH(518,Engine!$C$2:$C$630,0)),"",INDEX('Compliance Database'!$C$2:$C$630,MATCH(518,Engine!$C$2:$C$630,0)))</f>
        <v/>
      </c>
      <c r="D531" s="8">
        <f>IF(ISNA(MATCH(518,Engine!$C$2:$C$630,0)),"",INDEX('Compliance Database'!$D$2:$D$630,MATCH(518,Engine!$C$2:$C$630,0)))</f>
        <v/>
      </c>
      <c r="E531">
        <f>IF(ISNA(MATCH(518,Engine!$C$2:$C$630,0)),"",INDEX('Compliance Database'!$E$2:$E$630,MATCH(518,Engine!$C$2:$C$630,0)))</f>
        <v/>
      </c>
      <c r="F531">
        <f>IF(ISNA(MATCH(518,Engine!$C$2:$C$630,0)),"",INDEX('Compliance Database'!$F$2:$F$630,MATCH(518,Engine!$C$2:$C$630,0)))</f>
        <v/>
      </c>
      <c r="G531">
        <f>IF(ISNA(MATCH(518,Engine!$C$2:$C$630,0)),"",INDEX('Compliance Database'!$G$2:$G$630,MATCH(518,Engine!$C$2:$C$630,0)))</f>
        <v/>
      </c>
      <c r="H531">
        <f>IF(ISNA(MATCH(518,Engine!$C$2:$C$630,0)),"",INDEX('Compliance Database'!$H$2:$H$630,MATCH(518,Engine!$C$2:$C$630,0)))</f>
        <v/>
      </c>
      <c r="I531" s="8">
        <f>IF(ISNA(MATCH(518,Engine!$C$2:$C$630,0)),"",INDEX('Compliance Database'!$I$2:$I$630,MATCH(518,Engine!$C$2:$C$630,0)))</f>
        <v/>
      </c>
      <c r="J531" s="8">
        <f>IF(ISNA(MATCH(518,Engine!$C$2:$C$630,0)),"",INDEX('Compliance Database'!$J$2:$J$630,MATCH(518,Engine!$C$2:$C$630,0)))</f>
        <v/>
      </c>
      <c r="K531">
        <f>IF(ISNA(MATCH(518,Engine!$C$2:$C$630,0)),"",INDEX('Compliance Database'!$K$2:$K$630,MATCH(518,Engine!$C$2:$C$630,0)))</f>
        <v/>
      </c>
      <c r="L531" s="8">
        <f>IF(ISNA(MATCH(518,Engine!$C$2:$C$630,0)),"",INDEX('Compliance Database'!$L$2:$L$630,MATCH(518,Engine!$C$2:$C$630,0)))</f>
        <v/>
      </c>
      <c r="M531" s="8">
        <f>IF(ISNA(MATCH(518,Engine!$C$2:$C$630,0)),"",INDEX('Compliance Database'!$M$2:$M$630,MATCH(518,Engine!$C$2:$C$630,0)))</f>
        <v/>
      </c>
      <c r="N531" s="8">
        <f>IF(ISNA(MATCH(518,Engine!$C$2:$C$630,0)),"",INDEX('Compliance Database'!$N$2:$N$630,MATCH(518,Engine!$C$2:$C$630,0)))</f>
        <v/>
      </c>
      <c r="O531" s="8">
        <f>IF(ISNA(MATCH(518,Engine!$C$2:$C$630,0)),"",INDEX('Compliance Database'!$O$2:$O$630,MATCH(518,Engine!$C$2:$C$630,0)))</f>
        <v/>
      </c>
    </row>
    <row r="532">
      <c r="A532">
        <f>IF(ISNA(MATCH(519,Engine!$C$2:$C$630,0)),"",INDEX('Compliance Database'!$A$2:$A$630,MATCH(519,Engine!$C$2:$C$630,0)))</f>
        <v/>
      </c>
      <c r="B532">
        <f>IF(ISNA(MATCH(519,Engine!$C$2:$C$630,0)),"",INDEX('Compliance Database'!$B$2:$B$630,MATCH(519,Engine!$C$2:$C$630,0)))</f>
        <v/>
      </c>
      <c r="C532">
        <f>IF(ISNA(MATCH(519,Engine!$C$2:$C$630,0)),"",INDEX('Compliance Database'!$C$2:$C$630,MATCH(519,Engine!$C$2:$C$630,0)))</f>
        <v/>
      </c>
      <c r="D532" s="8">
        <f>IF(ISNA(MATCH(519,Engine!$C$2:$C$630,0)),"",INDEX('Compliance Database'!$D$2:$D$630,MATCH(519,Engine!$C$2:$C$630,0)))</f>
        <v/>
      </c>
      <c r="E532">
        <f>IF(ISNA(MATCH(519,Engine!$C$2:$C$630,0)),"",INDEX('Compliance Database'!$E$2:$E$630,MATCH(519,Engine!$C$2:$C$630,0)))</f>
        <v/>
      </c>
      <c r="F532">
        <f>IF(ISNA(MATCH(519,Engine!$C$2:$C$630,0)),"",INDEX('Compliance Database'!$F$2:$F$630,MATCH(519,Engine!$C$2:$C$630,0)))</f>
        <v/>
      </c>
      <c r="G532">
        <f>IF(ISNA(MATCH(519,Engine!$C$2:$C$630,0)),"",INDEX('Compliance Database'!$G$2:$G$630,MATCH(519,Engine!$C$2:$C$630,0)))</f>
        <v/>
      </c>
      <c r="H532">
        <f>IF(ISNA(MATCH(519,Engine!$C$2:$C$630,0)),"",INDEX('Compliance Database'!$H$2:$H$630,MATCH(519,Engine!$C$2:$C$630,0)))</f>
        <v/>
      </c>
      <c r="I532" s="8">
        <f>IF(ISNA(MATCH(519,Engine!$C$2:$C$630,0)),"",INDEX('Compliance Database'!$I$2:$I$630,MATCH(519,Engine!$C$2:$C$630,0)))</f>
        <v/>
      </c>
      <c r="J532" s="8">
        <f>IF(ISNA(MATCH(519,Engine!$C$2:$C$630,0)),"",INDEX('Compliance Database'!$J$2:$J$630,MATCH(519,Engine!$C$2:$C$630,0)))</f>
        <v/>
      </c>
      <c r="K532">
        <f>IF(ISNA(MATCH(519,Engine!$C$2:$C$630,0)),"",INDEX('Compliance Database'!$K$2:$K$630,MATCH(519,Engine!$C$2:$C$630,0)))</f>
        <v/>
      </c>
      <c r="L532" s="8">
        <f>IF(ISNA(MATCH(519,Engine!$C$2:$C$630,0)),"",INDEX('Compliance Database'!$L$2:$L$630,MATCH(519,Engine!$C$2:$C$630,0)))</f>
        <v/>
      </c>
      <c r="M532" s="8">
        <f>IF(ISNA(MATCH(519,Engine!$C$2:$C$630,0)),"",INDEX('Compliance Database'!$M$2:$M$630,MATCH(519,Engine!$C$2:$C$630,0)))</f>
        <v/>
      </c>
      <c r="N532" s="8">
        <f>IF(ISNA(MATCH(519,Engine!$C$2:$C$630,0)),"",INDEX('Compliance Database'!$N$2:$N$630,MATCH(519,Engine!$C$2:$C$630,0)))</f>
        <v/>
      </c>
      <c r="O532" s="8">
        <f>IF(ISNA(MATCH(519,Engine!$C$2:$C$630,0)),"",INDEX('Compliance Database'!$O$2:$O$630,MATCH(519,Engine!$C$2:$C$630,0)))</f>
        <v/>
      </c>
    </row>
    <row r="533">
      <c r="A533">
        <f>IF(ISNA(MATCH(520,Engine!$C$2:$C$630,0)),"",INDEX('Compliance Database'!$A$2:$A$630,MATCH(520,Engine!$C$2:$C$630,0)))</f>
        <v/>
      </c>
      <c r="B533">
        <f>IF(ISNA(MATCH(520,Engine!$C$2:$C$630,0)),"",INDEX('Compliance Database'!$B$2:$B$630,MATCH(520,Engine!$C$2:$C$630,0)))</f>
        <v/>
      </c>
      <c r="C533">
        <f>IF(ISNA(MATCH(520,Engine!$C$2:$C$630,0)),"",INDEX('Compliance Database'!$C$2:$C$630,MATCH(520,Engine!$C$2:$C$630,0)))</f>
        <v/>
      </c>
      <c r="D533" s="8">
        <f>IF(ISNA(MATCH(520,Engine!$C$2:$C$630,0)),"",INDEX('Compliance Database'!$D$2:$D$630,MATCH(520,Engine!$C$2:$C$630,0)))</f>
        <v/>
      </c>
      <c r="E533">
        <f>IF(ISNA(MATCH(520,Engine!$C$2:$C$630,0)),"",INDEX('Compliance Database'!$E$2:$E$630,MATCH(520,Engine!$C$2:$C$630,0)))</f>
        <v/>
      </c>
      <c r="F533">
        <f>IF(ISNA(MATCH(520,Engine!$C$2:$C$630,0)),"",INDEX('Compliance Database'!$F$2:$F$630,MATCH(520,Engine!$C$2:$C$630,0)))</f>
        <v/>
      </c>
      <c r="G533">
        <f>IF(ISNA(MATCH(520,Engine!$C$2:$C$630,0)),"",INDEX('Compliance Database'!$G$2:$G$630,MATCH(520,Engine!$C$2:$C$630,0)))</f>
        <v/>
      </c>
      <c r="H533">
        <f>IF(ISNA(MATCH(520,Engine!$C$2:$C$630,0)),"",INDEX('Compliance Database'!$H$2:$H$630,MATCH(520,Engine!$C$2:$C$630,0)))</f>
        <v/>
      </c>
      <c r="I533" s="8">
        <f>IF(ISNA(MATCH(520,Engine!$C$2:$C$630,0)),"",INDEX('Compliance Database'!$I$2:$I$630,MATCH(520,Engine!$C$2:$C$630,0)))</f>
        <v/>
      </c>
      <c r="J533" s="8">
        <f>IF(ISNA(MATCH(520,Engine!$C$2:$C$630,0)),"",INDEX('Compliance Database'!$J$2:$J$630,MATCH(520,Engine!$C$2:$C$630,0)))</f>
        <v/>
      </c>
      <c r="K533">
        <f>IF(ISNA(MATCH(520,Engine!$C$2:$C$630,0)),"",INDEX('Compliance Database'!$K$2:$K$630,MATCH(520,Engine!$C$2:$C$630,0)))</f>
        <v/>
      </c>
      <c r="L533" s="8">
        <f>IF(ISNA(MATCH(520,Engine!$C$2:$C$630,0)),"",INDEX('Compliance Database'!$L$2:$L$630,MATCH(520,Engine!$C$2:$C$630,0)))</f>
        <v/>
      </c>
      <c r="M533" s="8">
        <f>IF(ISNA(MATCH(520,Engine!$C$2:$C$630,0)),"",INDEX('Compliance Database'!$M$2:$M$630,MATCH(520,Engine!$C$2:$C$630,0)))</f>
        <v/>
      </c>
      <c r="N533" s="8">
        <f>IF(ISNA(MATCH(520,Engine!$C$2:$C$630,0)),"",INDEX('Compliance Database'!$N$2:$N$630,MATCH(520,Engine!$C$2:$C$630,0)))</f>
        <v/>
      </c>
      <c r="O533" s="8">
        <f>IF(ISNA(MATCH(520,Engine!$C$2:$C$630,0)),"",INDEX('Compliance Database'!$O$2:$O$630,MATCH(520,Engine!$C$2:$C$630,0)))</f>
        <v/>
      </c>
    </row>
    <row r="534">
      <c r="A534">
        <f>IF(ISNA(MATCH(521,Engine!$C$2:$C$630,0)),"",INDEX('Compliance Database'!$A$2:$A$630,MATCH(521,Engine!$C$2:$C$630,0)))</f>
        <v/>
      </c>
      <c r="B534">
        <f>IF(ISNA(MATCH(521,Engine!$C$2:$C$630,0)),"",INDEX('Compliance Database'!$B$2:$B$630,MATCH(521,Engine!$C$2:$C$630,0)))</f>
        <v/>
      </c>
      <c r="C534">
        <f>IF(ISNA(MATCH(521,Engine!$C$2:$C$630,0)),"",INDEX('Compliance Database'!$C$2:$C$630,MATCH(521,Engine!$C$2:$C$630,0)))</f>
        <v/>
      </c>
      <c r="D534" s="8">
        <f>IF(ISNA(MATCH(521,Engine!$C$2:$C$630,0)),"",INDEX('Compliance Database'!$D$2:$D$630,MATCH(521,Engine!$C$2:$C$630,0)))</f>
        <v/>
      </c>
      <c r="E534">
        <f>IF(ISNA(MATCH(521,Engine!$C$2:$C$630,0)),"",INDEX('Compliance Database'!$E$2:$E$630,MATCH(521,Engine!$C$2:$C$630,0)))</f>
        <v/>
      </c>
      <c r="F534">
        <f>IF(ISNA(MATCH(521,Engine!$C$2:$C$630,0)),"",INDEX('Compliance Database'!$F$2:$F$630,MATCH(521,Engine!$C$2:$C$630,0)))</f>
        <v/>
      </c>
      <c r="G534">
        <f>IF(ISNA(MATCH(521,Engine!$C$2:$C$630,0)),"",INDEX('Compliance Database'!$G$2:$G$630,MATCH(521,Engine!$C$2:$C$630,0)))</f>
        <v/>
      </c>
      <c r="H534">
        <f>IF(ISNA(MATCH(521,Engine!$C$2:$C$630,0)),"",INDEX('Compliance Database'!$H$2:$H$630,MATCH(521,Engine!$C$2:$C$630,0)))</f>
        <v/>
      </c>
      <c r="I534" s="8">
        <f>IF(ISNA(MATCH(521,Engine!$C$2:$C$630,0)),"",INDEX('Compliance Database'!$I$2:$I$630,MATCH(521,Engine!$C$2:$C$630,0)))</f>
        <v/>
      </c>
      <c r="J534" s="8">
        <f>IF(ISNA(MATCH(521,Engine!$C$2:$C$630,0)),"",INDEX('Compliance Database'!$J$2:$J$630,MATCH(521,Engine!$C$2:$C$630,0)))</f>
        <v/>
      </c>
      <c r="K534">
        <f>IF(ISNA(MATCH(521,Engine!$C$2:$C$630,0)),"",INDEX('Compliance Database'!$K$2:$K$630,MATCH(521,Engine!$C$2:$C$630,0)))</f>
        <v/>
      </c>
      <c r="L534" s="8">
        <f>IF(ISNA(MATCH(521,Engine!$C$2:$C$630,0)),"",INDEX('Compliance Database'!$L$2:$L$630,MATCH(521,Engine!$C$2:$C$630,0)))</f>
        <v/>
      </c>
      <c r="M534" s="8">
        <f>IF(ISNA(MATCH(521,Engine!$C$2:$C$630,0)),"",INDEX('Compliance Database'!$M$2:$M$630,MATCH(521,Engine!$C$2:$C$630,0)))</f>
        <v/>
      </c>
      <c r="N534" s="8">
        <f>IF(ISNA(MATCH(521,Engine!$C$2:$C$630,0)),"",INDEX('Compliance Database'!$N$2:$N$630,MATCH(521,Engine!$C$2:$C$630,0)))</f>
        <v/>
      </c>
      <c r="O534" s="8">
        <f>IF(ISNA(MATCH(521,Engine!$C$2:$C$630,0)),"",INDEX('Compliance Database'!$O$2:$O$630,MATCH(521,Engine!$C$2:$C$630,0)))</f>
        <v/>
      </c>
    </row>
    <row r="535">
      <c r="A535">
        <f>IF(ISNA(MATCH(522,Engine!$C$2:$C$630,0)),"",INDEX('Compliance Database'!$A$2:$A$630,MATCH(522,Engine!$C$2:$C$630,0)))</f>
        <v/>
      </c>
      <c r="B535">
        <f>IF(ISNA(MATCH(522,Engine!$C$2:$C$630,0)),"",INDEX('Compliance Database'!$B$2:$B$630,MATCH(522,Engine!$C$2:$C$630,0)))</f>
        <v/>
      </c>
      <c r="C535">
        <f>IF(ISNA(MATCH(522,Engine!$C$2:$C$630,0)),"",INDEX('Compliance Database'!$C$2:$C$630,MATCH(522,Engine!$C$2:$C$630,0)))</f>
        <v/>
      </c>
      <c r="D535" s="8">
        <f>IF(ISNA(MATCH(522,Engine!$C$2:$C$630,0)),"",INDEX('Compliance Database'!$D$2:$D$630,MATCH(522,Engine!$C$2:$C$630,0)))</f>
        <v/>
      </c>
      <c r="E535">
        <f>IF(ISNA(MATCH(522,Engine!$C$2:$C$630,0)),"",INDEX('Compliance Database'!$E$2:$E$630,MATCH(522,Engine!$C$2:$C$630,0)))</f>
        <v/>
      </c>
      <c r="F535">
        <f>IF(ISNA(MATCH(522,Engine!$C$2:$C$630,0)),"",INDEX('Compliance Database'!$F$2:$F$630,MATCH(522,Engine!$C$2:$C$630,0)))</f>
        <v/>
      </c>
      <c r="G535">
        <f>IF(ISNA(MATCH(522,Engine!$C$2:$C$630,0)),"",INDEX('Compliance Database'!$G$2:$G$630,MATCH(522,Engine!$C$2:$C$630,0)))</f>
        <v/>
      </c>
      <c r="H535">
        <f>IF(ISNA(MATCH(522,Engine!$C$2:$C$630,0)),"",INDEX('Compliance Database'!$H$2:$H$630,MATCH(522,Engine!$C$2:$C$630,0)))</f>
        <v/>
      </c>
      <c r="I535" s="8">
        <f>IF(ISNA(MATCH(522,Engine!$C$2:$C$630,0)),"",INDEX('Compliance Database'!$I$2:$I$630,MATCH(522,Engine!$C$2:$C$630,0)))</f>
        <v/>
      </c>
      <c r="J535" s="8">
        <f>IF(ISNA(MATCH(522,Engine!$C$2:$C$630,0)),"",INDEX('Compliance Database'!$J$2:$J$630,MATCH(522,Engine!$C$2:$C$630,0)))</f>
        <v/>
      </c>
      <c r="K535">
        <f>IF(ISNA(MATCH(522,Engine!$C$2:$C$630,0)),"",INDEX('Compliance Database'!$K$2:$K$630,MATCH(522,Engine!$C$2:$C$630,0)))</f>
        <v/>
      </c>
      <c r="L535" s="8">
        <f>IF(ISNA(MATCH(522,Engine!$C$2:$C$630,0)),"",INDEX('Compliance Database'!$L$2:$L$630,MATCH(522,Engine!$C$2:$C$630,0)))</f>
        <v/>
      </c>
      <c r="M535" s="8">
        <f>IF(ISNA(MATCH(522,Engine!$C$2:$C$630,0)),"",INDEX('Compliance Database'!$M$2:$M$630,MATCH(522,Engine!$C$2:$C$630,0)))</f>
        <v/>
      </c>
      <c r="N535" s="8">
        <f>IF(ISNA(MATCH(522,Engine!$C$2:$C$630,0)),"",INDEX('Compliance Database'!$N$2:$N$630,MATCH(522,Engine!$C$2:$C$630,0)))</f>
        <v/>
      </c>
      <c r="O535" s="8">
        <f>IF(ISNA(MATCH(522,Engine!$C$2:$C$630,0)),"",INDEX('Compliance Database'!$O$2:$O$630,MATCH(522,Engine!$C$2:$C$630,0)))</f>
        <v/>
      </c>
    </row>
    <row r="536">
      <c r="A536">
        <f>IF(ISNA(MATCH(523,Engine!$C$2:$C$630,0)),"",INDEX('Compliance Database'!$A$2:$A$630,MATCH(523,Engine!$C$2:$C$630,0)))</f>
        <v/>
      </c>
      <c r="B536">
        <f>IF(ISNA(MATCH(523,Engine!$C$2:$C$630,0)),"",INDEX('Compliance Database'!$B$2:$B$630,MATCH(523,Engine!$C$2:$C$630,0)))</f>
        <v/>
      </c>
      <c r="C536">
        <f>IF(ISNA(MATCH(523,Engine!$C$2:$C$630,0)),"",INDEX('Compliance Database'!$C$2:$C$630,MATCH(523,Engine!$C$2:$C$630,0)))</f>
        <v/>
      </c>
      <c r="D536" s="8">
        <f>IF(ISNA(MATCH(523,Engine!$C$2:$C$630,0)),"",INDEX('Compliance Database'!$D$2:$D$630,MATCH(523,Engine!$C$2:$C$630,0)))</f>
        <v/>
      </c>
      <c r="E536">
        <f>IF(ISNA(MATCH(523,Engine!$C$2:$C$630,0)),"",INDEX('Compliance Database'!$E$2:$E$630,MATCH(523,Engine!$C$2:$C$630,0)))</f>
        <v/>
      </c>
      <c r="F536">
        <f>IF(ISNA(MATCH(523,Engine!$C$2:$C$630,0)),"",INDEX('Compliance Database'!$F$2:$F$630,MATCH(523,Engine!$C$2:$C$630,0)))</f>
        <v/>
      </c>
      <c r="G536">
        <f>IF(ISNA(MATCH(523,Engine!$C$2:$C$630,0)),"",INDEX('Compliance Database'!$G$2:$G$630,MATCH(523,Engine!$C$2:$C$630,0)))</f>
        <v/>
      </c>
      <c r="H536">
        <f>IF(ISNA(MATCH(523,Engine!$C$2:$C$630,0)),"",INDEX('Compliance Database'!$H$2:$H$630,MATCH(523,Engine!$C$2:$C$630,0)))</f>
        <v/>
      </c>
      <c r="I536" s="8">
        <f>IF(ISNA(MATCH(523,Engine!$C$2:$C$630,0)),"",INDEX('Compliance Database'!$I$2:$I$630,MATCH(523,Engine!$C$2:$C$630,0)))</f>
        <v/>
      </c>
      <c r="J536" s="8">
        <f>IF(ISNA(MATCH(523,Engine!$C$2:$C$630,0)),"",INDEX('Compliance Database'!$J$2:$J$630,MATCH(523,Engine!$C$2:$C$630,0)))</f>
        <v/>
      </c>
      <c r="K536">
        <f>IF(ISNA(MATCH(523,Engine!$C$2:$C$630,0)),"",INDEX('Compliance Database'!$K$2:$K$630,MATCH(523,Engine!$C$2:$C$630,0)))</f>
        <v/>
      </c>
      <c r="L536" s="8">
        <f>IF(ISNA(MATCH(523,Engine!$C$2:$C$630,0)),"",INDEX('Compliance Database'!$L$2:$L$630,MATCH(523,Engine!$C$2:$C$630,0)))</f>
        <v/>
      </c>
      <c r="M536" s="8">
        <f>IF(ISNA(MATCH(523,Engine!$C$2:$C$630,0)),"",INDEX('Compliance Database'!$M$2:$M$630,MATCH(523,Engine!$C$2:$C$630,0)))</f>
        <v/>
      </c>
      <c r="N536" s="8">
        <f>IF(ISNA(MATCH(523,Engine!$C$2:$C$630,0)),"",INDEX('Compliance Database'!$N$2:$N$630,MATCH(523,Engine!$C$2:$C$630,0)))</f>
        <v/>
      </c>
      <c r="O536" s="8">
        <f>IF(ISNA(MATCH(523,Engine!$C$2:$C$630,0)),"",INDEX('Compliance Database'!$O$2:$O$630,MATCH(523,Engine!$C$2:$C$630,0)))</f>
        <v/>
      </c>
    </row>
    <row r="537">
      <c r="A537">
        <f>IF(ISNA(MATCH(524,Engine!$C$2:$C$630,0)),"",INDEX('Compliance Database'!$A$2:$A$630,MATCH(524,Engine!$C$2:$C$630,0)))</f>
        <v/>
      </c>
      <c r="B537">
        <f>IF(ISNA(MATCH(524,Engine!$C$2:$C$630,0)),"",INDEX('Compliance Database'!$B$2:$B$630,MATCH(524,Engine!$C$2:$C$630,0)))</f>
        <v/>
      </c>
      <c r="C537">
        <f>IF(ISNA(MATCH(524,Engine!$C$2:$C$630,0)),"",INDEX('Compliance Database'!$C$2:$C$630,MATCH(524,Engine!$C$2:$C$630,0)))</f>
        <v/>
      </c>
      <c r="D537" s="8">
        <f>IF(ISNA(MATCH(524,Engine!$C$2:$C$630,0)),"",INDEX('Compliance Database'!$D$2:$D$630,MATCH(524,Engine!$C$2:$C$630,0)))</f>
        <v/>
      </c>
      <c r="E537">
        <f>IF(ISNA(MATCH(524,Engine!$C$2:$C$630,0)),"",INDEX('Compliance Database'!$E$2:$E$630,MATCH(524,Engine!$C$2:$C$630,0)))</f>
        <v/>
      </c>
      <c r="F537">
        <f>IF(ISNA(MATCH(524,Engine!$C$2:$C$630,0)),"",INDEX('Compliance Database'!$F$2:$F$630,MATCH(524,Engine!$C$2:$C$630,0)))</f>
        <v/>
      </c>
      <c r="G537">
        <f>IF(ISNA(MATCH(524,Engine!$C$2:$C$630,0)),"",INDEX('Compliance Database'!$G$2:$G$630,MATCH(524,Engine!$C$2:$C$630,0)))</f>
        <v/>
      </c>
      <c r="H537">
        <f>IF(ISNA(MATCH(524,Engine!$C$2:$C$630,0)),"",INDEX('Compliance Database'!$H$2:$H$630,MATCH(524,Engine!$C$2:$C$630,0)))</f>
        <v/>
      </c>
      <c r="I537" s="8">
        <f>IF(ISNA(MATCH(524,Engine!$C$2:$C$630,0)),"",INDEX('Compliance Database'!$I$2:$I$630,MATCH(524,Engine!$C$2:$C$630,0)))</f>
        <v/>
      </c>
      <c r="J537" s="8">
        <f>IF(ISNA(MATCH(524,Engine!$C$2:$C$630,0)),"",INDEX('Compliance Database'!$J$2:$J$630,MATCH(524,Engine!$C$2:$C$630,0)))</f>
        <v/>
      </c>
      <c r="K537">
        <f>IF(ISNA(MATCH(524,Engine!$C$2:$C$630,0)),"",INDEX('Compliance Database'!$K$2:$K$630,MATCH(524,Engine!$C$2:$C$630,0)))</f>
        <v/>
      </c>
      <c r="L537" s="8">
        <f>IF(ISNA(MATCH(524,Engine!$C$2:$C$630,0)),"",INDEX('Compliance Database'!$L$2:$L$630,MATCH(524,Engine!$C$2:$C$630,0)))</f>
        <v/>
      </c>
      <c r="M537" s="8">
        <f>IF(ISNA(MATCH(524,Engine!$C$2:$C$630,0)),"",INDEX('Compliance Database'!$M$2:$M$630,MATCH(524,Engine!$C$2:$C$630,0)))</f>
        <v/>
      </c>
      <c r="N537" s="8">
        <f>IF(ISNA(MATCH(524,Engine!$C$2:$C$630,0)),"",INDEX('Compliance Database'!$N$2:$N$630,MATCH(524,Engine!$C$2:$C$630,0)))</f>
        <v/>
      </c>
      <c r="O537" s="8">
        <f>IF(ISNA(MATCH(524,Engine!$C$2:$C$630,0)),"",INDEX('Compliance Database'!$O$2:$O$630,MATCH(524,Engine!$C$2:$C$630,0)))</f>
        <v/>
      </c>
    </row>
    <row r="538">
      <c r="A538">
        <f>IF(ISNA(MATCH(525,Engine!$C$2:$C$630,0)),"",INDEX('Compliance Database'!$A$2:$A$630,MATCH(525,Engine!$C$2:$C$630,0)))</f>
        <v/>
      </c>
      <c r="B538">
        <f>IF(ISNA(MATCH(525,Engine!$C$2:$C$630,0)),"",INDEX('Compliance Database'!$B$2:$B$630,MATCH(525,Engine!$C$2:$C$630,0)))</f>
        <v/>
      </c>
      <c r="C538">
        <f>IF(ISNA(MATCH(525,Engine!$C$2:$C$630,0)),"",INDEX('Compliance Database'!$C$2:$C$630,MATCH(525,Engine!$C$2:$C$630,0)))</f>
        <v/>
      </c>
      <c r="D538" s="8">
        <f>IF(ISNA(MATCH(525,Engine!$C$2:$C$630,0)),"",INDEX('Compliance Database'!$D$2:$D$630,MATCH(525,Engine!$C$2:$C$630,0)))</f>
        <v/>
      </c>
      <c r="E538">
        <f>IF(ISNA(MATCH(525,Engine!$C$2:$C$630,0)),"",INDEX('Compliance Database'!$E$2:$E$630,MATCH(525,Engine!$C$2:$C$630,0)))</f>
        <v/>
      </c>
      <c r="F538">
        <f>IF(ISNA(MATCH(525,Engine!$C$2:$C$630,0)),"",INDEX('Compliance Database'!$F$2:$F$630,MATCH(525,Engine!$C$2:$C$630,0)))</f>
        <v/>
      </c>
      <c r="G538">
        <f>IF(ISNA(MATCH(525,Engine!$C$2:$C$630,0)),"",INDEX('Compliance Database'!$G$2:$G$630,MATCH(525,Engine!$C$2:$C$630,0)))</f>
        <v/>
      </c>
      <c r="H538">
        <f>IF(ISNA(MATCH(525,Engine!$C$2:$C$630,0)),"",INDEX('Compliance Database'!$H$2:$H$630,MATCH(525,Engine!$C$2:$C$630,0)))</f>
        <v/>
      </c>
      <c r="I538" s="8">
        <f>IF(ISNA(MATCH(525,Engine!$C$2:$C$630,0)),"",INDEX('Compliance Database'!$I$2:$I$630,MATCH(525,Engine!$C$2:$C$630,0)))</f>
        <v/>
      </c>
      <c r="J538" s="8">
        <f>IF(ISNA(MATCH(525,Engine!$C$2:$C$630,0)),"",INDEX('Compliance Database'!$J$2:$J$630,MATCH(525,Engine!$C$2:$C$630,0)))</f>
        <v/>
      </c>
      <c r="K538">
        <f>IF(ISNA(MATCH(525,Engine!$C$2:$C$630,0)),"",INDEX('Compliance Database'!$K$2:$K$630,MATCH(525,Engine!$C$2:$C$630,0)))</f>
        <v/>
      </c>
      <c r="L538" s="8">
        <f>IF(ISNA(MATCH(525,Engine!$C$2:$C$630,0)),"",INDEX('Compliance Database'!$L$2:$L$630,MATCH(525,Engine!$C$2:$C$630,0)))</f>
        <v/>
      </c>
      <c r="M538" s="8">
        <f>IF(ISNA(MATCH(525,Engine!$C$2:$C$630,0)),"",INDEX('Compliance Database'!$M$2:$M$630,MATCH(525,Engine!$C$2:$C$630,0)))</f>
        <v/>
      </c>
      <c r="N538" s="8">
        <f>IF(ISNA(MATCH(525,Engine!$C$2:$C$630,0)),"",INDEX('Compliance Database'!$N$2:$N$630,MATCH(525,Engine!$C$2:$C$630,0)))</f>
        <v/>
      </c>
      <c r="O538" s="8">
        <f>IF(ISNA(MATCH(525,Engine!$C$2:$C$630,0)),"",INDEX('Compliance Database'!$O$2:$O$630,MATCH(525,Engine!$C$2:$C$630,0)))</f>
        <v/>
      </c>
    </row>
    <row r="539">
      <c r="A539">
        <f>IF(ISNA(MATCH(526,Engine!$C$2:$C$630,0)),"",INDEX('Compliance Database'!$A$2:$A$630,MATCH(526,Engine!$C$2:$C$630,0)))</f>
        <v/>
      </c>
      <c r="B539">
        <f>IF(ISNA(MATCH(526,Engine!$C$2:$C$630,0)),"",INDEX('Compliance Database'!$B$2:$B$630,MATCH(526,Engine!$C$2:$C$630,0)))</f>
        <v/>
      </c>
      <c r="C539">
        <f>IF(ISNA(MATCH(526,Engine!$C$2:$C$630,0)),"",INDEX('Compliance Database'!$C$2:$C$630,MATCH(526,Engine!$C$2:$C$630,0)))</f>
        <v/>
      </c>
      <c r="D539" s="8">
        <f>IF(ISNA(MATCH(526,Engine!$C$2:$C$630,0)),"",INDEX('Compliance Database'!$D$2:$D$630,MATCH(526,Engine!$C$2:$C$630,0)))</f>
        <v/>
      </c>
      <c r="E539">
        <f>IF(ISNA(MATCH(526,Engine!$C$2:$C$630,0)),"",INDEX('Compliance Database'!$E$2:$E$630,MATCH(526,Engine!$C$2:$C$630,0)))</f>
        <v/>
      </c>
      <c r="F539">
        <f>IF(ISNA(MATCH(526,Engine!$C$2:$C$630,0)),"",INDEX('Compliance Database'!$F$2:$F$630,MATCH(526,Engine!$C$2:$C$630,0)))</f>
        <v/>
      </c>
      <c r="G539">
        <f>IF(ISNA(MATCH(526,Engine!$C$2:$C$630,0)),"",INDEX('Compliance Database'!$G$2:$G$630,MATCH(526,Engine!$C$2:$C$630,0)))</f>
        <v/>
      </c>
      <c r="H539">
        <f>IF(ISNA(MATCH(526,Engine!$C$2:$C$630,0)),"",INDEX('Compliance Database'!$H$2:$H$630,MATCH(526,Engine!$C$2:$C$630,0)))</f>
        <v/>
      </c>
      <c r="I539" s="8">
        <f>IF(ISNA(MATCH(526,Engine!$C$2:$C$630,0)),"",INDEX('Compliance Database'!$I$2:$I$630,MATCH(526,Engine!$C$2:$C$630,0)))</f>
        <v/>
      </c>
      <c r="J539" s="8">
        <f>IF(ISNA(MATCH(526,Engine!$C$2:$C$630,0)),"",INDEX('Compliance Database'!$J$2:$J$630,MATCH(526,Engine!$C$2:$C$630,0)))</f>
        <v/>
      </c>
      <c r="K539">
        <f>IF(ISNA(MATCH(526,Engine!$C$2:$C$630,0)),"",INDEX('Compliance Database'!$K$2:$K$630,MATCH(526,Engine!$C$2:$C$630,0)))</f>
        <v/>
      </c>
      <c r="L539" s="8">
        <f>IF(ISNA(MATCH(526,Engine!$C$2:$C$630,0)),"",INDEX('Compliance Database'!$L$2:$L$630,MATCH(526,Engine!$C$2:$C$630,0)))</f>
        <v/>
      </c>
      <c r="M539" s="8">
        <f>IF(ISNA(MATCH(526,Engine!$C$2:$C$630,0)),"",INDEX('Compliance Database'!$M$2:$M$630,MATCH(526,Engine!$C$2:$C$630,0)))</f>
        <v/>
      </c>
      <c r="N539" s="8">
        <f>IF(ISNA(MATCH(526,Engine!$C$2:$C$630,0)),"",INDEX('Compliance Database'!$N$2:$N$630,MATCH(526,Engine!$C$2:$C$630,0)))</f>
        <v/>
      </c>
      <c r="O539" s="8">
        <f>IF(ISNA(MATCH(526,Engine!$C$2:$C$630,0)),"",INDEX('Compliance Database'!$O$2:$O$630,MATCH(526,Engine!$C$2:$C$630,0)))</f>
        <v/>
      </c>
    </row>
    <row r="540">
      <c r="A540">
        <f>IF(ISNA(MATCH(527,Engine!$C$2:$C$630,0)),"",INDEX('Compliance Database'!$A$2:$A$630,MATCH(527,Engine!$C$2:$C$630,0)))</f>
        <v/>
      </c>
      <c r="B540">
        <f>IF(ISNA(MATCH(527,Engine!$C$2:$C$630,0)),"",INDEX('Compliance Database'!$B$2:$B$630,MATCH(527,Engine!$C$2:$C$630,0)))</f>
        <v/>
      </c>
      <c r="C540">
        <f>IF(ISNA(MATCH(527,Engine!$C$2:$C$630,0)),"",INDEX('Compliance Database'!$C$2:$C$630,MATCH(527,Engine!$C$2:$C$630,0)))</f>
        <v/>
      </c>
      <c r="D540" s="8">
        <f>IF(ISNA(MATCH(527,Engine!$C$2:$C$630,0)),"",INDEX('Compliance Database'!$D$2:$D$630,MATCH(527,Engine!$C$2:$C$630,0)))</f>
        <v/>
      </c>
      <c r="E540">
        <f>IF(ISNA(MATCH(527,Engine!$C$2:$C$630,0)),"",INDEX('Compliance Database'!$E$2:$E$630,MATCH(527,Engine!$C$2:$C$630,0)))</f>
        <v/>
      </c>
      <c r="F540">
        <f>IF(ISNA(MATCH(527,Engine!$C$2:$C$630,0)),"",INDEX('Compliance Database'!$F$2:$F$630,MATCH(527,Engine!$C$2:$C$630,0)))</f>
        <v/>
      </c>
      <c r="G540">
        <f>IF(ISNA(MATCH(527,Engine!$C$2:$C$630,0)),"",INDEX('Compliance Database'!$G$2:$G$630,MATCH(527,Engine!$C$2:$C$630,0)))</f>
        <v/>
      </c>
      <c r="H540">
        <f>IF(ISNA(MATCH(527,Engine!$C$2:$C$630,0)),"",INDEX('Compliance Database'!$H$2:$H$630,MATCH(527,Engine!$C$2:$C$630,0)))</f>
        <v/>
      </c>
      <c r="I540" s="8">
        <f>IF(ISNA(MATCH(527,Engine!$C$2:$C$630,0)),"",INDEX('Compliance Database'!$I$2:$I$630,MATCH(527,Engine!$C$2:$C$630,0)))</f>
        <v/>
      </c>
      <c r="J540" s="8">
        <f>IF(ISNA(MATCH(527,Engine!$C$2:$C$630,0)),"",INDEX('Compliance Database'!$J$2:$J$630,MATCH(527,Engine!$C$2:$C$630,0)))</f>
        <v/>
      </c>
      <c r="K540">
        <f>IF(ISNA(MATCH(527,Engine!$C$2:$C$630,0)),"",INDEX('Compliance Database'!$K$2:$K$630,MATCH(527,Engine!$C$2:$C$630,0)))</f>
        <v/>
      </c>
      <c r="L540" s="8">
        <f>IF(ISNA(MATCH(527,Engine!$C$2:$C$630,0)),"",INDEX('Compliance Database'!$L$2:$L$630,MATCH(527,Engine!$C$2:$C$630,0)))</f>
        <v/>
      </c>
      <c r="M540" s="8">
        <f>IF(ISNA(MATCH(527,Engine!$C$2:$C$630,0)),"",INDEX('Compliance Database'!$M$2:$M$630,MATCH(527,Engine!$C$2:$C$630,0)))</f>
        <v/>
      </c>
      <c r="N540" s="8">
        <f>IF(ISNA(MATCH(527,Engine!$C$2:$C$630,0)),"",INDEX('Compliance Database'!$N$2:$N$630,MATCH(527,Engine!$C$2:$C$630,0)))</f>
        <v/>
      </c>
      <c r="O540" s="8">
        <f>IF(ISNA(MATCH(527,Engine!$C$2:$C$630,0)),"",INDEX('Compliance Database'!$O$2:$O$630,MATCH(527,Engine!$C$2:$C$630,0)))</f>
        <v/>
      </c>
    </row>
    <row r="541">
      <c r="A541">
        <f>IF(ISNA(MATCH(528,Engine!$C$2:$C$630,0)),"",INDEX('Compliance Database'!$A$2:$A$630,MATCH(528,Engine!$C$2:$C$630,0)))</f>
        <v/>
      </c>
      <c r="B541">
        <f>IF(ISNA(MATCH(528,Engine!$C$2:$C$630,0)),"",INDEX('Compliance Database'!$B$2:$B$630,MATCH(528,Engine!$C$2:$C$630,0)))</f>
        <v/>
      </c>
      <c r="C541">
        <f>IF(ISNA(MATCH(528,Engine!$C$2:$C$630,0)),"",INDEX('Compliance Database'!$C$2:$C$630,MATCH(528,Engine!$C$2:$C$630,0)))</f>
        <v/>
      </c>
      <c r="D541" s="8">
        <f>IF(ISNA(MATCH(528,Engine!$C$2:$C$630,0)),"",INDEX('Compliance Database'!$D$2:$D$630,MATCH(528,Engine!$C$2:$C$630,0)))</f>
        <v/>
      </c>
      <c r="E541">
        <f>IF(ISNA(MATCH(528,Engine!$C$2:$C$630,0)),"",INDEX('Compliance Database'!$E$2:$E$630,MATCH(528,Engine!$C$2:$C$630,0)))</f>
        <v/>
      </c>
      <c r="F541">
        <f>IF(ISNA(MATCH(528,Engine!$C$2:$C$630,0)),"",INDEX('Compliance Database'!$F$2:$F$630,MATCH(528,Engine!$C$2:$C$630,0)))</f>
        <v/>
      </c>
      <c r="G541">
        <f>IF(ISNA(MATCH(528,Engine!$C$2:$C$630,0)),"",INDEX('Compliance Database'!$G$2:$G$630,MATCH(528,Engine!$C$2:$C$630,0)))</f>
        <v/>
      </c>
      <c r="H541">
        <f>IF(ISNA(MATCH(528,Engine!$C$2:$C$630,0)),"",INDEX('Compliance Database'!$H$2:$H$630,MATCH(528,Engine!$C$2:$C$630,0)))</f>
        <v/>
      </c>
      <c r="I541" s="8">
        <f>IF(ISNA(MATCH(528,Engine!$C$2:$C$630,0)),"",INDEX('Compliance Database'!$I$2:$I$630,MATCH(528,Engine!$C$2:$C$630,0)))</f>
        <v/>
      </c>
      <c r="J541" s="8">
        <f>IF(ISNA(MATCH(528,Engine!$C$2:$C$630,0)),"",INDEX('Compliance Database'!$J$2:$J$630,MATCH(528,Engine!$C$2:$C$630,0)))</f>
        <v/>
      </c>
      <c r="K541">
        <f>IF(ISNA(MATCH(528,Engine!$C$2:$C$630,0)),"",INDEX('Compliance Database'!$K$2:$K$630,MATCH(528,Engine!$C$2:$C$630,0)))</f>
        <v/>
      </c>
      <c r="L541" s="8">
        <f>IF(ISNA(MATCH(528,Engine!$C$2:$C$630,0)),"",INDEX('Compliance Database'!$L$2:$L$630,MATCH(528,Engine!$C$2:$C$630,0)))</f>
        <v/>
      </c>
      <c r="M541" s="8">
        <f>IF(ISNA(MATCH(528,Engine!$C$2:$C$630,0)),"",INDEX('Compliance Database'!$M$2:$M$630,MATCH(528,Engine!$C$2:$C$630,0)))</f>
        <v/>
      </c>
      <c r="N541" s="8">
        <f>IF(ISNA(MATCH(528,Engine!$C$2:$C$630,0)),"",INDEX('Compliance Database'!$N$2:$N$630,MATCH(528,Engine!$C$2:$C$630,0)))</f>
        <v/>
      </c>
      <c r="O541" s="8">
        <f>IF(ISNA(MATCH(528,Engine!$C$2:$C$630,0)),"",INDEX('Compliance Database'!$O$2:$O$630,MATCH(528,Engine!$C$2:$C$630,0)))</f>
        <v/>
      </c>
    </row>
    <row r="542">
      <c r="A542">
        <f>IF(ISNA(MATCH(529,Engine!$C$2:$C$630,0)),"",INDEX('Compliance Database'!$A$2:$A$630,MATCH(529,Engine!$C$2:$C$630,0)))</f>
        <v/>
      </c>
      <c r="B542">
        <f>IF(ISNA(MATCH(529,Engine!$C$2:$C$630,0)),"",INDEX('Compliance Database'!$B$2:$B$630,MATCH(529,Engine!$C$2:$C$630,0)))</f>
        <v/>
      </c>
      <c r="C542">
        <f>IF(ISNA(MATCH(529,Engine!$C$2:$C$630,0)),"",INDEX('Compliance Database'!$C$2:$C$630,MATCH(529,Engine!$C$2:$C$630,0)))</f>
        <v/>
      </c>
      <c r="D542" s="8">
        <f>IF(ISNA(MATCH(529,Engine!$C$2:$C$630,0)),"",INDEX('Compliance Database'!$D$2:$D$630,MATCH(529,Engine!$C$2:$C$630,0)))</f>
        <v/>
      </c>
      <c r="E542">
        <f>IF(ISNA(MATCH(529,Engine!$C$2:$C$630,0)),"",INDEX('Compliance Database'!$E$2:$E$630,MATCH(529,Engine!$C$2:$C$630,0)))</f>
        <v/>
      </c>
      <c r="F542">
        <f>IF(ISNA(MATCH(529,Engine!$C$2:$C$630,0)),"",INDEX('Compliance Database'!$F$2:$F$630,MATCH(529,Engine!$C$2:$C$630,0)))</f>
        <v/>
      </c>
      <c r="G542">
        <f>IF(ISNA(MATCH(529,Engine!$C$2:$C$630,0)),"",INDEX('Compliance Database'!$G$2:$G$630,MATCH(529,Engine!$C$2:$C$630,0)))</f>
        <v/>
      </c>
      <c r="H542">
        <f>IF(ISNA(MATCH(529,Engine!$C$2:$C$630,0)),"",INDEX('Compliance Database'!$H$2:$H$630,MATCH(529,Engine!$C$2:$C$630,0)))</f>
        <v/>
      </c>
      <c r="I542" s="8">
        <f>IF(ISNA(MATCH(529,Engine!$C$2:$C$630,0)),"",INDEX('Compliance Database'!$I$2:$I$630,MATCH(529,Engine!$C$2:$C$630,0)))</f>
        <v/>
      </c>
      <c r="J542" s="8">
        <f>IF(ISNA(MATCH(529,Engine!$C$2:$C$630,0)),"",INDEX('Compliance Database'!$J$2:$J$630,MATCH(529,Engine!$C$2:$C$630,0)))</f>
        <v/>
      </c>
      <c r="K542">
        <f>IF(ISNA(MATCH(529,Engine!$C$2:$C$630,0)),"",INDEX('Compliance Database'!$K$2:$K$630,MATCH(529,Engine!$C$2:$C$630,0)))</f>
        <v/>
      </c>
      <c r="L542" s="8">
        <f>IF(ISNA(MATCH(529,Engine!$C$2:$C$630,0)),"",INDEX('Compliance Database'!$L$2:$L$630,MATCH(529,Engine!$C$2:$C$630,0)))</f>
        <v/>
      </c>
      <c r="M542" s="8">
        <f>IF(ISNA(MATCH(529,Engine!$C$2:$C$630,0)),"",INDEX('Compliance Database'!$M$2:$M$630,MATCH(529,Engine!$C$2:$C$630,0)))</f>
        <v/>
      </c>
      <c r="N542" s="8">
        <f>IF(ISNA(MATCH(529,Engine!$C$2:$C$630,0)),"",INDEX('Compliance Database'!$N$2:$N$630,MATCH(529,Engine!$C$2:$C$630,0)))</f>
        <v/>
      </c>
      <c r="O542" s="8">
        <f>IF(ISNA(MATCH(529,Engine!$C$2:$C$630,0)),"",INDEX('Compliance Database'!$O$2:$O$630,MATCH(529,Engine!$C$2:$C$630,0)))</f>
        <v/>
      </c>
    </row>
    <row r="543">
      <c r="A543">
        <f>IF(ISNA(MATCH(530,Engine!$C$2:$C$630,0)),"",INDEX('Compliance Database'!$A$2:$A$630,MATCH(530,Engine!$C$2:$C$630,0)))</f>
        <v/>
      </c>
      <c r="B543">
        <f>IF(ISNA(MATCH(530,Engine!$C$2:$C$630,0)),"",INDEX('Compliance Database'!$B$2:$B$630,MATCH(530,Engine!$C$2:$C$630,0)))</f>
        <v/>
      </c>
      <c r="C543">
        <f>IF(ISNA(MATCH(530,Engine!$C$2:$C$630,0)),"",INDEX('Compliance Database'!$C$2:$C$630,MATCH(530,Engine!$C$2:$C$630,0)))</f>
        <v/>
      </c>
      <c r="D543" s="8">
        <f>IF(ISNA(MATCH(530,Engine!$C$2:$C$630,0)),"",INDEX('Compliance Database'!$D$2:$D$630,MATCH(530,Engine!$C$2:$C$630,0)))</f>
        <v/>
      </c>
      <c r="E543">
        <f>IF(ISNA(MATCH(530,Engine!$C$2:$C$630,0)),"",INDEX('Compliance Database'!$E$2:$E$630,MATCH(530,Engine!$C$2:$C$630,0)))</f>
        <v/>
      </c>
      <c r="F543">
        <f>IF(ISNA(MATCH(530,Engine!$C$2:$C$630,0)),"",INDEX('Compliance Database'!$F$2:$F$630,MATCH(530,Engine!$C$2:$C$630,0)))</f>
        <v/>
      </c>
      <c r="G543">
        <f>IF(ISNA(MATCH(530,Engine!$C$2:$C$630,0)),"",INDEX('Compliance Database'!$G$2:$G$630,MATCH(530,Engine!$C$2:$C$630,0)))</f>
        <v/>
      </c>
      <c r="H543">
        <f>IF(ISNA(MATCH(530,Engine!$C$2:$C$630,0)),"",INDEX('Compliance Database'!$H$2:$H$630,MATCH(530,Engine!$C$2:$C$630,0)))</f>
        <v/>
      </c>
      <c r="I543" s="8">
        <f>IF(ISNA(MATCH(530,Engine!$C$2:$C$630,0)),"",INDEX('Compliance Database'!$I$2:$I$630,MATCH(530,Engine!$C$2:$C$630,0)))</f>
        <v/>
      </c>
      <c r="J543" s="8">
        <f>IF(ISNA(MATCH(530,Engine!$C$2:$C$630,0)),"",INDEX('Compliance Database'!$J$2:$J$630,MATCH(530,Engine!$C$2:$C$630,0)))</f>
        <v/>
      </c>
      <c r="K543">
        <f>IF(ISNA(MATCH(530,Engine!$C$2:$C$630,0)),"",INDEX('Compliance Database'!$K$2:$K$630,MATCH(530,Engine!$C$2:$C$630,0)))</f>
        <v/>
      </c>
      <c r="L543" s="8">
        <f>IF(ISNA(MATCH(530,Engine!$C$2:$C$630,0)),"",INDEX('Compliance Database'!$L$2:$L$630,MATCH(530,Engine!$C$2:$C$630,0)))</f>
        <v/>
      </c>
      <c r="M543" s="8">
        <f>IF(ISNA(MATCH(530,Engine!$C$2:$C$630,0)),"",INDEX('Compliance Database'!$M$2:$M$630,MATCH(530,Engine!$C$2:$C$630,0)))</f>
        <v/>
      </c>
      <c r="N543" s="8">
        <f>IF(ISNA(MATCH(530,Engine!$C$2:$C$630,0)),"",INDEX('Compliance Database'!$N$2:$N$630,MATCH(530,Engine!$C$2:$C$630,0)))</f>
        <v/>
      </c>
      <c r="O543" s="8">
        <f>IF(ISNA(MATCH(530,Engine!$C$2:$C$630,0)),"",INDEX('Compliance Database'!$O$2:$O$630,MATCH(530,Engine!$C$2:$C$630,0)))</f>
        <v/>
      </c>
    </row>
    <row r="544">
      <c r="A544">
        <f>IF(ISNA(MATCH(531,Engine!$C$2:$C$630,0)),"",INDEX('Compliance Database'!$A$2:$A$630,MATCH(531,Engine!$C$2:$C$630,0)))</f>
        <v/>
      </c>
      <c r="B544">
        <f>IF(ISNA(MATCH(531,Engine!$C$2:$C$630,0)),"",INDEX('Compliance Database'!$B$2:$B$630,MATCH(531,Engine!$C$2:$C$630,0)))</f>
        <v/>
      </c>
      <c r="C544">
        <f>IF(ISNA(MATCH(531,Engine!$C$2:$C$630,0)),"",INDEX('Compliance Database'!$C$2:$C$630,MATCH(531,Engine!$C$2:$C$630,0)))</f>
        <v/>
      </c>
      <c r="D544" s="8">
        <f>IF(ISNA(MATCH(531,Engine!$C$2:$C$630,0)),"",INDEX('Compliance Database'!$D$2:$D$630,MATCH(531,Engine!$C$2:$C$630,0)))</f>
        <v/>
      </c>
      <c r="E544">
        <f>IF(ISNA(MATCH(531,Engine!$C$2:$C$630,0)),"",INDEX('Compliance Database'!$E$2:$E$630,MATCH(531,Engine!$C$2:$C$630,0)))</f>
        <v/>
      </c>
      <c r="F544">
        <f>IF(ISNA(MATCH(531,Engine!$C$2:$C$630,0)),"",INDEX('Compliance Database'!$F$2:$F$630,MATCH(531,Engine!$C$2:$C$630,0)))</f>
        <v/>
      </c>
      <c r="G544">
        <f>IF(ISNA(MATCH(531,Engine!$C$2:$C$630,0)),"",INDEX('Compliance Database'!$G$2:$G$630,MATCH(531,Engine!$C$2:$C$630,0)))</f>
        <v/>
      </c>
      <c r="H544">
        <f>IF(ISNA(MATCH(531,Engine!$C$2:$C$630,0)),"",INDEX('Compliance Database'!$H$2:$H$630,MATCH(531,Engine!$C$2:$C$630,0)))</f>
        <v/>
      </c>
      <c r="I544" s="8">
        <f>IF(ISNA(MATCH(531,Engine!$C$2:$C$630,0)),"",INDEX('Compliance Database'!$I$2:$I$630,MATCH(531,Engine!$C$2:$C$630,0)))</f>
        <v/>
      </c>
      <c r="J544" s="8">
        <f>IF(ISNA(MATCH(531,Engine!$C$2:$C$630,0)),"",INDEX('Compliance Database'!$J$2:$J$630,MATCH(531,Engine!$C$2:$C$630,0)))</f>
        <v/>
      </c>
      <c r="K544">
        <f>IF(ISNA(MATCH(531,Engine!$C$2:$C$630,0)),"",INDEX('Compliance Database'!$K$2:$K$630,MATCH(531,Engine!$C$2:$C$630,0)))</f>
        <v/>
      </c>
      <c r="L544" s="8">
        <f>IF(ISNA(MATCH(531,Engine!$C$2:$C$630,0)),"",INDEX('Compliance Database'!$L$2:$L$630,MATCH(531,Engine!$C$2:$C$630,0)))</f>
        <v/>
      </c>
      <c r="M544" s="8">
        <f>IF(ISNA(MATCH(531,Engine!$C$2:$C$630,0)),"",INDEX('Compliance Database'!$M$2:$M$630,MATCH(531,Engine!$C$2:$C$630,0)))</f>
        <v/>
      </c>
      <c r="N544" s="8">
        <f>IF(ISNA(MATCH(531,Engine!$C$2:$C$630,0)),"",INDEX('Compliance Database'!$N$2:$N$630,MATCH(531,Engine!$C$2:$C$630,0)))</f>
        <v/>
      </c>
      <c r="O544" s="8">
        <f>IF(ISNA(MATCH(531,Engine!$C$2:$C$630,0)),"",INDEX('Compliance Database'!$O$2:$O$630,MATCH(531,Engine!$C$2:$C$630,0)))</f>
        <v/>
      </c>
    </row>
    <row r="545">
      <c r="A545">
        <f>IF(ISNA(MATCH(532,Engine!$C$2:$C$630,0)),"",INDEX('Compliance Database'!$A$2:$A$630,MATCH(532,Engine!$C$2:$C$630,0)))</f>
        <v/>
      </c>
      <c r="B545">
        <f>IF(ISNA(MATCH(532,Engine!$C$2:$C$630,0)),"",INDEX('Compliance Database'!$B$2:$B$630,MATCH(532,Engine!$C$2:$C$630,0)))</f>
        <v/>
      </c>
      <c r="C545">
        <f>IF(ISNA(MATCH(532,Engine!$C$2:$C$630,0)),"",INDEX('Compliance Database'!$C$2:$C$630,MATCH(532,Engine!$C$2:$C$630,0)))</f>
        <v/>
      </c>
      <c r="D545" s="8">
        <f>IF(ISNA(MATCH(532,Engine!$C$2:$C$630,0)),"",INDEX('Compliance Database'!$D$2:$D$630,MATCH(532,Engine!$C$2:$C$630,0)))</f>
        <v/>
      </c>
      <c r="E545">
        <f>IF(ISNA(MATCH(532,Engine!$C$2:$C$630,0)),"",INDEX('Compliance Database'!$E$2:$E$630,MATCH(532,Engine!$C$2:$C$630,0)))</f>
        <v/>
      </c>
      <c r="F545">
        <f>IF(ISNA(MATCH(532,Engine!$C$2:$C$630,0)),"",INDEX('Compliance Database'!$F$2:$F$630,MATCH(532,Engine!$C$2:$C$630,0)))</f>
        <v/>
      </c>
      <c r="G545">
        <f>IF(ISNA(MATCH(532,Engine!$C$2:$C$630,0)),"",INDEX('Compliance Database'!$G$2:$G$630,MATCH(532,Engine!$C$2:$C$630,0)))</f>
        <v/>
      </c>
      <c r="H545">
        <f>IF(ISNA(MATCH(532,Engine!$C$2:$C$630,0)),"",INDEX('Compliance Database'!$H$2:$H$630,MATCH(532,Engine!$C$2:$C$630,0)))</f>
        <v/>
      </c>
      <c r="I545" s="8">
        <f>IF(ISNA(MATCH(532,Engine!$C$2:$C$630,0)),"",INDEX('Compliance Database'!$I$2:$I$630,MATCH(532,Engine!$C$2:$C$630,0)))</f>
        <v/>
      </c>
      <c r="J545" s="8">
        <f>IF(ISNA(MATCH(532,Engine!$C$2:$C$630,0)),"",INDEX('Compliance Database'!$J$2:$J$630,MATCH(532,Engine!$C$2:$C$630,0)))</f>
        <v/>
      </c>
      <c r="K545">
        <f>IF(ISNA(MATCH(532,Engine!$C$2:$C$630,0)),"",INDEX('Compliance Database'!$K$2:$K$630,MATCH(532,Engine!$C$2:$C$630,0)))</f>
        <v/>
      </c>
      <c r="L545" s="8">
        <f>IF(ISNA(MATCH(532,Engine!$C$2:$C$630,0)),"",INDEX('Compliance Database'!$L$2:$L$630,MATCH(532,Engine!$C$2:$C$630,0)))</f>
        <v/>
      </c>
      <c r="M545" s="8">
        <f>IF(ISNA(MATCH(532,Engine!$C$2:$C$630,0)),"",INDEX('Compliance Database'!$M$2:$M$630,MATCH(532,Engine!$C$2:$C$630,0)))</f>
        <v/>
      </c>
      <c r="N545" s="8">
        <f>IF(ISNA(MATCH(532,Engine!$C$2:$C$630,0)),"",INDEX('Compliance Database'!$N$2:$N$630,MATCH(532,Engine!$C$2:$C$630,0)))</f>
        <v/>
      </c>
      <c r="O545" s="8">
        <f>IF(ISNA(MATCH(532,Engine!$C$2:$C$630,0)),"",INDEX('Compliance Database'!$O$2:$O$630,MATCH(532,Engine!$C$2:$C$630,0)))</f>
        <v/>
      </c>
    </row>
    <row r="546">
      <c r="A546">
        <f>IF(ISNA(MATCH(533,Engine!$C$2:$C$630,0)),"",INDEX('Compliance Database'!$A$2:$A$630,MATCH(533,Engine!$C$2:$C$630,0)))</f>
        <v/>
      </c>
      <c r="B546">
        <f>IF(ISNA(MATCH(533,Engine!$C$2:$C$630,0)),"",INDEX('Compliance Database'!$B$2:$B$630,MATCH(533,Engine!$C$2:$C$630,0)))</f>
        <v/>
      </c>
      <c r="C546">
        <f>IF(ISNA(MATCH(533,Engine!$C$2:$C$630,0)),"",INDEX('Compliance Database'!$C$2:$C$630,MATCH(533,Engine!$C$2:$C$630,0)))</f>
        <v/>
      </c>
      <c r="D546" s="8">
        <f>IF(ISNA(MATCH(533,Engine!$C$2:$C$630,0)),"",INDEX('Compliance Database'!$D$2:$D$630,MATCH(533,Engine!$C$2:$C$630,0)))</f>
        <v/>
      </c>
      <c r="E546">
        <f>IF(ISNA(MATCH(533,Engine!$C$2:$C$630,0)),"",INDEX('Compliance Database'!$E$2:$E$630,MATCH(533,Engine!$C$2:$C$630,0)))</f>
        <v/>
      </c>
      <c r="F546">
        <f>IF(ISNA(MATCH(533,Engine!$C$2:$C$630,0)),"",INDEX('Compliance Database'!$F$2:$F$630,MATCH(533,Engine!$C$2:$C$630,0)))</f>
        <v/>
      </c>
      <c r="G546">
        <f>IF(ISNA(MATCH(533,Engine!$C$2:$C$630,0)),"",INDEX('Compliance Database'!$G$2:$G$630,MATCH(533,Engine!$C$2:$C$630,0)))</f>
        <v/>
      </c>
      <c r="H546">
        <f>IF(ISNA(MATCH(533,Engine!$C$2:$C$630,0)),"",INDEX('Compliance Database'!$H$2:$H$630,MATCH(533,Engine!$C$2:$C$630,0)))</f>
        <v/>
      </c>
      <c r="I546" s="8">
        <f>IF(ISNA(MATCH(533,Engine!$C$2:$C$630,0)),"",INDEX('Compliance Database'!$I$2:$I$630,MATCH(533,Engine!$C$2:$C$630,0)))</f>
        <v/>
      </c>
      <c r="J546" s="8">
        <f>IF(ISNA(MATCH(533,Engine!$C$2:$C$630,0)),"",INDEX('Compliance Database'!$J$2:$J$630,MATCH(533,Engine!$C$2:$C$630,0)))</f>
        <v/>
      </c>
      <c r="K546">
        <f>IF(ISNA(MATCH(533,Engine!$C$2:$C$630,0)),"",INDEX('Compliance Database'!$K$2:$K$630,MATCH(533,Engine!$C$2:$C$630,0)))</f>
        <v/>
      </c>
      <c r="L546" s="8">
        <f>IF(ISNA(MATCH(533,Engine!$C$2:$C$630,0)),"",INDEX('Compliance Database'!$L$2:$L$630,MATCH(533,Engine!$C$2:$C$630,0)))</f>
        <v/>
      </c>
      <c r="M546" s="8">
        <f>IF(ISNA(MATCH(533,Engine!$C$2:$C$630,0)),"",INDEX('Compliance Database'!$M$2:$M$630,MATCH(533,Engine!$C$2:$C$630,0)))</f>
        <v/>
      </c>
      <c r="N546" s="8">
        <f>IF(ISNA(MATCH(533,Engine!$C$2:$C$630,0)),"",INDEX('Compliance Database'!$N$2:$N$630,MATCH(533,Engine!$C$2:$C$630,0)))</f>
        <v/>
      </c>
      <c r="O546" s="8">
        <f>IF(ISNA(MATCH(533,Engine!$C$2:$C$630,0)),"",INDEX('Compliance Database'!$O$2:$O$630,MATCH(533,Engine!$C$2:$C$630,0)))</f>
        <v/>
      </c>
    </row>
    <row r="547">
      <c r="A547">
        <f>IF(ISNA(MATCH(534,Engine!$C$2:$C$630,0)),"",INDEX('Compliance Database'!$A$2:$A$630,MATCH(534,Engine!$C$2:$C$630,0)))</f>
        <v/>
      </c>
      <c r="B547">
        <f>IF(ISNA(MATCH(534,Engine!$C$2:$C$630,0)),"",INDEX('Compliance Database'!$B$2:$B$630,MATCH(534,Engine!$C$2:$C$630,0)))</f>
        <v/>
      </c>
      <c r="C547">
        <f>IF(ISNA(MATCH(534,Engine!$C$2:$C$630,0)),"",INDEX('Compliance Database'!$C$2:$C$630,MATCH(534,Engine!$C$2:$C$630,0)))</f>
        <v/>
      </c>
      <c r="D547" s="8">
        <f>IF(ISNA(MATCH(534,Engine!$C$2:$C$630,0)),"",INDEX('Compliance Database'!$D$2:$D$630,MATCH(534,Engine!$C$2:$C$630,0)))</f>
        <v/>
      </c>
      <c r="E547">
        <f>IF(ISNA(MATCH(534,Engine!$C$2:$C$630,0)),"",INDEX('Compliance Database'!$E$2:$E$630,MATCH(534,Engine!$C$2:$C$630,0)))</f>
        <v/>
      </c>
      <c r="F547">
        <f>IF(ISNA(MATCH(534,Engine!$C$2:$C$630,0)),"",INDEX('Compliance Database'!$F$2:$F$630,MATCH(534,Engine!$C$2:$C$630,0)))</f>
        <v/>
      </c>
      <c r="G547">
        <f>IF(ISNA(MATCH(534,Engine!$C$2:$C$630,0)),"",INDEX('Compliance Database'!$G$2:$G$630,MATCH(534,Engine!$C$2:$C$630,0)))</f>
        <v/>
      </c>
      <c r="H547">
        <f>IF(ISNA(MATCH(534,Engine!$C$2:$C$630,0)),"",INDEX('Compliance Database'!$H$2:$H$630,MATCH(534,Engine!$C$2:$C$630,0)))</f>
        <v/>
      </c>
      <c r="I547" s="8">
        <f>IF(ISNA(MATCH(534,Engine!$C$2:$C$630,0)),"",INDEX('Compliance Database'!$I$2:$I$630,MATCH(534,Engine!$C$2:$C$630,0)))</f>
        <v/>
      </c>
      <c r="J547" s="8">
        <f>IF(ISNA(MATCH(534,Engine!$C$2:$C$630,0)),"",INDEX('Compliance Database'!$J$2:$J$630,MATCH(534,Engine!$C$2:$C$630,0)))</f>
        <v/>
      </c>
      <c r="K547">
        <f>IF(ISNA(MATCH(534,Engine!$C$2:$C$630,0)),"",INDEX('Compliance Database'!$K$2:$K$630,MATCH(534,Engine!$C$2:$C$630,0)))</f>
        <v/>
      </c>
      <c r="L547" s="8">
        <f>IF(ISNA(MATCH(534,Engine!$C$2:$C$630,0)),"",INDEX('Compliance Database'!$L$2:$L$630,MATCH(534,Engine!$C$2:$C$630,0)))</f>
        <v/>
      </c>
      <c r="M547" s="8">
        <f>IF(ISNA(MATCH(534,Engine!$C$2:$C$630,0)),"",INDEX('Compliance Database'!$M$2:$M$630,MATCH(534,Engine!$C$2:$C$630,0)))</f>
        <v/>
      </c>
      <c r="N547" s="8">
        <f>IF(ISNA(MATCH(534,Engine!$C$2:$C$630,0)),"",INDEX('Compliance Database'!$N$2:$N$630,MATCH(534,Engine!$C$2:$C$630,0)))</f>
        <v/>
      </c>
      <c r="O547" s="8">
        <f>IF(ISNA(MATCH(534,Engine!$C$2:$C$630,0)),"",INDEX('Compliance Database'!$O$2:$O$630,MATCH(534,Engine!$C$2:$C$630,0)))</f>
        <v/>
      </c>
    </row>
    <row r="548">
      <c r="A548">
        <f>IF(ISNA(MATCH(535,Engine!$C$2:$C$630,0)),"",INDEX('Compliance Database'!$A$2:$A$630,MATCH(535,Engine!$C$2:$C$630,0)))</f>
        <v/>
      </c>
      <c r="B548">
        <f>IF(ISNA(MATCH(535,Engine!$C$2:$C$630,0)),"",INDEX('Compliance Database'!$B$2:$B$630,MATCH(535,Engine!$C$2:$C$630,0)))</f>
        <v/>
      </c>
      <c r="C548">
        <f>IF(ISNA(MATCH(535,Engine!$C$2:$C$630,0)),"",INDEX('Compliance Database'!$C$2:$C$630,MATCH(535,Engine!$C$2:$C$630,0)))</f>
        <v/>
      </c>
      <c r="D548" s="8">
        <f>IF(ISNA(MATCH(535,Engine!$C$2:$C$630,0)),"",INDEX('Compliance Database'!$D$2:$D$630,MATCH(535,Engine!$C$2:$C$630,0)))</f>
        <v/>
      </c>
      <c r="E548">
        <f>IF(ISNA(MATCH(535,Engine!$C$2:$C$630,0)),"",INDEX('Compliance Database'!$E$2:$E$630,MATCH(535,Engine!$C$2:$C$630,0)))</f>
        <v/>
      </c>
      <c r="F548">
        <f>IF(ISNA(MATCH(535,Engine!$C$2:$C$630,0)),"",INDEX('Compliance Database'!$F$2:$F$630,MATCH(535,Engine!$C$2:$C$630,0)))</f>
        <v/>
      </c>
      <c r="G548">
        <f>IF(ISNA(MATCH(535,Engine!$C$2:$C$630,0)),"",INDEX('Compliance Database'!$G$2:$G$630,MATCH(535,Engine!$C$2:$C$630,0)))</f>
        <v/>
      </c>
      <c r="H548">
        <f>IF(ISNA(MATCH(535,Engine!$C$2:$C$630,0)),"",INDEX('Compliance Database'!$H$2:$H$630,MATCH(535,Engine!$C$2:$C$630,0)))</f>
        <v/>
      </c>
      <c r="I548" s="8">
        <f>IF(ISNA(MATCH(535,Engine!$C$2:$C$630,0)),"",INDEX('Compliance Database'!$I$2:$I$630,MATCH(535,Engine!$C$2:$C$630,0)))</f>
        <v/>
      </c>
      <c r="J548" s="8">
        <f>IF(ISNA(MATCH(535,Engine!$C$2:$C$630,0)),"",INDEX('Compliance Database'!$J$2:$J$630,MATCH(535,Engine!$C$2:$C$630,0)))</f>
        <v/>
      </c>
      <c r="K548">
        <f>IF(ISNA(MATCH(535,Engine!$C$2:$C$630,0)),"",INDEX('Compliance Database'!$K$2:$K$630,MATCH(535,Engine!$C$2:$C$630,0)))</f>
        <v/>
      </c>
      <c r="L548" s="8">
        <f>IF(ISNA(MATCH(535,Engine!$C$2:$C$630,0)),"",INDEX('Compliance Database'!$L$2:$L$630,MATCH(535,Engine!$C$2:$C$630,0)))</f>
        <v/>
      </c>
      <c r="M548" s="8">
        <f>IF(ISNA(MATCH(535,Engine!$C$2:$C$630,0)),"",INDEX('Compliance Database'!$M$2:$M$630,MATCH(535,Engine!$C$2:$C$630,0)))</f>
        <v/>
      </c>
      <c r="N548" s="8">
        <f>IF(ISNA(MATCH(535,Engine!$C$2:$C$630,0)),"",INDEX('Compliance Database'!$N$2:$N$630,MATCH(535,Engine!$C$2:$C$630,0)))</f>
        <v/>
      </c>
      <c r="O548" s="8">
        <f>IF(ISNA(MATCH(535,Engine!$C$2:$C$630,0)),"",INDEX('Compliance Database'!$O$2:$O$630,MATCH(535,Engine!$C$2:$C$630,0)))</f>
        <v/>
      </c>
    </row>
    <row r="549">
      <c r="A549">
        <f>IF(ISNA(MATCH(536,Engine!$C$2:$C$630,0)),"",INDEX('Compliance Database'!$A$2:$A$630,MATCH(536,Engine!$C$2:$C$630,0)))</f>
        <v/>
      </c>
      <c r="B549">
        <f>IF(ISNA(MATCH(536,Engine!$C$2:$C$630,0)),"",INDEX('Compliance Database'!$B$2:$B$630,MATCH(536,Engine!$C$2:$C$630,0)))</f>
        <v/>
      </c>
      <c r="C549">
        <f>IF(ISNA(MATCH(536,Engine!$C$2:$C$630,0)),"",INDEX('Compliance Database'!$C$2:$C$630,MATCH(536,Engine!$C$2:$C$630,0)))</f>
        <v/>
      </c>
      <c r="D549" s="8">
        <f>IF(ISNA(MATCH(536,Engine!$C$2:$C$630,0)),"",INDEX('Compliance Database'!$D$2:$D$630,MATCH(536,Engine!$C$2:$C$630,0)))</f>
        <v/>
      </c>
      <c r="E549">
        <f>IF(ISNA(MATCH(536,Engine!$C$2:$C$630,0)),"",INDEX('Compliance Database'!$E$2:$E$630,MATCH(536,Engine!$C$2:$C$630,0)))</f>
        <v/>
      </c>
      <c r="F549">
        <f>IF(ISNA(MATCH(536,Engine!$C$2:$C$630,0)),"",INDEX('Compliance Database'!$F$2:$F$630,MATCH(536,Engine!$C$2:$C$630,0)))</f>
        <v/>
      </c>
      <c r="G549">
        <f>IF(ISNA(MATCH(536,Engine!$C$2:$C$630,0)),"",INDEX('Compliance Database'!$G$2:$G$630,MATCH(536,Engine!$C$2:$C$630,0)))</f>
        <v/>
      </c>
      <c r="H549">
        <f>IF(ISNA(MATCH(536,Engine!$C$2:$C$630,0)),"",INDEX('Compliance Database'!$H$2:$H$630,MATCH(536,Engine!$C$2:$C$630,0)))</f>
        <v/>
      </c>
      <c r="I549" s="8">
        <f>IF(ISNA(MATCH(536,Engine!$C$2:$C$630,0)),"",INDEX('Compliance Database'!$I$2:$I$630,MATCH(536,Engine!$C$2:$C$630,0)))</f>
        <v/>
      </c>
      <c r="J549" s="8">
        <f>IF(ISNA(MATCH(536,Engine!$C$2:$C$630,0)),"",INDEX('Compliance Database'!$J$2:$J$630,MATCH(536,Engine!$C$2:$C$630,0)))</f>
        <v/>
      </c>
      <c r="K549">
        <f>IF(ISNA(MATCH(536,Engine!$C$2:$C$630,0)),"",INDEX('Compliance Database'!$K$2:$K$630,MATCH(536,Engine!$C$2:$C$630,0)))</f>
        <v/>
      </c>
      <c r="L549" s="8">
        <f>IF(ISNA(MATCH(536,Engine!$C$2:$C$630,0)),"",INDEX('Compliance Database'!$L$2:$L$630,MATCH(536,Engine!$C$2:$C$630,0)))</f>
        <v/>
      </c>
      <c r="M549" s="8">
        <f>IF(ISNA(MATCH(536,Engine!$C$2:$C$630,0)),"",INDEX('Compliance Database'!$M$2:$M$630,MATCH(536,Engine!$C$2:$C$630,0)))</f>
        <v/>
      </c>
      <c r="N549" s="8">
        <f>IF(ISNA(MATCH(536,Engine!$C$2:$C$630,0)),"",INDEX('Compliance Database'!$N$2:$N$630,MATCH(536,Engine!$C$2:$C$630,0)))</f>
        <v/>
      </c>
      <c r="O549" s="8">
        <f>IF(ISNA(MATCH(536,Engine!$C$2:$C$630,0)),"",INDEX('Compliance Database'!$O$2:$O$630,MATCH(536,Engine!$C$2:$C$630,0)))</f>
        <v/>
      </c>
    </row>
    <row r="550">
      <c r="A550">
        <f>IF(ISNA(MATCH(537,Engine!$C$2:$C$630,0)),"",INDEX('Compliance Database'!$A$2:$A$630,MATCH(537,Engine!$C$2:$C$630,0)))</f>
        <v/>
      </c>
      <c r="B550">
        <f>IF(ISNA(MATCH(537,Engine!$C$2:$C$630,0)),"",INDEX('Compliance Database'!$B$2:$B$630,MATCH(537,Engine!$C$2:$C$630,0)))</f>
        <v/>
      </c>
      <c r="C550">
        <f>IF(ISNA(MATCH(537,Engine!$C$2:$C$630,0)),"",INDEX('Compliance Database'!$C$2:$C$630,MATCH(537,Engine!$C$2:$C$630,0)))</f>
        <v/>
      </c>
      <c r="D550" s="8">
        <f>IF(ISNA(MATCH(537,Engine!$C$2:$C$630,0)),"",INDEX('Compliance Database'!$D$2:$D$630,MATCH(537,Engine!$C$2:$C$630,0)))</f>
        <v/>
      </c>
      <c r="E550">
        <f>IF(ISNA(MATCH(537,Engine!$C$2:$C$630,0)),"",INDEX('Compliance Database'!$E$2:$E$630,MATCH(537,Engine!$C$2:$C$630,0)))</f>
        <v/>
      </c>
      <c r="F550">
        <f>IF(ISNA(MATCH(537,Engine!$C$2:$C$630,0)),"",INDEX('Compliance Database'!$F$2:$F$630,MATCH(537,Engine!$C$2:$C$630,0)))</f>
        <v/>
      </c>
      <c r="G550">
        <f>IF(ISNA(MATCH(537,Engine!$C$2:$C$630,0)),"",INDEX('Compliance Database'!$G$2:$G$630,MATCH(537,Engine!$C$2:$C$630,0)))</f>
        <v/>
      </c>
      <c r="H550">
        <f>IF(ISNA(MATCH(537,Engine!$C$2:$C$630,0)),"",INDEX('Compliance Database'!$H$2:$H$630,MATCH(537,Engine!$C$2:$C$630,0)))</f>
        <v/>
      </c>
      <c r="I550" s="8">
        <f>IF(ISNA(MATCH(537,Engine!$C$2:$C$630,0)),"",INDEX('Compliance Database'!$I$2:$I$630,MATCH(537,Engine!$C$2:$C$630,0)))</f>
        <v/>
      </c>
      <c r="J550" s="8">
        <f>IF(ISNA(MATCH(537,Engine!$C$2:$C$630,0)),"",INDEX('Compliance Database'!$J$2:$J$630,MATCH(537,Engine!$C$2:$C$630,0)))</f>
        <v/>
      </c>
      <c r="K550">
        <f>IF(ISNA(MATCH(537,Engine!$C$2:$C$630,0)),"",INDEX('Compliance Database'!$K$2:$K$630,MATCH(537,Engine!$C$2:$C$630,0)))</f>
        <v/>
      </c>
      <c r="L550" s="8">
        <f>IF(ISNA(MATCH(537,Engine!$C$2:$C$630,0)),"",INDEX('Compliance Database'!$L$2:$L$630,MATCH(537,Engine!$C$2:$C$630,0)))</f>
        <v/>
      </c>
      <c r="M550" s="8">
        <f>IF(ISNA(MATCH(537,Engine!$C$2:$C$630,0)),"",INDEX('Compliance Database'!$M$2:$M$630,MATCH(537,Engine!$C$2:$C$630,0)))</f>
        <v/>
      </c>
      <c r="N550" s="8">
        <f>IF(ISNA(MATCH(537,Engine!$C$2:$C$630,0)),"",INDEX('Compliance Database'!$N$2:$N$630,MATCH(537,Engine!$C$2:$C$630,0)))</f>
        <v/>
      </c>
      <c r="O550" s="8">
        <f>IF(ISNA(MATCH(537,Engine!$C$2:$C$630,0)),"",INDEX('Compliance Database'!$O$2:$O$630,MATCH(537,Engine!$C$2:$C$630,0)))</f>
        <v/>
      </c>
    </row>
    <row r="551">
      <c r="A551">
        <f>IF(ISNA(MATCH(538,Engine!$C$2:$C$630,0)),"",INDEX('Compliance Database'!$A$2:$A$630,MATCH(538,Engine!$C$2:$C$630,0)))</f>
        <v/>
      </c>
      <c r="B551">
        <f>IF(ISNA(MATCH(538,Engine!$C$2:$C$630,0)),"",INDEX('Compliance Database'!$B$2:$B$630,MATCH(538,Engine!$C$2:$C$630,0)))</f>
        <v/>
      </c>
      <c r="C551">
        <f>IF(ISNA(MATCH(538,Engine!$C$2:$C$630,0)),"",INDEX('Compliance Database'!$C$2:$C$630,MATCH(538,Engine!$C$2:$C$630,0)))</f>
        <v/>
      </c>
      <c r="D551" s="8">
        <f>IF(ISNA(MATCH(538,Engine!$C$2:$C$630,0)),"",INDEX('Compliance Database'!$D$2:$D$630,MATCH(538,Engine!$C$2:$C$630,0)))</f>
        <v/>
      </c>
      <c r="E551">
        <f>IF(ISNA(MATCH(538,Engine!$C$2:$C$630,0)),"",INDEX('Compliance Database'!$E$2:$E$630,MATCH(538,Engine!$C$2:$C$630,0)))</f>
        <v/>
      </c>
      <c r="F551">
        <f>IF(ISNA(MATCH(538,Engine!$C$2:$C$630,0)),"",INDEX('Compliance Database'!$F$2:$F$630,MATCH(538,Engine!$C$2:$C$630,0)))</f>
        <v/>
      </c>
      <c r="G551">
        <f>IF(ISNA(MATCH(538,Engine!$C$2:$C$630,0)),"",INDEX('Compliance Database'!$G$2:$G$630,MATCH(538,Engine!$C$2:$C$630,0)))</f>
        <v/>
      </c>
      <c r="H551">
        <f>IF(ISNA(MATCH(538,Engine!$C$2:$C$630,0)),"",INDEX('Compliance Database'!$H$2:$H$630,MATCH(538,Engine!$C$2:$C$630,0)))</f>
        <v/>
      </c>
      <c r="I551" s="8">
        <f>IF(ISNA(MATCH(538,Engine!$C$2:$C$630,0)),"",INDEX('Compliance Database'!$I$2:$I$630,MATCH(538,Engine!$C$2:$C$630,0)))</f>
        <v/>
      </c>
      <c r="J551" s="8">
        <f>IF(ISNA(MATCH(538,Engine!$C$2:$C$630,0)),"",INDEX('Compliance Database'!$J$2:$J$630,MATCH(538,Engine!$C$2:$C$630,0)))</f>
        <v/>
      </c>
      <c r="K551">
        <f>IF(ISNA(MATCH(538,Engine!$C$2:$C$630,0)),"",INDEX('Compliance Database'!$K$2:$K$630,MATCH(538,Engine!$C$2:$C$630,0)))</f>
        <v/>
      </c>
      <c r="L551" s="8">
        <f>IF(ISNA(MATCH(538,Engine!$C$2:$C$630,0)),"",INDEX('Compliance Database'!$L$2:$L$630,MATCH(538,Engine!$C$2:$C$630,0)))</f>
        <v/>
      </c>
      <c r="M551" s="8">
        <f>IF(ISNA(MATCH(538,Engine!$C$2:$C$630,0)),"",INDEX('Compliance Database'!$M$2:$M$630,MATCH(538,Engine!$C$2:$C$630,0)))</f>
        <v/>
      </c>
      <c r="N551" s="8">
        <f>IF(ISNA(MATCH(538,Engine!$C$2:$C$630,0)),"",INDEX('Compliance Database'!$N$2:$N$630,MATCH(538,Engine!$C$2:$C$630,0)))</f>
        <v/>
      </c>
      <c r="O551" s="8">
        <f>IF(ISNA(MATCH(538,Engine!$C$2:$C$630,0)),"",INDEX('Compliance Database'!$O$2:$O$630,MATCH(538,Engine!$C$2:$C$630,0)))</f>
        <v/>
      </c>
    </row>
    <row r="552">
      <c r="A552">
        <f>IF(ISNA(MATCH(539,Engine!$C$2:$C$630,0)),"",INDEX('Compliance Database'!$A$2:$A$630,MATCH(539,Engine!$C$2:$C$630,0)))</f>
        <v/>
      </c>
      <c r="B552">
        <f>IF(ISNA(MATCH(539,Engine!$C$2:$C$630,0)),"",INDEX('Compliance Database'!$B$2:$B$630,MATCH(539,Engine!$C$2:$C$630,0)))</f>
        <v/>
      </c>
      <c r="C552">
        <f>IF(ISNA(MATCH(539,Engine!$C$2:$C$630,0)),"",INDEX('Compliance Database'!$C$2:$C$630,MATCH(539,Engine!$C$2:$C$630,0)))</f>
        <v/>
      </c>
      <c r="D552" s="8">
        <f>IF(ISNA(MATCH(539,Engine!$C$2:$C$630,0)),"",INDEX('Compliance Database'!$D$2:$D$630,MATCH(539,Engine!$C$2:$C$630,0)))</f>
        <v/>
      </c>
      <c r="E552">
        <f>IF(ISNA(MATCH(539,Engine!$C$2:$C$630,0)),"",INDEX('Compliance Database'!$E$2:$E$630,MATCH(539,Engine!$C$2:$C$630,0)))</f>
        <v/>
      </c>
      <c r="F552">
        <f>IF(ISNA(MATCH(539,Engine!$C$2:$C$630,0)),"",INDEX('Compliance Database'!$F$2:$F$630,MATCH(539,Engine!$C$2:$C$630,0)))</f>
        <v/>
      </c>
      <c r="G552">
        <f>IF(ISNA(MATCH(539,Engine!$C$2:$C$630,0)),"",INDEX('Compliance Database'!$G$2:$G$630,MATCH(539,Engine!$C$2:$C$630,0)))</f>
        <v/>
      </c>
      <c r="H552">
        <f>IF(ISNA(MATCH(539,Engine!$C$2:$C$630,0)),"",INDEX('Compliance Database'!$H$2:$H$630,MATCH(539,Engine!$C$2:$C$630,0)))</f>
        <v/>
      </c>
      <c r="I552" s="8">
        <f>IF(ISNA(MATCH(539,Engine!$C$2:$C$630,0)),"",INDEX('Compliance Database'!$I$2:$I$630,MATCH(539,Engine!$C$2:$C$630,0)))</f>
        <v/>
      </c>
      <c r="J552" s="8">
        <f>IF(ISNA(MATCH(539,Engine!$C$2:$C$630,0)),"",INDEX('Compliance Database'!$J$2:$J$630,MATCH(539,Engine!$C$2:$C$630,0)))</f>
        <v/>
      </c>
      <c r="K552">
        <f>IF(ISNA(MATCH(539,Engine!$C$2:$C$630,0)),"",INDEX('Compliance Database'!$K$2:$K$630,MATCH(539,Engine!$C$2:$C$630,0)))</f>
        <v/>
      </c>
      <c r="L552" s="8">
        <f>IF(ISNA(MATCH(539,Engine!$C$2:$C$630,0)),"",INDEX('Compliance Database'!$L$2:$L$630,MATCH(539,Engine!$C$2:$C$630,0)))</f>
        <v/>
      </c>
      <c r="M552" s="8">
        <f>IF(ISNA(MATCH(539,Engine!$C$2:$C$630,0)),"",INDEX('Compliance Database'!$M$2:$M$630,MATCH(539,Engine!$C$2:$C$630,0)))</f>
        <v/>
      </c>
      <c r="N552" s="8">
        <f>IF(ISNA(MATCH(539,Engine!$C$2:$C$630,0)),"",INDEX('Compliance Database'!$N$2:$N$630,MATCH(539,Engine!$C$2:$C$630,0)))</f>
        <v/>
      </c>
      <c r="O552" s="8">
        <f>IF(ISNA(MATCH(539,Engine!$C$2:$C$630,0)),"",INDEX('Compliance Database'!$O$2:$O$630,MATCH(539,Engine!$C$2:$C$630,0)))</f>
        <v/>
      </c>
    </row>
    <row r="553">
      <c r="A553">
        <f>IF(ISNA(MATCH(540,Engine!$C$2:$C$630,0)),"",INDEX('Compliance Database'!$A$2:$A$630,MATCH(540,Engine!$C$2:$C$630,0)))</f>
        <v/>
      </c>
      <c r="B553">
        <f>IF(ISNA(MATCH(540,Engine!$C$2:$C$630,0)),"",INDEX('Compliance Database'!$B$2:$B$630,MATCH(540,Engine!$C$2:$C$630,0)))</f>
        <v/>
      </c>
      <c r="C553">
        <f>IF(ISNA(MATCH(540,Engine!$C$2:$C$630,0)),"",INDEX('Compliance Database'!$C$2:$C$630,MATCH(540,Engine!$C$2:$C$630,0)))</f>
        <v/>
      </c>
      <c r="D553" s="8">
        <f>IF(ISNA(MATCH(540,Engine!$C$2:$C$630,0)),"",INDEX('Compliance Database'!$D$2:$D$630,MATCH(540,Engine!$C$2:$C$630,0)))</f>
        <v/>
      </c>
      <c r="E553">
        <f>IF(ISNA(MATCH(540,Engine!$C$2:$C$630,0)),"",INDEX('Compliance Database'!$E$2:$E$630,MATCH(540,Engine!$C$2:$C$630,0)))</f>
        <v/>
      </c>
      <c r="F553">
        <f>IF(ISNA(MATCH(540,Engine!$C$2:$C$630,0)),"",INDEX('Compliance Database'!$F$2:$F$630,MATCH(540,Engine!$C$2:$C$630,0)))</f>
        <v/>
      </c>
      <c r="G553">
        <f>IF(ISNA(MATCH(540,Engine!$C$2:$C$630,0)),"",INDEX('Compliance Database'!$G$2:$G$630,MATCH(540,Engine!$C$2:$C$630,0)))</f>
        <v/>
      </c>
      <c r="H553">
        <f>IF(ISNA(MATCH(540,Engine!$C$2:$C$630,0)),"",INDEX('Compliance Database'!$H$2:$H$630,MATCH(540,Engine!$C$2:$C$630,0)))</f>
        <v/>
      </c>
      <c r="I553" s="8">
        <f>IF(ISNA(MATCH(540,Engine!$C$2:$C$630,0)),"",INDEX('Compliance Database'!$I$2:$I$630,MATCH(540,Engine!$C$2:$C$630,0)))</f>
        <v/>
      </c>
      <c r="J553" s="8">
        <f>IF(ISNA(MATCH(540,Engine!$C$2:$C$630,0)),"",INDEX('Compliance Database'!$J$2:$J$630,MATCH(540,Engine!$C$2:$C$630,0)))</f>
        <v/>
      </c>
      <c r="K553">
        <f>IF(ISNA(MATCH(540,Engine!$C$2:$C$630,0)),"",INDEX('Compliance Database'!$K$2:$K$630,MATCH(540,Engine!$C$2:$C$630,0)))</f>
        <v/>
      </c>
      <c r="L553" s="8">
        <f>IF(ISNA(MATCH(540,Engine!$C$2:$C$630,0)),"",INDEX('Compliance Database'!$L$2:$L$630,MATCH(540,Engine!$C$2:$C$630,0)))</f>
        <v/>
      </c>
      <c r="M553" s="8">
        <f>IF(ISNA(MATCH(540,Engine!$C$2:$C$630,0)),"",INDEX('Compliance Database'!$M$2:$M$630,MATCH(540,Engine!$C$2:$C$630,0)))</f>
        <v/>
      </c>
      <c r="N553" s="8">
        <f>IF(ISNA(MATCH(540,Engine!$C$2:$C$630,0)),"",INDEX('Compliance Database'!$N$2:$N$630,MATCH(540,Engine!$C$2:$C$630,0)))</f>
        <v/>
      </c>
      <c r="O553" s="8">
        <f>IF(ISNA(MATCH(540,Engine!$C$2:$C$630,0)),"",INDEX('Compliance Database'!$O$2:$O$630,MATCH(540,Engine!$C$2:$C$630,0)))</f>
        <v/>
      </c>
    </row>
    <row r="554">
      <c r="A554">
        <f>IF(ISNA(MATCH(541,Engine!$C$2:$C$630,0)),"",INDEX('Compliance Database'!$A$2:$A$630,MATCH(541,Engine!$C$2:$C$630,0)))</f>
        <v/>
      </c>
      <c r="B554">
        <f>IF(ISNA(MATCH(541,Engine!$C$2:$C$630,0)),"",INDEX('Compliance Database'!$B$2:$B$630,MATCH(541,Engine!$C$2:$C$630,0)))</f>
        <v/>
      </c>
      <c r="C554">
        <f>IF(ISNA(MATCH(541,Engine!$C$2:$C$630,0)),"",INDEX('Compliance Database'!$C$2:$C$630,MATCH(541,Engine!$C$2:$C$630,0)))</f>
        <v/>
      </c>
      <c r="D554" s="8">
        <f>IF(ISNA(MATCH(541,Engine!$C$2:$C$630,0)),"",INDEX('Compliance Database'!$D$2:$D$630,MATCH(541,Engine!$C$2:$C$630,0)))</f>
        <v/>
      </c>
      <c r="E554">
        <f>IF(ISNA(MATCH(541,Engine!$C$2:$C$630,0)),"",INDEX('Compliance Database'!$E$2:$E$630,MATCH(541,Engine!$C$2:$C$630,0)))</f>
        <v/>
      </c>
      <c r="F554">
        <f>IF(ISNA(MATCH(541,Engine!$C$2:$C$630,0)),"",INDEX('Compliance Database'!$F$2:$F$630,MATCH(541,Engine!$C$2:$C$630,0)))</f>
        <v/>
      </c>
      <c r="G554">
        <f>IF(ISNA(MATCH(541,Engine!$C$2:$C$630,0)),"",INDEX('Compliance Database'!$G$2:$G$630,MATCH(541,Engine!$C$2:$C$630,0)))</f>
        <v/>
      </c>
      <c r="H554">
        <f>IF(ISNA(MATCH(541,Engine!$C$2:$C$630,0)),"",INDEX('Compliance Database'!$H$2:$H$630,MATCH(541,Engine!$C$2:$C$630,0)))</f>
        <v/>
      </c>
      <c r="I554" s="8">
        <f>IF(ISNA(MATCH(541,Engine!$C$2:$C$630,0)),"",INDEX('Compliance Database'!$I$2:$I$630,MATCH(541,Engine!$C$2:$C$630,0)))</f>
        <v/>
      </c>
      <c r="J554" s="8">
        <f>IF(ISNA(MATCH(541,Engine!$C$2:$C$630,0)),"",INDEX('Compliance Database'!$J$2:$J$630,MATCH(541,Engine!$C$2:$C$630,0)))</f>
        <v/>
      </c>
      <c r="K554">
        <f>IF(ISNA(MATCH(541,Engine!$C$2:$C$630,0)),"",INDEX('Compliance Database'!$K$2:$K$630,MATCH(541,Engine!$C$2:$C$630,0)))</f>
        <v/>
      </c>
      <c r="L554" s="8">
        <f>IF(ISNA(MATCH(541,Engine!$C$2:$C$630,0)),"",INDEX('Compliance Database'!$L$2:$L$630,MATCH(541,Engine!$C$2:$C$630,0)))</f>
        <v/>
      </c>
      <c r="M554" s="8">
        <f>IF(ISNA(MATCH(541,Engine!$C$2:$C$630,0)),"",INDEX('Compliance Database'!$M$2:$M$630,MATCH(541,Engine!$C$2:$C$630,0)))</f>
        <v/>
      </c>
      <c r="N554" s="8">
        <f>IF(ISNA(MATCH(541,Engine!$C$2:$C$630,0)),"",INDEX('Compliance Database'!$N$2:$N$630,MATCH(541,Engine!$C$2:$C$630,0)))</f>
        <v/>
      </c>
      <c r="O554" s="8">
        <f>IF(ISNA(MATCH(541,Engine!$C$2:$C$630,0)),"",INDEX('Compliance Database'!$O$2:$O$630,MATCH(541,Engine!$C$2:$C$630,0)))</f>
        <v/>
      </c>
    </row>
    <row r="555">
      <c r="A555">
        <f>IF(ISNA(MATCH(542,Engine!$C$2:$C$630,0)),"",INDEX('Compliance Database'!$A$2:$A$630,MATCH(542,Engine!$C$2:$C$630,0)))</f>
        <v/>
      </c>
      <c r="B555">
        <f>IF(ISNA(MATCH(542,Engine!$C$2:$C$630,0)),"",INDEX('Compliance Database'!$B$2:$B$630,MATCH(542,Engine!$C$2:$C$630,0)))</f>
        <v/>
      </c>
      <c r="C555">
        <f>IF(ISNA(MATCH(542,Engine!$C$2:$C$630,0)),"",INDEX('Compliance Database'!$C$2:$C$630,MATCH(542,Engine!$C$2:$C$630,0)))</f>
        <v/>
      </c>
      <c r="D555" s="8">
        <f>IF(ISNA(MATCH(542,Engine!$C$2:$C$630,0)),"",INDEX('Compliance Database'!$D$2:$D$630,MATCH(542,Engine!$C$2:$C$630,0)))</f>
        <v/>
      </c>
      <c r="E555">
        <f>IF(ISNA(MATCH(542,Engine!$C$2:$C$630,0)),"",INDEX('Compliance Database'!$E$2:$E$630,MATCH(542,Engine!$C$2:$C$630,0)))</f>
        <v/>
      </c>
      <c r="F555">
        <f>IF(ISNA(MATCH(542,Engine!$C$2:$C$630,0)),"",INDEX('Compliance Database'!$F$2:$F$630,MATCH(542,Engine!$C$2:$C$630,0)))</f>
        <v/>
      </c>
      <c r="G555">
        <f>IF(ISNA(MATCH(542,Engine!$C$2:$C$630,0)),"",INDEX('Compliance Database'!$G$2:$G$630,MATCH(542,Engine!$C$2:$C$630,0)))</f>
        <v/>
      </c>
      <c r="H555">
        <f>IF(ISNA(MATCH(542,Engine!$C$2:$C$630,0)),"",INDEX('Compliance Database'!$H$2:$H$630,MATCH(542,Engine!$C$2:$C$630,0)))</f>
        <v/>
      </c>
      <c r="I555" s="8">
        <f>IF(ISNA(MATCH(542,Engine!$C$2:$C$630,0)),"",INDEX('Compliance Database'!$I$2:$I$630,MATCH(542,Engine!$C$2:$C$630,0)))</f>
        <v/>
      </c>
      <c r="J555" s="8">
        <f>IF(ISNA(MATCH(542,Engine!$C$2:$C$630,0)),"",INDEX('Compliance Database'!$J$2:$J$630,MATCH(542,Engine!$C$2:$C$630,0)))</f>
        <v/>
      </c>
      <c r="K555">
        <f>IF(ISNA(MATCH(542,Engine!$C$2:$C$630,0)),"",INDEX('Compliance Database'!$K$2:$K$630,MATCH(542,Engine!$C$2:$C$630,0)))</f>
        <v/>
      </c>
      <c r="L555" s="8">
        <f>IF(ISNA(MATCH(542,Engine!$C$2:$C$630,0)),"",INDEX('Compliance Database'!$L$2:$L$630,MATCH(542,Engine!$C$2:$C$630,0)))</f>
        <v/>
      </c>
      <c r="M555" s="8">
        <f>IF(ISNA(MATCH(542,Engine!$C$2:$C$630,0)),"",INDEX('Compliance Database'!$M$2:$M$630,MATCH(542,Engine!$C$2:$C$630,0)))</f>
        <v/>
      </c>
      <c r="N555" s="8">
        <f>IF(ISNA(MATCH(542,Engine!$C$2:$C$630,0)),"",INDEX('Compliance Database'!$N$2:$N$630,MATCH(542,Engine!$C$2:$C$630,0)))</f>
        <v/>
      </c>
      <c r="O555" s="8">
        <f>IF(ISNA(MATCH(542,Engine!$C$2:$C$630,0)),"",INDEX('Compliance Database'!$O$2:$O$630,MATCH(542,Engine!$C$2:$C$630,0)))</f>
        <v/>
      </c>
    </row>
    <row r="556">
      <c r="A556">
        <f>IF(ISNA(MATCH(543,Engine!$C$2:$C$630,0)),"",INDEX('Compliance Database'!$A$2:$A$630,MATCH(543,Engine!$C$2:$C$630,0)))</f>
        <v/>
      </c>
      <c r="B556">
        <f>IF(ISNA(MATCH(543,Engine!$C$2:$C$630,0)),"",INDEX('Compliance Database'!$B$2:$B$630,MATCH(543,Engine!$C$2:$C$630,0)))</f>
        <v/>
      </c>
      <c r="C556">
        <f>IF(ISNA(MATCH(543,Engine!$C$2:$C$630,0)),"",INDEX('Compliance Database'!$C$2:$C$630,MATCH(543,Engine!$C$2:$C$630,0)))</f>
        <v/>
      </c>
      <c r="D556" s="8">
        <f>IF(ISNA(MATCH(543,Engine!$C$2:$C$630,0)),"",INDEX('Compliance Database'!$D$2:$D$630,MATCH(543,Engine!$C$2:$C$630,0)))</f>
        <v/>
      </c>
      <c r="E556">
        <f>IF(ISNA(MATCH(543,Engine!$C$2:$C$630,0)),"",INDEX('Compliance Database'!$E$2:$E$630,MATCH(543,Engine!$C$2:$C$630,0)))</f>
        <v/>
      </c>
      <c r="F556">
        <f>IF(ISNA(MATCH(543,Engine!$C$2:$C$630,0)),"",INDEX('Compliance Database'!$F$2:$F$630,MATCH(543,Engine!$C$2:$C$630,0)))</f>
        <v/>
      </c>
      <c r="G556">
        <f>IF(ISNA(MATCH(543,Engine!$C$2:$C$630,0)),"",INDEX('Compliance Database'!$G$2:$G$630,MATCH(543,Engine!$C$2:$C$630,0)))</f>
        <v/>
      </c>
      <c r="H556">
        <f>IF(ISNA(MATCH(543,Engine!$C$2:$C$630,0)),"",INDEX('Compliance Database'!$H$2:$H$630,MATCH(543,Engine!$C$2:$C$630,0)))</f>
        <v/>
      </c>
      <c r="I556" s="8">
        <f>IF(ISNA(MATCH(543,Engine!$C$2:$C$630,0)),"",INDEX('Compliance Database'!$I$2:$I$630,MATCH(543,Engine!$C$2:$C$630,0)))</f>
        <v/>
      </c>
      <c r="J556" s="8">
        <f>IF(ISNA(MATCH(543,Engine!$C$2:$C$630,0)),"",INDEX('Compliance Database'!$J$2:$J$630,MATCH(543,Engine!$C$2:$C$630,0)))</f>
        <v/>
      </c>
      <c r="K556">
        <f>IF(ISNA(MATCH(543,Engine!$C$2:$C$630,0)),"",INDEX('Compliance Database'!$K$2:$K$630,MATCH(543,Engine!$C$2:$C$630,0)))</f>
        <v/>
      </c>
      <c r="L556" s="8">
        <f>IF(ISNA(MATCH(543,Engine!$C$2:$C$630,0)),"",INDEX('Compliance Database'!$L$2:$L$630,MATCH(543,Engine!$C$2:$C$630,0)))</f>
        <v/>
      </c>
      <c r="M556" s="8">
        <f>IF(ISNA(MATCH(543,Engine!$C$2:$C$630,0)),"",INDEX('Compliance Database'!$M$2:$M$630,MATCH(543,Engine!$C$2:$C$630,0)))</f>
        <v/>
      </c>
      <c r="N556" s="8">
        <f>IF(ISNA(MATCH(543,Engine!$C$2:$C$630,0)),"",INDEX('Compliance Database'!$N$2:$N$630,MATCH(543,Engine!$C$2:$C$630,0)))</f>
        <v/>
      </c>
      <c r="O556" s="8">
        <f>IF(ISNA(MATCH(543,Engine!$C$2:$C$630,0)),"",INDEX('Compliance Database'!$O$2:$O$630,MATCH(543,Engine!$C$2:$C$630,0)))</f>
        <v/>
      </c>
    </row>
    <row r="557">
      <c r="A557">
        <f>IF(ISNA(MATCH(544,Engine!$C$2:$C$630,0)),"",INDEX('Compliance Database'!$A$2:$A$630,MATCH(544,Engine!$C$2:$C$630,0)))</f>
        <v/>
      </c>
      <c r="B557">
        <f>IF(ISNA(MATCH(544,Engine!$C$2:$C$630,0)),"",INDEX('Compliance Database'!$B$2:$B$630,MATCH(544,Engine!$C$2:$C$630,0)))</f>
        <v/>
      </c>
      <c r="C557">
        <f>IF(ISNA(MATCH(544,Engine!$C$2:$C$630,0)),"",INDEX('Compliance Database'!$C$2:$C$630,MATCH(544,Engine!$C$2:$C$630,0)))</f>
        <v/>
      </c>
      <c r="D557" s="8">
        <f>IF(ISNA(MATCH(544,Engine!$C$2:$C$630,0)),"",INDEX('Compliance Database'!$D$2:$D$630,MATCH(544,Engine!$C$2:$C$630,0)))</f>
        <v/>
      </c>
      <c r="E557">
        <f>IF(ISNA(MATCH(544,Engine!$C$2:$C$630,0)),"",INDEX('Compliance Database'!$E$2:$E$630,MATCH(544,Engine!$C$2:$C$630,0)))</f>
        <v/>
      </c>
      <c r="F557">
        <f>IF(ISNA(MATCH(544,Engine!$C$2:$C$630,0)),"",INDEX('Compliance Database'!$F$2:$F$630,MATCH(544,Engine!$C$2:$C$630,0)))</f>
        <v/>
      </c>
      <c r="G557">
        <f>IF(ISNA(MATCH(544,Engine!$C$2:$C$630,0)),"",INDEX('Compliance Database'!$G$2:$G$630,MATCH(544,Engine!$C$2:$C$630,0)))</f>
        <v/>
      </c>
      <c r="H557">
        <f>IF(ISNA(MATCH(544,Engine!$C$2:$C$630,0)),"",INDEX('Compliance Database'!$H$2:$H$630,MATCH(544,Engine!$C$2:$C$630,0)))</f>
        <v/>
      </c>
      <c r="I557" s="8">
        <f>IF(ISNA(MATCH(544,Engine!$C$2:$C$630,0)),"",INDEX('Compliance Database'!$I$2:$I$630,MATCH(544,Engine!$C$2:$C$630,0)))</f>
        <v/>
      </c>
      <c r="J557" s="8">
        <f>IF(ISNA(MATCH(544,Engine!$C$2:$C$630,0)),"",INDEX('Compliance Database'!$J$2:$J$630,MATCH(544,Engine!$C$2:$C$630,0)))</f>
        <v/>
      </c>
      <c r="K557">
        <f>IF(ISNA(MATCH(544,Engine!$C$2:$C$630,0)),"",INDEX('Compliance Database'!$K$2:$K$630,MATCH(544,Engine!$C$2:$C$630,0)))</f>
        <v/>
      </c>
      <c r="L557" s="8">
        <f>IF(ISNA(MATCH(544,Engine!$C$2:$C$630,0)),"",INDEX('Compliance Database'!$L$2:$L$630,MATCH(544,Engine!$C$2:$C$630,0)))</f>
        <v/>
      </c>
      <c r="M557" s="8">
        <f>IF(ISNA(MATCH(544,Engine!$C$2:$C$630,0)),"",INDEX('Compliance Database'!$M$2:$M$630,MATCH(544,Engine!$C$2:$C$630,0)))</f>
        <v/>
      </c>
      <c r="N557" s="8">
        <f>IF(ISNA(MATCH(544,Engine!$C$2:$C$630,0)),"",INDEX('Compliance Database'!$N$2:$N$630,MATCH(544,Engine!$C$2:$C$630,0)))</f>
        <v/>
      </c>
      <c r="O557" s="8">
        <f>IF(ISNA(MATCH(544,Engine!$C$2:$C$630,0)),"",INDEX('Compliance Database'!$O$2:$O$630,MATCH(544,Engine!$C$2:$C$630,0)))</f>
        <v/>
      </c>
    </row>
    <row r="558">
      <c r="A558">
        <f>IF(ISNA(MATCH(545,Engine!$C$2:$C$630,0)),"",INDEX('Compliance Database'!$A$2:$A$630,MATCH(545,Engine!$C$2:$C$630,0)))</f>
        <v/>
      </c>
      <c r="B558">
        <f>IF(ISNA(MATCH(545,Engine!$C$2:$C$630,0)),"",INDEX('Compliance Database'!$B$2:$B$630,MATCH(545,Engine!$C$2:$C$630,0)))</f>
        <v/>
      </c>
      <c r="C558">
        <f>IF(ISNA(MATCH(545,Engine!$C$2:$C$630,0)),"",INDEX('Compliance Database'!$C$2:$C$630,MATCH(545,Engine!$C$2:$C$630,0)))</f>
        <v/>
      </c>
      <c r="D558" s="8">
        <f>IF(ISNA(MATCH(545,Engine!$C$2:$C$630,0)),"",INDEX('Compliance Database'!$D$2:$D$630,MATCH(545,Engine!$C$2:$C$630,0)))</f>
        <v/>
      </c>
      <c r="E558">
        <f>IF(ISNA(MATCH(545,Engine!$C$2:$C$630,0)),"",INDEX('Compliance Database'!$E$2:$E$630,MATCH(545,Engine!$C$2:$C$630,0)))</f>
        <v/>
      </c>
      <c r="F558">
        <f>IF(ISNA(MATCH(545,Engine!$C$2:$C$630,0)),"",INDEX('Compliance Database'!$F$2:$F$630,MATCH(545,Engine!$C$2:$C$630,0)))</f>
        <v/>
      </c>
      <c r="G558">
        <f>IF(ISNA(MATCH(545,Engine!$C$2:$C$630,0)),"",INDEX('Compliance Database'!$G$2:$G$630,MATCH(545,Engine!$C$2:$C$630,0)))</f>
        <v/>
      </c>
      <c r="H558">
        <f>IF(ISNA(MATCH(545,Engine!$C$2:$C$630,0)),"",INDEX('Compliance Database'!$H$2:$H$630,MATCH(545,Engine!$C$2:$C$630,0)))</f>
        <v/>
      </c>
      <c r="I558" s="8">
        <f>IF(ISNA(MATCH(545,Engine!$C$2:$C$630,0)),"",INDEX('Compliance Database'!$I$2:$I$630,MATCH(545,Engine!$C$2:$C$630,0)))</f>
        <v/>
      </c>
      <c r="J558" s="8">
        <f>IF(ISNA(MATCH(545,Engine!$C$2:$C$630,0)),"",INDEX('Compliance Database'!$J$2:$J$630,MATCH(545,Engine!$C$2:$C$630,0)))</f>
        <v/>
      </c>
      <c r="K558">
        <f>IF(ISNA(MATCH(545,Engine!$C$2:$C$630,0)),"",INDEX('Compliance Database'!$K$2:$K$630,MATCH(545,Engine!$C$2:$C$630,0)))</f>
        <v/>
      </c>
      <c r="L558" s="8">
        <f>IF(ISNA(MATCH(545,Engine!$C$2:$C$630,0)),"",INDEX('Compliance Database'!$L$2:$L$630,MATCH(545,Engine!$C$2:$C$630,0)))</f>
        <v/>
      </c>
      <c r="M558" s="8">
        <f>IF(ISNA(MATCH(545,Engine!$C$2:$C$630,0)),"",INDEX('Compliance Database'!$M$2:$M$630,MATCH(545,Engine!$C$2:$C$630,0)))</f>
        <v/>
      </c>
      <c r="N558" s="8">
        <f>IF(ISNA(MATCH(545,Engine!$C$2:$C$630,0)),"",INDEX('Compliance Database'!$N$2:$N$630,MATCH(545,Engine!$C$2:$C$630,0)))</f>
        <v/>
      </c>
      <c r="O558" s="8">
        <f>IF(ISNA(MATCH(545,Engine!$C$2:$C$630,0)),"",INDEX('Compliance Database'!$O$2:$O$630,MATCH(545,Engine!$C$2:$C$630,0)))</f>
        <v/>
      </c>
    </row>
    <row r="559">
      <c r="A559">
        <f>IF(ISNA(MATCH(546,Engine!$C$2:$C$630,0)),"",INDEX('Compliance Database'!$A$2:$A$630,MATCH(546,Engine!$C$2:$C$630,0)))</f>
        <v/>
      </c>
      <c r="B559">
        <f>IF(ISNA(MATCH(546,Engine!$C$2:$C$630,0)),"",INDEX('Compliance Database'!$B$2:$B$630,MATCH(546,Engine!$C$2:$C$630,0)))</f>
        <v/>
      </c>
      <c r="C559">
        <f>IF(ISNA(MATCH(546,Engine!$C$2:$C$630,0)),"",INDEX('Compliance Database'!$C$2:$C$630,MATCH(546,Engine!$C$2:$C$630,0)))</f>
        <v/>
      </c>
      <c r="D559" s="8">
        <f>IF(ISNA(MATCH(546,Engine!$C$2:$C$630,0)),"",INDEX('Compliance Database'!$D$2:$D$630,MATCH(546,Engine!$C$2:$C$630,0)))</f>
        <v/>
      </c>
      <c r="E559">
        <f>IF(ISNA(MATCH(546,Engine!$C$2:$C$630,0)),"",INDEX('Compliance Database'!$E$2:$E$630,MATCH(546,Engine!$C$2:$C$630,0)))</f>
        <v/>
      </c>
      <c r="F559">
        <f>IF(ISNA(MATCH(546,Engine!$C$2:$C$630,0)),"",INDEX('Compliance Database'!$F$2:$F$630,MATCH(546,Engine!$C$2:$C$630,0)))</f>
        <v/>
      </c>
      <c r="G559">
        <f>IF(ISNA(MATCH(546,Engine!$C$2:$C$630,0)),"",INDEX('Compliance Database'!$G$2:$G$630,MATCH(546,Engine!$C$2:$C$630,0)))</f>
        <v/>
      </c>
      <c r="H559">
        <f>IF(ISNA(MATCH(546,Engine!$C$2:$C$630,0)),"",INDEX('Compliance Database'!$H$2:$H$630,MATCH(546,Engine!$C$2:$C$630,0)))</f>
        <v/>
      </c>
      <c r="I559" s="8">
        <f>IF(ISNA(MATCH(546,Engine!$C$2:$C$630,0)),"",INDEX('Compliance Database'!$I$2:$I$630,MATCH(546,Engine!$C$2:$C$630,0)))</f>
        <v/>
      </c>
      <c r="J559" s="8">
        <f>IF(ISNA(MATCH(546,Engine!$C$2:$C$630,0)),"",INDEX('Compliance Database'!$J$2:$J$630,MATCH(546,Engine!$C$2:$C$630,0)))</f>
        <v/>
      </c>
      <c r="K559">
        <f>IF(ISNA(MATCH(546,Engine!$C$2:$C$630,0)),"",INDEX('Compliance Database'!$K$2:$K$630,MATCH(546,Engine!$C$2:$C$630,0)))</f>
        <v/>
      </c>
      <c r="L559" s="8">
        <f>IF(ISNA(MATCH(546,Engine!$C$2:$C$630,0)),"",INDEX('Compliance Database'!$L$2:$L$630,MATCH(546,Engine!$C$2:$C$630,0)))</f>
        <v/>
      </c>
      <c r="M559" s="8">
        <f>IF(ISNA(MATCH(546,Engine!$C$2:$C$630,0)),"",INDEX('Compliance Database'!$M$2:$M$630,MATCH(546,Engine!$C$2:$C$630,0)))</f>
        <v/>
      </c>
      <c r="N559" s="8">
        <f>IF(ISNA(MATCH(546,Engine!$C$2:$C$630,0)),"",INDEX('Compliance Database'!$N$2:$N$630,MATCH(546,Engine!$C$2:$C$630,0)))</f>
        <v/>
      </c>
      <c r="O559" s="8">
        <f>IF(ISNA(MATCH(546,Engine!$C$2:$C$630,0)),"",INDEX('Compliance Database'!$O$2:$O$630,MATCH(546,Engine!$C$2:$C$630,0)))</f>
        <v/>
      </c>
    </row>
    <row r="560">
      <c r="A560">
        <f>IF(ISNA(MATCH(547,Engine!$C$2:$C$630,0)),"",INDEX('Compliance Database'!$A$2:$A$630,MATCH(547,Engine!$C$2:$C$630,0)))</f>
        <v/>
      </c>
      <c r="B560">
        <f>IF(ISNA(MATCH(547,Engine!$C$2:$C$630,0)),"",INDEX('Compliance Database'!$B$2:$B$630,MATCH(547,Engine!$C$2:$C$630,0)))</f>
        <v/>
      </c>
      <c r="C560">
        <f>IF(ISNA(MATCH(547,Engine!$C$2:$C$630,0)),"",INDEX('Compliance Database'!$C$2:$C$630,MATCH(547,Engine!$C$2:$C$630,0)))</f>
        <v/>
      </c>
      <c r="D560" s="8">
        <f>IF(ISNA(MATCH(547,Engine!$C$2:$C$630,0)),"",INDEX('Compliance Database'!$D$2:$D$630,MATCH(547,Engine!$C$2:$C$630,0)))</f>
        <v/>
      </c>
      <c r="E560">
        <f>IF(ISNA(MATCH(547,Engine!$C$2:$C$630,0)),"",INDEX('Compliance Database'!$E$2:$E$630,MATCH(547,Engine!$C$2:$C$630,0)))</f>
        <v/>
      </c>
      <c r="F560">
        <f>IF(ISNA(MATCH(547,Engine!$C$2:$C$630,0)),"",INDEX('Compliance Database'!$F$2:$F$630,MATCH(547,Engine!$C$2:$C$630,0)))</f>
        <v/>
      </c>
      <c r="G560">
        <f>IF(ISNA(MATCH(547,Engine!$C$2:$C$630,0)),"",INDEX('Compliance Database'!$G$2:$G$630,MATCH(547,Engine!$C$2:$C$630,0)))</f>
        <v/>
      </c>
      <c r="H560">
        <f>IF(ISNA(MATCH(547,Engine!$C$2:$C$630,0)),"",INDEX('Compliance Database'!$H$2:$H$630,MATCH(547,Engine!$C$2:$C$630,0)))</f>
        <v/>
      </c>
      <c r="I560" s="8">
        <f>IF(ISNA(MATCH(547,Engine!$C$2:$C$630,0)),"",INDEX('Compliance Database'!$I$2:$I$630,MATCH(547,Engine!$C$2:$C$630,0)))</f>
        <v/>
      </c>
      <c r="J560" s="8">
        <f>IF(ISNA(MATCH(547,Engine!$C$2:$C$630,0)),"",INDEX('Compliance Database'!$J$2:$J$630,MATCH(547,Engine!$C$2:$C$630,0)))</f>
        <v/>
      </c>
      <c r="K560">
        <f>IF(ISNA(MATCH(547,Engine!$C$2:$C$630,0)),"",INDEX('Compliance Database'!$K$2:$K$630,MATCH(547,Engine!$C$2:$C$630,0)))</f>
        <v/>
      </c>
      <c r="L560" s="8">
        <f>IF(ISNA(MATCH(547,Engine!$C$2:$C$630,0)),"",INDEX('Compliance Database'!$L$2:$L$630,MATCH(547,Engine!$C$2:$C$630,0)))</f>
        <v/>
      </c>
      <c r="M560" s="8">
        <f>IF(ISNA(MATCH(547,Engine!$C$2:$C$630,0)),"",INDEX('Compliance Database'!$M$2:$M$630,MATCH(547,Engine!$C$2:$C$630,0)))</f>
        <v/>
      </c>
      <c r="N560" s="8">
        <f>IF(ISNA(MATCH(547,Engine!$C$2:$C$630,0)),"",INDEX('Compliance Database'!$N$2:$N$630,MATCH(547,Engine!$C$2:$C$630,0)))</f>
        <v/>
      </c>
      <c r="O560" s="8">
        <f>IF(ISNA(MATCH(547,Engine!$C$2:$C$630,0)),"",INDEX('Compliance Database'!$O$2:$O$630,MATCH(547,Engine!$C$2:$C$630,0)))</f>
        <v/>
      </c>
    </row>
    <row r="561">
      <c r="A561">
        <f>IF(ISNA(MATCH(548,Engine!$C$2:$C$630,0)),"",INDEX('Compliance Database'!$A$2:$A$630,MATCH(548,Engine!$C$2:$C$630,0)))</f>
        <v/>
      </c>
      <c r="B561">
        <f>IF(ISNA(MATCH(548,Engine!$C$2:$C$630,0)),"",INDEX('Compliance Database'!$B$2:$B$630,MATCH(548,Engine!$C$2:$C$630,0)))</f>
        <v/>
      </c>
      <c r="C561">
        <f>IF(ISNA(MATCH(548,Engine!$C$2:$C$630,0)),"",INDEX('Compliance Database'!$C$2:$C$630,MATCH(548,Engine!$C$2:$C$630,0)))</f>
        <v/>
      </c>
      <c r="D561" s="8">
        <f>IF(ISNA(MATCH(548,Engine!$C$2:$C$630,0)),"",INDEX('Compliance Database'!$D$2:$D$630,MATCH(548,Engine!$C$2:$C$630,0)))</f>
        <v/>
      </c>
      <c r="E561">
        <f>IF(ISNA(MATCH(548,Engine!$C$2:$C$630,0)),"",INDEX('Compliance Database'!$E$2:$E$630,MATCH(548,Engine!$C$2:$C$630,0)))</f>
        <v/>
      </c>
      <c r="F561">
        <f>IF(ISNA(MATCH(548,Engine!$C$2:$C$630,0)),"",INDEX('Compliance Database'!$F$2:$F$630,MATCH(548,Engine!$C$2:$C$630,0)))</f>
        <v/>
      </c>
      <c r="G561">
        <f>IF(ISNA(MATCH(548,Engine!$C$2:$C$630,0)),"",INDEX('Compliance Database'!$G$2:$G$630,MATCH(548,Engine!$C$2:$C$630,0)))</f>
        <v/>
      </c>
      <c r="H561">
        <f>IF(ISNA(MATCH(548,Engine!$C$2:$C$630,0)),"",INDEX('Compliance Database'!$H$2:$H$630,MATCH(548,Engine!$C$2:$C$630,0)))</f>
        <v/>
      </c>
      <c r="I561" s="8">
        <f>IF(ISNA(MATCH(548,Engine!$C$2:$C$630,0)),"",INDEX('Compliance Database'!$I$2:$I$630,MATCH(548,Engine!$C$2:$C$630,0)))</f>
        <v/>
      </c>
      <c r="J561" s="8">
        <f>IF(ISNA(MATCH(548,Engine!$C$2:$C$630,0)),"",INDEX('Compliance Database'!$J$2:$J$630,MATCH(548,Engine!$C$2:$C$630,0)))</f>
        <v/>
      </c>
      <c r="K561">
        <f>IF(ISNA(MATCH(548,Engine!$C$2:$C$630,0)),"",INDEX('Compliance Database'!$K$2:$K$630,MATCH(548,Engine!$C$2:$C$630,0)))</f>
        <v/>
      </c>
      <c r="L561" s="8">
        <f>IF(ISNA(MATCH(548,Engine!$C$2:$C$630,0)),"",INDEX('Compliance Database'!$L$2:$L$630,MATCH(548,Engine!$C$2:$C$630,0)))</f>
        <v/>
      </c>
      <c r="M561" s="8">
        <f>IF(ISNA(MATCH(548,Engine!$C$2:$C$630,0)),"",INDEX('Compliance Database'!$M$2:$M$630,MATCH(548,Engine!$C$2:$C$630,0)))</f>
        <v/>
      </c>
      <c r="N561" s="8">
        <f>IF(ISNA(MATCH(548,Engine!$C$2:$C$630,0)),"",INDEX('Compliance Database'!$N$2:$N$630,MATCH(548,Engine!$C$2:$C$630,0)))</f>
        <v/>
      </c>
      <c r="O561" s="8">
        <f>IF(ISNA(MATCH(548,Engine!$C$2:$C$630,0)),"",INDEX('Compliance Database'!$O$2:$O$630,MATCH(548,Engine!$C$2:$C$630,0)))</f>
        <v/>
      </c>
    </row>
    <row r="562">
      <c r="A562">
        <f>IF(ISNA(MATCH(549,Engine!$C$2:$C$630,0)),"",INDEX('Compliance Database'!$A$2:$A$630,MATCH(549,Engine!$C$2:$C$630,0)))</f>
        <v/>
      </c>
      <c r="B562">
        <f>IF(ISNA(MATCH(549,Engine!$C$2:$C$630,0)),"",INDEX('Compliance Database'!$B$2:$B$630,MATCH(549,Engine!$C$2:$C$630,0)))</f>
        <v/>
      </c>
      <c r="C562">
        <f>IF(ISNA(MATCH(549,Engine!$C$2:$C$630,0)),"",INDEX('Compliance Database'!$C$2:$C$630,MATCH(549,Engine!$C$2:$C$630,0)))</f>
        <v/>
      </c>
      <c r="D562" s="8">
        <f>IF(ISNA(MATCH(549,Engine!$C$2:$C$630,0)),"",INDEX('Compliance Database'!$D$2:$D$630,MATCH(549,Engine!$C$2:$C$630,0)))</f>
        <v/>
      </c>
      <c r="E562">
        <f>IF(ISNA(MATCH(549,Engine!$C$2:$C$630,0)),"",INDEX('Compliance Database'!$E$2:$E$630,MATCH(549,Engine!$C$2:$C$630,0)))</f>
        <v/>
      </c>
      <c r="F562">
        <f>IF(ISNA(MATCH(549,Engine!$C$2:$C$630,0)),"",INDEX('Compliance Database'!$F$2:$F$630,MATCH(549,Engine!$C$2:$C$630,0)))</f>
        <v/>
      </c>
      <c r="G562">
        <f>IF(ISNA(MATCH(549,Engine!$C$2:$C$630,0)),"",INDEX('Compliance Database'!$G$2:$G$630,MATCH(549,Engine!$C$2:$C$630,0)))</f>
        <v/>
      </c>
      <c r="H562">
        <f>IF(ISNA(MATCH(549,Engine!$C$2:$C$630,0)),"",INDEX('Compliance Database'!$H$2:$H$630,MATCH(549,Engine!$C$2:$C$630,0)))</f>
        <v/>
      </c>
      <c r="I562" s="8">
        <f>IF(ISNA(MATCH(549,Engine!$C$2:$C$630,0)),"",INDEX('Compliance Database'!$I$2:$I$630,MATCH(549,Engine!$C$2:$C$630,0)))</f>
        <v/>
      </c>
      <c r="J562" s="8">
        <f>IF(ISNA(MATCH(549,Engine!$C$2:$C$630,0)),"",INDEX('Compliance Database'!$J$2:$J$630,MATCH(549,Engine!$C$2:$C$630,0)))</f>
        <v/>
      </c>
      <c r="K562">
        <f>IF(ISNA(MATCH(549,Engine!$C$2:$C$630,0)),"",INDEX('Compliance Database'!$K$2:$K$630,MATCH(549,Engine!$C$2:$C$630,0)))</f>
        <v/>
      </c>
      <c r="L562" s="8">
        <f>IF(ISNA(MATCH(549,Engine!$C$2:$C$630,0)),"",INDEX('Compliance Database'!$L$2:$L$630,MATCH(549,Engine!$C$2:$C$630,0)))</f>
        <v/>
      </c>
      <c r="M562" s="8">
        <f>IF(ISNA(MATCH(549,Engine!$C$2:$C$630,0)),"",INDEX('Compliance Database'!$M$2:$M$630,MATCH(549,Engine!$C$2:$C$630,0)))</f>
        <v/>
      </c>
      <c r="N562" s="8">
        <f>IF(ISNA(MATCH(549,Engine!$C$2:$C$630,0)),"",INDEX('Compliance Database'!$N$2:$N$630,MATCH(549,Engine!$C$2:$C$630,0)))</f>
        <v/>
      </c>
      <c r="O562" s="8">
        <f>IF(ISNA(MATCH(549,Engine!$C$2:$C$630,0)),"",INDEX('Compliance Database'!$O$2:$O$630,MATCH(549,Engine!$C$2:$C$630,0)))</f>
        <v/>
      </c>
    </row>
    <row r="563">
      <c r="A563">
        <f>IF(ISNA(MATCH(550,Engine!$C$2:$C$630,0)),"",INDEX('Compliance Database'!$A$2:$A$630,MATCH(550,Engine!$C$2:$C$630,0)))</f>
        <v/>
      </c>
      <c r="B563">
        <f>IF(ISNA(MATCH(550,Engine!$C$2:$C$630,0)),"",INDEX('Compliance Database'!$B$2:$B$630,MATCH(550,Engine!$C$2:$C$630,0)))</f>
        <v/>
      </c>
      <c r="C563">
        <f>IF(ISNA(MATCH(550,Engine!$C$2:$C$630,0)),"",INDEX('Compliance Database'!$C$2:$C$630,MATCH(550,Engine!$C$2:$C$630,0)))</f>
        <v/>
      </c>
      <c r="D563" s="8">
        <f>IF(ISNA(MATCH(550,Engine!$C$2:$C$630,0)),"",INDEX('Compliance Database'!$D$2:$D$630,MATCH(550,Engine!$C$2:$C$630,0)))</f>
        <v/>
      </c>
      <c r="E563">
        <f>IF(ISNA(MATCH(550,Engine!$C$2:$C$630,0)),"",INDEX('Compliance Database'!$E$2:$E$630,MATCH(550,Engine!$C$2:$C$630,0)))</f>
        <v/>
      </c>
      <c r="F563">
        <f>IF(ISNA(MATCH(550,Engine!$C$2:$C$630,0)),"",INDEX('Compliance Database'!$F$2:$F$630,MATCH(550,Engine!$C$2:$C$630,0)))</f>
        <v/>
      </c>
      <c r="G563">
        <f>IF(ISNA(MATCH(550,Engine!$C$2:$C$630,0)),"",INDEX('Compliance Database'!$G$2:$G$630,MATCH(550,Engine!$C$2:$C$630,0)))</f>
        <v/>
      </c>
      <c r="H563">
        <f>IF(ISNA(MATCH(550,Engine!$C$2:$C$630,0)),"",INDEX('Compliance Database'!$H$2:$H$630,MATCH(550,Engine!$C$2:$C$630,0)))</f>
        <v/>
      </c>
      <c r="I563" s="8">
        <f>IF(ISNA(MATCH(550,Engine!$C$2:$C$630,0)),"",INDEX('Compliance Database'!$I$2:$I$630,MATCH(550,Engine!$C$2:$C$630,0)))</f>
        <v/>
      </c>
      <c r="J563" s="8">
        <f>IF(ISNA(MATCH(550,Engine!$C$2:$C$630,0)),"",INDEX('Compliance Database'!$J$2:$J$630,MATCH(550,Engine!$C$2:$C$630,0)))</f>
        <v/>
      </c>
      <c r="K563">
        <f>IF(ISNA(MATCH(550,Engine!$C$2:$C$630,0)),"",INDEX('Compliance Database'!$K$2:$K$630,MATCH(550,Engine!$C$2:$C$630,0)))</f>
        <v/>
      </c>
      <c r="L563" s="8">
        <f>IF(ISNA(MATCH(550,Engine!$C$2:$C$630,0)),"",INDEX('Compliance Database'!$L$2:$L$630,MATCH(550,Engine!$C$2:$C$630,0)))</f>
        <v/>
      </c>
      <c r="M563" s="8">
        <f>IF(ISNA(MATCH(550,Engine!$C$2:$C$630,0)),"",INDEX('Compliance Database'!$M$2:$M$630,MATCH(550,Engine!$C$2:$C$630,0)))</f>
        <v/>
      </c>
      <c r="N563" s="8">
        <f>IF(ISNA(MATCH(550,Engine!$C$2:$C$630,0)),"",INDEX('Compliance Database'!$N$2:$N$630,MATCH(550,Engine!$C$2:$C$630,0)))</f>
        <v/>
      </c>
      <c r="O563" s="8">
        <f>IF(ISNA(MATCH(550,Engine!$C$2:$C$630,0)),"",INDEX('Compliance Database'!$O$2:$O$630,MATCH(550,Engine!$C$2:$C$630,0)))</f>
        <v/>
      </c>
    </row>
    <row r="564">
      <c r="A564">
        <f>IF(ISNA(MATCH(551,Engine!$C$2:$C$630,0)),"",INDEX('Compliance Database'!$A$2:$A$630,MATCH(551,Engine!$C$2:$C$630,0)))</f>
        <v/>
      </c>
      <c r="B564">
        <f>IF(ISNA(MATCH(551,Engine!$C$2:$C$630,0)),"",INDEX('Compliance Database'!$B$2:$B$630,MATCH(551,Engine!$C$2:$C$630,0)))</f>
        <v/>
      </c>
      <c r="C564">
        <f>IF(ISNA(MATCH(551,Engine!$C$2:$C$630,0)),"",INDEX('Compliance Database'!$C$2:$C$630,MATCH(551,Engine!$C$2:$C$630,0)))</f>
        <v/>
      </c>
      <c r="D564" s="8">
        <f>IF(ISNA(MATCH(551,Engine!$C$2:$C$630,0)),"",INDEX('Compliance Database'!$D$2:$D$630,MATCH(551,Engine!$C$2:$C$630,0)))</f>
        <v/>
      </c>
      <c r="E564">
        <f>IF(ISNA(MATCH(551,Engine!$C$2:$C$630,0)),"",INDEX('Compliance Database'!$E$2:$E$630,MATCH(551,Engine!$C$2:$C$630,0)))</f>
        <v/>
      </c>
      <c r="F564">
        <f>IF(ISNA(MATCH(551,Engine!$C$2:$C$630,0)),"",INDEX('Compliance Database'!$F$2:$F$630,MATCH(551,Engine!$C$2:$C$630,0)))</f>
        <v/>
      </c>
      <c r="G564">
        <f>IF(ISNA(MATCH(551,Engine!$C$2:$C$630,0)),"",INDEX('Compliance Database'!$G$2:$G$630,MATCH(551,Engine!$C$2:$C$630,0)))</f>
        <v/>
      </c>
      <c r="H564">
        <f>IF(ISNA(MATCH(551,Engine!$C$2:$C$630,0)),"",INDEX('Compliance Database'!$H$2:$H$630,MATCH(551,Engine!$C$2:$C$630,0)))</f>
        <v/>
      </c>
      <c r="I564" s="8">
        <f>IF(ISNA(MATCH(551,Engine!$C$2:$C$630,0)),"",INDEX('Compliance Database'!$I$2:$I$630,MATCH(551,Engine!$C$2:$C$630,0)))</f>
        <v/>
      </c>
      <c r="J564" s="8">
        <f>IF(ISNA(MATCH(551,Engine!$C$2:$C$630,0)),"",INDEX('Compliance Database'!$J$2:$J$630,MATCH(551,Engine!$C$2:$C$630,0)))</f>
        <v/>
      </c>
      <c r="K564">
        <f>IF(ISNA(MATCH(551,Engine!$C$2:$C$630,0)),"",INDEX('Compliance Database'!$K$2:$K$630,MATCH(551,Engine!$C$2:$C$630,0)))</f>
        <v/>
      </c>
      <c r="L564" s="8">
        <f>IF(ISNA(MATCH(551,Engine!$C$2:$C$630,0)),"",INDEX('Compliance Database'!$L$2:$L$630,MATCH(551,Engine!$C$2:$C$630,0)))</f>
        <v/>
      </c>
      <c r="M564" s="8">
        <f>IF(ISNA(MATCH(551,Engine!$C$2:$C$630,0)),"",INDEX('Compliance Database'!$M$2:$M$630,MATCH(551,Engine!$C$2:$C$630,0)))</f>
        <v/>
      </c>
      <c r="N564" s="8">
        <f>IF(ISNA(MATCH(551,Engine!$C$2:$C$630,0)),"",INDEX('Compliance Database'!$N$2:$N$630,MATCH(551,Engine!$C$2:$C$630,0)))</f>
        <v/>
      </c>
      <c r="O564" s="8">
        <f>IF(ISNA(MATCH(551,Engine!$C$2:$C$630,0)),"",INDEX('Compliance Database'!$O$2:$O$630,MATCH(551,Engine!$C$2:$C$630,0)))</f>
        <v/>
      </c>
    </row>
    <row r="565">
      <c r="A565">
        <f>IF(ISNA(MATCH(552,Engine!$C$2:$C$630,0)),"",INDEX('Compliance Database'!$A$2:$A$630,MATCH(552,Engine!$C$2:$C$630,0)))</f>
        <v/>
      </c>
      <c r="B565">
        <f>IF(ISNA(MATCH(552,Engine!$C$2:$C$630,0)),"",INDEX('Compliance Database'!$B$2:$B$630,MATCH(552,Engine!$C$2:$C$630,0)))</f>
        <v/>
      </c>
      <c r="C565">
        <f>IF(ISNA(MATCH(552,Engine!$C$2:$C$630,0)),"",INDEX('Compliance Database'!$C$2:$C$630,MATCH(552,Engine!$C$2:$C$630,0)))</f>
        <v/>
      </c>
      <c r="D565" s="8">
        <f>IF(ISNA(MATCH(552,Engine!$C$2:$C$630,0)),"",INDEX('Compliance Database'!$D$2:$D$630,MATCH(552,Engine!$C$2:$C$630,0)))</f>
        <v/>
      </c>
      <c r="E565">
        <f>IF(ISNA(MATCH(552,Engine!$C$2:$C$630,0)),"",INDEX('Compliance Database'!$E$2:$E$630,MATCH(552,Engine!$C$2:$C$630,0)))</f>
        <v/>
      </c>
      <c r="F565">
        <f>IF(ISNA(MATCH(552,Engine!$C$2:$C$630,0)),"",INDEX('Compliance Database'!$F$2:$F$630,MATCH(552,Engine!$C$2:$C$630,0)))</f>
        <v/>
      </c>
      <c r="G565">
        <f>IF(ISNA(MATCH(552,Engine!$C$2:$C$630,0)),"",INDEX('Compliance Database'!$G$2:$G$630,MATCH(552,Engine!$C$2:$C$630,0)))</f>
        <v/>
      </c>
      <c r="H565">
        <f>IF(ISNA(MATCH(552,Engine!$C$2:$C$630,0)),"",INDEX('Compliance Database'!$H$2:$H$630,MATCH(552,Engine!$C$2:$C$630,0)))</f>
        <v/>
      </c>
      <c r="I565" s="8">
        <f>IF(ISNA(MATCH(552,Engine!$C$2:$C$630,0)),"",INDEX('Compliance Database'!$I$2:$I$630,MATCH(552,Engine!$C$2:$C$630,0)))</f>
        <v/>
      </c>
      <c r="J565" s="8">
        <f>IF(ISNA(MATCH(552,Engine!$C$2:$C$630,0)),"",INDEX('Compliance Database'!$J$2:$J$630,MATCH(552,Engine!$C$2:$C$630,0)))</f>
        <v/>
      </c>
      <c r="K565">
        <f>IF(ISNA(MATCH(552,Engine!$C$2:$C$630,0)),"",INDEX('Compliance Database'!$K$2:$K$630,MATCH(552,Engine!$C$2:$C$630,0)))</f>
        <v/>
      </c>
      <c r="L565" s="8">
        <f>IF(ISNA(MATCH(552,Engine!$C$2:$C$630,0)),"",INDEX('Compliance Database'!$L$2:$L$630,MATCH(552,Engine!$C$2:$C$630,0)))</f>
        <v/>
      </c>
      <c r="M565" s="8">
        <f>IF(ISNA(MATCH(552,Engine!$C$2:$C$630,0)),"",INDEX('Compliance Database'!$M$2:$M$630,MATCH(552,Engine!$C$2:$C$630,0)))</f>
        <v/>
      </c>
      <c r="N565" s="8">
        <f>IF(ISNA(MATCH(552,Engine!$C$2:$C$630,0)),"",INDEX('Compliance Database'!$N$2:$N$630,MATCH(552,Engine!$C$2:$C$630,0)))</f>
        <v/>
      </c>
      <c r="O565" s="8">
        <f>IF(ISNA(MATCH(552,Engine!$C$2:$C$630,0)),"",INDEX('Compliance Database'!$O$2:$O$630,MATCH(552,Engine!$C$2:$C$630,0)))</f>
        <v/>
      </c>
    </row>
    <row r="566">
      <c r="A566">
        <f>IF(ISNA(MATCH(553,Engine!$C$2:$C$630,0)),"",INDEX('Compliance Database'!$A$2:$A$630,MATCH(553,Engine!$C$2:$C$630,0)))</f>
        <v/>
      </c>
      <c r="B566">
        <f>IF(ISNA(MATCH(553,Engine!$C$2:$C$630,0)),"",INDEX('Compliance Database'!$B$2:$B$630,MATCH(553,Engine!$C$2:$C$630,0)))</f>
        <v/>
      </c>
      <c r="C566">
        <f>IF(ISNA(MATCH(553,Engine!$C$2:$C$630,0)),"",INDEX('Compliance Database'!$C$2:$C$630,MATCH(553,Engine!$C$2:$C$630,0)))</f>
        <v/>
      </c>
      <c r="D566" s="8">
        <f>IF(ISNA(MATCH(553,Engine!$C$2:$C$630,0)),"",INDEX('Compliance Database'!$D$2:$D$630,MATCH(553,Engine!$C$2:$C$630,0)))</f>
        <v/>
      </c>
      <c r="E566">
        <f>IF(ISNA(MATCH(553,Engine!$C$2:$C$630,0)),"",INDEX('Compliance Database'!$E$2:$E$630,MATCH(553,Engine!$C$2:$C$630,0)))</f>
        <v/>
      </c>
      <c r="F566">
        <f>IF(ISNA(MATCH(553,Engine!$C$2:$C$630,0)),"",INDEX('Compliance Database'!$F$2:$F$630,MATCH(553,Engine!$C$2:$C$630,0)))</f>
        <v/>
      </c>
      <c r="G566">
        <f>IF(ISNA(MATCH(553,Engine!$C$2:$C$630,0)),"",INDEX('Compliance Database'!$G$2:$G$630,MATCH(553,Engine!$C$2:$C$630,0)))</f>
        <v/>
      </c>
      <c r="H566">
        <f>IF(ISNA(MATCH(553,Engine!$C$2:$C$630,0)),"",INDEX('Compliance Database'!$H$2:$H$630,MATCH(553,Engine!$C$2:$C$630,0)))</f>
        <v/>
      </c>
      <c r="I566" s="8">
        <f>IF(ISNA(MATCH(553,Engine!$C$2:$C$630,0)),"",INDEX('Compliance Database'!$I$2:$I$630,MATCH(553,Engine!$C$2:$C$630,0)))</f>
        <v/>
      </c>
      <c r="J566" s="8">
        <f>IF(ISNA(MATCH(553,Engine!$C$2:$C$630,0)),"",INDEX('Compliance Database'!$J$2:$J$630,MATCH(553,Engine!$C$2:$C$630,0)))</f>
        <v/>
      </c>
      <c r="K566">
        <f>IF(ISNA(MATCH(553,Engine!$C$2:$C$630,0)),"",INDEX('Compliance Database'!$K$2:$K$630,MATCH(553,Engine!$C$2:$C$630,0)))</f>
        <v/>
      </c>
      <c r="L566" s="8">
        <f>IF(ISNA(MATCH(553,Engine!$C$2:$C$630,0)),"",INDEX('Compliance Database'!$L$2:$L$630,MATCH(553,Engine!$C$2:$C$630,0)))</f>
        <v/>
      </c>
      <c r="M566" s="8">
        <f>IF(ISNA(MATCH(553,Engine!$C$2:$C$630,0)),"",INDEX('Compliance Database'!$M$2:$M$630,MATCH(553,Engine!$C$2:$C$630,0)))</f>
        <v/>
      </c>
      <c r="N566" s="8">
        <f>IF(ISNA(MATCH(553,Engine!$C$2:$C$630,0)),"",INDEX('Compliance Database'!$N$2:$N$630,MATCH(553,Engine!$C$2:$C$630,0)))</f>
        <v/>
      </c>
      <c r="O566" s="8">
        <f>IF(ISNA(MATCH(553,Engine!$C$2:$C$630,0)),"",INDEX('Compliance Database'!$O$2:$O$630,MATCH(553,Engine!$C$2:$C$630,0)))</f>
        <v/>
      </c>
    </row>
    <row r="567">
      <c r="A567">
        <f>IF(ISNA(MATCH(554,Engine!$C$2:$C$630,0)),"",INDEX('Compliance Database'!$A$2:$A$630,MATCH(554,Engine!$C$2:$C$630,0)))</f>
        <v/>
      </c>
      <c r="B567">
        <f>IF(ISNA(MATCH(554,Engine!$C$2:$C$630,0)),"",INDEX('Compliance Database'!$B$2:$B$630,MATCH(554,Engine!$C$2:$C$630,0)))</f>
        <v/>
      </c>
      <c r="C567">
        <f>IF(ISNA(MATCH(554,Engine!$C$2:$C$630,0)),"",INDEX('Compliance Database'!$C$2:$C$630,MATCH(554,Engine!$C$2:$C$630,0)))</f>
        <v/>
      </c>
      <c r="D567" s="8">
        <f>IF(ISNA(MATCH(554,Engine!$C$2:$C$630,0)),"",INDEX('Compliance Database'!$D$2:$D$630,MATCH(554,Engine!$C$2:$C$630,0)))</f>
        <v/>
      </c>
      <c r="E567">
        <f>IF(ISNA(MATCH(554,Engine!$C$2:$C$630,0)),"",INDEX('Compliance Database'!$E$2:$E$630,MATCH(554,Engine!$C$2:$C$630,0)))</f>
        <v/>
      </c>
      <c r="F567">
        <f>IF(ISNA(MATCH(554,Engine!$C$2:$C$630,0)),"",INDEX('Compliance Database'!$F$2:$F$630,MATCH(554,Engine!$C$2:$C$630,0)))</f>
        <v/>
      </c>
      <c r="G567">
        <f>IF(ISNA(MATCH(554,Engine!$C$2:$C$630,0)),"",INDEX('Compliance Database'!$G$2:$G$630,MATCH(554,Engine!$C$2:$C$630,0)))</f>
        <v/>
      </c>
      <c r="H567">
        <f>IF(ISNA(MATCH(554,Engine!$C$2:$C$630,0)),"",INDEX('Compliance Database'!$H$2:$H$630,MATCH(554,Engine!$C$2:$C$630,0)))</f>
        <v/>
      </c>
      <c r="I567" s="8">
        <f>IF(ISNA(MATCH(554,Engine!$C$2:$C$630,0)),"",INDEX('Compliance Database'!$I$2:$I$630,MATCH(554,Engine!$C$2:$C$630,0)))</f>
        <v/>
      </c>
      <c r="J567" s="8">
        <f>IF(ISNA(MATCH(554,Engine!$C$2:$C$630,0)),"",INDEX('Compliance Database'!$J$2:$J$630,MATCH(554,Engine!$C$2:$C$630,0)))</f>
        <v/>
      </c>
      <c r="K567">
        <f>IF(ISNA(MATCH(554,Engine!$C$2:$C$630,0)),"",INDEX('Compliance Database'!$K$2:$K$630,MATCH(554,Engine!$C$2:$C$630,0)))</f>
        <v/>
      </c>
      <c r="L567" s="8">
        <f>IF(ISNA(MATCH(554,Engine!$C$2:$C$630,0)),"",INDEX('Compliance Database'!$L$2:$L$630,MATCH(554,Engine!$C$2:$C$630,0)))</f>
        <v/>
      </c>
      <c r="M567" s="8">
        <f>IF(ISNA(MATCH(554,Engine!$C$2:$C$630,0)),"",INDEX('Compliance Database'!$M$2:$M$630,MATCH(554,Engine!$C$2:$C$630,0)))</f>
        <v/>
      </c>
      <c r="N567" s="8">
        <f>IF(ISNA(MATCH(554,Engine!$C$2:$C$630,0)),"",INDEX('Compliance Database'!$N$2:$N$630,MATCH(554,Engine!$C$2:$C$630,0)))</f>
        <v/>
      </c>
      <c r="O567" s="8">
        <f>IF(ISNA(MATCH(554,Engine!$C$2:$C$630,0)),"",INDEX('Compliance Database'!$O$2:$O$630,MATCH(554,Engine!$C$2:$C$630,0)))</f>
        <v/>
      </c>
    </row>
    <row r="568">
      <c r="A568">
        <f>IF(ISNA(MATCH(555,Engine!$C$2:$C$630,0)),"",INDEX('Compliance Database'!$A$2:$A$630,MATCH(555,Engine!$C$2:$C$630,0)))</f>
        <v/>
      </c>
      <c r="B568">
        <f>IF(ISNA(MATCH(555,Engine!$C$2:$C$630,0)),"",INDEX('Compliance Database'!$B$2:$B$630,MATCH(555,Engine!$C$2:$C$630,0)))</f>
        <v/>
      </c>
      <c r="C568">
        <f>IF(ISNA(MATCH(555,Engine!$C$2:$C$630,0)),"",INDEX('Compliance Database'!$C$2:$C$630,MATCH(555,Engine!$C$2:$C$630,0)))</f>
        <v/>
      </c>
      <c r="D568" s="8">
        <f>IF(ISNA(MATCH(555,Engine!$C$2:$C$630,0)),"",INDEX('Compliance Database'!$D$2:$D$630,MATCH(555,Engine!$C$2:$C$630,0)))</f>
        <v/>
      </c>
      <c r="E568">
        <f>IF(ISNA(MATCH(555,Engine!$C$2:$C$630,0)),"",INDEX('Compliance Database'!$E$2:$E$630,MATCH(555,Engine!$C$2:$C$630,0)))</f>
        <v/>
      </c>
      <c r="F568">
        <f>IF(ISNA(MATCH(555,Engine!$C$2:$C$630,0)),"",INDEX('Compliance Database'!$F$2:$F$630,MATCH(555,Engine!$C$2:$C$630,0)))</f>
        <v/>
      </c>
      <c r="G568">
        <f>IF(ISNA(MATCH(555,Engine!$C$2:$C$630,0)),"",INDEX('Compliance Database'!$G$2:$G$630,MATCH(555,Engine!$C$2:$C$630,0)))</f>
        <v/>
      </c>
      <c r="H568">
        <f>IF(ISNA(MATCH(555,Engine!$C$2:$C$630,0)),"",INDEX('Compliance Database'!$H$2:$H$630,MATCH(555,Engine!$C$2:$C$630,0)))</f>
        <v/>
      </c>
      <c r="I568" s="8">
        <f>IF(ISNA(MATCH(555,Engine!$C$2:$C$630,0)),"",INDEX('Compliance Database'!$I$2:$I$630,MATCH(555,Engine!$C$2:$C$630,0)))</f>
        <v/>
      </c>
      <c r="J568" s="8">
        <f>IF(ISNA(MATCH(555,Engine!$C$2:$C$630,0)),"",INDEX('Compliance Database'!$J$2:$J$630,MATCH(555,Engine!$C$2:$C$630,0)))</f>
        <v/>
      </c>
      <c r="K568">
        <f>IF(ISNA(MATCH(555,Engine!$C$2:$C$630,0)),"",INDEX('Compliance Database'!$K$2:$K$630,MATCH(555,Engine!$C$2:$C$630,0)))</f>
        <v/>
      </c>
      <c r="L568" s="8">
        <f>IF(ISNA(MATCH(555,Engine!$C$2:$C$630,0)),"",INDEX('Compliance Database'!$L$2:$L$630,MATCH(555,Engine!$C$2:$C$630,0)))</f>
        <v/>
      </c>
      <c r="M568" s="8">
        <f>IF(ISNA(MATCH(555,Engine!$C$2:$C$630,0)),"",INDEX('Compliance Database'!$M$2:$M$630,MATCH(555,Engine!$C$2:$C$630,0)))</f>
        <v/>
      </c>
      <c r="N568" s="8">
        <f>IF(ISNA(MATCH(555,Engine!$C$2:$C$630,0)),"",INDEX('Compliance Database'!$N$2:$N$630,MATCH(555,Engine!$C$2:$C$630,0)))</f>
        <v/>
      </c>
      <c r="O568" s="8">
        <f>IF(ISNA(MATCH(555,Engine!$C$2:$C$630,0)),"",INDEX('Compliance Database'!$O$2:$O$630,MATCH(555,Engine!$C$2:$C$630,0)))</f>
        <v/>
      </c>
    </row>
    <row r="569">
      <c r="A569">
        <f>IF(ISNA(MATCH(556,Engine!$C$2:$C$630,0)),"",INDEX('Compliance Database'!$A$2:$A$630,MATCH(556,Engine!$C$2:$C$630,0)))</f>
        <v/>
      </c>
      <c r="B569">
        <f>IF(ISNA(MATCH(556,Engine!$C$2:$C$630,0)),"",INDEX('Compliance Database'!$B$2:$B$630,MATCH(556,Engine!$C$2:$C$630,0)))</f>
        <v/>
      </c>
      <c r="C569">
        <f>IF(ISNA(MATCH(556,Engine!$C$2:$C$630,0)),"",INDEX('Compliance Database'!$C$2:$C$630,MATCH(556,Engine!$C$2:$C$630,0)))</f>
        <v/>
      </c>
      <c r="D569" s="8">
        <f>IF(ISNA(MATCH(556,Engine!$C$2:$C$630,0)),"",INDEX('Compliance Database'!$D$2:$D$630,MATCH(556,Engine!$C$2:$C$630,0)))</f>
        <v/>
      </c>
      <c r="E569">
        <f>IF(ISNA(MATCH(556,Engine!$C$2:$C$630,0)),"",INDEX('Compliance Database'!$E$2:$E$630,MATCH(556,Engine!$C$2:$C$630,0)))</f>
        <v/>
      </c>
      <c r="F569">
        <f>IF(ISNA(MATCH(556,Engine!$C$2:$C$630,0)),"",INDEX('Compliance Database'!$F$2:$F$630,MATCH(556,Engine!$C$2:$C$630,0)))</f>
        <v/>
      </c>
      <c r="G569">
        <f>IF(ISNA(MATCH(556,Engine!$C$2:$C$630,0)),"",INDEX('Compliance Database'!$G$2:$G$630,MATCH(556,Engine!$C$2:$C$630,0)))</f>
        <v/>
      </c>
      <c r="H569">
        <f>IF(ISNA(MATCH(556,Engine!$C$2:$C$630,0)),"",INDEX('Compliance Database'!$H$2:$H$630,MATCH(556,Engine!$C$2:$C$630,0)))</f>
        <v/>
      </c>
      <c r="I569" s="8">
        <f>IF(ISNA(MATCH(556,Engine!$C$2:$C$630,0)),"",INDEX('Compliance Database'!$I$2:$I$630,MATCH(556,Engine!$C$2:$C$630,0)))</f>
        <v/>
      </c>
      <c r="J569" s="8">
        <f>IF(ISNA(MATCH(556,Engine!$C$2:$C$630,0)),"",INDEX('Compliance Database'!$J$2:$J$630,MATCH(556,Engine!$C$2:$C$630,0)))</f>
        <v/>
      </c>
      <c r="K569">
        <f>IF(ISNA(MATCH(556,Engine!$C$2:$C$630,0)),"",INDEX('Compliance Database'!$K$2:$K$630,MATCH(556,Engine!$C$2:$C$630,0)))</f>
        <v/>
      </c>
      <c r="L569" s="8">
        <f>IF(ISNA(MATCH(556,Engine!$C$2:$C$630,0)),"",INDEX('Compliance Database'!$L$2:$L$630,MATCH(556,Engine!$C$2:$C$630,0)))</f>
        <v/>
      </c>
      <c r="M569" s="8">
        <f>IF(ISNA(MATCH(556,Engine!$C$2:$C$630,0)),"",INDEX('Compliance Database'!$M$2:$M$630,MATCH(556,Engine!$C$2:$C$630,0)))</f>
        <v/>
      </c>
      <c r="N569" s="8">
        <f>IF(ISNA(MATCH(556,Engine!$C$2:$C$630,0)),"",INDEX('Compliance Database'!$N$2:$N$630,MATCH(556,Engine!$C$2:$C$630,0)))</f>
        <v/>
      </c>
      <c r="O569" s="8">
        <f>IF(ISNA(MATCH(556,Engine!$C$2:$C$630,0)),"",INDEX('Compliance Database'!$O$2:$O$630,MATCH(556,Engine!$C$2:$C$630,0)))</f>
        <v/>
      </c>
    </row>
    <row r="570">
      <c r="A570">
        <f>IF(ISNA(MATCH(557,Engine!$C$2:$C$630,0)),"",INDEX('Compliance Database'!$A$2:$A$630,MATCH(557,Engine!$C$2:$C$630,0)))</f>
        <v/>
      </c>
      <c r="B570">
        <f>IF(ISNA(MATCH(557,Engine!$C$2:$C$630,0)),"",INDEX('Compliance Database'!$B$2:$B$630,MATCH(557,Engine!$C$2:$C$630,0)))</f>
        <v/>
      </c>
      <c r="C570">
        <f>IF(ISNA(MATCH(557,Engine!$C$2:$C$630,0)),"",INDEX('Compliance Database'!$C$2:$C$630,MATCH(557,Engine!$C$2:$C$630,0)))</f>
        <v/>
      </c>
      <c r="D570" s="8">
        <f>IF(ISNA(MATCH(557,Engine!$C$2:$C$630,0)),"",INDEX('Compliance Database'!$D$2:$D$630,MATCH(557,Engine!$C$2:$C$630,0)))</f>
        <v/>
      </c>
      <c r="E570">
        <f>IF(ISNA(MATCH(557,Engine!$C$2:$C$630,0)),"",INDEX('Compliance Database'!$E$2:$E$630,MATCH(557,Engine!$C$2:$C$630,0)))</f>
        <v/>
      </c>
      <c r="F570">
        <f>IF(ISNA(MATCH(557,Engine!$C$2:$C$630,0)),"",INDEX('Compliance Database'!$F$2:$F$630,MATCH(557,Engine!$C$2:$C$630,0)))</f>
        <v/>
      </c>
      <c r="G570">
        <f>IF(ISNA(MATCH(557,Engine!$C$2:$C$630,0)),"",INDEX('Compliance Database'!$G$2:$G$630,MATCH(557,Engine!$C$2:$C$630,0)))</f>
        <v/>
      </c>
      <c r="H570">
        <f>IF(ISNA(MATCH(557,Engine!$C$2:$C$630,0)),"",INDEX('Compliance Database'!$H$2:$H$630,MATCH(557,Engine!$C$2:$C$630,0)))</f>
        <v/>
      </c>
      <c r="I570" s="8">
        <f>IF(ISNA(MATCH(557,Engine!$C$2:$C$630,0)),"",INDEX('Compliance Database'!$I$2:$I$630,MATCH(557,Engine!$C$2:$C$630,0)))</f>
        <v/>
      </c>
      <c r="J570" s="8">
        <f>IF(ISNA(MATCH(557,Engine!$C$2:$C$630,0)),"",INDEX('Compliance Database'!$J$2:$J$630,MATCH(557,Engine!$C$2:$C$630,0)))</f>
        <v/>
      </c>
      <c r="K570">
        <f>IF(ISNA(MATCH(557,Engine!$C$2:$C$630,0)),"",INDEX('Compliance Database'!$K$2:$K$630,MATCH(557,Engine!$C$2:$C$630,0)))</f>
        <v/>
      </c>
      <c r="L570" s="8">
        <f>IF(ISNA(MATCH(557,Engine!$C$2:$C$630,0)),"",INDEX('Compliance Database'!$L$2:$L$630,MATCH(557,Engine!$C$2:$C$630,0)))</f>
        <v/>
      </c>
      <c r="M570" s="8">
        <f>IF(ISNA(MATCH(557,Engine!$C$2:$C$630,0)),"",INDEX('Compliance Database'!$M$2:$M$630,MATCH(557,Engine!$C$2:$C$630,0)))</f>
        <v/>
      </c>
      <c r="N570" s="8">
        <f>IF(ISNA(MATCH(557,Engine!$C$2:$C$630,0)),"",INDEX('Compliance Database'!$N$2:$N$630,MATCH(557,Engine!$C$2:$C$630,0)))</f>
        <v/>
      </c>
      <c r="O570" s="8">
        <f>IF(ISNA(MATCH(557,Engine!$C$2:$C$630,0)),"",INDEX('Compliance Database'!$O$2:$O$630,MATCH(557,Engine!$C$2:$C$630,0)))</f>
        <v/>
      </c>
    </row>
    <row r="571">
      <c r="A571">
        <f>IF(ISNA(MATCH(558,Engine!$C$2:$C$630,0)),"",INDEX('Compliance Database'!$A$2:$A$630,MATCH(558,Engine!$C$2:$C$630,0)))</f>
        <v/>
      </c>
      <c r="B571">
        <f>IF(ISNA(MATCH(558,Engine!$C$2:$C$630,0)),"",INDEX('Compliance Database'!$B$2:$B$630,MATCH(558,Engine!$C$2:$C$630,0)))</f>
        <v/>
      </c>
      <c r="C571">
        <f>IF(ISNA(MATCH(558,Engine!$C$2:$C$630,0)),"",INDEX('Compliance Database'!$C$2:$C$630,MATCH(558,Engine!$C$2:$C$630,0)))</f>
        <v/>
      </c>
      <c r="D571" s="8">
        <f>IF(ISNA(MATCH(558,Engine!$C$2:$C$630,0)),"",INDEX('Compliance Database'!$D$2:$D$630,MATCH(558,Engine!$C$2:$C$630,0)))</f>
        <v/>
      </c>
      <c r="E571">
        <f>IF(ISNA(MATCH(558,Engine!$C$2:$C$630,0)),"",INDEX('Compliance Database'!$E$2:$E$630,MATCH(558,Engine!$C$2:$C$630,0)))</f>
        <v/>
      </c>
      <c r="F571">
        <f>IF(ISNA(MATCH(558,Engine!$C$2:$C$630,0)),"",INDEX('Compliance Database'!$F$2:$F$630,MATCH(558,Engine!$C$2:$C$630,0)))</f>
        <v/>
      </c>
      <c r="G571">
        <f>IF(ISNA(MATCH(558,Engine!$C$2:$C$630,0)),"",INDEX('Compliance Database'!$G$2:$G$630,MATCH(558,Engine!$C$2:$C$630,0)))</f>
        <v/>
      </c>
      <c r="H571">
        <f>IF(ISNA(MATCH(558,Engine!$C$2:$C$630,0)),"",INDEX('Compliance Database'!$H$2:$H$630,MATCH(558,Engine!$C$2:$C$630,0)))</f>
        <v/>
      </c>
      <c r="I571" s="8">
        <f>IF(ISNA(MATCH(558,Engine!$C$2:$C$630,0)),"",INDEX('Compliance Database'!$I$2:$I$630,MATCH(558,Engine!$C$2:$C$630,0)))</f>
        <v/>
      </c>
      <c r="J571" s="8">
        <f>IF(ISNA(MATCH(558,Engine!$C$2:$C$630,0)),"",INDEX('Compliance Database'!$J$2:$J$630,MATCH(558,Engine!$C$2:$C$630,0)))</f>
        <v/>
      </c>
      <c r="K571">
        <f>IF(ISNA(MATCH(558,Engine!$C$2:$C$630,0)),"",INDEX('Compliance Database'!$K$2:$K$630,MATCH(558,Engine!$C$2:$C$630,0)))</f>
        <v/>
      </c>
      <c r="L571" s="8">
        <f>IF(ISNA(MATCH(558,Engine!$C$2:$C$630,0)),"",INDEX('Compliance Database'!$L$2:$L$630,MATCH(558,Engine!$C$2:$C$630,0)))</f>
        <v/>
      </c>
      <c r="M571" s="8">
        <f>IF(ISNA(MATCH(558,Engine!$C$2:$C$630,0)),"",INDEX('Compliance Database'!$M$2:$M$630,MATCH(558,Engine!$C$2:$C$630,0)))</f>
        <v/>
      </c>
      <c r="N571" s="8">
        <f>IF(ISNA(MATCH(558,Engine!$C$2:$C$630,0)),"",INDEX('Compliance Database'!$N$2:$N$630,MATCH(558,Engine!$C$2:$C$630,0)))</f>
        <v/>
      </c>
      <c r="O571" s="8">
        <f>IF(ISNA(MATCH(558,Engine!$C$2:$C$630,0)),"",INDEX('Compliance Database'!$O$2:$O$630,MATCH(558,Engine!$C$2:$C$630,0)))</f>
        <v/>
      </c>
    </row>
    <row r="572">
      <c r="A572">
        <f>IF(ISNA(MATCH(559,Engine!$C$2:$C$630,0)),"",INDEX('Compliance Database'!$A$2:$A$630,MATCH(559,Engine!$C$2:$C$630,0)))</f>
        <v/>
      </c>
      <c r="B572">
        <f>IF(ISNA(MATCH(559,Engine!$C$2:$C$630,0)),"",INDEX('Compliance Database'!$B$2:$B$630,MATCH(559,Engine!$C$2:$C$630,0)))</f>
        <v/>
      </c>
      <c r="C572">
        <f>IF(ISNA(MATCH(559,Engine!$C$2:$C$630,0)),"",INDEX('Compliance Database'!$C$2:$C$630,MATCH(559,Engine!$C$2:$C$630,0)))</f>
        <v/>
      </c>
      <c r="D572" s="8">
        <f>IF(ISNA(MATCH(559,Engine!$C$2:$C$630,0)),"",INDEX('Compliance Database'!$D$2:$D$630,MATCH(559,Engine!$C$2:$C$630,0)))</f>
        <v/>
      </c>
      <c r="E572">
        <f>IF(ISNA(MATCH(559,Engine!$C$2:$C$630,0)),"",INDEX('Compliance Database'!$E$2:$E$630,MATCH(559,Engine!$C$2:$C$630,0)))</f>
        <v/>
      </c>
      <c r="F572">
        <f>IF(ISNA(MATCH(559,Engine!$C$2:$C$630,0)),"",INDEX('Compliance Database'!$F$2:$F$630,MATCH(559,Engine!$C$2:$C$630,0)))</f>
        <v/>
      </c>
      <c r="G572">
        <f>IF(ISNA(MATCH(559,Engine!$C$2:$C$630,0)),"",INDEX('Compliance Database'!$G$2:$G$630,MATCH(559,Engine!$C$2:$C$630,0)))</f>
        <v/>
      </c>
      <c r="H572">
        <f>IF(ISNA(MATCH(559,Engine!$C$2:$C$630,0)),"",INDEX('Compliance Database'!$H$2:$H$630,MATCH(559,Engine!$C$2:$C$630,0)))</f>
        <v/>
      </c>
      <c r="I572" s="8">
        <f>IF(ISNA(MATCH(559,Engine!$C$2:$C$630,0)),"",INDEX('Compliance Database'!$I$2:$I$630,MATCH(559,Engine!$C$2:$C$630,0)))</f>
        <v/>
      </c>
      <c r="J572" s="8">
        <f>IF(ISNA(MATCH(559,Engine!$C$2:$C$630,0)),"",INDEX('Compliance Database'!$J$2:$J$630,MATCH(559,Engine!$C$2:$C$630,0)))</f>
        <v/>
      </c>
      <c r="K572">
        <f>IF(ISNA(MATCH(559,Engine!$C$2:$C$630,0)),"",INDEX('Compliance Database'!$K$2:$K$630,MATCH(559,Engine!$C$2:$C$630,0)))</f>
        <v/>
      </c>
      <c r="L572" s="8">
        <f>IF(ISNA(MATCH(559,Engine!$C$2:$C$630,0)),"",INDEX('Compliance Database'!$L$2:$L$630,MATCH(559,Engine!$C$2:$C$630,0)))</f>
        <v/>
      </c>
      <c r="M572" s="8">
        <f>IF(ISNA(MATCH(559,Engine!$C$2:$C$630,0)),"",INDEX('Compliance Database'!$M$2:$M$630,MATCH(559,Engine!$C$2:$C$630,0)))</f>
        <v/>
      </c>
      <c r="N572" s="8">
        <f>IF(ISNA(MATCH(559,Engine!$C$2:$C$630,0)),"",INDEX('Compliance Database'!$N$2:$N$630,MATCH(559,Engine!$C$2:$C$630,0)))</f>
        <v/>
      </c>
      <c r="O572" s="8">
        <f>IF(ISNA(MATCH(559,Engine!$C$2:$C$630,0)),"",INDEX('Compliance Database'!$O$2:$O$630,MATCH(559,Engine!$C$2:$C$630,0)))</f>
        <v/>
      </c>
    </row>
    <row r="573">
      <c r="A573">
        <f>IF(ISNA(MATCH(560,Engine!$C$2:$C$630,0)),"",INDEX('Compliance Database'!$A$2:$A$630,MATCH(560,Engine!$C$2:$C$630,0)))</f>
        <v/>
      </c>
      <c r="B573">
        <f>IF(ISNA(MATCH(560,Engine!$C$2:$C$630,0)),"",INDEX('Compliance Database'!$B$2:$B$630,MATCH(560,Engine!$C$2:$C$630,0)))</f>
        <v/>
      </c>
      <c r="C573">
        <f>IF(ISNA(MATCH(560,Engine!$C$2:$C$630,0)),"",INDEX('Compliance Database'!$C$2:$C$630,MATCH(560,Engine!$C$2:$C$630,0)))</f>
        <v/>
      </c>
      <c r="D573" s="8">
        <f>IF(ISNA(MATCH(560,Engine!$C$2:$C$630,0)),"",INDEX('Compliance Database'!$D$2:$D$630,MATCH(560,Engine!$C$2:$C$630,0)))</f>
        <v/>
      </c>
      <c r="E573">
        <f>IF(ISNA(MATCH(560,Engine!$C$2:$C$630,0)),"",INDEX('Compliance Database'!$E$2:$E$630,MATCH(560,Engine!$C$2:$C$630,0)))</f>
        <v/>
      </c>
      <c r="F573">
        <f>IF(ISNA(MATCH(560,Engine!$C$2:$C$630,0)),"",INDEX('Compliance Database'!$F$2:$F$630,MATCH(560,Engine!$C$2:$C$630,0)))</f>
        <v/>
      </c>
      <c r="G573">
        <f>IF(ISNA(MATCH(560,Engine!$C$2:$C$630,0)),"",INDEX('Compliance Database'!$G$2:$G$630,MATCH(560,Engine!$C$2:$C$630,0)))</f>
        <v/>
      </c>
      <c r="H573">
        <f>IF(ISNA(MATCH(560,Engine!$C$2:$C$630,0)),"",INDEX('Compliance Database'!$H$2:$H$630,MATCH(560,Engine!$C$2:$C$630,0)))</f>
        <v/>
      </c>
      <c r="I573" s="8">
        <f>IF(ISNA(MATCH(560,Engine!$C$2:$C$630,0)),"",INDEX('Compliance Database'!$I$2:$I$630,MATCH(560,Engine!$C$2:$C$630,0)))</f>
        <v/>
      </c>
      <c r="J573" s="8">
        <f>IF(ISNA(MATCH(560,Engine!$C$2:$C$630,0)),"",INDEX('Compliance Database'!$J$2:$J$630,MATCH(560,Engine!$C$2:$C$630,0)))</f>
        <v/>
      </c>
      <c r="K573">
        <f>IF(ISNA(MATCH(560,Engine!$C$2:$C$630,0)),"",INDEX('Compliance Database'!$K$2:$K$630,MATCH(560,Engine!$C$2:$C$630,0)))</f>
        <v/>
      </c>
      <c r="L573" s="8">
        <f>IF(ISNA(MATCH(560,Engine!$C$2:$C$630,0)),"",INDEX('Compliance Database'!$L$2:$L$630,MATCH(560,Engine!$C$2:$C$630,0)))</f>
        <v/>
      </c>
      <c r="M573" s="8">
        <f>IF(ISNA(MATCH(560,Engine!$C$2:$C$630,0)),"",INDEX('Compliance Database'!$M$2:$M$630,MATCH(560,Engine!$C$2:$C$630,0)))</f>
        <v/>
      </c>
      <c r="N573" s="8">
        <f>IF(ISNA(MATCH(560,Engine!$C$2:$C$630,0)),"",INDEX('Compliance Database'!$N$2:$N$630,MATCH(560,Engine!$C$2:$C$630,0)))</f>
        <v/>
      </c>
      <c r="O573" s="8">
        <f>IF(ISNA(MATCH(560,Engine!$C$2:$C$630,0)),"",INDEX('Compliance Database'!$O$2:$O$630,MATCH(560,Engine!$C$2:$C$630,0)))</f>
        <v/>
      </c>
    </row>
    <row r="574">
      <c r="A574">
        <f>IF(ISNA(MATCH(561,Engine!$C$2:$C$630,0)),"",INDEX('Compliance Database'!$A$2:$A$630,MATCH(561,Engine!$C$2:$C$630,0)))</f>
        <v/>
      </c>
      <c r="B574">
        <f>IF(ISNA(MATCH(561,Engine!$C$2:$C$630,0)),"",INDEX('Compliance Database'!$B$2:$B$630,MATCH(561,Engine!$C$2:$C$630,0)))</f>
        <v/>
      </c>
      <c r="C574">
        <f>IF(ISNA(MATCH(561,Engine!$C$2:$C$630,0)),"",INDEX('Compliance Database'!$C$2:$C$630,MATCH(561,Engine!$C$2:$C$630,0)))</f>
        <v/>
      </c>
      <c r="D574" s="8">
        <f>IF(ISNA(MATCH(561,Engine!$C$2:$C$630,0)),"",INDEX('Compliance Database'!$D$2:$D$630,MATCH(561,Engine!$C$2:$C$630,0)))</f>
        <v/>
      </c>
      <c r="E574">
        <f>IF(ISNA(MATCH(561,Engine!$C$2:$C$630,0)),"",INDEX('Compliance Database'!$E$2:$E$630,MATCH(561,Engine!$C$2:$C$630,0)))</f>
        <v/>
      </c>
      <c r="F574">
        <f>IF(ISNA(MATCH(561,Engine!$C$2:$C$630,0)),"",INDEX('Compliance Database'!$F$2:$F$630,MATCH(561,Engine!$C$2:$C$630,0)))</f>
        <v/>
      </c>
      <c r="G574">
        <f>IF(ISNA(MATCH(561,Engine!$C$2:$C$630,0)),"",INDEX('Compliance Database'!$G$2:$G$630,MATCH(561,Engine!$C$2:$C$630,0)))</f>
        <v/>
      </c>
      <c r="H574">
        <f>IF(ISNA(MATCH(561,Engine!$C$2:$C$630,0)),"",INDEX('Compliance Database'!$H$2:$H$630,MATCH(561,Engine!$C$2:$C$630,0)))</f>
        <v/>
      </c>
      <c r="I574" s="8">
        <f>IF(ISNA(MATCH(561,Engine!$C$2:$C$630,0)),"",INDEX('Compliance Database'!$I$2:$I$630,MATCH(561,Engine!$C$2:$C$630,0)))</f>
        <v/>
      </c>
      <c r="J574" s="8">
        <f>IF(ISNA(MATCH(561,Engine!$C$2:$C$630,0)),"",INDEX('Compliance Database'!$J$2:$J$630,MATCH(561,Engine!$C$2:$C$630,0)))</f>
        <v/>
      </c>
      <c r="K574">
        <f>IF(ISNA(MATCH(561,Engine!$C$2:$C$630,0)),"",INDEX('Compliance Database'!$K$2:$K$630,MATCH(561,Engine!$C$2:$C$630,0)))</f>
        <v/>
      </c>
      <c r="L574" s="8">
        <f>IF(ISNA(MATCH(561,Engine!$C$2:$C$630,0)),"",INDEX('Compliance Database'!$L$2:$L$630,MATCH(561,Engine!$C$2:$C$630,0)))</f>
        <v/>
      </c>
      <c r="M574" s="8">
        <f>IF(ISNA(MATCH(561,Engine!$C$2:$C$630,0)),"",INDEX('Compliance Database'!$M$2:$M$630,MATCH(561,Engine!$C$2:$C$630,0)))</f>
        <v/>
      </c>
      <c r="N574" s="8">
        <f>IF(ISNA(MATCH(561,Engine!$C$2:$C$630,0)),"",INDEX('Compliance Database'!$N$2:$N$630,MATCH(561,Engine!$C$2:$C$630,0)))</f>
        <v/>
      </c>
      <c r="O574" s="8">
        <f>IF(ISNA(MATCH(561,Engine!$C$2:$C$630,0)),"",INDEX('Compliance Database'!$O$2:$O$630,MATCH(561,Engine!$C$2:$C$630,0)))</f>
        <v/>
      </c>
    </row>
    <row r="575">
      <c r="A575">
        <f>IF(ISNA(MATCH(562,Engine!$C$2:$C$630,0)),"",INDEX('Compliance Database'!$A$2:$A$630,MATCH(562,Engine!$C$2:$C$630,0)))</f>
        <v/>
      </c>
      <c r="B575">
        <f>IF(ISNA(MATCH(562,Engine!$C$2:$C$630,0)),"",INDEX('Compliance Database'!$B$2:$B$630,MATCH(562,Engine!$C$2:$C$630,0)))</f>
        <v/>
      </c>
      <c r="C575">
        <f>IF(ISNA(MATCH(562,Engine!$C$2:$C$630,0)),"",INDEX('Compliance Database'!$C$2:$C$630,MATCH(562,Engine!$C$2:$C$630,0)))</f>
        <v/>
      </c>
      <c r="D575" s="8">
        <f>IF(ISNA(MATCH(562,Engine!$C$2:$C$630,0)),"",INDEX('Compliance Database'!$D$2:$D$630,MATCH(562,Engine!$C$2:$C$630,0)))</f>
        <v/>
      </c>
      <c r="E575">
        <f>IF(ISNA(MATCH(562,Engine!$C$2:$C$630,0)),"",INDEX('Compliance Database'!$E$2:$E$630,MATCH(562,Engine!$C$2:$C$630,0)))</f>
        <v/>
      </c>
      <c r="F575">
        <f>IF(ISNA(MATCH(562,Engine!$C$2:$C$630,0)),"",INDEX('Compliance Database'!$F$2:$F$630,MATCH(562,Engine!$C$2:$C$630,0)))</f>
        <v/>
      </c>
      <c r="G575">
        <f>IF(ISNA(MATCH(562,Engine!$C$2:$C$630,0)),"",INDEX('Compliance Database'!$G$2:$G$630,MATCH(562,Engine!$C$2:$C$630,0)))</f>
        <v/>
      </c>
      <c r="H575">
        <f>IF(ISNA(MATCH(562,Engine!$C$2:$C$630,0)),"",INDEX('Compliance Database'!$H$2:$H$630,MATCH(562,Engine!$C$2:$C$630,0)))</f>
        <v/>
      </c>
      <c r="I575" s="8">
        <f>IF(ISNA(MATCH(562,Engine!$C$2:$C$630,0)),"",INDEX('Compliance Database'!$I$2:$I$630,MATCH(562,Engine!$C$2:$C$630,0)))</f>
        <v/>
      </c>
      <c r="J575" s="8">
        <f>IF(ISNA(MATCH(562,Engine!$C$2:$C$630,0)),"",INDEX('Compliance Database'!$J$2:$J$630,MATCH(562,Engine!$C$2:$C$630,0)))</f>
        <v/>
      </c>
      <c r="K575">
        <f>IF(ISNA(MATCH(562,Engine!$C$2:$C$630,0)),"",INDEX('Compliance Database'!$K$2:$K$630,MATCH(562,Engine!$C$2:$C$630,0)))</f>
        <v/>
      </c>
      <c r="L575" s="8">
        <f>IF(ISNA(MATCH(562,Engine!$C$2:$C$630,0)),"",INDEX('Compliance Database'!$L$2:$L$630,MATCH(562,Engine!$C$2:$C$630,0)))</f>
        <v/>
      </c>
      <c r="M575" s="8">
        <f>IF(ISNA(MATCH(562,Engine!$C$2:$C$630,0)),"",INDEX('Compliance Database'!$M$2:$M$630,MATCH(562,Engine!$C$2:$C$630,0)))</f>
        <v/>
      </c>
      <c r="N575" s="8">
        <f>IF(ISNA(MATCH(562,Engine!$C$2:$C$630,0)),"",INDEX('Compliance Database'!$N$2:$N$630,MATCH(562,Engine!$C$2:$C$630,0)))</f>
        <v/>
      </c>
      <c r="O575" s="8">
        <f>IF(ISNA(MATCH(562,Engine!$C$2:$C$630,0)),"",INDEX('Compliance Database'!$O$2:$O$630,MATCH(562,Engine!$C$2:$C$630,0)))</f>
        <v/>
      </c>
    </row>
    <row r="576">
      <c r="A576">
        <f>IF(ISNA(MATCH(563,Engine!$C$2:$C$630,0)),"",INDEX('Compliance Database'!$A$2:$A$630,MATCH(563,Engine!$C$2:$C$630,0)))</f>
        <v/>
      </c>
      <c r="B576">
        <f>IF(ISNA(MATCH(563,Engine!$C$2:$C$630,0)),"",INDEX('Compliance Database'!$B$2:$B$630,MATCH(563,Engine!$C$2:$C$630,0)))</f>
        <v/>
      </c>
      <c r="C576">
        <f>IF(ISNA(MATCH(563,Engine!$C$2:$C$630,0)),"",INDEX('Compliance Database'!$C$2:$C$630,MATCH(563,Engine!$C$2:$C$630,0)))</f>
        <v/>
      </c>
      <c r="D576" s="8">
        <f>IF(ISNA(MATCH(563,Engine!$C$2:$C$630,0)),"",INDEX('Compliance Database'!$D$2:$D$630,MATCH(563,Engine!$C$2:$C$630,0)))</f>
        <v/>
      </c>
      <c r="E576">
        <f>IF(ISNA(MATCH(563,Engine!$C$2:$C$630,0)),"",INDEX('Compliance Database'!$E$2:$E$630,MATCH(563,Engine!$C$2:$C$630,0)))</f>
        <v/>
      </c>
      <c r="F576">
        <f>IF(ISNA(MATCH(563,Engine!$C$2:$C$630,0)),"",INDEX('Compliance Database'!$F$2:$F$630,MATCH(563,Engine!$C$2:$C$630,0)))</f>
        <v/>
      </c>
      <c r="G576">
        <f>IF(ISNA(MATCH(563,Engine!$C$2:$C$630,0)),"",INDEX('Compliance Database'!$G$2:$G$630,MATCH(563,Engine!$C$2:$C$630,0)))</f>
        <v/>
      </c>
      <c r="H576">
        <f>IF(ISNA(MATCH(563,Engine!$C$2:$C$630,0)),"",INDEX('Compliance Database'!$H$2:$H$630,MATCH(563,Engine!$C$2:$C$630,0)))</f>
        <v/>
      </c>
      <c r="I576" s="8">
        <f>IF(ISNA(MATCH(563,Engine!$C$2:$C$630,0)),"",INDEX('Compliance Database'!$I$2:$I$630,MATCH(563,Engine!$C$2:$C$630,0)))</f>
        <v/>
      </c>
      <c r="J576" s="8">
        <f>IF(ISNA(MATCH(563,Engine!$C$2:$C$630,0)),"",INDEX('Compliance Database'!$J$2:$J$630,MATCH(563,Engine!$C$2:$C$630,0)))</f>
        <v/>
      </c>
      <c r="K576">
        <f>IF(ISNA(MATCH(563,Engine!$C$2:$C$630,0)),"",INDEX('Compliance Database'!$K$2:$K$630,MATCH(563,Engine!$C$2:$C$630,0)))</f>
        <v/>
      </c>
      <c r="L576" s="8">
        <f>IF(ISNA(MATCH(563,Engine!$C$2:$C$630,0)),"",INDEX('Compliance Database'!$L$2:$L$630,MATCH(563,Engine!$C$2:$C$630,0)))</f>
        <v/>
      </c>
      <c r="M576" s="8">
        <f>IF(ISNA(MATCH(563,Engine!$C$2:$C$630,0)),"",INDEX('Compliance Database'!$M$2:$M$630,MATCH(563,Engine!$C$2:$C$630,0)))</f>
        <v/>
      </c>
      <c r="N576" s="8">
        <f>IF(ISNA(MATCH(563,Engine!$C$2:$C$630,0)),"",INDEX('Compliance Database'!$N$2:$N$630,MATCH(563,Engine!$C$2:$C$630,0)))</f>
        <v/>
      </c>
      <c r="O576" s="8">
        <f>IF(ISNA(MATCH(563,Engine!$C$2:$C$630,0)),"",INDEX('Compliance Database'!$O$2:$O$630,MATCH(563,Engine!$C$2:$C$630,0)))</f>
        <v/>
      </c>
    </row>
    <row r="577">
      <c r="A577">
        <f>IF(ISNA(MATCH(564,Engine!$C$2:$C$630,0)),"",INDEX('Compliance Database'!$A$2:$A$630,MATCH(564,Engine!$C$2:$C$630,0)))</f>
        <v/>
      </c>
      <c r="B577">
        <f>IF(ISNA(MATCH(564,Engine!$C$2:$C$630,0)),"",INDEX('Compliance Database'!$B$2:$B$630,MATCH(564,Engine!$C$2:$C$630,0)))</f>
        <v/>
      </c>
      <c r="C577">
        <f>IF(ISNA(MATCH(564,Engine!$C$2:$C$630,0)),"",INDEX('Compliance Database'!$C$2:$C$630,MATCH(564,Engine!$C$2:$C$630,0)))</f>
        <v/>
      </c>
      <c r="D577" s="8">
        <f>IF(ISNA(MATCH(564,Engine!$C$2:$C$630,0)),"",INDEX('Compliance Database'!$D$2:$D$630,MATCH(564,Engine!$C$2:$C$630,0)))</f>
        <v/>
      </c>
      <c r="E577">
        <f>IF(ISNA(MATCH(564,Engine!$C$2:$C$630,0)),"",INDEX('Compliance Database'!$E$2:$E$630,MATCH(564,Engine!$C$2:$C$630,0)))</f>
        <v/>
      </c>
      <c r="F577">
        <f>IF(ISNA(MATCH(564,Engine!$C$2:$C$630,0)),"",INDEX('Compliance Database'!$F$2:$F$630,MATCH(564,Engine!$C$2:$C$630,0)))</f>
        <v/>
      </c>
      <c r="G577">
        <f>IF(ISNA(MATCH(564,Engine!$C$2:$C$630,0)),"",INDEX('Compliance Database'!$G$2:$G$630,MATCH(564,Engine!$C$2:$C$630,0)))</f>
        <v/>
      </c>
      <c r="H577">
        <f>IF(ISNA(MATCH(564,Engine!$C$2:$C$630,0)),"",INDEX('Compliance Database'!$H$2:$H$630,MATCH(564,Engine!$C$2:$C$630,0)))</f>
        <v/>
      </c>
      <c r="I577" s="8">
        <f>IF(ISNA(MATCH(564,Engine!$C$2:$C$630,0)),"",INDEX('Compliance Database'!$I$2:$I$630,MATCH(564,Engine!$C$2:$C$630,0)))</f>
        <v/>
      </c>
      <c r="J577" s="8">
        <f>IF(ISNA(MATCH(564,Engine!$C$2:$C$630,0)),"",INDEX('Compliance Database'!$J$2:$J$630,MATCH(564,Engine!$C$2:$C$630,0)))</f>
        <v/>
      </c>
      <c r="K577">
        <f>IF(ISNA(MATCH(564,Engine!$C$2:$C$630,0)),"",INDEX('Compliance Database'!$K$2:$K$630,MATCH(564,Engine!$C$2:$C$630,0)))</f>
        <v/>
      </c>
      <c r="L577" s="8">
        <f>IF(ISNA(MATCH(564,Engine!$C$2:$C$630,0)),"",INDEX('Compliance Database'!$L$2:$L$630,MATCH(564,Engine!$C$2:$C$630,0)))</f>
        <v/>
      </c>
      <c r="M577" s="8">
        <f>IF(ISNA(MATCH(564,Engine!$C$2:$C$630,0)),"",INDEX('Compliance Database'!$M$2:$M$630,MATCH(564,Engine!$C$2:$C$630,0)))</f>
        <v/>
      </c>
      <c r="N577" s="8">
        <f>IF(ISNA(MATCH(564,Engine!$C$2:$C$630,0)),"",INDEX('Compliance Database'!$N$2:$N$630,MATCH(564,Engine!$C$2:$C$630,0)))</f>
        <v/>
      </c>
      <c r="O577" s="8">
        <f>IF(ISNA(MATCH(564,Engine!$C$2:$C$630,0)),"",INDEX('Compliance Database'!$O$2:$O$630,MATCH(564,Engine!$C$2:$C$630,0)))</f>
        <v/>
      </c>
    </row>
    <row r="578">
      <c r="A578">
        <f>IF(ISNA(MATCH(565,Engine!$C$2:$C$630,0)),"",INDEX('Compliance Database'!$A$2:$A$630,MATCH(565,Engine!$C$2:$C$630,0)))</f>
        <v/>
      </c>
      <c r="B578">
        <f>IF(ISNA(MATCH(565,Engine!$C$2:$C$630,0)),"",INDEX('Compliance Database'!$B$2:$B$630,MATCH(565,Engine!$C$2:$C$630,0)))</f>
        <v/>
      </c>
      <c r="C578">
        <f>IF(ISNA(MATCH(565,Engine!$C$2:$C$630,0)),"",INDEX('Compliance Database'!$C$2:$C$630,MATCH(565,Engine!$C$2:$C$630,0)))</f>
        <v/>
      </c>
      <c r="D578" s="8">
        <f>IF(ISNA(MATCH(565,Engine!$C$2:$C$630,0)),"",INDEX('Compliance Database'!$D$2:$D$630,MATCH(565,Engine!$C$2:$C$630,0)))</f>
        <v/>
      </c>
      <c r="E578">
        <f>IF(ISNA(MATCH(565,Engine!$C$2:$C$630,0)),"",INDEX('Compliance Database'!$E$2:$E$630,MATCH(565,Engine!$C$2:$C$630,0)))</f>
        <v/>
      </c>
      <c r="F578">
        <f>IF(ISNA(MATCH(565,Engine!$C$2:$C$630,0)),"",INDEX('Compliance Database'!$F$2:$F$630,MATCH(565,Engine!$C$2:$C$630,0)))</f>
        <v/>
      </c>
      <c r="G578">
        <f>IF(ISNA(MATCH(565,Engine!$C$2:$C$630,0)),"",INDEX('Compliance Database'!$G$2:$G$630,MATCH(565,Engine!$C$2:$C$630,0)))</f>
        <v/>
      </c>
      <c r="H578">
        <f>IF(ISNA(MATCH(565,Engine!$C$2:$C$630,0)),"",INDEX('Compliance Database'!$H$2:$H$630,MATCH(565,Engine!$C$2:$C$630,0)))</f>
        <v/>
      </c>
      <c r="I578" s="8">
        <f>IF(ISNA(MATCH(565,Engine!$C$2:$C$630,0)),"",INDEX('Compliance Database'!$I$2:$I$630,MATCH(565,Engine!$C$2:$C$630,0)))</f>
        <v/>
      </c>
      <c r="J578" s="8">
        <f>IF(ISNA(MATCH(565,Engine!$C$2:$C$630,0)),"",INDEX('Compliance Database'!$J$2:$J$630,MATCH(565,Engine!$C$2:$C$630,0)))</f>
        <v/>
      </c>
      <c r="K578">
        <f>IF(ISNA(MATCH(565,Engine!$C$2:$C$630,0)),"",INDEX('Compliance Database'!$K$2:$K$630,MATCH(565,Engine!$C$2:$C$630,0)))</f>
        <v/>
      </c>
      <c r="L578" s="8">
        <f>IF(ISNA(MATCH(565,Engine!$C$2:$C$630,0)),"",INDEX('Compliance Database'!$L$2:$L$630,MATCH(565,Engine!$C$2:$C$630,0)))</f>
        <v/>
      </c>
      <c r="M578" s="8">
        <f>IF(ISNA(MATCH(565,Engine!$C$2:$C$630,0)),"",INDEX('Compliance Database'!$M$2:$M$630,MATCH(565,Engine!$C$2:$C$630,0)))</f>
        <v/>
      </c>
      <c r="N578" s="8">
        <f>IF(ISNA(MATCH(565,Engine!$C$2:$C$630,0)),"",INDEX('Compliance Database'!$N$2:$N$630,MATCH(565,Engine!$C$2:$C$630,0)))</f>
        <v/>
      </c>
      <c r="O578" s="8">
        <f>IF(ISNA(MATCH(565,Engine!$C$2:$C$630,0)),"",INDEX('Compliance Database'!$O$2:$O$630,MATCH(565,Engine!$C$2:$C$630,0)))</f>
        <v/>
      </c>
    </row>
    <row r="579">
      <c r="A579">
        <f>IF(ISNA(MATCH(566,Engine!$C$2:$C$630,0)),"",INDEX('Compliance Database'!$A$2:$A$630,MATCH(566,Engine!$C$2:$C$630,0)))</f>
        <v/>
      </c>
      <c r="B579">
        <f>IF(ISNA(MATCH(566,Engine!$C$2:$C$630,0)),"",INDEX('Compliance Database'!$B$2:$B$630,MATCH(566,Engine!$C$2:$C$630,0)))</f>
        <v/>
      </c>
      <c r="C579">
        <f>IF(ISNA(MATCH(566,Engine!$C$2:$C$630,0)),"",INDEX('Compliance Database'!$C$2:$C$630,MATCH(566,Engine!$C$2:$C$630,0)))</f>
        <v/>
      </c>
      <c r="D579" s="8">
        <f>IF(ISNA(MATCH(566,Engine!$C$2:$C$630,0)),"",INDEX('Compliance Database'!$D$2:$D$630,MATCH(566,Engine!$C$2:$C$630,0)))</f>
        <v/>
      </c>
      <c r="E579">
        <f>IF(ISNA(MATCH(566,Engine!$C$2:$C$630,0)),"",INDEX('Compliance Database'!$E$2:$E$630,MATCH(566,Engine!$C$2:$C$630,0)))</f>
        <v/>
      </c>
      <c r="F579">
        <f>IF(ISNA(MATCH(566,Engine!$C$2:$C$630,0)),"",INDEX('Compliance Database'!$F$2:$F$630,MATCH(566,Engine!$C$2:$C$630,0)))</f>
        <v/>
      </c>
      <c r="G579">
        <f>IF(ISNA(MATCH(566,Engine!$C$2:$C$630,0)),"",INDEX('Compliance Database'!$G$2:$G$630,MATCH(566,Engine!$C$2:$C$630,0)))</f>
        <v/>
      </c>
      <c r="H579">
        <f>IF(ISNA(MATCH(566,Engine!$C$2:$C$630,0)),"",INDEX('Compliance Database'!$H$2:$H$630,MATCH(566,Engine!$C$2:$C$630,0)))</f>
        <v/>
      </c>
      <c r="I579" s="8">
        <f>IF(ISNA(MATCH(566,Engine!$C$2:$C$630,0)),"",INDEX('Compliance Database'!$I$2:$I$630,MATCH(566,Engine!$C$2:$C$630,0)))</f>
        <v/>
      </c>
      <c r="J579" s="8">
        <f>IF(ISNA(MATCH(566,Engine!$C$2:$C$630,0)),"",INDEX('Compliance Database'!$J$2:$J$630,MATCH(566,Engine!$C$2:$C$630,0)))</f>
        <v/>
      </c>
      <c r="K579">
        <f>IF(ISNA(MATCH(566,Engine!$C$2:$C$630,0)),"",INDEX('Compliance Database'!$K$2:$K$630,MATCH(566,Engine!$C$2:$C$630,0)))</f>
        <v/>
      </c>
      <c r="L579" s="8">
        <f>IF(ISNA(MATCH(566,Engine!$C$2:$C$630,0)),"",INDEX('Compliance Database'!$L$2:$L$630,MATCH(566,Engine!$C$2:$C$630,0)))</f>
        <v/>
      </c>
      <c r="M579" s="8">
        <f>IF(ISNA(MATCH(566,Engine!$C$2:$C$630,0)),"",INDEX('Compliance Database'!$M$2:$M$630,MATCH(566,Engine!$C$2:$C$630,0)))</f>
        <v/>
      </c>
      <c r="N579" s="8">
        <f>IF(ISNA(MATCH(566,Engine!$C$2:$C$630,0)),"",INDEX('Compliance Database'!$N$2:$N$630,MATCH(566,Engine!$C$2:$C$630,0)))</f>
        <v/>
      </c>
      <c r="O579" s="8">
        <f>IF(ISNA(MATCH(566,Engine!$C$2:$C$630,0)),"",INDEX('Compliance Database'!$O$2:$O$630,MATCH(566,Engine!$C$2:$C$630,0)))</f>
        <v/>
      </c>
    </row>
    <row r="580">
      <c r="A580">
        <f>IF(ISNA(MATCH(567,Engine!$C$2:$C$630,0)),"",INDEX('Compliance Database'!$A$2:$A$630,MATCH(567,Engine!$C$2:$C$630,0)))</f>
        <v/>
      </c>
      <c r="B580">
        <f>IF(ISNA(MATCH(567,Engine!$C$2:$C$630,0)),"",INDEX('Compliance Database'!$B$2:$B$630,MATCH(567,Engine!$C$2:$C$630,0)))</f>
        <v/>
      </c>
      <c r="C580">
        <f>IF(ISNA(MATCH(567,Engine!$C$2:$C$630,0)),"",INDEX('Compliance Database'!$C$2:$C$630,MATCH(567,Engine!$C$2:$C$630,0)))</f>
        <v/>
      </c>
      <c r="D580" s="8">
        <f>IF(ISNA(MATCH(567,Engine!$C$2:$C$630,0)),"",INDEX('Compliance Database'!$D$2:$D$630,MATCH(567,Engine!$C$2:$C$630,0)))</f>
        <v/>
      </c>
      <c r="E580">
        <f>IF(ISNA(MATCH(567,Engine!$C$2:$C$630,0)),"",INDEX('Compliance Database'!$E$2:$E$630,MATCH(567,Engine!$C$2:$C$630,0)))</f>
        <v/>
      </c>
      <c r="F580">
        <f>IF(ISNA(MATCH(567,Engine!$C$2:$C$630,0)),"",INDEX('Compliance Database'!$F$2:$F$630,MATCH(567,Engine!$C$2:$C$630,0)))</f>
        <v/>
      </c>
      <c r="G580">
        <f>IF(ISNA(MATCH(567,Engine!$C$2:$C$630,0)),"",INDEX('Compliance Database'!$G$2:$G$630,MATCH(567,Engine!$C$2:$C$630,0)))</f>
        <v/>
      </c>
      <c r="H580">
        <f>IF(ISNA(MATCH(567,Engine!$C$2:$C$630,0)),"",INDEX('Compliance Database'!$H$2:$H$630,MATCH(567,Engine!$C$2:$C$630,0)))</f>
        <v/>
      </c>
      <c r="I580" s="8">
        <f>IF(ISNA(MATCH(567,Engine!$C$2:$C$630,0)),"",INDEX('Compliance Database'!$I$2:$I$630,MATCH(567,Engine!$C$2:$C$630,0)))</f>
        <v/>
      </c>
      <c r="J580" s="8">
        <f>IF(ISNA(MATCH(567,Engine!$C$2:$C$630,0)),"",INDEX('Compliance Database'!$J$2:$J$630,MATCH(567,Engine!$C$2:$C$630,0)))</f>
        <v/>
      </c>
      <c r="K580">
        <f>IF(ISNA(MATCH(567,Engine!$C$2:$C$630,0)),"",INDEX('Compliance Database'!$K$2:$K$630,MATCH(567,Engine!$C$2:$C$630,0)))</f>
        <v/>
      </c>
      <c r="L580" s="8">
        <f>IF(ISNA(MATCH(567,Engine!$C$2:$C$630,0)),"",INDEX('Compliance Database'!$L$2:$L$630,MATCH(567,Engine!$C$2:$C$630,0)))</f>
        <v/>
      </c>
      <c r="M580" s="8">
        <f>IF(ISNA(MATCH(567,Engine!$C$2:$C$630,0)),"",INDEX('Compliance Database'!$M$2:$M$630,MATCH(567,Engine!$C$2:$C$630,0)))</f>
        <v/>
      </c>
      <c r="N580" s="8">
        <f>IF(ISNA(MATCH(567,Engine!$C$2:$C$630,0)),"",INDEX('Compliance Database'!$N$2:$N$630,MATCH(567,Engine!$C$2:$C$630,0)))</f>
        <v/>
      </c>
      <c r="O580" s="8">
        <f>IF(ISNA(MATCH(567,Engine!$C$2:$C$630,0)),"",INDEX('Compliance Database'!$O$2:$O$630,MATCH(567,Engine!$C$2:$C$630,0)))</f>
        <v/>
      </c>
    </row>
    <row r="581">
      <c r="A581">
        <f>IF(ISNA(MATCH(568,Engine!$C$2:$C$630,0)),"",INDEX('Compliance Database'!$A$2:$A$630,MATCH(568,Engine!$C$2:$C$630,0)))</f>
        <v/>
      </c>
      <c r="B581">
        <f>IF(ISNA(MATCH(568,Engine!$C$2:$C$630,0)),"",INDEX('Compliance Database'!$B$2:$B$630,MATCH(568,Engine!$C$2:$C$630,0)))</f>
        <v/>
      </c>
      <c r="C581">
        <f>IF(ISNA(MATCH(568,Engine!$C$2:$C$630,0)),"",INDEX('Compliance Database'!$C$2:$C$630,MATCH(568,Engine!$C$2:$C$630,0)))</f>
        <v/>
      </c>
      <c r="D581" s="8">
        <f>IF(ISNA(MATCH(568,Engine!$C$2:$C$630,0)),"",INDEX('Compliance Database'!$D$2:$D$630,MATCH(568,Engine!$C$2:$C$630,0)))</f>
        <v/>
      </c>
      <c r="E581">
        <f>IF(ISNA(MATCH(568,Engine!$C$2:$C$630,0)),"",INDEX('Compliance Database'!$E$2:$E$630,MATCH(568,Engine!$C$2:$C$630,0)))</f>
        <v/>
      </c>
      <c r="F581">
        <f>IF(ISNA(MATCH(568,Engine!$C$2:$C$630,0)),"",INDEX('Compliance Database'!$F$2:$F$630,MATCH(568,Engine!$C$2:$C$630,0)))</f>
        <v/>
      </c>
      <c r="G581">
        <f>IF(ISNA(MATCH(568,Engine!$C$2:$C$630,0)),"",INDEX('Compliance Database'!$G$2:$G$630,MATCH(568,Engine!$C$2:$C$630,0)))</f>
        <v/>
      </c>
      <c r="H581">
        <f>IF(ISNA(MATCH(568,Engine!$C$2:$C$630,0)),"",INDEX('Compliance Database'!$H$2:$H$630,MATCH(568,Engine!$C$2:$C$630,0)))</f>
        <v/>
      </c>
      <c r="I581" s="8">
        <f>IF(ISNA(MATCH(568,Engine!$C$2:$C$630,0)),"",INDEX('Compliance Database'!$I$2:$I$630,MATCH(568,Engine!$C$2:$C$630,0)))</f>
        <v/>
      </c>
      <c r="J581" s="8">
        <f>IF(ISNA(MATCH(568,Engine!$C$2:$C$630,0)),"",INDEX('Compliance Database'!$J$2:$J$630,MATCH(568,Engine!$C$2:$C$630,0)))</f>
        <v/>
      </c>
      <c r="K581">
        <f>IF(ISNA(MATCH(568,Engine!$C$2:$C$630,0)),"",INDEX('Compliance Database'!$K$2:$K$630,MATCH(568,Engine!$C$2:$C$630,0)))</f>
        <v/>
      </c>
      <c r="L581" s="8">
        <f>IF(ISNA(MATCH(568,Engine!$C$2:$C$630,0)),"",INDEX('Compliance Database'!$L$2:$L$630,MATCH(568,Engine!$C$2:$C$630,0)))</f>
        <v/>
      </c>
      <c r="M581" s="8">
        <f>IF(ISNA(MATCH(568,Engine!$C$2:$C$630,0)),"",INDEX('Compliance Database'!$M$2:$M$630,MATCH(568,Engine!$C$2:$C$630,0)))</f>
        <v/>
      </c>
      <c r="N581" s="8">
        <f>IF(ISNA(MATCH(568,Engine!$C$2:$C$630,0)),"",INDEX('Compliance Database'!$N$2:$N$630,MATCH(568,Engine!$C$2:$C$630,0)))</f>
        <v/>
      </c>
      <c r="O581" s="8">
        <f>IF(ISNA(MATCH(568,Engine!$C$2:$C$630,0)),"",INDEX('Compliance Database'!$O$2:$O$630,MATCH(568,Engine!$C$2:$C$630,0)))</f>
        <v/>
      </c>
    </row>
    <row r="582">
      <c r="A582">
        <f>IF(ISNA(MATCH(569,Engine!$C$2:$C$630,0)),"",INDEX('Compliance Database'!$A$2:$A$630,MATCH(569,Engine!$C$2:$C$630,0)))</f>
        <v/>
      </c>
      <c r="B582">
        <f>IF(ISNA(MATCH(569,Engine!$C$2:$C$630,0)),"",INDEX('Compliance Database'!$B$2:$B$630,MATCH(569,Engine!$C$2:$C$630,0)))</f>
        <v/>
      </c>
      <c r="C582">
        <f>IF(ISNA(MATCH(569,Engine!$C$2:$C$630,0)),"",INDEX('Compliance Database'!$C$2:$C$630,MATCH(569,Engine!$C$2:$C$630,0)))</f>
        <v/>
      </c>
      <c r="D582" s="8">
        <f>IF(ISNA(MATCH(569,Engine!$C$2:$C$630,0)),"",INDEX('Compliance Database'!$D$2:$D$630,MATCH(569,Engine!$C$2:$C$630,0)))</f>
        <v/>
      </c>
      <c r="E582">
        <f>IF(ISNA(MATCH(569,Engine!$C$2:$C$630,0)),"",INDEX('Compliance Database'!$E$2:$E$630,MATCH(569,Engine!$C$2:$C$630,0)))</f>
        <v/>
      </c>
      <c r="F582">
        <f>IF(ISNA(MATCH(569,Engine!$C$2:$C$630,0)),"",INDEX('Compliance Database'!$F$2:$F$630,MATCH(569,Engine!$C$2:$C$630,0)))</f>
        <v/>
      </c>
      <c r="G582">
        <f>IF(ISNA(MATCH(569,Engine!$C$2:$C$630,0)),"",INDEX('Compliance Database'!$G$2:$G$630,MATCH(569,Engine!$C$2:$C$630,0)))</f>
        <v/>
      </c>
      <c r="H582">
        <f>IF(ISNA(MATCH(569,Engine!$C$2:$C$630,0)),"",INDEX('Compliance Database'!$H$2:$H$630,MATCH(569,Engine!$C$2:$C$630,0)))</f>
        <v/>
      </c>
      <c r="I582" s="8">
        <f>IF(ISNA(MATCH(569,Engine!$C$2:$C$630,0)),"",INDEX('Compliance Database'!$I$2:$I$630,MATCH(569,Engine!$C$2:$C$630,0)))</f>
        <v/>
      </c>
      <c r="J582" s="8">
        <f>IF(ISNA(MATCH(569,Engine!$C$2:$C$630,0)),"",INDEX('Compliance Database'!$J$2:$J$630,MATCH(569,Engine!$C$2:$C$630,0)))</f>
        <v/>
      </c>
      <c r="K582">
        <f>IF(ISNA(MATCH(569,Engine!$C$2:$C$630,0)),"",INDEX('Compliance Database'!$K$2:$K$630,MATCH(569,Engine!$C$2:$C$630,0)))</f>
        <v/>
      </c>
      <c r="L582" s="8">
        <f>IF(ISNA(MATCH(569,Engine!$C$2:$C$630,0)),"",INDEX('Compliance Database'!$L$2:$L$630,MATCH(569,Engine!$C$2:$C$630,0)))</f>
        <v/>
      </c>
      <c r="M582" s="8">
        <f>IF(ISNA(MATCH(569,Engine!$C$2:$C$630,0)),"",INDEX('Compliance Database'!$M$2:$M$630,MATCH(569,Engine!$C$2:$C$630,0)))</f>
        <v/>
      </c>
      <c r="N582" s="8">
        <f>IF(ISNA(MATCH(569,Engine!$C$2:$C$630,0)),"",INDEX('Compliance Database'!$N$2:$N$630,MATCH(569,Engine!$C$2:$C$630,0)))</f>
        <v/>
      </c>
      <c r="O582" s="8">
        <f>IF(ISNA(MATCH(569,Engine!$C$2:$C$630,0)),"",INDEX('Compliance Database'!$O$2:$O$630,MATCH(569,Engine!$C$2:$C$630,0)))</f>
        <v/>
      </c>
    </row>
    <row r="583">
      <c r="A583">
        <f>IF(ISNA(MATCH(570,Engine!$C$2:$C$630,0)),"",INDEX('Compliance Database'!$A$2:$A$630,MATCH(570,Engine!$C$2:$C$630,0)))</f>
        <v/>
      </c>
      <c r="B583">
        <f>IF(ISNA(MATCH(570,Engine!$C$2:$C$630,0)),"",INDEX('Compliance Database'!$B$2:$B$630,MATCH(570,Engine!$C$2:$C$630,0)))</f>
        <v/>
      </c>
      <c r="C583">
        <f>IF(ISNA(MATCH(570,Engine!$C$2:$C$630,0)),"",INDEX('Compliance Database'!$C$2:$C$630,MATCH(570,Engine!$C$2:$C$630,0)))</f>
        <v/>
      </c>
      <c r="D583" s="8">
        <f>IF(ISNA(MATCH(570,Engine!$C$2:$C$630,0)),"",INDEX('Compliance Database'!$D$2:$D$630,MATCH(570,Engine!$C$2:$C$630,0)))</f>
        <v/>
      </c>
      <c r="E583">
        <f>IF(ISNA(MATCH(570,Engine!$C$2:$C$630,0)),"",INDEX('Compliance Database'!$E$2:$E$630,MATCH(570,Engine!$C$2:$C$630,0)))</f>
        <v/>
      </c>
      <c r="F583">
        <f>IF(ISNA(MATCH(570,Engine!$C$2:$C$630,0)),"",INDEX('Compliance Database'!$F$2:$F$630,MATCH(570,Engine!$C$2:$C$630,0)))</f>
        <v/>
      </c>
      <c r="G583">
        <f>IF(ISNA(MATCH(570,Engine!$C$2:$C$630,0)),"",INDEX('Compliance Database'!$G$2:$G$630,MATCH(570,Engine!$C$2:$C$630,0)))</f>
        <v/>
      </c>
      <c r="H583">
        <f>IF(ISNA(MATCH(570,Engine!$C$2:$C$630,0)),"",INDEX('Compliance Database'!$H$2:$H$630,MATCH(570,Engine!$C$2:$C$630,0)))</f>
        <v/>
      </c>
      <c r="I583" s="8">
        <f>IF(ISNA(MATCH(570,Engine!$C$2:$C$630,0)),"",INDEX('Compliance Database'!$I$2:$I$630,MATCH(570,Engine!$C$2:$C$630,0)))</f>
        <v/>
      </c>
      <c r="J583" s="8">
        <f>IF(ISNA(MATCH(570,Engine!$C$2:$C$630,0)),"",INDEX('Compliance Database'!$J$2:$J$630,MATCH(570,Engine!$C$2:$C$630,0)))</f>
        <v/>
      </c>
      <c r="K583">
        <f>IF(ISNA(MATCH(570,Engine!$C$2:$C$630,0)),"",INDEX('Compliance Database'!$K$2:$K$630,MATCH(570,Engine!$C$2:$C$630,0)))</f>
        <v/>
      </c>
      <c r="L583" s="8">
        <f>IF(ISNA(MATCH(570,Engine!$C$2:$C$630,0)),"",INDEX('Compliance Database'!$L$2:$L$630,MATCH(570,Engine!$C$2:$C$630,0)))</f>
        <v/>
      </c>
      <c r="M583" s="8">
        <f>IF(ISNA(MATCH(570,Engine!$C$2:$C$630,0)),"",INDEX('Compliance Database'!$M$2:$M$630,MATCH(570,Engine!$C$2:$C$630,0)))</f>
        <v/>
      </c>
      <c r="N583" s="8">
        <f>IF(ISNA(MATCH(570,Engine!$C$2:$C$630,0)),"",INDEX('Compliance Database'!$N$2:$N$630,MATCH(570,Engine!$C$2:$C$630,0)))</f>
        <v/>
      </c>
      <c r="O583" s="8">
        <f>IF(ISNA(MATCH(570,Engine!$C$2:$C$630,0)),"",INDEX('Compliance Database'!$O$2:$O$630,MATCH(570,Engine!$C$2:$C$630,0)))</f>
        <v/>
      </c>
    </row>
    <row r="584">
      <c r="A584">
        <f>IF(ISNA(MATCH(571,Engine!$C$2:$C$630,0)),"",INDEX('Compliance Database'!$A$2:$A$630,MATCH(571,Engine!$C$2:$C$630,0)))</f>
        <v/>
      </c>
      <c r="B584">
        <f>IF(ISNA(MATCH(571,Engine!$C$2:$C$630,0)),"",INDEX('Compliance Database'!$B$2:$B$630,MATCH(571,Engine!$C$2:$C$630,0)))</f>
        <v/>
      </c>
      <c r="C584">
        <f>IF(ISNA(MATCH(571,Engine!$C$2:$C$630,0)),"",INDEX('Compliance Database'!$C$2:$C$630,MATCH(571,Engine!$C$2:$C$630,0)))</f>
        <v/>
      </c>
      <c r="D584" s="8">
        <f>IF(ISNA(MATCH(571,Engine!$C$2:$C$630,0)),"",INDEX('Compliance Database'!$D$2:$D$630,MATCH(571,Engine!$C$2:$C$630,0)))</f>
        <v/>
      </c>
      <c r="E584">
        <f>IF(ISNA(MATCH(571,Engine!$C$2:$C$630,0)),"",INDEX('Compliance Database'!$E$2:$E$630,MATCH(571,Engine!$C$2:$C$630,0)))</f>
        <v/>
      </c>
      <c r="F584">
        <f>IF(ISNA(MATCH(571,Engine!$C$2:$C$630,0)),"",INDEX('Compliance Database'!$F$2:$F$630,MATCH(571,Engine!$C$2:$C$630,0)))</f>
        <v/>
      </c>
      <c r="G584">
        <f>IF(ISNA(MATCH(571,Engine!$C$2:$C$630,0)),"",INDEX('Compliance Database'!$G$2:$G$630,MATCH(571,Engine!$C$2:$C$630,0)))</f>
        <v/>
      </c>
      <c r="H584">
        <f>IF(ISNA(MATCH(571,Engine!$C$2:$C$630,0)),"",INDEX('Compliance Database'!$H$2:$H$630,MATCH(571,Engine!$C$2:$C$630,0)))</f>
        <v/>
      </c>
      <c r="I584" s="8">
        <f>IF(ISNA(MATCH(571,Engine!$C$2:$C$630,0)),"",INDEX('Compliance Database'!$I$2:$I$630,MATCH(571,Engine!$C$2:$C$630,0)))</f>
        <v/>
      </c>
      <c r="J584" s="8">
        <f>IF(ISNA(MATCH(571,Engine!$C$2:$C$630,0)),"",INDEX('Compliance Database'!$J$2:$J$630,MATCH(571,Engine!$C$2:$C$630,0)))</f>
        <v/>
      </c>
      <c r="K584">
        <f>IF(ISNA(MATCH(571,Engine!$C$2:$C$630,0)),"",INDEX('Compliance Database'!$K$2:$K$630,MATCH(571,Engine!$C$2:$C$630,0)))</f>
        <v/>
      </c>
      <c r="L584" s="8">
        <f>IF(ISNA(MATCH(571,Engine!$C$2:$C$630,0)),"",INDEX('Compliance Database'!$L$2:$L$630,MATCH(571,Engine!$C$2:$C$630,0)))</f>
        <v/>
      </c>
      <c r="M584" s="8">
        <f>IF(ISNA(MATCH(571,Engine!$C$2:$C$630,0)),"",INDEX('Compliance Database'!$M$2:$M$630,MATCH(571,Engine!$C$2:$C$630,0)))</f>
        <v/>
      </c>
      <c r="N584" s="8">
        <f>IF(ISNA(MATCH(571,Engine!$C$2:$C$630,0)),"",INDEX('Compliance Database'!$N$2:$N$630,MATCH(571,Engine!$C$2:$C$630,0)))</f>
        <v/>
      </c>
      <c r="O584" s="8">
        <f>IF(ISNA(MATCH(571,Engine!$C$2:$C$630,0)),"",INDEX('Compliance Database'!$O$2:$O$630,MATCH(571,Engine!$C$2:$C$630,0)))</f>
        <v/>
      </c>
    </row>
    <row r="585">
      <c r="A585">
        <f>IF(ISNA(MATCH(572,Engine!$C$2:$C$630,0)),"",INDEX('Compliance Database'!$A$2:$A$630,MATCH(572,Engine!$C$2:$C$630,0)))</f>
        <v/>
      </c>
      <c r="B585">
        <f>IF(ISNA(MATCH(572,Engine!$C$2:$C$630,0)),"",INDEX('Compliance Database'!$B$2:$B$630,MATCH(572,Engine!$C$2:$C$630,0)))</f>
        <v/>
      </c>
      <c r="C585">
        <f>IF(ISNA(MATCH(572,Engine!$C$2:$C$630,0)),"",INDEX('Compliance Database'!$C$2:$C$630,MATCH(572,Engine!$C$2:$C$630,0)))</f>
        <v/>
      </c>
      <c r="D585" s="8">
        <f>IF(ISNA(MATCH(572,Engine!$C$2:$C$630,0)),"",INDEX('Compliance Database'!$D$2:$D$630,MATCH(572,Engine!$C$2:$C$630,0)))</f>
        <v/>
      </c>
      <c r="E585">
        <f>IF(ISNA(MATCH(572,Engine!$C$2:$C$630,0)),"",INDEX('Compliance Database'!$E$2:$E$630,MATCH(572,Engine!$C$2:$C$630,0)))</f>
        <v/>
      </c>
      <c r="F585">
        <f>IF(ISNA(MATCH(572,Engine!$C$2:$C$630,0)),"",INDEX('Compliance Database'!$F$2:$F$630,MATCH(572,Engine!$C$2:$C$630,0)))</f>
        <v/>
      </c>
      <c r="G585">
        <f>IF(ISNA(MATCH(572,Engine!$C$2:$C$630,0)),"",INDEX('Compliance Database'!$G$2:$G$630,MATCH(572,Engine!$C$2:$C$630,0)))</f>
        <v/>
      </c>
      <c r="H585">
        <f>IF(ISNA(MATCH(572,Engine!$C$2:$C$630,0)),"",INDEX('Compliance Database'!$H$2:$H$630,MATCH(572,Engine!$C$2:$C$630,0)))</f>
        <v/>
      </c>
      <c r="I585" s="8">
        <f>IF(ISNA(MATCH(572,Engine!$C$2:$C$630,0)),"",INDEX('Compliance Database'!$I$2:$I$630,MATCH(572,Engine!$C$2:$C$630,0)))</f>
        <v/>
      </c>
      <c r="J585" s="8">
        <f>IF(ISNA(MATCH(572,Engine!$C$2:$C$630,0)),"",INDEX('Compliance Database'!$J$2:$J$630,MATCH(572,Engine!$C$2:$C$630,0)))</f>
        <v/>
      </c>
      <c r="K585">
        <f>IF(ISNA(MATCH(572,Engine!$C$2:$C$630,0)),"",INDEX('Compliance Database'!$K$2:$K$630,MATCH(572,Engine!$C$2:$C$630,0)))</f>
        <v/>
      </c>
      <c r="L585" s="8">
        <f>IF(ISNA(MATCH(572,Engine!$C$2:$C$630,0)),"",INDEX('Compliance Database'!$L$2:$L$630,MATCH(572,Engine!$C$2:$C$630,0)))</f>
        <v/>
      </c>
      <c r="M585" s="8">
        <f>IF(ISNA(MATCH(572,Engine!$C$2:$C$630,0)),"",INDEX('Compliance Database'!$M$2:$M$630,MATCH(572,Engine!$C$2:$C$630,0)))</f>
        <v/>
      </c>
      <c r="N585" s="8">
        <f>IF(ISNA(MATCH(572,Engine!$C$2:$C$630,0)),"",INDEX('Compliance Database'!$N$2:$N$630,MATCH(572,Engine!$C$2:$C$630,0)))</f>
        <v/>
      </c>
      <c r="O585" s="8">
        <f>IF(ISNA(MATCH(572,Engine!$C$2:$C$630,0)),"",INDEX('Compliance Database'!$O$2:$O$630,MATCH(572,Engine!$C$2:$C$630,0)))</f>
        <v/>
      </c>
    </row>
    <row r="586">
      <c r="A586">
        <f>IF(ISNA(MATCH(573,Engine!$C$2:$C$630,0)),"",INDEX('Compliance Database'!$A$2:$A$630,MATCH(573,Engine!$C$2:$C$630,0)))</f>
        <v/>
      </c>
      <c r="B586">
        <f>IF(ISNA(MATCH(573,Engine!$C$2:$C$630,0)),"",INDEX('Compliance Database'!$B$2:$B$630,MATCH(573,Engine!$C$2:$C$630,0)))</f>
        <v/>
      </c>
      <c r="C586">
        <f>IF(ISNA(MATCH(573,Engine!$C$2:$C$630,0)),"",INDEX('Compliance Database'!$C$2:$C$630,MATCH(573,Engine!$C$2:$C$630,0)))</f>
        <v/>
      </c>
      <c r="D586" s="8">
        <f>IF(ISNA(MATCH(573,Engine!$C$2:$C$630,0)),"",INDEX('Compliance Database'!$D$2:$D$630,MATCH(573,Engine!$C$2:$C$630,0)))</f>
        <v/>
      </c>
      <c r="E586">
        <f>IF(ISNA(MATCH(573,Engine!$C$2:$C$630,0)),"",INDEX('Compliance Database'!$E$2:$E$630,MATCH(573,Engine!$C$2:$C$630,0)))</f>
        <v/>
      </c>
      <c r="F586">
        <f>IF(ISNA(MATCH(573,Engine!$C$2:$C$630,0)),"",INDEX('Compliance Database'!$F$2:$F$630,MATCH(573,Engine!$C$2:$C$630,0)))</f>
        <v/>
      </c>
      <c r="G586">
        <f>IF(ISNA(MATCH(573,Engine!$C$2:$C$630,0)),"",INDEX('Compliance Database'!$G$2:$G$630,MATCH(573,Engine!$C$2:$C$630,0)))</f>
        <v/>
      </c>
      <c r="H586">
        <f>IF(ISNA(MATCH(573,Engine!$C$2:$C$630,0)),"",INDEX('Compliance Database'!$H$2:$H$630,MATCH(573,Engine!$C$2:$C$630,0)))</f>
        <v/>
      </c>
      <c r="I586" s="8">
        <f>IF(ISNA(MATCH(573,Engine!$C$2:$C$630,0)),"",INDEX('Compliance Database'!$I$2:$I$630,MATCH(573,Engine!$C$2:$C$630,0)))</f>
        <v/>
      </c>
      <c r="J586" s="8">
        <f>IF(ISNA(MATCH(573,Engine!$C$2:$C$630,0)),"",INDEX('Compliance Database'!$J$2:$J$630,MATCH(573,Engine!$C$2:$C$630,0)))</f>
        <v/>
      </c>
      <c r="K586">
        <f>IF(ISNA(MATCH(573,Engine!$C$2:$C$630,0)),"",INDEX('Compliance Database'!$K$2:$K$630,MATCH(573,Engine!$C$2:$C$630,0)))</f>
        <v/>
      </c>
      <c r="L586" s="8">
        <f>IF(ISNA(MATCH(573,Engine!$C$2:$C$630,0)),"",INDEX('Compliance Database'!$L$2:$L$630,MATCH(573,Engine!$C$2:$C$630,0)))</f>
        <v/>
      </c>
      <c r="M586" s="8">
        <f>IF(ISNA(MATCH(573,Engine!$C$2:$C$630,0)),"",INDEX('Compliance Database'!$M$2:$M$630,MATCH(573,Engine!$C$2:$C$630,0)))</f>
        <v/>
      </c>
      <c r="N586" s="8">
        <f>IF(ISNA(MATCH(573,Engine!$C$2:$C$630,0)),"",INDEX('Compliance Database'!$N$2:$N$630,MATCH(573,Engine!$C$2:$C$630,0)))</f>
        <v/>
      </c>
      <c r="O586" s="8">
        <f>IF(ISNA(MATCH(573,Engine!$C$2:$C$630,0)),"",INDEX('Compliance Database'!$O$2:$O$630,MATCH(573,Engine!$C$2:$C$630,0)))</f>
        <v/>
      </c>
    </row>
    <row r="587">
      <c r="A587">
        <f>IF(ISNA(MATCH(574,Engine!$C$2:$C$630,0)),"",INDEX('Compliance Database'!$A$2:$A$630,MATCH(574,Engine!$C$2:$C$630,0)))</f>
        <v/>
      </c>
      <c r="B587">
        <f>IF(ISNA(MATCH(574,Engine!$C$2:$C$630,0)),"",INDEX('Compliance Database'!$B$2:$B$630,MATCH(574,Engine!$C$2:$C$630,0)))</f>
        <v/>
      </c>
      <c r="C587">
        <f>IF(ISNA(MATCH(574,Engine!$C$2:$C$630,0)),"",INDEX('Compliance Database'!$C$2:$C$630,MATCH(574,Engine!$C$2:$C$630,0)))</f>
        <v/>
      </c>
      <c r="D587" s="8">
        <f>IF(ISNA(MATCH(574,Engine!$C$2:$C$630,0)),"",INDEX('Compliance Database'!$D$2:$D$630,MATCH(574,Engine!$C$2:$C$630,0)))</f>
        <v/>
      </c>
      <c r="E587">
        <f>IF(ISNA(MATCH(574,Engine!$C$2:$C$630,0)),"",INDEX('Compliance Database'!$E$2:$E$630,MATCH(574,Engine!$C$2:$C$630,0)))</f>
        <v/>
      </c>
      <c r="F587">
        <f>IF(ISNA(MATCH(574,Engine!$C$2:$C$630,0)),"",INDEX('Compliance Database'!$F$2:$F$630,MATCH(574,Engine!$C$2:$C$630,0)))</f>
        <v/>
      </c>
      <c r="G587">
        <f>IF(ISNA(MATCH(574,Engine!$C$2:$C$630,0)),"",INDEX('Compliance Database'!$G$2:$G$630,MATCH(574,Engine!$C$2:$C$630,0)))</f>
        <v/>
      </c>
      <c r="H587">
        <f>IF(ISNA(MATCH(574,Engine!$C$2:$C$630,0)),"",INDEX('Compliance Database'!$H$2:$H$630,MATCH(574,Engine!$C$2:$C$630,0)))</f>
        <v/>
      </c>
      <c r="I587" s="8">
        <f>IF(ISNA(MATCH(574,Engine!$C$2:$C$630,0)),"",INDEX('Compliance Database'!$I$2:$I$630,MATCH(574,Engine!$C$2:$C$630,0)))</f>
        <v/>
      </c>
      <c r="J587" s="8">
        <f>IF(ISNA(MATCH(574,Engine!$C$2:$C$630,0)),"",INDEX('Compliance Database'!$J$2:$J$630,MATCH(574,Engine!$C$2:$C$630,0)))</f>
        <v/>
      </c>
      <c r="K587">
        <f>IF(ISNA(MATCH(574,Engine!$C$2:$C$630,0)),"",INDEX('Compliance Database'!$K$2:$K$630,MATCH(574,Engine!$C$2:$C$630,0)))</f>
        <v/>
      </c>
      <c r="L587" s="8">
        <f>IF(ISNA(MATCH(574,Engine!$C$2:$C$630,0)),"",INDEX('Compliance Database'!$L$2:$L$630,MATCH(574,Engine!$C$2:$C$630,0)))</f>
        <v/>
      </c>
      <c r="M587" s="8">
        <f>IF(ISNA(MATCH(574,Engine!$C$2:$C$630,0)),"",INDEX('Compliance Database'!$M$2:$M$630,MATCH(574,Engine!$C$2:$C$630,0)))</f>
        <v/>
      </c>
      <c r="N587" s="8">
        <f>IF(ISNA(MATCH(574,Engine!$C$2:$C$630,0)),"",INDEX('Compliance Database'!$N$2:$N$630,MATCH(574,Engine!$C$2:$C$630,0)))</f>
        <v/>
      </c>
      <c r="O587" s="8">
        <f>IF(ISNA(MATCH(574,Engine!$C$2:$C$630,0)),"",INDEX('Compliance Database'!$O$2:$O$630,MATCH(574,Engine!$C$2:$C$630,0)))</f>
        <v/>
      </c>
    </row>
    <row r="588">
      <c r="A588">
        <f>IF(ISNA(MATCH(575,Engine!$C$2:$C$630,0)),"",INDEX('Compliance Database'!$A$2:$A$630,MATCH(575,Engine!$C$2:$C$630,0)))</f>
        <v/>
      </c>
      <c r="B588">
        <f>IF(ISNA(MATCH(575,Engine!$C$2:$C$630,0)),"",INDEX('Compliance Database'!$B$2:$B$630,MATCH(575,Engine!$C$2:$C$630,0)))</f>
        <v/>
      </c>
      <c r="C588">
        <f>IF(ISNA(MATCH(575,Engine!$C$2:$C$630,0)),"",INDEX('Compliance Database'!$C$2:$C$630,MATCH(575,Engine!$C$2:$C$630,0)))</f>
        <v/>
      </c>
      <c r="D588" s="8">
        <f>IF(ISNA(MATCH(575,Engine!$C$2:$C$630,0)),"",INDEX('Compliance Database'!$D$2:$D$630,MATCH(575,Engine!$C$2:$C$630,0)))</f>
        <v/>
      </c>
      <c r="E588">
        <f>IF(ISNA(MATCH(575,Engine!$C$2:$C$630,0)),"",INDEX('Compliance Database'!$E$2:$E$630,MATCH(575,Engine!$C$2:$C$630,0)))</f>
        <v/>
      </c>
      <c r="F588">
        <f>IF(ISNA(MATCH(575,Engine!$C$2:$C$630,0)),"",INDEX('Compliance Database'!$F$2:$F$630,MATCH(575,Engine!$C$2:$C$630,0)))</f>
        <v/>
      </c>
      <c r="G588">
        <f>IF(ISNA(MATCH(575,Engine!$C$2:$C$630,0)),"",INDEX('Compliance Database'!$G$2:$G$630,MATCH(575,Engine!$C$2:$C$630,0)))</f>
        <v/>
      </c>
      <c r="H588">
        <f>IF(ISNA(MATCH(575,Engine!$C$2:$C$630,0)),"",INDEX('Compliance Database'!$H$2:$H$630,MATCH(575,Engine!$C$2:$C$630,0)))</f>
        <v/>
      </c>
      <c r="I588" s="8">
        <f>IF(ISNA(MATCH(575,Engine!$C$2:$C$630,0)),"",INDEX('Compliance Database'!$I$2:$I$630,MATCH(575,Engine!$C$2:$C$630,0)))</f>
        <v/>
      </c>
      <c r="J588" s="8">
        <f>IF(ISNA(MATCH(575,Engine!$C$2:$C$630,0)),"",INDEX('Compliance Database'!$J$2:$J$630,MATCH(575,Engine!$C$2:$C$630,0)))</f>
        <v/>
      </c>
      <c r="K588">
        <f>IF(ISNA(MATCH(575,Engine!$C$2:$C$630,0)),"",INDEX('Compliance Database'!$K$2:$K$630,MATCH(575,Engine!$C$2:$C$630,0)))</f>
        <v/>
      </c>
      <c r="L588" s="8">
        <f>IF(ISNA(MATCH(575,Engine!$C$2:$C$630,0)),"",INDEX('Compliance Database'!$L$2:$L$630,MATCH(575,Engine!$C$2:$C$630,0)))</f>
        <v/>
      </c>
      <c r="M588" s="8">
        <f>IF(ISNA(MATCH(575,Engine!$C$2:$C$630,0)),"",INDEX('Compliance Database'!$M$2:$M$630,MATCH(575,Engine!$C$2:$C$630,0)))</f>
        <v/>
      </c>
      <c r="N588" s="8">
        <f>IF(ISNA(MATCH(575,Engine!$C$2:$C$630,0)),"",INDEX('Compliance Database'!$N$2:$N$630,MATCH(575,Engine!$C$2:$C$630,0)))</f>
        <v/>
      </c>
      <c r="O588" s="8">
        <f>IF(ISNA(MATCH(575,Engine!$C$2:$C$630,0)),"",INDEX('Compliance Database'!$O$2:$O$630,MATCH(575,Engine!$C$2:$C$630,0)))</f>
        <v/>
      </c>
    </row>
    <row r="589">
      <c r="A589">
        <f>IF(ISNA(MATCH(576,Engine!$C$2:$C$630,0)),"",INDEX('Compliance Database'!$A$2:$A$630,MATCH(576,Engine!$C$2:$C$630,0)))</f>
        <v/>
      </c>
      <c r="B589">
        <f>IF(ISNA(MATCH(576,Engine!$C$2:$C$630,0)),"",INDEX('Compliance Database'!$B$2:$B$630,MATCH(576,Engine!$C$2:$C$630,0)))</f>
        <v/>
      </c>
      <c r="C589">
        <f>IF(ISNA(MATCH(576,Engine!$C$2:$C$630,0)),"",INDEX('Compliance Database'!$C$2:$C$630,MATCH(576,Engine!$C$2:$C$630,0)))</f>
        <v/>
      </c>
      <c r="D589" s="8">
        <f>IF(ISNA(MATCH(576,Engine!$C$2:$C$630,0)),"",INDEX('Compliance Database'!$D$2:$D$630,MATCH(576,Engine!$C$2:$C$630,0)))</f>
        <v/>
      </c>
      <c r="E589">
        <f>IF(ISNA(MATCH(576,Engine!$C$2:$C$630,0)),"",INDEX('Compliance Database'!$E$2:$E$630,MATCH(576,Engine!$C$2:$C$630,0)))</f>
        <v/>
      </c>
      <c r="F589">
        <f>IF(ISNA(MATCH(576,Engine!$C$2:$C$630,0)),"",INDEX('Compliance Database'!$F$2:$F$630,MATCH(576,Engine!$C$2:$C$630,0)))</f>
        <v/>
      </c>
      <c r="G589">
        <f>IF(ISNA(MATCH(576,Engine!$C$2:$C$630,0)),"",INDEX('Compliance Database'!$G$2:$G$630,MATCH(576,Engine!$C$2:$C$630,0)))</f>
        <v/>
      </c>
      <c r="H589">
        <f>IF(ISNA(MATCH(576,Engine!$C$2:$C$630,0)),"",INDEX('Compliance Database'!$H$2:$H$630,MATCH(576,Engine!$C$2:$C$630,0)))</f>
        <v/>
      </c>
      <c r="I589" s="8">
        <f>IF(ISNA(MATCH(576,Engine!$C$2:$C$630,0)),"",INDEX('Compliance Database'!$I$2:$I$630,MATCH(576,Engine!$C$2:$C$630,0)))</f>
        <v/>
      </c>
      <c r="J589" s="8">
        <f>IF(ISNA(MATCH(576,Engine!$C$2:$C$630,0)),"",INDEX('Compliance Database'!$J$2:$J$630,MATCH(576,Engine!$C$2:$C$630,0)))</f>
        <v/>
      </c>
      <c r="K589">
        <f>IF(ISNA(MATCH(576,Engine!$C$2:$C$630,0)),"",INDEX('Compliance Database'!$K$2:$K$630,MATCH(576,Engine!$C$2:$C$630,0)))</f>
        <v/>
      </c>
      <c r="L589" s="8">
        <f>IF(ISNA(MATCH(576,Engine!$C$2:$C$630,0)),"",INDEX('Compliance Database'!$L$2:$L$630,MATCH(576,Engine!$C$2:$C$630,0)))</f>
        <v/>
      </c>
      <c r="M589" s="8">
        <f>IF(ISNA(MATCH(576,Engine!$C$2:$C$630,0)),"",INDEX('Compliance Database'!$M$2:$M$630,MATCH(576,Engine!$C$2:$C$630,0)))</f>
        <v/>
      </c>
      <c r="N589" s="8">
        <f>IF(ISNA(MATCH(576,Engine!$C$2:$C$630,0)),"",INDEX('Compliance Database'!$N$2:$N$630,MATCH(576,Engine!$C$2:$C$630,0)))</f>
        <v/>
      </c>
      <c r="O589" s="8">
        <f>IF(ISNA(MATCH(576,Engine!$C$2:$C$630,0)),"",INDEX('Compliance Database'!$O$2:$O$630,MATCH(576,Engine!$C$2:$C$630,0)))</f>
        <v/>
      </c>
    </row>
    <row r="590">
      <c r="A590">
        <f>IF(ISNA(MATCH(577,Engine!$C$2:$C$630,0)),"",INDEX('Compliance Database'!$A$2:$A$630,MATCH(577,Engine!$C$2:$C$630,0)))</f>
        <v/>
      </c>
      <c r="B590">
        <f>IF(ISNA(MATCH(577,Engine!$C$2:$C$630,0)),"",INDEX('Compliance Database'!$B$2:$B$630,MATCH(577,Engine!$C$2:$C$630,0)))</f>
        <v/>
      </c>
      <c r="C590">
        <f>IF(ISNA(MATCH(577,Engine!$C$2:$C$630,0)),"",INDEX('Compliance Database'!$C$2:$C$630,MATCH(577,Engine!$C$2:$C$630,0)))</f>
        <v/>
      </c>
      <c r="D590" s="8">
        <f>IF(ISNA(MATCH(577,Engine!$C$2:$C$630,0)),"",INDEX('Compliance Database'!$D$2:$D$630,MATCH(577,Engine!$C$2:$C$630,0)))</f>
        <v/>
      </c>
      <c r="E590">
        <f>IF(ISNA(MATCH(577,Engine!$C$2:$C$630,0)),"",INDEX('Compliance Database'!$E$2:$E$630,MATCH(577,Engine!$C$2:$C$630,0)))</f>
        <v/>
      </c>
      <c r="F590">
        <f>IF(ISNA(MATCH(577,Engine!$C$2:$C$630,0)),"",INDEX('Compliance Database'!$F$2:$F$630,MATCH(577,Engine!$C$2:$C$630,0)))</f>
        <v/>
      </c>
      <c r="G590">
        <f>IF(ISNA(MATCH(577,Engine!$C$2:$C$630,0)),"",INDEX('Compliance Database'!$G$2:$G$630,MATCH(577,Engine!$C$2:$C$630,0)))</f>
        <v/>
      </c>
      <c r="H590">
        <f>IF(ISNA(MATCH(577,Engine!$C$2:$C$630,0)),"",INDEX('Compliance Database'!$H$2:$H$630,MATCH(577,Engine!$C$2:$C$630,0)))</f>
        <v/>
      </c>
      <c r="I590" s="8">
        <f>IF(ISNA(MATCH(577,Engine!$C$2:$C$630,0)),"",INDEX('Compliance Database'!$I$2:$I$630,MATCH(577,Engine!$C$2:$C$630,0)))</f>
        <v/>
      </c>
      <c r="J590" s="8">
        <f>IF(ISNA(MATCH(577,Engine!$C$2:$C$630,0)),"",INDEX('Compliance Database'!$J$2:$J$630,MATCH(577,Engine!$C$2:$C$630,0)))</f>
        <v/>
      </c>
      <c r="K590">
        <f>IF(ISNA(MATCH(577,Engine!$C$2:$C$630,0)),"",INDEX('Compliance Database'!$K$2:$K$630,MATCH(577,Engine!$C$2:$C$630,0)))</f>
        <v/>
      </c>
      <c r="L590" s="8">
        <f>IF(ISNA(MATCH(577,Engine!$C$2:$C$630,0)),"",INDEX('Compliance Database'!$L$2:$L$630,MATCH(577,Engine!$C$2:$C$630,0)))</f>
        <v/>
      </c>
      <c r="M590" s="8">
        <f>IF(ISNA(MATCH(577,Engine!$C$2:$C$630,0)),"",INDEX('Compliance Database'!$M$2:$M$630,MATCH(577,Engine!$C$2:$C$630,0)))</f>
        <v/>
      </c>
      <c r="N590" s="8">
        <f>IF(ISNA(MATCH(577,Engine!$C$2:$C$630,0)),"",INDEX('Compliance Database'!$N$2:$N$630,MATCH(577,Engine!$C$2:$C$630,0)))</f>
        <v/>
      </c>
      <c r="O590" s="8">
        <f>IF(ISNA(MATCH(577,Engine!$C$2:$C$630,0)),"",INDEX('Compliance Database'!$O$2:$O$630,MATCH(577,Engine!$C$2:$C$630,0)))</f>
        <v/>
      </c>
    </row>
    <row r="591">
      <c r="A591">
        <f>IF(ISNA(MATCH(578,Engine!$C$2:$C$630,0)),"",INDEX('Compliance Database'!$A$2:$A$630,MATCH(578,Engine!$C$2:$C$630,0)))</f>
        <v/>
      </c>
      <c r="B591">
        <f>IF(ISNA(MATCH(578,Engine!$C$2:$C$630,0)),"",INDEX('Compliance Database'!$B$2:$B$630,MATCH(578,Engine!$C$2:$C$630,0)))</f>
        <v/>
      </c>
      <c r="C591">
        <f>IF(ISNA(MATCH(578,Engine!$C$2:$C$630,0)),"",INDEX('Compliance Database'!$C$2:$C$630,MATCH(578,Engine!$C$2:$C$630,0)))</f>
        <v/>
      </c>
      <c r="D591" s="8">
        <f>IF(ISNA(MATCH(578,Engine!$C$2:$C$630,0)),"",INDEX('Compliance Database'!$D$2:$D$630,MATCH(578,Engine!$C$2:$C$630,0)))</f>
        <v/>
      </c>
      <c r="E591">
        <f>IF(ISNA(MATCH(578,Engine!$C$2:$C$630,0)),"",INDEX('Compliance Database'!$E$2:$E$630,MATCH(578,Engine!$C$2:$C$630,0)))</f>
        <v/>
      </c>
      <c r="F591">
        <f>IF(ISNA(MATCH(578,Engine!$C$2:$C$630,0)),"",INDEX('Compliance Database'!$F$2:$F$630,MATCH(578,Engine!$C$2:$C$630,0)))</f>
        <v/>
      </c>
      <c r="G591">
        <f>IF(ISNA(MATCH(578,Engine!$C$2:$C$630,0)),"",INDEX('Compliance Database'!$G$2:$G$630,MATCH(578,Engine!$C$2:$C$630,0)))</f>
        <v/>
      </c>
      <c r="H591">
        <f>IF(ISNA(MATCH(578,Engine!$C$2:$C$630,0)),"",INDEX('Compliance Database'!$H$2:$H$630,MATCH(578,Engine!$C$2:$C$630,0)))</f>
        <v/>
      </c>
      <c r="I591" s="8">
        <f>IF(ISNA(MATCH(578,Engine!$C$2:$C$630,0)),"",INDEX('Compliance Database'!$I$2:$I$630,MATCH(578,Engine!$C$2:$C$630,0)))</f>
        <v/>
      </c>
      <c r="J591" s="8">
        <f>IF(ISNA(MATCH(578,Engine!$C$2:$C$630,0)),"",INDEX('Compliance Database'!$J$2:$J$630,MATCH(578,Engine!$C$2:$C$630,0)))</f>
        <v/>
      </c>
      <c r="K591">
        <f>IF(ISNA(MATCH(578,Engine!$C$2:$C$630,0)),"",INDEX('Compliance Database'!$K$2:$K$630,MATCH(578,Engine!$C$2:$C$630,0)))</f>
        <v/>
      </c>
      <c r="L591" s="8">
        <f>IF(ISNA(MATCH(578,Engine!$C$2:$C$630,0)),"",INDEX('Compliance Database'!$L$2:$L$630,MATCH(578,Engine!$C$2:$C$630,0)))</f>
        <v/>
      </c>
      <c r="M591" s="8">
        <f>IF(ISNA(MATCH(578,Engine!$C$2:$C$630,0)),"",INDEX('Compliance Database'!$M$2:$M$630,MATCH(578,Engine!$C$2:$C$630,0)))</f>
        <v/>
      </c>
      <c r="N591" s="8">
        <f>IF(ISNA(MATCH(578,Engine!$C$2:$C$630,0)),"",INDEX('Compliance Database'!$N$2:$N$630,MATCH(578,Engine!$C$2:$C$630,0)))</f>
        <v/>
      </c>
      <c r="O591" s="8">
        <f>IF(ISNA(MATCH(578,Engine!$C$2:$C$630,0)),"",INDEX('Compliance Database'!$O$2:$O$630,MATCH(578,Engine!$C$2:$C$630,0)))</f>
        <v/>
      </c>
    </row>
    <row r="592">
      <c r="A592">
        <f>IF(ISNA(MATCH(579,Engine!$C$2:$C$630,0)),"",INDEX('Compliance Database'!$A$2:$A$630,MATCH(579,Engine!$C$2:$C$630,0)))</f>
        <v/>
      </c>
      <c r="B592">
        <f>IF(ISNA(MATCH(579,Engine!$C$2:$C$630,0)),"",INDEX('Compliance Database'!$B$2:$B$630,MATCH(579,Engine!$C$2:$C$630,0)))</f>
        <v/>
      </c>
      <c r="C592">
        <f>IF(ISNA(MATCH(579,Engine!$C$2:$C$630,0)),"",INDEX('Compliance Database'!$C$2:$C$630,MATCH(579,Engine!$C$2:$C$630,0)))</f>
        <v/>
      </c>
      <c r="D592" s="8">
        <f>IF(ISNA(MATCH(579,Engine!$C$2:$C$630,0)),"",INDEX('Compliance Database'!$D$2:$D$630,MATCH(579,Engine!$C$2:$C$630,0)))</f>
        <v/>
      </c>
      <c r="E592">
        <f>IF(ISNA(MATCH(579,Engine!$C$2:$C$630,0)),"",INDEX('Compliance Database'!$E$2:$E$630,MATCH(579,Engine!$C$2:$C$630,0)))</f>
        <v/>
      </c>
      <c r="F592">
        <f>IF(ISNA(MATCH(579,Engine!$C$2:$C$630,0)),"",INDEX('Compliance Database'!$F$2:$F$630,MATCH(579,Engine!$C$2:$C$630,0)))</f>
        <v/>
      </c>
      <c r="G592">
        <f>IF(ISNA(MATCH(579,Engine!$C$2:$C$630,0)),"",INDEX('Compliance Database'!$G$2:$G$630,MATCH(579,Engine!$C$2:$C$630,0)))</f>
        <v/>
      </c>
      <c r="H592">
        <f>IF(ISNA(MATCH(579,Engine!$C$2:$C$630,0)),"",INDEX('Compliance Database'!$H$2:$H$630,MATCH(579,Engine!$C$2:$C$630,0)))</f>
        <v/>
      </c>
      <c r="I592" s="8">
        <f>IF(ISNA(MATCH(579,Engine!$C$2:$C$630,0)),"",INDEX('Compliance Database'!$I$2:$I$630,MATCH(579,Engine!$C$2:$C$630,0)))</f>
        <v/>
      </c>
      <c r="J592" s="8">
        <f>IF(ISNA(MATCH(579,Engine!$C$2:$C$630,0)),"",INDEX('Compliance Database'!$J$2:$J$630,MATCH(579,Engine!$C$2:$C$630,0)))</f>
        <v/>
      </c>
      <c r="K592">
        <f>IF(ISNA(MATCH(579,Engine!$C$2:$C$630,0)),"",INDEX('Compliance Database'!$K$2:$K$630,MATCH(579,Engine!$C$2:$C$630,0)))</f>
        <v/>
      </c>
      <c r="L592" s="8">
        <f>IF(ISNA(MATCH(579,Engine!$C$2:$C$630,0)),"",INDEX('Compliance Database'!$L$2:$L$630,MATCH(579,Engine!$C$2:$C$630,0)))</f>
        <v/>
      </c>
      <c r="M592" s="8">
        <f>IF(ISNA(MATCH(579,Engine!$C$2:$C$630,0)),"",INDEX('Compliance Database'!$M$2:$M$630,MATCH(579,Engine!$C$2:$C$630,0)))</f>
        <v/>
      </c>
      <c r="N592" s="8">
        <f>IF(ISNA(MATCH(579,Engine!$C$2:$C$630,0)),"",INDEX('Compliance Database'!$N$2:$N$630,MATCH(579,Engine!$C$2:$C$630,0)))</f>
        <v/>
      </c>
      <c r="O592" s="8">
        <f>IF(ISNA(MATCH(579,Engine!$C$2:$C$630,0)),"",INDEX('Compliance Database'!$O$2:$O$630,MATCH(579,Engine!$C$2:$C$630,0)))</f>
        <v/>
      </c>
    </row>
    <row r="593">
      <c r="A593">
        <f>IF(ISNA(MATCH(580,Engine!$C$2:$C$630,0)),"",INDEX('Compliance Database'!$A$2:$A$630,MATCH(580,Engine!$C$2:$C$630,0)))</f>
        <v/>
      </c>
      <c r="B593">
        <f>IF(ISNA(MATCH(580,Engine!$C$2:$C$630,0)),"",INDEX('Compliance Database'!$B$2:$B$630,MATCH(580,Engine!$C$2:$C$630,0)))</f>
        <v/>
      </c>
      <c r="C593">
        <f>IF(ISNA(MATCH(580,Engine!$C$2:$C$630,0)),"",INDEX('Compliance Database'!$C$2:$C$630,MATCH(580,Engine!$C$2:$C$630,0)))</f>
        <v/>
      </c>
      <c r="D593" s="8">
        <f>IF(ISNA(MATCH(580,Engine!$C$2:$C$630,0)),"",INDEX('Compliance Database'!$D$2:$D$630,MATCH(580,Engine!$C$2:$C$630,0)))</f>
        <v/>
      </c>
      <c r="E593">
        <f>IF(ISNA(MATCH(580,Engine!$C$2:$C$630,0)),"",INDEX('Compliance Database'!$E$2:$E$630,MATCH(580,Engine!$C$2:$C$630,0)))</f>
        <v/>
      </c>
      <c r="F593">
        <f>IF(ISNA(MATCH(580,Engine!$C$2:$C$630,0)),"",INDEX('Compliance Database'!$F$2:$F$630,MATCH(580,Engine!$C$2:$C$630,0)))</f>
        <v/>
      </c>
      <c r="G593">
        <f>IF(ISNA(MATCH(580,Engine!$C$2:$C$630,0)),"",INDEX('Compliance Database'!$G$2:$G$630,MATCH(580,Engine!$C$2:$C$630,0)))</f>
        <v/>
      </c>
      <c r="H593">
        <f>IF(ISNA(MATCH(580,Engine!$C$2:$C$630,0)),"",INDEX('Compliance Database'!$H$2:$H$630,MATCH(580,Engine!$C$2:$C$630,0)))</f>
        <v/>
      </c>
      <c r="I593" s="8">
        <f>IF(ISNA(MATCH(580,Engine!$C$2:$C$630,0)),"",INDEX('Compliance Database'!$I$2:$I$630,MATCH(580,Engine!$C$2:$C$630,0)))</f>
        <v/>
      </c>
      <c r="J593" s="8">
        <f>IF(ISNA(MATCH(580,Engine!$C$2:$C$630,0)),"",INDEX('Compliance Database'!$J$2:$J$630,MATCH(580,Engine!$C$2:$C$630,0)))</f>
        <v/>
      </c>
      <c r="K593">
        <f>IF(ISNA(MATCH(580,Engine!$C$2:$C$630,0)),"",INDEX('Compliance Database'!$K$2:$K$630,MATCH(580,Engine!$C$2:$C$630,0)))</f>
        <v/>
      </c>
      <c r="L593" s="8">
        <f>IF(ISNA(MATCH(580,Engine!$C$2:$C$630,0)),"",INDEX('Compliance Database'!$L$2:$L$630,MATCH(580,Engine!$C$2:$C$630,0)))</f>
        <v/>
      </c>
      <c r="M593" s="8">
        <f>IF(ISNA(MATCH(580,Engine!$C$2:$C$630,0)),"",INDEX('Compliance Database'!$M$2:$M$630,MATCH(580,Engine!$C$2:$C$630,0)))</f>
        <v/>
      </c>
      <c r="N593" s="8">
        <f>IF(ISNA(MATCH(580,Engine!$C$2:$C$630,0)),"",INDEX('Compliance Database'!$N$2:$N$630,MATCH(580,Engine!$C$2:$C$630,0)))</f>
        <v/>
      </c>
      <c r="O593" s="8">
        <f>IF(ISNA(MATCH(580,Engine!$C$2:$C$630,0)),"",INDEX('Compliance Database'!$O$2:$O$630,MATCH(580,Engine!$C$2:$C$630,0)))</f>
        <v/>
      </c>
    </row>
    <row r="594">
      <c r="A594">
        <f>IF(ISNA(MATCH(581,Engine!$C$2:$C$630,0)),"",INDEX('Compliance Database'!$A$2:$A$630,MATCH(581,Engine!$C$2:$C$630,0)))</f>
        <v/>
      </c>
      <c r="B594">
        <f>IF(ISNA(MATCH(581,Engine!$C$2:$C$630,0)),"",INDEX('Compliance Database'!$B$2:$B$630,MATCH(581,Engine!$C$2:$C$630,0)))</f>
        <v/>
      </c>
      <c r="C594">
        <f>IF(ISNA(MATCH(581,Engine!$C$2:$C$630,0)),"",INDEX('Compliance Database'!$C$2:$C$630,MATCH(581,Engine!$C$2:$C$630,0)))</f>
        <v/>
      </c>
      <c r="D594" s="8">
        <f>IF(ISNA(MATCH(581,Engine!$C$2:$C$630,0)),"",INDEX('Compliance Database'!$D$2:$D$630,MATCH(581,Engine!$C$2:$C$630,0)))</f>
        <v/>
      </c>
      <c r="E594">
        <f>IF(ISNA(MATCH(581,Engine!$C$2:$C$630,0)),"",INDEX('Compliance Database'!$E$2:$E$630,MATCH(581,Engine!$C$2:$C$630,0)))</f>
        <v/>
      </c>
      <c r="F594">
        <f>IF(ISNA(MATCH(581,Engine!$C$2:$C$630,0)),"",INDEX('Compliance Database'!$F$2:$F$630,MATCH(581,Engine!$C$2:$C$630,0)))</f>
        <v/>
      </c>
      <c r="G594">
        <f>IF(ISNA(MATCH(581,Engine!$C$2:$C$630,0)),"",INDEX('Compliance Database'!$G$2:$G$630,MATCH(581,Engine!$C$2:$C$630,0)))</f>
        <v/>
      </c>
      <c r="H594">
        <f>IF(ISNA(MATCH(581,Engine!$C$2:$C$630,0)),"",INDEX('Compliance Database'!$H$2:$H$630,MATCH(581,Engine!$C$2:$C$630,0)))</f>
        <v/>
      </c>
      <c r="I594" s="8">
        <f>IF(ISNA(MATCH(581,Engine!$C$2:$C$630,0)),"",INDEX('Compliance Database'!$I$2:$I$630,MATCH(581,Engine!$C$2:$C$630,0)))</f>
        <v/>
      </c>
      <c r="J594" s="8">
        <f>IF(ISNA(MATCH(581,Engine!$C$2:$C$630,0)),"",INDEX('Compliance Database'!$J$2:$J$630,MATCH(581,Engine!$C$2:$C$630,0)))</f>
        <v/>
      </c>
      <c r="K594">
        <f>IF(ISNA(MATCH(581,Engine!$C$2:$C$630,0)),"",INDEX('Compliance Database'!$K$2:$K$630,MATCH(581,Engine!$C$2:$C$630,0)))</f>
        <v/>
      </c>
      <c r="L594" s="8">
        <f>IF(ISNA(MATCH(581,Engine!$C$2:$C$630,0)),"",INDEX('Compliance Database'!$L$2:$L$630,MATCH(581,Engine!$C$2:$C$630,0)))</f>
        <v/>
      </c>
      <c r="M594" s="8">
        <f>IF(ISNA(MATCH(581,Engine!$C$2:$C$630,0)),"",INDEX('Compliance Database'!$M$2:$M$630,MATCH(581,Engine!$C$2:$C$630,0)))</f>
        <v/>
      </c>
      <c r="N594" s="8">
        <f>IF(ISNA(MATCH(581,Engine!$C$2:$C$630,0)),"",INDEX('Compliance Database'!$N$2:$N$630,MATCH(581,Engine!$C$2:$C$630,0)))</f>
        <v/>
      </c>
      <c r="O594" s="8">
        <f>IF(ISNA(MATCH(581,Engine!$C$2:$C$630,0)),"",INDEX('Compliance Database'!$O$2:$O$630,MATCH(581,Engine!$C$2:$C$630,0)))</f>
        <v/>
      </c>
    </row>
    <row r="595">
      <c r="A595">
        <f>IF(ISNA(MATCH(582,Engine!$C$2:$C$630,0)),"",INDEX('Compliance Database'!$A$2:$A$630,MATCH(582,Engine!$C$2:$C$630,0)))</f>
        <v/>
      </c>
      <c r="B595">
        <f>IF(ISNA(MATCH(582,Engine!$C$2:$C$630,0)),"",INDEX('Compliance Database'!$B$2:$B$630,MATCH(582,Engine!$C$2:$C$630,0)))</f>
        <v/>
      </c>
      <c r="C595">
        <f>IF(ISNA(MATCH(582,Engine!$C$2:$C$630,0)),"",INDEX('Compliance Database'!$C$2:$C$630,MATCH(582,Engine!$C$2:$C$630,0)))</f>
        <v/>
      </c>
      <c r="D595" s="8">
        <f>IF(ISNA(MATCH(582,Engine!$C$2:$C$630,0)),"",INDEX('Compliance Database'!$D$2:$D$630,MATCH(582,Engine!$C$2:$C$630,0)))</f>
        <v/>
      </c>
      <c r="E595">
        <f>IF(ISNA(MATCH(582,Engine!$C$2:$C$630,0)),"",INDEX('Compliance Database'!$E$2:$E$630,MATCH(582,Engine!$C$2:$C$630,0)))</f>
        <v/>
      </c>
      <c r="F595">
        <f>IF(ISNA(MATCH(582,Engine!$C$2:$C$630,0)),"",INDEX('Compliance Database'!$F$2:$F$630,MATCH(582,Engine!$C$2:$C$630,0)))</f>
        <v/>
      </c>
      <c r="G595">
        <f>IF(ISNA(MATCH(582,Engine!$C$2:$C$630,0)),"",INDEX('Compliance Database'!$G$2:$G$630,MATCH(582,Engine!$C$2:$C$630,0)))</f>
        <v/>
      </c>
      <c r="H595">
        <f>IF(ISNA(MATCH(582,Engine!$C$2:$C$630,0)),"",INDEX('Compliance Database'!$H$2:$H$630,MATCH(582,Engine!$C$2:$C$630,0)))</f>
        <v/>
      </c>
      <c r="I595" s="8">
        <f>IF(ISNA(MATCH(582,Engine!$C$2:$C$630,0)),"",INDEX('Compliance Database'!$I$2:$I$630,MATCH(582,Engine!$C$2:$C$630,0)))</f>
        <v/>
      </c>
      <c r="J595" s="8">
        <f>IF(ISNA(MATCH(582,Engine!$C$2:$C$630,0)),"",INDEX('Compliance Database'!$J$2:$J$630,MATCH(582,Engine!$C$2:$C$630,0)))</f>
        <v/>
      </c>
      <c r="K595">
        <f>IF(ISNA(MATCH(582,Engine!$C$2:$C$630,0)),"",INDEX('Compliance Database'!$K$2:$K$630,MATCH(582,Engine!$C$2:$C$630,0)))</f>
        <v/>
      </c>
      <c r="L595" s="8">
        <f>IF(ISNA(MATCH(582,Engine!$C$2:$C$630,0)),"",INDEX('Compliance Database'!$L$2:$L$630,MATCH(582,Engine!$C$2:$C$630,0)))</f>
        <v/>
      </c>
      <c r="M595" s="8">
        <f>IF(ISNA(MATCH(582,Engine!$C$2:$C$630,0)),"",INDEX('Compliance Database'!$M$2:$M$630,MATCH(582,Engine!$C$2:$C$630,0)))</f>
        <v/>
      </c>
      <c r="N595" s="8">
        <f>IF(ISNA(MATCH(582,Engine!$C$2:$C$630,0)),"",INDEX('Compliance Database'!$N$2:$N$630,MATCH(582,Engine!$C$2:$C$630,0)))</f>
        <v/>
      </c>
      <c r="O595" s="8">
        <f>IF(ISNA(MATCH(582,Engine!$C$2:$C$630,0)),"",INDEX('Compliance Database'!$O$2:$O$630,MATCH(582,Engine!$C$2:$C$630,0)))</f>
        <v/>
      </c>
    </row>
    <row r="596">
      <c r="A596">
        <f>IF(ISNA(MATCH(583,Engine!$C$2:$C$630,0)),"",INDEX('Compliance Database'!$A$2:$A$630,MATCH(583,Engine!$C$2:$C$630,0)))</f>
        <v/>
      </c>
      <c r="B596">
        <f>IF(ISNA(MATCH(583,Engine!$C$2:$C$630,0)),"",INDEX('Compliance Database'!$B$2:$B$630,MATCH(583,Engine!$C$2:$C$630,0)))</f>
        <v/>
      </c>
      <c r="C596">
        <f>IF(ISNA(MATCH(583,Engine!$C$2:$C$630,0)),"",INDEX('Compliance Database'!$C$2:$C$630,MATCH(583,Engine!$C$2:$C$630,0)))</f>
        <v/>
      </c>
      <c r="D596" s="8">
        <f>IF(ISNA(MATCH(583,Engine!$C$2:$C$630,0)),"",INDEX('Compliance Database'!$D$2:$D$630,MATCH(583,Engine!$C$2:$C$630,0)))</f>
        <v/>
      </c>
      <c r="E596">
        <f>IF(ISNA(MATCH(583,Engine!$C$2:$C$630,0)),"",INDEX('Compliance Database'!$E$2:$E$630,MATCH(583,Engine!$C$2:$C$630,0)))</f>
        <v/>
      </c>
      <c r="F596">
        <f>IF(ISNA(MATCH(583,Engine!$C$2:$C$630,0)),"",INDEX('Compliance Database'!$F$2:$F$630,MATCH(583,Engine!$C$2:$C$630,0)))</f>
        <v/>
      </c>
      <c r="G596">
        <f>IF(ISNA(MATCH(583,Engine!$C$2:$C$630,0)),"",INDEX('Compliance Database'!$G$2:$G$630,MATCH(583,Engine!$C$2:$C$630,0)))</f>
        <v/>
      </c>
      <c r="H596">
        <f>IF(ISNA(MATCH(583,Engine!$C$2:$C$630,0)),"",INDEX('Compliance Database'!$H$2:$H$630,MATCH(583,Engine!$C$2:$C$630,0)))</f>
        <v/>
      </c>
      <c r="I596" s="8">
        <f>IF(ISNA(MATCH(583,Engine!$C$2:$C$630,0)),"",INDEX('Compliance Database'!$I$2:$I$630,MATCH(583,Engine!$C$2:$C$630,0)))</f>
        <v/>
      </c>
      <c r="J596" s="8">
        <f>IF(ISNA(MATCH(583,Engine!$C$2:$C$630,0)),"",INDEX('Compliance Database'!$J$2:$J$630,MATCH(583,Engine!$C$2:$C$630,0)))</f>
        <v/>
      </c>
      <c r="K596">
        <f>IF(ISNA(MATCH(583,Engine!$C$2:$C$630,0)),"",INDEX('Compliance Database'!$K$2:$K$630,MATCH(583,Engine!$C$2:$C$630,0)))</f>
        <v/>
      </c>
      <c r="L596" s="8">
        <f>IF(ISNA(MATCH(583,Engine!$C$2:$C$630,0)),"",INDEX('Compliance Database'!$L$2:$L$630,MATCH(583,Engine!$C$2:$C$630,0)))</f>
        <v/>
      </c>
      <c r="M596" s="8">
        <f>IF(ISNA(MATCH(583,Engine!$C$2:$C$630,0)),"",INDEX('Compliance Database'!$M$2:$M$630,MATCH(583,Engine!$C$2:$C$630,0)))</f>
        <v/>
      </c>
      <c r="N596" s="8">
        <f>IF(ISNA(MATCH(583,Engine!$C$2:$C$630,0)),"",INDEX('Compliance Database'!$N$2:$N$630,MATCH(583,Engine!$C$2:$C$630,0)))</f>
        <v/>
      </c>
      <c r="O596" s="8">
        <f>IF(ISNA(MATCH(583,Engine!$C$2:$C$630,0)),"",INDEX('Compliance Database'!$O$2:$O$630,MATCH(583,Engine!$C$2:$C$630,0)))</f>
        <v/>
      </c>
    </row>
    <row r="597">
      <c r="A597">
        <f>IF(ISNA(MATCH(584,Engine!$C$2:$C$630,0)),"",INDEX('Compliance Database'!$A$2:$A$630,MATCH(584,Engine!$C$2:$C$630,0)))</f>
        <v/>
      </c>
      <c r="B597">
        <f>IF(ISNA(MATCH(584,Engine!$C$2:$C$630,0)),"",INDEX('Compliance Database'!$B$2:$B$630,MATCH(584,Engine!$C$2:$C$630,0)))</f>
        <v/>
      </c>
      <c r="C597">
        <f>IF(ISNA(MATCH(584,Engine!$C$2:$C$630,0)),"",INDEX('Compliance Database'!$C$2:$C$630,MATCH(584,Engine!$C$2:$C$630,0)))</f>
        <v/>
      </c>
      <c r="D597" s="8">
        <f>IF(ISNA(MATCH(584,Engine!$C$2:$C$630,0)),"",INDEX('Compliance Database'!$D$2:$D$630,MATCH(584,Engine!$C$2:$C$630,0)))</f>
        <v/>
      </c>
      <c r="E597">
        <f>IF(ISNA(MATCH(584,Engine!$C$2:$C$630,0)),"",INDEX('Compliance Database'!$E$2:$E$630,MATCH(584,Engine!$C$2:$C$630,0)))</f>
        <v/>
      </c>
      <c r="F597">
        <f>IF(ISNA(MATCH(584,Engine!$C$2:$C$630,0)),"",INDEX('Compliance Database'!$F$2:$F$630,MATCH(584,Engine!$C$2:$C$630,0)))</f>
        <v/>
      </c>
      <c r="G597">
        <f>IF(ISNA(MATCH(584,Engine!$C$2:$C$630,0)),"",INDEX('Compliance Database'!$G$2:$G$630,MATCH(584,Engine!$C$2:$C$630,0)))</f>
        <v/>
      </c>
      <c r="H597">
        <f>IF(ISNA(MATCH(584,Engine!$C$2:$C$630,0)),"",INDEX('Compliance Database'!$H$2:$H$630,MATCH(584,Engine!$C$2:$C$630,0)))</f>
        <v/>
      </c>
      <c r="I597" s="8">
        <f>IF(ISNA(MATCH(584,Engine!$C$2:$C$630,0)),"",INDEX('Compliance Database'!$I$2:$I$630,MATCH(584,Engine!$C$2:$C$630,0)))</f>
        <v/>
      </c>
      <c r="J597" s="8">
        <f>IF(ISNA(MATCH(584,Engine!$C$2:$C$630,0)),"",INDEX('Compliance Database'!$J$2:$J$630,MATCH(584,Engine!$C$2:$C$630,0)))</f>
        <v/>
      </c>
      <c r="K597">
        <f>IF(ISNA(MATCH(584,Engine!$C$2:$C$630,0)),"",INDEX('Compliance Database'!$K$2:$K$630,MATCH(584,Engine!$C$2:$C$630,0)))</f>
        <v/>
      </c>
      <c r="L597" s="8">
        <f>IF(ISNA(MATCH(584,Engine!$C$2:$C$630,0)),"",INDEX('Compliance Database'!$L$2:$L$630,MATCH(584,Engine!$C$2:$C$630,0)))</f>
        <v/>
      </c>
      <c r="M597" s="8">
        <f>IF(ISNA(MATCH(584,Engine!$C$2:$C$630,0)),"",INDEX('Compliance Database'!$M$2:$M$630,MATCH(584,Engine!$C$2:$C$630,0)))</f>
        <v/>
      </c>
      <c r="N597" s="8">
        <f>IF(ISNA(MATCH(584,Engine!$C$2:$C$630,0)),"",INDEX('Compliance Database'!$N$2:$N$630,MATCH(584,Engine!$C$2:$C$630,0)))</f>
        <v/>
      </c>
      <c r="O597" s="8">
        <f>IF(ISNA(MATCH(584,Engine!$C$2:$C$630,0)),"",INDEX('Compliance Database'!$O$2:$O$630,MATCH(584,Engine!$C$2:$C$630,0)))</f>
        <v/>
      </c>
    </row>
    <row r="598">
      <c r="A598">
        <f>IF(ISNA(MATCH(585,Engine!$C$2:$C$630,0)),"",INDEX('Compliance Database'!$A$2:$A$630,MATCH(585,Engine!$C$2:$C$630,0)))</f>
        <v/>
      </c>
      <c r="B598">
        <f>IF(ISNA(MATCH(585,Engine!$C$2:$C$630,0)),"",INDEX('Compliance Database'!$B$2:$B$630,MATCH(585,Engine!$C$2:$C$630,0)))</f>
        <v/>
      </c>
      <c r="C598">
        <f>IF(ISNA(MATCH(585,Engine!$C$2:$C$630,0)),"",INDEX('Compliance Database'!$C$2:$C$630,MATCH(585,Engine!$C$2:$C$630,0)))</f>
        <v/>
      </c>
      <c r="D598" s="8">
        <f>IF(ISNA(MATCH(585,Engine!$C$2:$C$630,0)),"",INDEX('Compliance Database'!$D$2:$D$630,MATCH(585,Engine!$C$2:$C$630,0)))</f>
        <v/>
      </c>
      <c r="E598">
        <f>IF(ISNA(MATCH(585,Engine!$C$2:$C$630,0)),"",INDEX('Compliance Database'!$E$2:$E$630,MATCH(585,Engine!$C$2:$C$630,0)))</f>
        <v/>
      </c>
      <c r="F598">
        <f>IF(ISNA(MATCH(585,Engine!$C$2:$C$630,0)),"",INDEX('Compliance Database'!$F$2:$F$630,MATCH(585,Engine!$C$2:$C$630,0)))</f>
        <v/>
      </c>
      <c r="G598">
        <f>IF(ISNA(MATCH(585,Engine!$C$2:$C$630,0)),"",INDEX('Compliance Database'!$G$2:$G$630,MATCH(585,Engine!$C$2:$C$630,0)))</f>
        <v/>
      </c>
      <c r="H598">
        <f>IF(ISNA(MATCH(585,Engine!$C$2:$C$630,0)),"",INDEX('Compliance Database'!$H$2:$H$630,MATCH(585,Engine!$C$2:$C$630,0)))</f>
        <v/>
      </c>
      <c r="I598" s="8">
        <f>IF(ISNA(MATCH(585,Engine!$C$2:$C$630,0)),"",INDEX('Compliance Database'!$I$2:$I$630,MATCH(585,Engine!$C$2:$C$630,0)))</f>
        <v/>
      </c>
      <c r="J598" s="8">
        <f>IF(ISNA(MATCH(585,Engine!$C$2:$C$630,0)),"",INDEX('Compliance Database'!$J$2:$J$630,MATCH(585,Engine!$C$2:$C$630,0)))</f>
        <v/>
      </c>
      <c r="K598">
        <f>IF(ISNA(MATCH(585,Engine!$C$2:$C$630,0)),"",INDEX('Compliance Database'!$K$2:$K$630,MATCH(585,Engine!$C$2:$C$630,0)))</f>
        <v/>
      </c>
      <c r="L598" s="8">
        <f>IF(ISNA(MATCH(585,Engine!$C$2:$C$630,0)),"",INDEX('Compliance Database'!$L$2:$L$630,MATCH(585,Engine!$C$2:$C$630,0)))</f>
        <v/>
      </c>
      <c r="M598" s="8">
        <f>IF(ISNA(MATCH(585,Engine!$C$2:$C$630,0)),"",INDEX('Compliance Database'!$M$2:$M$630,MATCH(585,Engine!$C$2:$C$630,0)))</f>
        <v/>
      </c>
      <c r="N598" s="8">
        <f>IF(ISNA(MATCH(585,Engine!$C$2:$C$630,0)),"",INDEX('Compliance Database'!$N$2:$N$630,MATCH(585,Engine!$C$2:$C$630,0)))</f>
        <v/>
      </c>
      <c r="O598" s="8">
        <f>IF(ISNA(MATCH(585,Engine!$C$2:$C$630,0)),"",INDEX('Compliance Database'!$O$2:$O$630,MATCH(585,Engine!$C$2:$C$630,0)))</f>
        <v/>
      </c>
    </row>
    <row r="599">
      <c r="A599">
        <f>IF(ISNA(MATCH(586,Engine!$C$2:$C$630,0)),"",INDEX('Compliance Database'!$A$2:$A$630,MATCH(586,Engine!$C$2:$C$630,0)))</f>
        <v/>
      </c>
      <c r="B599">
        <f>IF(ISNA(MATCH(586,Engine!$C$2:$C$630,0)),"",INDEX('Compliance Database'!$B$2:$B$630,MATCH(586,Engine!$C$2:$C$630,0)))</f>
        <v/>
      </c>
      <c r="C599">
        <f>IF(ISNA(MATCH(586,Engine!$C$2:$C$630,0)),"",INDEX('Compliance Database'!$C$2:$C$630,MATCH(586,Engine!$C$2:$C$630,0)))</f>
        <v/>
      </c>
      <c r="D599" s="8">
        <f>IF(ISNA(MATCH(586,Engine!$C$2:$C$630,0)),"",INDEX('Compliance Database'!$D$2:$D$630,MATCH(586,Engine!$C$2:$C$630,0)))</f>
        <v/>
      </c>
      <c r="E599">
        <f>IF(ISNA(MATCH(586,Engine!$C$2:$C$630,0)),"",INDEX('Compliance Database'!$E$2:$E$630,MATCH(586,Engine!$C$2:$C$630,0)))</f>
        <v/>
      </c>
      <c r="F599">
        <f>IF(ISNA(MATCH(586,Engine!$C$2:$C$630,0)),"",INDEX('Compliance Database'!$F$2:$F$630,MATCH(586,Engine!$C$2:$C$630,0)))</f>
        <v/>
      </c>
      <c r="G599">
        <f>IF(ISNA(MATCH(586,Engine!$C$2:$C$630,0)),"",INDEX('Compliance Database'!$G$2:$G$630,MATCH(586,Engine!$C$2:$C$630,0)))</f>
        <v/>
      </c>
      <c r="H599">
        <f>IF(ISNA(MATCH(586,Engine!$C$2:$C$630,0)),"",INDEX('Compliance Database'!$H$2:$H$630,MATCH(586,Engine!$C$2:$C$630,0)))</f>
        <v/>
      </c>
      <c r="I599" s="8">
        <f>IF(ISNA(MATCH(586,Engine!$C$2:$C$630,0)),"",INDEX('Compliance Database'!$I$2:$I$630,MATCH(586,Engine!$C$2:$C$630,0)))</f>
        <v/>
      </c>
      <c r="J599" s="8">
        <f>IF(ISNA(MATCH(586,Engine!$C$2:$C$630,0)),"",INDEX('Compliance Database'!$J$2:$J$630,MATCH(586,Engine!$C$2:$C$630,0)))</f>
        <v/>
      </c>
      <c r="K599">
        <f>IF(ISNA(MATCH(586,Engine!$C$2:$C$630,0)),"",INDEX('Compliance Database'!$K$2:$K$630,MATCH(586,Engine!$C$2:$C$630,0)))</f>
        <v/>
      </c>
      <c r="L599" s="8">
        <f>IF(ISNA(MATCH(586,Engine!$C$2:$C$630,0)),"",INDEX('Compliance Database'!$L$2:$L$630,MATCH(586,Engine!$C$2:$C$630,0)))</f>
        <v/>
      </c>
      <c r="M599" s="8">
        <f>IF(ISNA(MATCH(586,Engine!$C$2:$C$630,0)),"",INDEX('Compliance Database'!$M$2:$M$630,MATCH(586,Engine!$C$2:$C$630,0)))</f>
        <v/>
      </c>
      <c r="N599" s="8">
        <f>IF(ISNA(MATCH(586,Engine!$C$2:$C$630,0)),"",INDEX('Compliance Database'!$N$2:$N$630,MATCH(586,Engine!$C$2:$C$630,0)))</f>
        <v/>
      </c>
      <c r="O599" s="8">
        <f>IF(ISNA(MATCH(586,Engine!$C$2:$C$630,0)),"",INDEX('Compliance Database'!$O$2:$O$630,MATCH(586,Engine!$C$2:$C$630,0)))</f>
        <v/>
      </c>
    </row>
    <row r="600">
      <c r="A600">
        <f>IF(ISNA(MATCH(587,Engine!$C$2:$C$630,0)),"",INDEX('Compliance Database'!$A$2:$A$630,MATCH(587,Engine!$C$2:$C$630,0)))</f>
        <v/>
      </c>
      <c r="B600">
        <f>IF(ISNA(MATCH(587,Engine!$C$2:$C$630,0)),"",INDEX('Compliance Database'!$B$2:$B$630,MATCH(587,Engine!$C$2:$C$630,0)))</f>
        <v/>
      </c>
      <c r="C600">
        <f>IF(ISNA(MATCH(587,Engine!$C$2:$C$630,0)),"",INDEX('Compliance Database'!$C$2:$C$630,MATCH(587,Engine!$C$2:$C$630,0)))</f>
        <v/>
      </c>
      <c r="D600" s="8">
        <f>IF(ISNA(MATCH(587,Engine!$C$2:$C$630,0)),"",INDEX('Compliance Database'!$D$2:$D$630,MATCH(587,Engine!$C$2:$C$630,0)))</f>
        <v/>
      </c>
      <c r="E600">
        <f>IF(ISNA(MATCH(587,Engine!$C$2:$C$630,0)),"",INDEX('Compliance Database'!$E$2:$E$630,MATCH(587,Engine!$C$2:$C$630,0)))</f>
        <v/>
      </c>
      <c r="F600">
        <f>IF(ISNA(MATCH(587,Engine!$C$2:$C$630,0)),"",INDEX('Compliance Database'!$F$2:$F$630,MATCH(587,Engine!$C$2:$C$630,0)))</f>
        <v/>
      </c>
      <c r="G600">
        <f>IF(ISNA(MATCH(587,Engine!$C$2:$C$630,0)),"",INDEX('Compliance Database'!$G$2:$G$630,MATCH(587,Engine!$C$2:$C$630,0)))</f>
        <v/>
      </c>
      <c r="H600">
        <f>IF(ISNA(MATCH(587,Engine!$C$2:$C$630,0)),"",INDEX('Compliance Database'!$H$2:$H$630,MATCH(587,Engine!$C$2:$C$630,0)))</f>
        <v/>
      </c>
      <c r="I600" s="8">
        <f>IF(ISNA(MATCH(587,Engine!$C$2:$C$630,0)),"",INDEX('Compliance Database'!$I$2:$I$630,MATCH(587,Engine!$C$2:$C$630,0)))</f>
        <v/>
      </c>
      <c r="J600" s="8">
        <f>IF(ISNA(MATCH(587,Engine!$C$2:$C$630,0)),"",INDEX('Compliance Database'!$J$2:$J$630,MATCH(587,Engine!$C$2:$C$630,0)))</f>
        <v/>
      </c>
      <c r="K600">
        <f>IF(ISNA(MATCH(587,Engine!$C$2:$C$630,0)),"",INDEX('Compliance Database'!$K$2:$K$630,MATCH(587,Engine!$C$2:$C$630,0)))</f>
        <v/>
      </c>
      <c r="L600" s="8">
        <f>IF(ISNA(MATCH(587,Engine!$C$2:$C$630,0)),"",INDEX('Compliance Database'!$L$2:$L$630,MATCH(587,Engine!$C$2:$C$630,0)))</f>
        <v/>
      </c>
      <c r="M600" s="8">
        <f>IF(ISNA(MATCH(587,Engine!$C$2:$C$630,0)),"",INDEX('Compliance Database'!$M$2:$M$630,MATCH(587,Engine!$C$2:$C$630,0)))</f>
        <v/>
      </c>
      <c r="N600" s="8">
        <f>IF(ISNA(MATCH(587,Engine!$C$2:$C$630,0)),"",INDEX('Compliance Database'!$N$2:$N$630,MATCH(587,Engine!$C$2:$C$630,0)))</f>
        <v/>
      </c>
      <c r="O600" s="8">
        <f>IF(ISNA(MATCH(587,Engine!$C$2:$C$630,0)),"",INDEX('Compliance Database'!$O$2:$O$630,MATCH(587,Engine!$C$2:$C$630,0)))</f>
        <v/>
      </c>
    </row>
    <row r="601">
      <c r="A601">
        <f>IF(ISNA(MATCH(588,Engine!$C$2:$C$630,0)),"",INDEX('Compliance Database'!$A$2:$A$630,MATCH(588,Engine!$C$2:$C$630,0)))</f>
        <v/>
      </c>
      <c r="B601">
        <f>IF(ISNA(MATCH(588,Engine!$C$2:$C$630,0)),"",INDEX('Compliance Database'!$B$2:$B$630,MATCH(588,Engine!$C$2:$C$630,0)))</f>
        <v/>
      </c>
      <c r="C601">
        <f>IF(ISNA(MATCH(588,Engine!$C$2:$C$630,0)),"",INDEX('Compliance Database'!$C$2:$C$630,MATCH(588,Engine!$C$2:$C$630,0)))</f>
        <v/>
      </c>
      <c r="D601" s="8">
        <f>IF(ISNA(MATCH(588,Engine!$C$2:$C$630,0)),"",INDEX('Compliance Database'!$D$2:$D$630,MATCH(588,Engine!$C$2:$C$630,0)))</f>
        <v/>
      </c>
      <c r="E601">
        <f>IF(ISNA(MATCH(588,Engine!$C$2:$C$630,0)),"",INDEX('Compliance Database'!$E$2:$E$630,MATCH(588,Engine!$C$2:$C$630,0)))</f>
        <v/>
      </c>
      <c r="F601">
        <f>IF(ISNA(MATCH(588,Engine!$C$2:$C$630,0)),"",INDEX('Compliance Database'!$F$2:$F$630,MATCH(588,Engine!$C$2:$C$630,0)))</f>
        <v/>
      </c>
      <c r="G601">
        <f>IF(ISNA(MATCH(588,Engine!$C$2:$C$630,0)),"",INDEX('Compliance Database'!$G$2:$G$630,MATCH(588,Engine!$C$2:$C$630,0)))</f>
        <v/>
      </c>
      <c r="H601">
        <f>IF(ISNA(MATCH(588,Engine!$C$2:$C$630,0)),"",INDEX('Compliance Database'!$H$2:$H$630,MATCH(588,Engine!$C$2:$C$630,0)))</f>
        <v/>
      </c>
      <c r="I601" s="8">
        <f>IF(ISNA(MATCH(588,Engine!$C$2:$C$630,0)),"",INDEX('Compliance Database'!$I$2:$I$630,MATCH(588,Engine!$C$2:$C$630,0)))</f>
        <v/>
      </c>
      <c r="J601" s="8">
        <f>IF(ISNA(MATCH(588,Engine!$C$2:$C$630,0)),"",INDEX('Compliance Database'!$J$2:$J$630,MATCH(588,Engine!$C$2:$C$630,0)))</f>
        <v/>
      </c>
      <c r="K601">
        <f>IF(ISNA(MATCH(588,Engine!$C$2:$C$630,0)),"",INDEX('Compliance Database'!$K$2:$K$630,MATCH(588,Engine!$C$2:$C$630,0)))</f>
        <v/>
      </c>
      <c r="L601" s="8">
        <f>IF(ISNA(MATCH(588,Engine!$C$2:$C$630,0)),"",INDEX('Compliance Database'!$L$2:$L$630,MATCH(588,Engine!$C$2:$C$630,0)))</f>
        <v/>
      </c>
      <c r="M601" s="8">
        <f>IF(ISNA(MATCH(588,Engine!$C$2:$C$630,0)),"",INDEX('Compliance Database'!$M$2:$M$630,MATCH(588,Engine!$C$2:$C$630,0)))</f>
        <v/>
      </c>
      <c r="N601" s="8">
        <f>IF(ISNA(MATCH(588,Engine!$C$2:$C$630,0)),"",INDEX('Compliance Database'!$N$2:$N$630,MATCH(588,Engine!$C$2:$C$630,0)))</f>
        <v/>
      </c>
      <c r="O601" s="8">
        <f>IF(ISNA(MATCH(588,Engine!$C$2:$C$630,0)),"",INDEX('Compliance Database'!$O$2:$O$630,MATCH(588,Engine!$C$2:$C$630,0)))</f>
        <v/>
      </c>
    </row>
    <row r="602">
      <c r="A602">
        <f>IF(ISNA(MATCH(589,Engine!$C$2:$C$630,0)),"",INDEX('Compliance Database'!$A$2:$A$630,MATCH(589,Engine!$C$2:$C$630,0)))</f>
        <v/>
      </c>
      <c r="B602">
        <f>IF(ISNA(MATCH(589,Engine!$C$2:$C$630,0)),"",INDEX('Compliance Database'!$B$2:$B$630,MATCH(589,Engine!$C$2:$C$630,0)))</f>
        <v/>
      </c>
      <c r="C602">
        <f>IF(ISNA(MATCH(589,Engine!$C$2:$C$630,0)),"",INDEX('Compliance Database'!$C$2:$C$630,MATCH(589,Engine!$C$2:$C$630,0)))</f>
        <v/>
      </c>
      <c r="D602" s="8">
        <f>IF(ISNA(MATCH(589,Engine!$C$2:$C$630,0)),"",INDEX('Compliance Database'!$D$2:$D$630,MATCH(589,Engine!$C$2:$C$630,0)))</f>
        <v/>
      </c>
      <c r="E602">
        <f>IF(ISNA(MATCH(589,Engine!$C$2:$C$630,0)),"",INDEX('Compliance Database'!$E$2:$E$630,MATCH(589,Engine!$C$2:$C$630,0)))</f>
        <v/>
      </c>
      <c r="F602">
        <f>IF(ISNA(MATCH(589,Engine!$C$2:$C$630,0)),"",INDEX('Compliance Database'!$F$2:$F$630,MATCH(589,Engine!$C$2:$C$630,0)))</f>
        <v/>
      </c>
      <c r="G602">
        <f>IF(ISNA(MATCH(589,Engine!$C$2:$C$630,0)),"",INDEX('Compliance Database'!$G$2:$G$630,MATCH(589,Engine!$C$2:$C$630,0)))</f>
        <v/>
      </c>
      <c r="H602">
        <f>IF(ISNA(MATCH(589,Engine!$C$2:$C$630,0)),"",INDEX('Compliance Database'!$H$2:$H$630,MATCH(589,Engine!$C$2:$C$630,0)))</f>
        <v/>
      </c>
      <c r="I602" s="8">
        <f>IF(ISNA(MATCH(589,Engine!$C$2:$C$630,0)),"",INDEX('Compliance Database'!$I$2:$I$630,MATCH(589,Engine!$C$2:$C$630,0)))</f>
        <v/>
      </c>
      <c r="J602" s="8">
        <f>IF(ISNA(MATCH(589,Engine!$C$2:$C$630,0)),"",INDEX('Compliance Database'!$J$2:$J$630,MATCH(589,Engine!$C$2:$C$630,0)))</f>
        <v/>
      </c>
      <c r="K602">
        <f>IF(ISNA(MATCH(589,Engine!$C$2:$C$630,0)),"",INDEX('Compliance Database'!$K$2:$K$630,MATCH(589,Engine!$C$2:$C$630,0)))</f>
        <v/>
      </c>
      <c r="L602" s="8">
        <f>IF(ISNA(MATCH(589,Engine!$C$2:$C$630,0)),"",INDEX('Compliance Database'!$L$2:$L$630,MATCH(589,Engine!$C$2:$C$630,0)))</f>
        <v/>
      </c>
      <c r="M602" s="8">
        <f>IF(ISNA(MATCH(589,Engine!$C$2:$C$630,0)),"",INDEX('Compliance Database'!$M$2:$M$630,MATCH(589,Engine!$C$2:$C$630,0)))</f>
        <v/>
      </c>
      <c r="N602" s="8">
        <f>IF(ISNA(MATCH(589,Engine!$C$2:$C$630,0)),"",INDEX('Compliance Database'!$N$2:$N$630,MATCH(589,Engine!$C$2:$C$630,0)))</f>
        <v/>
      </c>
      <c r="O602" s="8">
        <f>IF(ISNA(MATCH(589,Engine!$C$2:$C$630,0)),"",INDEX('Compliance Database'!$O$2:$O$630,MATCH(589,Engine!$C$2:$C$630,0)))</f>
        <v/>
      </c>
    </row>
    <row r="603">
      <c r="A603">
        <f>IF(ISNA(MATCH(590,Engine!$C$2:$C$630,0)),"",INDEX('Compliance Database'!$A$2:$A$630,MATCH(590,Engine!$C$2:$C$630,0)))</f>
        <v/>
      </c>
      <c r="B603">
        <f>IF(ISNA(MATCH(590,Engine!$C$2:$C$630,0)),"",INDEX('Compliance Database'!$B$2:$B$630,MATCH(590,Engine!$C$2:$C$630,0)))</f>
        <v/>
      </c>
      <c r="C603">
        <f>IF(ISNA(MATCH(590,Engine!$C$2:$C$630,0)),"",INDEX('Compliance Database'!$C$2:$C$630,MATCH(590,Engine!$C$2:$C$630,0)))</f>
        <v/>
      </c>
      <c r="D603" s="8">
        <f>IF(ISNA(MATCH(590,Engine!$C$2:$C$630,0)),"",INDEX('Compliance Database'!$D$2:$D$630,MATCH(590,Engine!$C$2:$C$630,0)))</f>
        <v/>
      </c>
      <c r="E603">
        <f>IF(ISNA(MATCH(590,Engine!$C$2:$C$630,0)),"",INDEX('Compliance Database'!$E$2:$E$630,MATCH(590,Engine!$C$2:$C$630,0)))</f>
        <v/>
      </c>
      <c r="F603">
        <f>IF(ISNA(MATCH(590,Engine!$C$2:$C$630,0)),"",INDEX('Compliance Database'!$F$2:$F$630,MATCH(590,Engine!$C$2:$C$630,0)))</f>
        <v/>
      </c>
      <c r="G603">
        <f>IF(ISNA(MATCH(590,Engine!$C$2:$C$630,0)),"",INDEX('Compliance Database'!$G$2:$G$630,MATCH(590,Engine!$C$2:$C$630,0)))</f>
        <v/>
      </c>
      <c r="H603">
        <f>IF(ISNA(MATCH(590,Engine!$C$2:$C$630,0)),"",INDEX('Compliance Database'!$H$2:$H$630,MATCH(590,Engine!$C$2:$C$630,0)))</f>
        <v/>
      </c>
      <c r="I603" s="8">
        <f>IF(ISNA(MATCH(590,Engine!$C$2:$C$630,0)),"",INDEX('Compliance Database'!$I$2:$I$630,MATCH(590,Engine!$C$2:$C$630,0)))</f>
        <v/>
      </c>
      <c r="J603" s="8">
        <f>IF(ISNA(MATCH(590,Engine!$C$2:$C$630,0)),"",INDEX('Compliance Database'!$J$2:$J$630,MATCH(590,Engine!$C$2:$C$630,0)))</f>
        <v/>
      </c>
      <c r="K603">
        <f>IF(ISNA(MATCH(590,Engine!$C$2:$C$630,0)),"",INDEX('Compliance Database'!$K$2:$K$630,MATCH(590,Engine!$C$2:$C$630,0)))</f>
        <v/>
      </c>
      <c r="L603" s="8">
        <f>IF(ISNA(MATCH(590,Engine!$C$2:$C$630,0)),"",INDEX('Compliance Database'!$L$2:$L$630,MATCH(590,Engine!$C$2:$C$630,0)))</f>
        <v/>
      </c>
      <c r="M603" s="8">
        <f>IF(ISNA(MATCH(590,Engine!$C$2:$C$630,0)),"",INDEX('Compliance Database'!$M$2:$M$630,MATCH(590,Engine!$C$2:$C$630,0)))</f>
        <v/>
      </c>
      <c r="N603" s="8">
        <f>IF(ISNA(MATCH(590,Engine!$C$2:$C$630,0)),"",INDEX('Compliance Database'!$N$2:$N$630,MATCH(590,Engine!$C$2:$C$630,0)))</f>
        <v/>
      </c>
      <c r="O603" s="8">
        <f>IF(ISNA(MATCH(590,Engine!$C$2:$C$630,0)),"",INDEX('Compliance Database'!$O$2:$O$630,MATCH(590,Engine!$C$2:$C$630,0)))</f>
        <v/>
      </c>
    </row>
    <row r="604">
      <c r="A604">
        <f>IF(ISNA(MATCH(591,Engine!$C$2:$C$630,0)),"",INDEX('Compliance Database'!$A$2:$A$630,MATCH(591,Engine!$C$2:$C$630,0)))</f>
        <v/>
      </c>
      <c r="B604">
        <f>IF(ISNA(MATCH(591,Engine!$C$2:$C$630,0)),"",INDEX('Compliance Database'!$B$2:$B$630,MATCH(591,Engine!$C$2:$C$630,0)))</f>
        <v/>
      </c>
      <c r="C604">
        <f>IF(ISNA(MATCH(591,Engine!$C$2:$C$630,0)),"",INDEX('Compliance Database'!$C$2:$C$630,MATCH(591,Engine!$C$2:$C$630,0)))</f>
        <v/>
      </c>
      <c r="D604" s="8">
        <f>IF(ISNA(MATCH(591,Engine!$C$2:$C$630,0)),"",INDEX('Compliance Database'!$D$2:$D$630,MATCH(591,Engine!$C$2:$C$630,0)))</f>
        <v/>
      </c>
      <c r="E604">
        <f>IF(ISNA(MATCH(591,Engine!$C$2:$C$630,0)),"",INDEX('Compliance Database'!$E$2:$E$630,MATCH(591,Engine!$C$2:$C$630,0)))</f>
        <v/>
      </c>
      <c r="F604">
        <f>IF(ISNA(MATCH(591,Engine!$C$2:$C$630,0)),"",INDEX('Compliance Database'!$F$2:$F$630,MATCH(591,Engine!$C$2:$C$630,0)))</f>
        <v/>
      </c>
      <c r="G604">
        <f>IF(ISNA(MATCH(591,Engine!$C$2:$C$630,0)),"",INDEX('Compliance Database'!$G$2:$G$630,MATCH(591,Engine!$C$2:$C$630,0)))</f>
        <v/>
      </c>
      <c r="H604">
        <f>IF(ISNA(MATCH(591,Engine!$C$2:$C$630,0)),"",INDEX('Compliance Database'!$H$2:$H$630,MATCH(591,Engine!$C$2:$C$630,0)))</f>
        <v/>
      </c>
      <c r="I604" s="8">
        <f>IF(ISNA(MATCH(591,Engine!$C$2:$C$630,0)),"",INDEX('Compliance Database'!$I$2:$I$630,MATCH(591,Engine!$C$2:$C$630,0)))</f>
        <v/>
      </c>
      <c r="J604" s="8">
        <f>IF(ISNA(MATCH(591,Engine!$C$2:$C$630,0)),"",INDEX('Compliance Database'!$J$2:$J$630,MATCH(591,Engine!$C$2:$C$630,0)))</f>
        <v/>
      </c>
      <c r="K604">
        <f>IF(ISNA(MATCH(591,Engine!$C$2:$C$630,0)),"",INDEX('Compliance Database'!$K$2:$K$630,MATCH(591,Engine!$C$2:$C$630,0)))</f>
        <v/>
      </c>
      <c r="L604" s="8">
        <f>IF(ISNA(MATCH(591,Engine!$C$2:$C$630,0)),"",INDEX('Compliance Database'!$L$2:$L$630,MATCH(591,Engine!$C$2:$C$630,0)))</f>
        <v/>
      </c>
      <c r="M604" s="8">
        <f>IF(ISNA(MATCH(591,Engine!$C$2:$C$630,0)),"",INDEX('Compliance Database'!$M$2:$M$630,MATCH(591,Engine!$C$2:$C$630,0)))</f>
        <v/>
      </c>
      <c r="N604" s="8">
        <f>IF(ISNA(MATCH(591,Engine!$C$2:$C$630,0)),"",INDEX('Compliance Database'!$N$2:$N$630,MATCH(591,Engine!$C$2:$C$630,0)))</f>
        <v/>
      </c>
      <c r="O604" s="8">
        <f>IF(ISNA(MATCH(591,Engine!$C$2:$C$630,0)),"",INDEX('Compliance Database'!$O$2:$O$630,MATCH(591,Engine!$C$2:$C$630,0)))</f>
        <v/>
      </c>
    </row>
    <row r="605">
      <c r="A605">
        <f>IF(ISNA(MATCH(592,Engine!$C$2:$C$630,0)),"",INDEX('Compliance Database'!$A$2:$A$630,MATCH(592,Engine!$C$2:$C$630,0)))</f>
        <v/>
      </c>
      <c r="B605">
        <f>IF(ISNA(MATCH(592,Engine!$C$2:$C$630,0)),"",INDEX('Compliance Database'!$B$2:$B$630,MATCH(592,Engine!$C$2:$C$630,0)))</f>
        <v/>
      </c>
      <c r="C605">
        <f>IF(ISNA(MATCH(592,Engine!$C$2:$C$630,0)),"",INDEX('Compliance Database'!$C$2:$C$630,MATCH(592,Engine!$C$2:$C$630,0)))</f>
        <v/>
      </c>
      <c r="D605" s="8">
        <f>IF(ISNA(MATCH(592,Engine!$C$2:$C$630,0)),"",INDEX('Compliance Database'!$D$2:$D$630,MATCH(592,Engine!$C$2:$C$630,0)))</f>
        <v/>
      </c>
      <c r="E605">
        <f>IF(ISNA(MATCH(592,Engine!$C$2:$C$630,0)),"",INDEX('Compliance Database'!$E$2:$E$630,MATCH(592,Engine!$C$2:$C$630,0)))</f>
        <v/>
      </c>
      <c r="F605">
        <f>IF(ISNA(MATCH(592,Engine!$C$2:$C$630,0)),"",INDEX('Compliance Database'!$F$2:$F$630,MATCH(592,Engine!$C$2:$C$630,0)))</f>
        <v/>
      </c>
      <c r="G605">
        <f>IF(ISNA(MATCH(592,Engine!$C$2:$C$630,0)),"",INDEX('Compliance Database'!$G$2:$G$630,MATCH(592,Engine!$C$2:$C$630,0)))</f>
        <v/>
      </c>
      <c r="H605">
        <f>IF(ISNA(MATCH(592,Engine!$C$2:$C$630,0)),"",INDEX('Compliance Database'!$H$2:$H$630,MATCH(592,Engine!$C$2:$C$630,0)))</f>
        <v/>
      </c>
      <c r="I605" s="8">
        <f>IF(ISNA(MATCH(592,Engine!$C$2:$C$630,0)),"",INDEX('Compliance Database'!$I$2:$I$630,MATCH(592,Engine!$C$2:$C$630,0)))</f>
        <v/>
      </c>
      <c r="J605" s="8">
        <f>IF(ISNA(MATCH(592,Engine!$C$2:$C$630,0)),"",INDEX('Compliance Database'!$J$2:$J$630,MATCH(592,Engine!$C$2:$C$630,0)))</f>
        <v/>
      </c>
      <c r="K605">
        <f>IF(ISNA(MATCH(592,Engine!$C$2:$C$630,0)),"",INDEX('Compliance Database'!$K$2:$K$630,MATCH(592,Engine!$C$2:$C$630,0)))</f>
        <v/>
      </c>
      <c r="L605" s="8">
        <f>IF(ISNA(MATCH(592,Engine!$C$2:$C$630,0)),"",INDEX('Compliance Database'!$L$2:$L$630,MATCH(592,Engine!$C$2:$C$630,0)))</f>
        <v/>
      </c>
      <c r="M605" s="8">
        <f>IF(ISNA(MATCH(592,Engine!$C$2:$C$630,0)),"",INDEX('Compliance Database'!$M$2:$M$630,MATCH(592,Engine!$C$2:$C$630,0)))</f>
        <v/>
      </c>
      <c r="N605" s="8">
        <f>IF(ISNA(MATCH(592,Engine!$C$2:$C$630,0)),"",INDEX('Compliance Database'!$N$2:$N$630,MATCH(592,Engine!$C$2:$C$630,0)))</f>
        <v/>
      </c>
      <c r="O605" s="8">
        <f>IF(ISNA(MATCH(592,Engine!$C$2:$C$630,0)),"",INDEX('Compliance Database'!$O$2:$O$630,MATCH(592,Engine!$C$2:$C$630,0)))</f>
        <v/>
      </c>
    </row>
    <row r="606">
      <c r="A606">
        <f>IF(ISNA(MATCH(593,Engine!$C$2:$C$630,0)),"",INDEX('Compliance Database'!$A$2:$A$630,MATCH(593,Engine!$C$2:$C$630,0)))</f>
        <v/>
      </c>
      <c r="B606">
        <f>IF(ISNA(MATCH(593,Engine!$C$2:$C$630,0)),"",INDEX('Compliance Database'!$B$2:$B$630,MATCH(593,Engine!$C$2:$C$630,0)))</f>
        <v/>
      </c>
      <c r="C606">
        <f>IF(ISNA(MATCH(593,Engine!$C$2:$C$630,0)),"",INDEX('Compliance Database'!$C$2:$C$630,MATCH(593,Engine!$C$2:$C$630,0)))</f>
        <v/>
      </c>
      <c r="D606" s="8">
        <f>IF(ISNA(MATCH(593,Engine!$C$2:$C$630,0)),"",INDEX('Compliance Database'!$D$2:$D$630,MATCH(593,Engine!$C$2:$C$630,0)))</f>
        <v/>
      </c>
      <c r="E606">
        <f>IF(ISNA(MATCH(593,Engine!$C$2:$C$630,0)),"",INDEX('Compliance Database'!$E$2:$E$630,MATCH(593,Engine!$C$2:$C$630,0)))</f>
        <v/>
      </c>
      <c r="F606">
        <f>IF(ISNA(MATCH(593,Engine!$C$2:$C$630,0)),"",INDEX('Compliance Database'!$F$2:$F$630,MATCH(593,Engine!$C$2:$C$630,0)))</f>
        <v/>
      </c>
      <c r="G606">
        <f>IF(ISNA(MATCH(593,Engine!$C$2:$C$630,0)),"",INDEX('Compliance Database'!$G$2:$G$630,MATCH(593,Engine!$C$2:$C$630,0)))</f>
        <v/>
      </c>
      <c r="H606">
        <f>IF(ISNA(MATCH(593,Engine!$C$2:$C$630,0)),"",INDEX('Compliance Database'!$H$2:$H$630,MATCH(593,Engine!$C$2:$C$630,0)))</f>
        <v/>
      </c>
      <c r="I606" s="8">
        <f>IF(ISNA(MATCH(593,Engine!$C$2:$C$630,0)),"",INDEX('Compliance Database'!$I$2:$I$630,MATCH(593,Engine!$C$2:$C$630,0)))</f>
        <v/>
      </c>
      <c r="J606" s="8">
        <f>IF(ISNA(MATCH(593,Engine!$C$2:$C$630,0)),"",INDEX('Compliance Database'!$J$2:$J$630,MATCH(593,Engine!$C$2:$C$630,0)))</f>
        <v/>
      </c>
      <c r="K606">
        <f>IF(ISNA(MATCH(593,Engine!$C$2:$C$630,0)),"",INDEX('Compliance Database'!$K$2:$K$630,MATCH(593,Engine!$C$2:$C$630,0)))</f>
        <v/>
      </c>
      <c r="L606" s="8">
        <f>IF(ISNA(MATCH(593,Engine!$C$2:$C$630,0)),"",INDEX('Compliance Database'!$L$2:$L$630,MATCH(593,Engine!$C$2:$C$630,0)))</f>
        <v/>
      </c>
      <c r="M606" s="8">
        <f>IF(ISNA(MATCH(593,Engine!$C$2:$C$630,0)),"",INDEX('Compliance Database'!$M$2:$M$630,MATCH(593,Engine!$C$2:$C$630,0)))</f>
        <v/>
      </c>
      <c r="N606" s="8">
        <f>IF(ISNA(MATCH(593,Engine!$C$2:$C$630,0)),"",INDEX('Compliance Database'!$N$2:$N$630,MATCH(593,Engine!$C$2:$C$630,0)))</f>
        <v/>
      </c>
      <c r="O606" s="8">
        <f>IF(ISNA(MATCH(593,Engine!$C$2:$C$630,0)),"",INDEX('Compliance Database'!$O$2:$O$630,MATCH(593,Engine!$C$2:$C$630,0)))</f>
        <v/>
      </c>
    </row>
    <row r="607">
      <c r="A607">
        <f>IF(ISNA(MATCH(594,Engine!$C$2:$C$630,0)),"",INDEX('Compliance Database'!$A$2:$A$630,MATCH(594,Engine!$C$2:$C$630,0)))</f>
        <v/>
      </c>
      <c r="B607">
        <f>IF(ISNA(MATCH(594,Engine!$C$2:$C$630,0)),"",INDEX('Compliance Database'!$B$2:$B$630,MATCH(594,Engine!$C$2:$C$630,0)))</f>
        <v/>
      </c>
      <c r="C607">
        <f>IF(ISNA(MATCH(594,Engine!$C$2:$C$630,0)),"",INDEX('Compliance Database'!$C$2:$C$630,MATCH(594,Engine!$C$2:$C$630,0)))</f>
        <v/>
      </c>
      <c r="D607" s="8">
        <f>IF(ISNA(MATCH(594,Engine!$C$2:$C$630,0)),"",INDEX('Compliance Database'!$D$2:$D$630,MATCH(594,Engine!$C$2:$C$630,0)))</f>
        <v/>
      </c>
      <c r="E607">
        <f>IF(ISNA(MATCH(594,Engine!$C$2:$C$630,0)),"",INDEX('Compliance Database'!$E$2:$E$630,MATCH(594,Engine!$C$2:$C$630,0)))</f>
        <v/>
      </c>
      <c r="F607">
        <f>IF(ISNA(MATCH(594,Engine!$C$2:$C$630,0)),"",INDEX('Compliance Database'!$F$2:$F$630,MATCH(594,Engine!$C$2:$C$630,0)))</f>
        <v/>
      </c>
      <c r="G607">
        <f>IF(ISNA(MATCH(594,Engine!$C$2:$C$630,0)),"",INDEX('Compliance Database'!$G$2:$G$630,MATCH(594,Engine!$C$2:$C$630,0)))</f>
        <v/>
      </c>
      <c r="H607">
        <f>IF(ISNA(MATCH(594,Engine!$C$2:$C$630,0)),"",INDEX('Compliance Database'!$H$2:$H$630,MATCH(594,Engine!$C$2:$C$630,0)))</f>
        <v/>
      </c>
      <c r="I607" s="8">
        <f>IF(ISNA(MATCH(594,Engine!$C$2:$C$630,0)),"",INDEX('Compliance Database'!$I$2:$I$630,MATCH(594,Engine!$C$2:$C$630,0)))</f>
        <v/>
      </c>
      <c r="J607" s="8">
        <f>IF(ISNA(MATCH(594,Engine!$C$2:$C$630,0)),"",INDEX('Compliance Database'!$J$2:$J$630,MATCH(594,Engine!$C$2:$C$630,0)))</f>
        <v/>
      </c>
      <c r="K607">
        <f>IF(ISNA(MATCH(594,Engine!$C$2:$C$630,0)),"",INDEX('Compliance Database'!$K$2:$K$630,MATCH(594,Engine!$C$2:$C$630,0)))</f>
        <v/>
      </c>
      <c r="L607" s="8">
        <f>IF(ISNA(MATCH(594,Engine!$C$2:$C$630,0)),"",INDEX('Compliance Database'!$L$2:$L$630,MATCH(594,Engine!$C$2:$C$630,0)))</f>
        <v/>
      </c>
      <c r="M607" s="8">
        <f>IF(ISNA(MATCH(594,Engine!$C$2:$C$630,0)),"",INDEX('Compliance Database'!$M$2:$M$630,MATCH(594,Engine!$C$2:$C$630,0)))</f>
        <v/>
      </c>
      <c r="N607" s="8">
        <f>IF(ISNA(MATCH(594,Engine!$C$2:$C$630,0)),"",INDEX('Compliance Database'!$N$2:$N$630,MATCH(594,Engine!$C$2:$C$630,0)))</f>
        <v/>
      </c>
      <c r="O607" s="8">
        <f>IF(ISNA(MATCH(594,Engine!$C$2:$C$630,0)),"",INDEX('Compliance Database'!$O$2:$O$630,MATCH(594,Engine!$C$2:$C$630,0)))</f>
        <v/>
      </c>
    </row>
    <row r="608">
      <c r="A608">
        <f>IF(ISNA(MATCH(595,Engine!$C$2:$C$630,0)),"",INDEX('Compliance Database'!$A$2:$A$630,MATCH(595,Engine!$C$2:$C$630,0)))</f>
        <v/>
      </c>
      <c r="B608">
        <f>IF(ISNA(MATCH(595,Engine!$C$2:$C$630,0)),"",INDEX('Compliance Database'!$B$2:$B$630,MATCH(595,Engine!$C$2:$C$630,0)))</f>
        <v/>
      </c>
      <c r="C608">
        <f>IF(ISNA(MATCH(595,Engine!$C$2:$C$630,0)),"",INDEX('Compliance Database'!$C$2:$C$630,MATCH(595,Engine!$C$2:$C$630,0)))</f>
        <v/>
      </c>
      <c r="D608" s="8">
        <f>IF(ISNA(MATCH(595,Engine!$C$2:$C$630,0)),"",INDEX('Compliance Database'!$D$2:$D$630,MATCH(595,Engine!$C$2:$C$630,0)))</f>
        <v/>
      </c>
      <c r="E608">
        <f>IF(ISNA(MATCH(595,Engine!$C$2:$C$630,0)),"",INDEX('Compliance Database'!$E$2:$E$630,MATCH(595,Engine!$C$2:$C$630,0)))</f>
        <v/>
      </c>
      <c r="F608">
        <f>IF(ISNA(MATCH(595,Engine!$C$2:$C$630,0)),"",INDEX('Compliance Database'!$F$2:$F$630,MATCH(595,Engine!$C$2:$C$630,0)))</f>
        <v/>
      </c>
      <c r="G608">
        <f>IF(ISNA(MATCH(595,Engine!$C$2:$C$630,0)),"",INDEX('Compliance Database'!$G$2:$G$630,MATCH(595,Engine!$C$2:$C$630,0)))</f>
        <v/>
      </c>
      <c r="H608">
        <f>IF(ISNA(MATCH(595,Engine!$C$2:$C$630,0)),"",INDEX('Compliance Database'!$H$2:$H$630,MATCH(595,Engine!$C$2:$C$630,0)))</f>
        <v/>
      </c>
      <c r="I608" s="8">
        <f>IF(ISNA(MATCH(595,Engine!$C$2:$C$630,0)),"",INDEX('Compliance Database'!$I$2:$I$630,MATCH(595,Engine!$C$2:$C$630,0)))</f>
        <v/>
      </c>
      <c r="J608" s="8">
        <f>IF(ISNA(MATCH(595,Engine!$C$2:$C$630,0)),"",INDEX('Compliance Database'!$J$2:$J$630,MATCH(595,Engine!$C$2:$C$630,0)))</f>
        <v/>
      </c>
      <c r="K608">
        <f>IF(ISNA(MATCH(595,Engine!$C$2:$C$630,0)),"",INDEX('Compliance Database'!$K$2:$K$630,MATCH(595,Engine!$C$2:$C$630,0)))</f>
        <v/>
      </c>
      <c r="L608" s="8">
        <f>IF(ISNA(MATCH(595,Engine!$C$2:$C$630,0)),"",INDEX('Compliance Database'!$L$2:$L$630,MATCH(595,Engine!$C$2:$C$630,0)))</f>
        <v/>
      </c>
      <c r="M608" s="8">
        <f>IF(ISNA(MATCH(595,Engine!$C$2:$C$630,0)),"",INDEX('Compliance Database'!$M$2:$M$630,MATCH(595,Engine!$C$2:$C$630,0)))</f>
        <v/>
      </c>
      <c r="N608" s="8">
        <f>IF(ISNA(MATCH(595,Engine!$C$2:$C$630,0)),"",INDEX('Compliance Database'!$N$2:$N$630,MATCH(595,Engine!$C$2:$C$630,0)))</f>
        <v/>
      </c>
      <c r="O608" s="8">
        <f>IF(ISNA(MATCH(595,Engine!$C$2:$C$630,0)),"",INDEX('Compliance Database'!$O$2:$O$630,MATCH(595,Engine!$C$2:$C$630,0)))</f>
        <v/>
      </c>
    </row>
    <row r="609">
      <c r="A609">
        <f>IF(ISNA(MATCH(596,Engine!$C$2:$C$630,0)),"",INDEX('Compliance Database'!$A$2:$A$630,MATCH(596,Engine!$C$2:$C$630,0)))</f>
        <v/>
      </c>
      <c r="B609">
        <f>IF(ISNA(MATCH(596,Engine!$C$2:$C$630,0)),"",INDEX('Compliance Database'!$B$2:$B$630,MATCH(596,Engine!$C$2:$C$630,0)))</f>
        <v/>
      </c>
      <c r="C609">
        <f>IF(ISNA(MATCH(596,Engine!$C$2:$C$630,0)),"",INDEX('Compliance Database'!$C$2:$C$630,MATCH(596,Engine!$C$2:$C$630,0)))</f>
        <v/>
      </c>
      <c r="D609" s="8">
        <f>IF(ISNA(MATCH(596,Engine!$C$2:$C$630,0)),"",INDEX('Compliance Database'!$D$2:$D$630,MATCH(596,Engine!$C$2:$C$630,0)))</f>
        <v/>
      </c>
      <c r="E609">
        <f>IF(ISNA(MATCH(596,Engine!$C$2:$C$630,0)),"",INDEX('Compliance Database'!$E$2:$E$630,MATCH(596,Engine!$C$2:$C$630,0)))</f>
        <v/>
      </c>
      <c r="F609">
        <f>IF(ISNA(MATCH(596,Engine!$C$2:$C$630,0)),"",INDEX('Compliance Database'!$F$2:$F$630,MATCH(596,Engine!$C$2:$C$630,0)))</f>
        <v/>
      </c>
      <c r="G609">
        <f>IF(ISNA(MATCH(596,Engine!$C$2:$C$630,0)),"",INDEX('Compliance Database'!$G$2:$G$630,MATCH(596,Engine!$C$2:$C$630,0)))</f>
        <v/>
      </c>
      <c r="H609">
        <f>IF(ISNA(MATCH(596,Engine!$C$2:$C$630,0)),"",INDEX('Compliance Database'!$H$2:$H$630,MATCH(596,Engine!$C$2:$C$630,0)))</f>
        <v/>
      </c>
      <c r="I609" s="8">
        <f>IF(ISNA(MATCH(596,Engine!$C$2:$C$630,0)),"",INDEX('Compliance Database'!$I$2:$I$630,MATCH(596,Engine!$C$2:$C$630,0)))</f>
        <v/>
      </c>
      <c r="J609" s="8">
        <f>IF(ISNA(MATCH(596,Engine!$C$2:$C$630,0)),"",INDEX('Compliance Database'!$J$2:$J$630,MATCH(596,Engine!$C$2:$C$630,0)))</f>
        <v/>
      </c>
      <c r="K609">
        <f>IF(ISNA(MATCH(596,Engine!$C$2:$C$630,0)),"",INDEX('Compliance Database'!$K$2:$K$630,MATCH(596,Engine!$C$2:$C$630,0)))</f>
        <v/>
      </c>
      <c r="L609" s="8">
        <f>IF(ISNA(MATCH(596,Engine!$C$2:$C$630,0)),"",INDEX('Compliance Database'!$L$2:$L$630,MATCH(596,Engine!$C$2:$C$630,0)))</f>
        <v/>
      </c>
      <c r="M609" s="8">
        <f>IF(ISNA(MATCH(596,Engine!$C$2:$C$630,0)),"",INDEX('Compliance Database'!$M$2:$M$630,MATCH(596,Engine!$C$2:$C$630,0)))</f>
        <v/>
      </c>
      <c r="N609" s="8">
        <f>IF(ISNA(MATCH(596,Engine!$C$2:$C$630,0)),"",INDEX('Compliance Database'!$N$2:$N$630,MATCH(596,Engine!$C$2:$C$630,0)))</f>
        <v/>
      </c>
      <c r="O609" s="8">
        <f>IF(ISNA(MATCH(596,Engine!$C$2:$C$630,0)),"",INDEX('Compliance Database'!$O$2:$O$630,MATCH(596,Engine!$C$2:$C$630,0)))</f>
        <v/>
      </c>
    </row>
    <row r="610">
      <c r="A610">
        <f>IF(ISNA(MATCH(597,Engine!$C$2:$C$630,0)),"",INDEX('Compliance Database'!$A$2:$A$630,MATCH(597,Engine!$C$2:$C$630,0)))</f>
        <v/>
      </c>
      <c r="B610">
        <f>IF(ISNA(MATCH(597,Engine!$C$2:$C$630,0)),"",INDEX('Compliance Database'!$B$2:$B$630,MATCH(597,Engine!$C$2:$C$630,0)))</f>
        <v/>
      </c>
      <c r="C610">
        <f>IF(ISNA(MATCH(597,Engine!$C$2:$C$630,0)),"",INDEX('Compliance Database'!$C$2:$C$630,MATCH(597,Engine!$C$2:$C$630,0)))</f>
        <v/>
      </c>
      <c r="D610" s="8">
        <f>IF(ISNA(MATCH(597,Engine!$C$2:$C$630,0)),"",INDEX('Compliance Database'!$D$2:$D$630,MATCH(597,Engine!$C$2:$C$630,0)))</f>
        <v/>
      </c>
      <c r="E610">
        <f>IF(ISNA(MATCH(597,Engine!$C$2:$C$630,0)),"",INDEX('Compliance Database'!$E$2:$E$630,MATCH(597,Engine!$C$2:$C$630,0)))</f>
        <v/>
      </c>
      <c r="F610">
        <f>IF(ISNA(MATCH(597,Engine!$C$2:$C$630,0)),"",INDEX('Compliance Database'!$F$2:$F$630,MATCH(597,Engine!$C$2:$C$630,0)))</f>
        <v/>
      </c>
      <c r="G610">
        <f>IF(ISNA(MATCH(597,Engine!$C$2:$C$630,0)),"",INDEX('Compliance Database'!$G$2:$G$630,MATCH(597,Engine!$C$2:$C$630,0)))</f>
        <v/>
      </c>
      <c r="H610">
        <f>IF(ISNA(MATCH(597,Engine!$C$2:$C$630,0)),"",INDEX('Compliance Database'!$H$2:$H$630,MATCH(597,Engine!$C$2:$C$630,0)))</f>
        <v/>
      </c>
      <c r="I610" s="8">
        <f>IF(ISNA(MATCH(597,Engine!$C$2:$C$630,0)),"",INDEX('Compliance Database'!$I$2:$I$630,MATCH(597,Engine!$C$2:$C$630,0)))</f>
        <v/>
      </c>
      <c r="J610" s="8">
        <f>IF(ISNA(MATCH(597,Engine!$C$2:$C$630,0)),"",INDEX('Compliance Database'!$J$2:$J$630,MATCH(597,Engine!$C$2:$C$630,0)))</f>
        <v/>
      </c>
      <c r="K610">
        <f>IF(ISNA(MATCH(597,Engine!$C$2:$C$630,0)),"",INDEX('Compliance Database'!$K$2:$K$630,MATCH(597,Engine!$C$2:$C$630,0)))</f>
        <v/>
      </c>
      <c r="L610" s="8">
        <f>IF(ISNA(MATCH(597,Engine!$C$2:$C$630,0)),"",INDEX('Compliance Database'!$L$2:$L$630,MATCH(597,Engine!$C$2:$C$630,0)))</f>
        <v/>
      </c>
      <c r="M610" s="8">
        <f>IF(ISNA(MATCH(597,Engine!$C$2:$C$630,0)),"",INDEX('Compliance Database'!$M$2:$M$630,MATCH(597,Engine!$C$2:$C$630,0)))</f>
        <v/>
      </c>
      <c r="N610" s="8">
        <f>IF(ISNA(MATCH(597,Engine!$C$2:$C$630,0)),"",INDEX('Compliance Database'!$N$2:$N$630,MATCH(597,Engine!$C$2:$C$630,0)))</f>
        <v/>
      </c>
      <c r="O610" s="8">
        <f>IF(ISNA(MATCH(597,Engine!$C$2:$C$630,0)),"",INDEX('Compliance Database'!$O$2:$O$630,MATCH(597,Engine!$C$2:$C$630,0)))</f>
        <v/>
      </c>
    </row>
    <row r="611">
      <c r="A611">
        <f>IF(ISNA(MATCH(598,Engine!$C$2:$C$630,0)),"",INDEX('Compliance Database'!$A$2:$A$630,MATCH(598,Engine!$C$2:$C$630,0)))</f>
        <v/>
      </c>
      <c r="B611">
        <f>IF(ISNA(MATCH(598,Engine!$C$2:$C$630,0)),"",INDEX('Compliance Database'!$B$2:$B$630,MATCH(598,Engine!$C$2:$C$630,0)))</f>
        <v/>
      </c>
      <c r="C611">
        <f>IF(ISNA(MATCH(598,Engine!$C$2:$C$630,0)),"",INDEX('Compliance Database'!$C$2:$C$630,MATCH(598,Engine!$C$2:$C$630,0)))</f>
        <v/>
      </c>
      <c r="D611" s="8">
        <f>IF(ISNA(MATCH(598,Engine!$C$2:$C$630,0)),"",INDEX('Compliance Database'!$D$2:$D$630,MATCH(598,Engine!$C$2:$C$630,0)))</f>
        <v/>
      </c>
      <c r="E611">
        <f>IF(ISNA(MATCH(598,Engine!$C$2:$C$630,0)),"",INDEX('Compliance Database'!$E$2:$E$630,MATCH(598,Engine!$C$2:$C$630,0)))</f>
        <v/>
      </c>
      <c r="F611">
        <f>IF(ISNA(MATCH(598,Engine!$C$2:$C$630,0)),"",INDEX('Compliance Database'!$F$2:$F$630,MATCH(598,Engine!$C$2:$C$630,0)))</f>
        <v/>
      </c>
      <c r="G611">
        <f>IF(ISNA(MATCH(598,Engine!$C$2:$C$630,0)),"",INDEX('Compliance Database'!$G$2:$G$630,MATCH(598,Engine!$C$2:$C$630,0)))</f>
        <v/>
      </c>
      <c r="H611">
        <f>IF(ISNA(MATCH(598,Engine!$C$2:$C$630,0)),"",INDEX('Compliance Database'!$H$2:$H$630,MATCH(598,Engine!$C$2:$C$630,0)))</f>
        <v/>
      </c>
      <c r="I611" s="8">
        <f>IF(ISNA(MATCH(598,Engine!$C$2:$C$630,0)),"",INDEX('Compliance Database'!$I$2:$I$630,MATCH(598,Engine!$C$2:$C$630,0)))</f>
        <v/>
      </c>
      <c r="J611" s="8">
        <f>IF(ISNA(MATCH(598,Engine!$C$2:$C$630,0)),"",INDEX('Compliance Database'!$J$2:$J$630,MATCH(598,Engine!$C$2:$C$630,0)))</f>
        <v/>
      </c>
      <c r="K611">
        <f>IF(ISNA(MATCH(598,Engine!$C$2:$C$630,0)),"",INDEX('Compliance Database'!$K$2:$K$630,MATCH(598,Engine!$C$2:$C$630,0)))</f>
        <v/>
      </c>
      <c r="L611" s="8">
        <f>IF(ISNA(MATCH(598,Engine!$C$2:$C$630,0)),"",INDEX('Compliance Database'!$L$2:$L$630,MATCH(598,Engine!$C$2:$C$630,0)))</f>
        <v/>
      </c>
      <c r="M611" s="8">
        <f>IF(ISNA(MATCH(598,Engine!$C$2:$C$630,0)),"",INDEX('Compliance Database'!$M$2:$M$630,MATCH(598,Engine!$C$2:$C$630,0)))</f>
        <v/>
      </c>
      <c r="N611" s="8">
        <f>IF(ISNA(MATCH(598,Engine!$C$2:$C$630,0)),"",INDEX('Compliance Database'!$N$2:$N$630,MATCH(598,Engine!$C$2:$C$630,0)))</f>
        <v/>
      </c>
      <c r="O611" s="8">
        <f>IF(ISNA(MATCH(598,Engine!$C$2:$C$630,0)),"",INDEX('Compliance Database'!$O$2:$O$630,MATCH(598,Engine!$C$2:$C$630,0)))</f>
        <v/>
      </c>
    </row>
    <row r="612">
      <c r="A612">
        <f>IF(ISNA(MATCH(599,Engine!$C$2:$C$630,0)),"",INDEX('Compliance Database'!$A$2:$A$630,MATCH(599,Engine!$C$2:$C$630,0)))</f>
        <v/>
      </c>
      <c r="B612">
        <f>IF(ISNA(MATCH(599,Engine!$C$2:$C$630,0)),"",INDEX('Compliance Database'!$B$2:$B$630,MATCH(599,Engine!$C$2:$C$630,0)))</f>
        <v/>
      </c>
      <c r="C612">
        <f>IF(ISNA(MATCH(599,Engine!$C$2:$C$630,0)),"",INDEX('Compliance Database'!$C$2:$C$630,MATCH(599,Engine!$C$2:$C$630,0)))</f>
        <v/>
      </c>
      <c r="D612" s="8">
        <f>IF(ISNA(MATCH(599,Engine!$C$2:$C$630,0)),"",INDEX('Compliance Database'!$D$2:$D$630,MATCH(599,Engine!$C$2:$C$630,0)))</f>
        <v/>
      </c>
      <c r="E612">
        <f>IF(ISNA(MATCH(599,Engine!$C$2:$C$630,0)),"",INDEX('Compliance Database'!$E$2:$E$630,MATCH(599,Engine!$C$2:$C$630,0)))</f>
        <v/>
      </c>
      <c r="F612">
        <f>IF(ISNA(MATCH(599,Engine!$C$2:$C$630,0)),"",INDEX('Compliance Database'!$F$2:$F$630,MATCH(599,Engine!$C$2:$C$630,0)))</f>
        <v/>
      </c>
      <c r="G612">
        <f>IF(ISNA(MATCH(599,Engine!$C$2:$C$630,0)),"",INDEX('Compliance Database'!$G$2:$G$630,MATCH(599,Engine!$C$2:$C$630,0)))</f>
        <v/>
      </c>
      <c r="H612">
        <f>IF(ISNA(MATCH(599,Engine!$C$2:$C$630,0)),"",INDEX('Compliance Database'!$H$2:$H$630,MATCH(599,Engine!$C$2:$C$630,0)))</f>
        <v/>
      </c>
      <c r="I612" s="8">
        <f>IF(ISNA(MATCH(599,Engine!$C$2:$C$630,0)),"",INDEX('Compliance Database'!$I$2:$I$630,MATCH(599,Engine!$C$2:$C$630,0)))</f>
        <v/>
      </c>
      <c r="J612" s="8">
        <f>IF(ISNA(MATCH(599,Engine!$C$2:$C$630,0)),"",INDEX('Compliance Database'!$J$2:$J$630,MATCH(599,Engine!$C$2:$C$630,0)))</f>
        <v/>
      </c>
      <c r="K612">
        <f>IF(ISNA(MATCH(599,Engine!$C$2:$C$630,0)),"",INDEX('Compliance Database'!$K$2:$K$630,MATCH(599,Engine!$C$2:$C$630,0)))</f>
        <v/>
      </c>
      <c r="L612" s="8">
        <f>IF(ISNA(MATCH(599,Engine!$C$2:$C$630,0)),"",INDEX('Compliance Database'!$L$2:$L$630,MATCH(599,Engine!$C$2:$C$630,0)))</f>
        <v/>
      </c>
      <c r="M612" s="8">
        <f>IF(ISNA(MATCH(599,Engine!$C$2:$C$630,0)),"",INDEX('Compliance Database'!$M$2:$M$630,MATCH(599,Engine!$C$2:$C$630,0)))</f>
        <v/>
      </c>
      <c r="N612" s="8">
        <f>IF(ISNA(MATCH(599,Engine!$C$2:$C$630,0)),"",INDEX('Compliance Database'!$N$2:$N$630,MATCH(599,Engine!$C$2:$C$630,0)))</f>
        <v/>
      </c>
      <c r="O612" s="8">
        <f>IF(ISNA(MATCH(599,Engine!$C$2:$C$630,0)),"",INDEX('Compliance Database'!$O$2:$O$630,MATCH(599,Engine!$C$2:$C$630,0)))</f>
        <v/>
      </c>
    </row>
    <row r="613">
      <c r="A613">
        <f>IF(ISNA(MATCH(600,Engine!$C$2:$C$630,0)),"",INDEX('Compliance Database'!$A$2:$A$630,MATCH(600,Engine!$C$2:$C$630,0)))</f>
        <v/>
      </c>
      <c r="B613">
        <f>IF(ISNA(MATCH(600,Engine!$C$2:$C$630,0)),"",INDEX('Compliance Database'!$B$2:$B$630,MATCH(600,Engine!$C$2:$C$630,0)))</f>
        <v/>
      </c>
      <c r="C613">
        <f>IF(ISNA(MATCH(600,Engine!$C$2:$C$630,0)),"",INDEX('Compliance Database'!$C$2:$C$630,MATCH(600,Engine!$C$2:$C$630,0)))</f>
        <v/>
      </c>
      <c r="D613" s="8">
        <f>IF(ISNA(MATCH(600,Engine!$C$2:$C$630,0)),"",INDEX('Compliance Database'!$D$2:$D$630,MATCH(600,Engine!$C$2:$C$630,0)))</f>
        <v/>
      </c>
      <c r="E613">
        <f>IF(ISNA(MATCH(600,Engine!$C$2:$C$630,0)),"",INDEX('Compliance Database'!$E$2:$E$630,MATCH(600,Engine!$C$2:$C$630,0)))</f>
        <v/>
      </c>
      <c r="F613">
        <f>IF(ISNA(MATCH(600,Engine!$C$2:$C$630,0)),"",INDEX('Compliance Database'!$F$2:$F$630,MATCH(600,Engine!$C$2:$C$630,0)))</f>
        <v/>
      </c>
      <c r="G613">
        <f>IF(ISNA(MATCH(600,Engine!$C$2:$C$630,0)),"",INDEX('Compliance Database'!$G$2:$G$630,MATCH(600,Engine!$C$2:$C$630,0)))</f>
        <v/>
      </c>
      <c r="H613">
        <f>IF(ISNA(MATCH(600,Engine!$C$2:$C$630,0)),"",INDEX('Compliance Database'!$H$2:$H$630,MATCH(600,Engine!$C$2:$C$630,0)))</f>
        <v/>
      </c>
      <c r="I613" s="8">
        <f>IF(ISNA(MATCH(600,Engine!$C$2:$C$630,0)),"",INDEX('Compliance Database'!$I$2:$I$630,MATCH(600,Engine!$C$2:$C$630,0)))</f>
        <v/>
      </c>
      <c r="J613" s="8">
        <f>IF(ISNA(MATCH(600,Engine!$C$2:$C$630,0)),"",INDEX('Compliance Database'!$J$2:$J$630,MATCH(600,Engine!$C$2:$C$630,0)))</f>
        <v/>
      </c>
      <c r="K613">
        <f>IF(ISNA(MATCH(600,Engine!$C$2:$C$630,0)),"",INDEX('Compliance Database'!$K$2:$K$630,MATCH(600,Engine!$C$2:$C$630,0)))</f>
        <v/>
      </c>
      <c r="L613" s="8">
        <f>IF(ISNA(MATCH(600,Engine!$C$2:$C$630,0)),"",INDEX('Compliance Database'!$L$2:$L$630,MATCH(600,Engine!$C$2:$C$630,0)))</f>
        <v/>
      </c>
      <c r="M613" s="8">
        <f>IF(ISNA(MATCH(600,Engine!$C$2:$C$630,0)),"",INDEX('Compliance Database'!$M$2:$M$630,MATCH(600,Engine!$C$2:$C$630,0)))</f>
        <v/>
      </c>
      <c r="N613" s="8">
        <f>IF(ISNA(MATCH(600,Engine!$C$2:$C$630,0)),"",INDEX('Compliance Database'!$N$2:$N$630,MATCH(600,Engine!$C$2:$C$630,0)))</f>
        <v/>
      </c>
      <c r="O613" s="8">
        <f>IF(ISNA(MATCH(600,Engine!$C$2:$C$630,0)),"",INDEX('Compliance Database'!$O$2:$O$630,MATCH(600,Engine!$C$2:$C$630,0)))</f>
        <v/>
      </c>
    </row>
    <row r="614">
      <c r="A614">
        <f>IF(ISNA(MATCH(601,Engine!$C$2:$C$630,0)),"",INDEX('Compliance Database'!$A$2:$A$630,MATCH(601,Engine!$C$2:$C$630,0)))</f>
        <v/>
      </c>
      <c r="B614">
        <f>IF(ISNA(MATCH(601,Engine!$C$2:$C$630,0)),"",INDEX('Compliance Database'!$B$2:$B$630,MATCH(601,Engine!$C$2:$C$630,0)))</f>
        <v/>
      </c>
      <c r="C614">
        <f>IF(ISNA(MATCH(601,Engine!$C$2:$C$630,0)),"",INDEX('Compliance Database'!$C$2:$C$630,MATCH(601,Engine!$C$2:$C$630,0)))</f>
        <v/>
      </c>
      <c r="D614" s="8">
        <f>IF(ISNA(MATCH(601,Engine!$C$2:$C$630,0)),"",INDEX('Compliance Database'!$D$2:$D$630,MATCH(601,Engine!$C$2:$C$630,0)))</f>
        <v/>
      </c>
      <c r="E614">
        <f>IF(ISNA(MATCH(601,Engine!$C$2:$C$630,0)),"",INDEX('Compliance Database'!$E$2:$E$630,MATCH(601,Engine!$C$2:$C$630,0)))</f>
        <v/>
      </c>
      <c r="F614">
        <f>IF(ISNA(MATCH(601,Engine!$C$2:$C$630,0)),"",INDEX('Compliance Database'!$F$2:$F$630,MATCH(601,Engine!$C$2:$C$630,0)))</f>
        <v/>
      </c>
      <c r="G614">
        <f>IF(ISNA(MATCH(601,Engine!$C$2:$C$630,0)),"",INDEX('Compliance Database'!$G$2:$G$630,MATCH(601,Engine!$C$2:$C$630,0)))</f>
        <v/>
      </c>
      <c r="H614">
        <f>IF(ISNA(MATCH(601,Engine!$C$2:$C$630,0)),"",INDEX('Compliance Database'!$H$2:$H$630,MATCH(601,Engine!$C$2:$C$630,0)))</f>
        <v/>
      </c>
      <c r="I614" s="8">
        <f>IF(ISNA(MATCH(601,Engine!$C$2:$C$630,0)),"",INDEX('Compliance Database'!$I$2:$I$630,MATCH(601,Engine!$C$2:$C$630,0)))</f>
        <v/>
      </c>
      <c r="J614" s="8">
        <f>IF(ISNA(MATCH(601,Engine!$C$2:$C$630,0)),"",INDEX('Compliance Database'!$J$2:$J$630,MATCH(601,Engine!$C$2:$C$630,0)))</f>
        <v/>
      </c>
      <c r="K614">
        <f>IF(ISNA(MATCH(601,Engine!$C$2:$C$630,0)),"",INDEX('Compliance Database'!$K$2:$K$630,MATCH(601,Engine!$C$2:$C$630,0)))</f>
        <v/>
      </c>
      <c r="L614" s="8">
        <f>IF(ISNA(MATCH(601,Engine!$C$2:$C$630,0)),"",INDEX('Compliance Database'!$L$2:$L$630,MATCH(601,Engine!$C$2:$C$630,0)))</f>
        <v/>
      </c>
      <c r="M614" s="8">
        <f>IF(ISNA(MATCH(601,Engine!$C$2:$C$630,0)),"",INDEX('Compliance Database'!$M$2:$M$630,MATCH(601,Engine!$C$2:$C$630,0)))</f>
        <v/>
      </c>
      <c r="N614" s="8">
        <f>IF(ISNA(MATCH(601,Engine!$C$2:$C$630,0)),"",INDEX('Compliance Database'!$N$2:$N$630,MATCH(601,Engine!$C$2:$C$630,0)))</f>
        <v/>
      </c>
      <c r="O614" s="8">
        <f>IF(ISNA(MATCH(601,Engine!$C$2:$C$630,0)),"",INDEX('Compliance Database'!$O$2:$O$630,MATCH(601,Engine!$C$2:$C$630,0)))</f>
        <v/>
      </c>
    </row>
    <row r="615">
      <c r="A615">
        <f>IF(ISNA(MATCH(602,Engine!$C$2:$C$630,0)),"",INDEX('Compliance Database'!$A$2:$A$630,MATCH(602,Engine!$C$2:$C$630,0)))</f>
        <v/>
      </c>
      <c r="B615">
        <f>IF(ISNA(MATCH(602,Engine!$C$2:$C$630,0)),"",INDEX('Compliance Database'!$B$2:$B$630,MATCH(602,Engine!$C$2:$C$630,0)))</f>
        <v/>
      </c>
      <c r="C615">
        <f>IF(ISNA(MATCH(602,Engine!$C$2:$C$630,0)),"",INDEX('Compliance Database'!$C$2:$C$630,MATCH(602,Engine!$C$2:$C$630,0)))</f>
        <v/>
      </c>
      <c r="D615" s="8">
        <f>IF(ISNA(MATCH(602,Engine!$C$2:$C$630,0)),"",INDEX('Compliance Database'!$D$2:$D$630,MATCH(602,Engine!$C$2:$C$630,0)))</f>
        <v/>
      </c>
      <c r="E615">
        <f>IF(ISNA(MATCH(602,Engine!$C$2:$C$630,0)),"",INDEX('Compliance Database'!$E$2:$E$630,MATCH(602,Engine!$C$2:$C$630,0)))</f>
        <v/>
      </c>
      <c r="F615">
        <f>IF(ISNA(MATCH(602,Engine!$C$2:$C$630,0)),"",INDEX('Compliance Database'!$F$2:$F$630,MATCH(602,Engine!$C$2:$C$630,0)))</f>
        <v/>
      </c>
      <c r="G615">
        <f>IF(ISNA(MATCH(602,Engine!$C$2:$C$630,0)),"",INDEX('Compliance Database'!$G$2:$G$630,MATCH(602,Engine!$C$2:$C$630,0)))</f>
        <v/>
      </c>
      <c r="H615">
        <f>IF(ISNA(MATCH(602,Engine!$C$2:$C$630,0)),"",INDEX('Compliance Database'!$H$2:$H$630,MATCH(602,Engine!$C$2:$C$630,0)))</f>
        <v/>
      </c>
      <c r="I615" s="8">
        <f>IF(ISNA(MATCH(602,Engine!$C$2:$C$630,0)),"",INDEX('Compliance Database'!$I$2:$I$630,MATCH(602,Engine!$C$2:$C$630,0)))</f>
        <v/>
      </c>
      <c r="J615" s="8">
        <f>IF(ISNA(MATCH(602,Engine!$C$2:$C$630,0)),"",INDEX('Compliance Database'!$J$2:$J$630,MATCH(602,Engine!$C$2:$C$630,0)))</f>
        <v/>
      </c>
      <c r="K615">
        <f>IF(ISNA(MATCH(602,Engine!$C$2:$C$630,0)),"",INDEX('Compliance Database'!$K$2:$K$630,MATCH(602,Engine!$C$2:$C$630,0)))</f>
        <v/>
      </c>
      <c r="L615" s="8">
        <f>IF(ISNA(MATCH(602,Engine!$C$2:$C$630,0)),"",INDEX('Compliance Database'!$L$2:$L$630,MATCH(602,Engine!$C$2:$C$630,0)))</f>
        <v/>
      </c>
      <c r="M615" s="8">
        <f>IF(ISNA(MATCH(602,Engine!$C$2:$C$630,0)),"",INDEX('Compliance Database'!$M$2:$M$630,MATCH(602,Engine!$C$2:$C$630,0)))</f>
        <v/>
      </c>
      <c r="N615" s="8">
        <f>IF(ISNA(MATCH(602,Engine!$C$2:$C$630,0)),"",INDEX('Compliance Database'!$N$2:$N$630,MATCH(602,Engine!$C$2:$C$630,0)))</f>
        <v/>
      </c>
      <c r="O615" s="8">
        <f>IF(ISNA(MATCH(602,Engine!$C$2:$C$630,0)),"",INDEX('Compliance Database'!$O$2:$O$630,MATCH(602,Engine!$C$2:$C$630,0)))</f>
        <v/>
      </c>
    </row>
    <row r="616">
      <c r="A616">
        <f>IF(ISNA(MATCH(603,Engine!$C$2:$C$630,0)),"",INDEX('Compliance Database'!$A$2:$A$630,MATCH(603,Engine!$C$2:$C$630,0)))</f>
        <v/>
      </c>
      <c r="B616">
        <f>IF(ISNA(MATCH(603,Engine!$C$2:$C$630,0)),"",INDEX('Compliance Database'!$B$2:$B$630,MATCH(603,Engine!$C$2:$C$630,0)))</f>
        <v/>
      </c>
      <c r="C616">
        <f>IF(ISNA(MATCH(603,Engine!$C$2:$C$630,0)),"",INDEX('Compliance Database'!$C$2:$C$630,MATCH(603,Engine!$C$2:$C$630,0)))</f>
        <v/>
      </c>
      <c r="D616" s="8">
        <f>IF(ISNA(MATCH(603,Engine!$C$2:$C$630,0)),"",INDEX('Compliance Database'!$D$2:$D$630,MATCH(603,Engine!$C$2:$C$630,0)))</f>
        <v/>
      </c>
      <c r="E616">
        <f>IF(ISNA(MATCH(603,Engine!$C$2:$C$630,0)),"",INDEX('Compliance Database'!$E$2:$E$630,MATCH(603,Engine!$C$2:$C$630,0)))</f>
        <v/>
      </c>
      <c r="F616">
        <f>IF(ISNA(MATCH(603,Engine!$C$2:$C$630,0)),"",INDEX('Compliance Database'!$F$2:$F$630,MATCH(603,Engine!$C$2:$C$630,0)))</f>
        <v/>
      </c>
      <c r="G616">
        <f>IF(ISNA(MATCH(603,Engine!$C$2:$C$630,0)),"",INDEX('Compliance Database'!$G$2:$G$630,MATCH(603,Engine!$C$2:$C$630,0)))</f>
        <v/>
      </c>
      <c r="H616">
        <f>IF(ISNA(MATCH(603,Engine!$C$2:$C$630,0)),"",INDEX('Compliance Database'!$H$2:$H$630,MATCH(603,Engine!$C$2:$C$630,0)))</f>
        <v/>
      </c>
      <c r="I616" s="8">
        <f>IF(ISNA(MATCH(603,Engine!$C$2:$C$630,0)),"",INDEX('Compliance Database'!$I$2:$I$630,MATCH(603,Engine!$C$2:$C$630,0)))</f>
        <v/>
      </c>
      <c r="J616" s="8">
        <f>IF(ISNA(MATCH(603,Engine!$C$2:$C$630,0)),"",INDEX('Compliance Database'!$J$2:$J$630,MATCH(603,Engine!$C$2:$C$630,0)))</f>
        <v/>
      </c>
      <c r="K616">
        <f>IF(ISNA(MATCH(603,Engine!$C$2:$C$630,0)),"",INDEX('Compliance Database'!$K$2:$K$630,MATCH(603,Engine!$C$2:$C$630,0)))</f>
        <v/>
      </c>
      <c r="L616" s="8">
        <f>IF(ISNA(MATCH(603,Engine!$C$2:$C$630,0)),"",INDEX('Compliance Database'!$L$2:$L$630,MATCH(603,Engine!$C$2:$C$630,0)))</f>
        <v/>
      </c>
      <c r="M616" s="8">
        <f>IF(ISNA(MATCH(603,Engine!$C$2:$C$630,0)),"",INDEX('Compliance Database'!$M$2:$M$630,MATCH(603,Engine!$C$2:$C$630,0)))</f>
        <v/>
      </c>
      <c r="N616" s="8">
        <f>IF(ISNA(MATCH(603,Engine!$C$2:$C$630,0)),"",INDEX('Compliance Database'!$N$2:$N$630,MATCH(603,Engine!$C$2:$C$630,0)))</f>
        <v/>
      </c>
      <c r="O616" s="8">
        <f>IF(ISNA(MATCH(603,Engine!$C$2:$C$630,0)),"",INDEX('Compliance Database'!$O$2:$O$630,MATCH(603,Engine!$C$2:$C$630,0)))</f>
        <v/>
      </c>
    </row>
    <row r="617">
      <c r="A617">
        <f>IF(ISNA(MATCH(604,Engine!$C$2:$C$630,0)),"",INDEX('Compliance Database'!$A$2:$A$630,MATCH(604,Engine!$C$2:$C$630,0)))</f>
        <v/>
      </c>
      <c r="B617">
        <f>IF(ISNA(MATCH(604,Engine!$C$2:$C$630,0)),"",INDEX('Compliance Database'!$B$2:$B$630,MATCH(604,Engine!$C$2:$C$630,0)))</f>
        <v/>
      </c>
      <c r="C617">
        <f>IF(ISNA(MATCH(604,Engine!$C$2:$C$630,0)),"",INDEX('Compliance Database'!$C$2:$C$630,MATCH(604,Engine!$C$2:$C$630,0)))</f>
        <v/>
      </c>
      <c r="D617" s="8">
        <f>IF(ISNA(MATCH(604,Engine!$C$2:$C$630,0)),"",INDEX('Compliance Database'!$D$2:$D$630,MATCH(604,Engine!$C$2:$C$630,0)))</f>
        <v/>
      </c>
      <c r="E617">
        <f>IF(ISNA(MATCH(604,Engine!$C$2:$C$630,0)),"",INDEX('Compliance Database'!$E$2:$E$630,MATCH(604,Engine!$C$2:$C$630,0)))</f>
        <v/>
      </c>
      <c r="F617">
        <f>IF(ISNA(MATCH(604,Engine!$C$2:$C$630,0)),"",INDEX('Compliance Database'!$F$2:$F$630,MATCH(604,Engine!$C$2:$C$630,0)))</f>
        <v/>
      </c>
      <c r="G617">
        <f>IF(ISNA(MATCH(604,Engine!$C$2:$C$630,0)),"",INDEX('Compliance Database'!$G$2:$G$630,MATCH(604,Engine!$C$2:$C$630,0)))</f>
        <v/>
      </c>
      <c r="H617">
        <f>IF(ISNA(MATCH(604,Engine!$C$2:$C$630,0)),"",INDEX('Compliance Database'!$H$2:$H$630,MATCH(604,Engine!$C$2:$C$630,0)))</f>
        <v/>
      </c>
      <c r="I617" s="8">
        <f>IF(ISNA(MATCH(604,Engine!$C$2:$C$630,0)),"",INDEX('Compliance Database'!$I$2:$I$630,MATCH(604,Engine!$C$2:$C$630,0)))</f>
        <v/>
      </c>
      <c r="J617" s="8">
        <f>IF(ISNA(MATCH(604,Engine!$C$2:$C$630,0)),"",INDEX('Compliance Database'!$J$2:$J$630,MATCH(604,Engine!$C$2:$C$630,0)))</f>
        <v/>
      </c>
      <c r="K617">
        <f>IF(ISNA(MATCH(604,Engine!$C$2:$C$630,0)),"",INDEX('Compliance Database'!$K$2:$K$630,MATCH(604,Engine!$C$2:$C$630,0)))</f>
        <v/>
      </c>
      <c r="L617" s="8">
        <f>IF(ISNA(MATCH(604,Engine!$C$2:$C$630,0)),"",INDEX('Compliance Database'!$L$2:$L$630,MATCH(604,Engine!$C$2:$C$630,0)))</f>
        <v/>
      </c>
      <c r="M617" s="8">
        <f>IF(ISNA(MATCH(604,Engine!$C$2:$C$630,0)),"",INDEX('Compliance Database'!$M$2:$M$630,MATCH(604,Engine!$C$2:$C$630,0)))</f>
        <v/>
      </c>
      <c r="N617" s="8">
        <f>IF(ISNA(MATCH(604,Engine!$C$2:$C$630,0)),"",INDEX('Compliance Database'!$N$2:$N$630,MATCH(604,Engine!$C$2:$C$630,0)))</f>
        <v/>
      </c>
      <c r="O617" s="8">
        <f>IF(ISNA(MATCH(604,Engine!$C$2:$C$630,0)),"",INDEX('Compliance Database'!$O$2:$O$630,MATCH(604,Engine!$C$2:$C$630,0)))</f>
        <v/>
      </c>
    </row>
    <row r="618">
      <c r="A618">
        <f>IF(ISNA(MATCH(605,Engine!$C$2:$C$630,0)),"",INDEX('Compliance Database'!$A$2:$A$630,MATCH(605,Engine!$C$2:$C$630,0)))</f>
        <v/>
      </c>
      <c r="B618">
        <f>IF(ISNA(MATCH(605,Engine!$C$2:$C$630,0)),"",INDEX('Compliance Database'!$B$2:$B$630,MATCH(605,Engine!$C$2:$C$630,0)))</f>
        <v/>
      </c>
      <c r="C618">
        <f>IF(ISNA(MATCH(605,Engine!$C$2:$C$630,0)),"",INDEX('Compliance Database'!$C$2:$C$630,MATCH(605,Engine!$C$2:$C$630,0)))</f>
        <v/>
      </c>
      <c r="D618" s="8">
        <f>IF(ISNA(MATCH(605,Engine!$C$2:$C$630,0)),"",INDEX('Compliance Database'!$D$2:$D$630,MATCH(605,Engine!$C$2:$C$630,0)))</f>
        <v/>
      </c>
      <c r="E618">
        <f>IF(ISNA(MATCH(605,Engine!$C$2:$C$630,0)),"",INDEX('Compliance Database'!$E$2:$E$630,MATCH(605,Engine!$C$2:$C$630,0)))</f>
        <v/>
      </c>
      <c r="F618">
        <f>IF(ISNA(MATCH(605,Engine!$C$2:$C$630,0)),"",INDEX('Compliance Database'!$F$2:$F$630,MATCH(605,Engine!$C$2:$C$630,0)))</f>
        <v/>
      </c>
      <c r="G618">
        <f>IF(ISNA(MATCH(605,Engine!$C$2:$C$630,0)),"",INDEX('Compliance Database'!$G$2:$G$630,MATCH(605,Engine!$C$2:$C$630,0)))</f>
        <v/>
      </c>
      <c r="H618">
        <f>IF(ISNA(MATCH(605,Engine!$C$2:$C$630,0)),"",INDEX('Compliance Database'!$H$2:$H$630,MATCH(605,Engine!$C$2:$C$630,0)))</f>
        <v/>
      </c>
      <c r="I618" s="8">
        <f>IF(ISNA(MATCH(605,Engine!$C$2:$C$630,0)),"",INDEX('Compliance Database'!$I$2:$I$630,MATCH(605,Engine!$C$2:$C$630,0)))</f>
        <v/>
      </c>
      <c r="J618" s="8">
        <f>IF(ISNA(MATCH(605,Engine!$C$2:$C$630,0)),"",INDEX('Compliance Database'!$J$2:$J$630,MATCH(605,Engine!$C$2:$C$630,0)))</f>
        <v/>
      </c>
      <c r="K618">
        <f>IF(ISNA(MATCH(605,Engine!$C$2:$C$630,0)),"",INDEX('Compliance Database'!$K$2:$K$630,MATCH(605,Engine!$C$2:$C$630,0)))</f>
        <v/>
      </c>
      <c r="L618" s="8">
        <f>IF(ISNA(MATCH(605,Engine!$C$2:$C$630,0)),"",INDEX('Compliance Database'!$L$2:$L$630,MATCH(605,Engine!$C$2:$C$630,0)))</f>
        <v/>
      </c>
      <c r="M618" s="8">
        <f>IF(ISNA(MATCH(605,Engine!$C$2:$C$630,0)),"",INDEX('Compliance Database'!$M$2:$M$630,MATCH(605,Engine!$C$2:$C$630,0)))</f>
        <v/>
      </c>
      <c r="N618" s="8">
        <f>IF(ISNA(MATCH(605,Engine!$C$2:$C$630,0)),"",INDEX('Compliance Database'!$N$2:$N$630,MATCH(605,Engine!$C$2:$C$630,0)))</f>
        <v/>
      </c>
      <c r="O618" s="8">
        <f>IF(ISNA(MATCH(605,Engine!$C$2:$C$630,0)),"",INDEX('Compliance Database'!$O$2:$O$630,MATCH(605,Engine!$C$2:$C$630,0)))</f>
        <v/>
      </c>
    </row>
    <row r="619">
      <c r="A619">
        <f>IF(ISNA(MATCH(606,Engine!$C$2:$C$630,0)),"",INDEX('Compliance Database'!$A$2:$A$630,MATCH(606,Engine!$C$2:$C$630,0)))</f>
        <v/>
      </c>
      <c r="B619">
        <f>IF(ISNA(MATCH(606,Engine!$C$2:$C$630,0)),"",INDEX('Compliance Database'!$B$2:$B$630,MATCH(606,Engine!$C$2:$C$630,0)))</f>
        <v/>
      </c>
      <c r="C619">
        <f>IF(ISNA(MATCH(606,Engine!$C$2:$C$630,0)),"",INDEX('Compliance Database'!$C$2:$C$630,MATCH(606,Engine!$C$2:$C$630,0)))</f>
        <v/>
      </c>
      <c r="D619" s="8">
        <f>IF(ISNA(MATCH(606,Engine!$C$2:$C$630,0)),"",INDEX('Compliance Database'!$D$2:$D$630,MATCH(606,Engine!$C$2:$C$630,0)))</f>
        <v/>
      </c>
      <c r="E619">
        <f>IF(ISNA(MATCH(606,Engine!$C$2:$C$630,0)),"",INDEX('Compliance Database'!$E$2:$E$630,MATCH(606,Engine!$C$2:$C$630,0)))</f>
        <v/>
      </c>
      <c r="F619">
        <f>IF(ISNA(MATCH(606,Engine!$C$2:$C$630,0)),"",INDEX('Compliance Database'!$F$2:$F$630,MATCH(606,Engine!$C$2:$C$630,0)))</f>
        <v/>
      </c>
      <c r="G619">
        <f>IF(ISNA(MATCH(606,Engine!$C$2:$C$630,0)),"",INDEX('Compliance Database'!$G$2:$G$630,MATCH(606,Engine!$C$2:$C$630,0)))</f>
        <v/>
      </c>
      <c r="H619">
        <f>IF(ISNA(MATCH(606,Engine!$C$2:$C$630,0)),"",INDEX('Compliance Database'!$H$2:$H$630,MATCH(606,Engine!$C$2:$C$630,0)))</f>
        <v/>
      </c>
      <c r="I619" s="8">
        <f>IF(ISNA(MATCH(606,Engine!$C$2:$C$630,0)),"",INDEX('Compliance Database'!$I$2:$I$630,MATCH(606,Engine!$C$2:$C$630,0)))</f>
        <v/>
      </c>
      <c r="J619" s="8">
        <f>IF(ISNA(MATCH(606,Engine!$C$2:$C$630,0)),"",INDEX('Compliance Database'!$J$2:$J$630,MATCH(606,Engine!$C$2:$C$630,0)))</f>
        <v/>
      </c>
      <c r="K619">
        <f>IF(ISNA(MATCH(606,Engine!$C$2:$C$630,0)),"",INDEX('Compliance Database'!$K$2:$K$630,MATCH(606,Engine!$C$2:$C$630,0)))</f>
        <v/>
      </c>
      <c r="L619" s="8">
        <f>IF(ISNA(MATCH(606,Engine!$C$2:$C$630,0)),"",INDEX('Compliance Database'!$L$2:$L$630,MATCH(606,Engine!$C$2:$C$630,0)))</f>
        <v/>
      </c>
      <c r="M619" s="8">
        <f>IF(ISNA(MATCH(606,Engine!$C$2:$C$630,0)),"",INDEX('Compliance Database'!$M$2:$M$630,MATCH(606,Engine!$C$2:$C$630,0)))</f>
        <v/>
      </c>
      <c r="N619" s="8">
        <f>IF(ISNA(MATCH(606,Engine!$C$2:$C$630,0)),"",INDEX('Compliance Database'!$N$2:$N$630,MATCH(606,Engine!$C$2:$C$630,0)))</f>
        <v/>
      </c>
      <c r="O619" s="8">
        <f>IF(ISNA(MATCH(606,Engine!$C$2:$C$630,0)),"",INDEX('Compliance Database'!$O$2:$O$630,MATCH(606,Engine!$C$2:$C$630,0)))</f>
        <v/>
      </c>
    </row>
    <row r="620">
      <c r="A620">
        <f>IF(ISNA(MATCH(607,Engine!$C$2:$C$630,0)),"",INDEX('Compliance Database'!$A$2:$A$630,MATCH(607,Engine!$C$2:$C$630,0)))</f>
        <v/>
      </c>
      <c r="B620">
        <f>IF(ISNA(MATCH(607,Engine!$C$2:$C$630,0)),"",INDEX('Compliance Database'!$B$2:$B$630,MATCH(607,Engine!$C$2:$C$630,0)))</f>
        <v/>
      </c>
      <c r="C620">
        <f>IF(ISNA(MATCH(607,Engine!$C$2:$C$630,0)),"",INDEX('Compliance Database'!$C$2:$C$630,MATCH(607,Engine!$C$2:$C$630,0)))</f>
        <v/>
      </c>
      <c r="D620" s="8">
        <f>IF(ISNA(MATCH(607,Engine!$C$2:$C$630,0)),"",INDEX('Compliance Database'!$D$2:$D$630,MATCH(607,Engine!$C$2:$C$630,0)))</f>
        <v/>
      </c>
      <c r="E620">
        <f>IF(ISNA(MATCH(607,Engine!$C$2:$C$630,0)),"",INDEX('Compliance Database'!$E$2:$E$630,MATCH(607,Engine!$C$2:$C$630,0)))</f>
        <v/>
      </c>
      <c r="F620">
        <f>IF(ISNA(MATCH(607,Engine!$C$2:$C$630,0)),"",INDEX('Compliance Database'!$F$2:$F$630,MATCH(607,Engine!$C$2:$C$630,0)))</f>
        <v/>
      </c>
      <c r="G620">
        <f>IF(ISNA(MATCH(607,Engine!$C$2:$C$630,0)),"",INDEX('Compliance Database'!$G$2:$G$630,MATCH(607,Engine!$C$2:$C$630,0)))</f>
        <v/>
      </c>
      <c r="H620">
        <f>IF(ISNA(MATCH(607,Engine!$C$2:$C$630,0)),"",INDEX('Compliance Database'!$H$2:$H$630,MATCH(607,Engine!$C$2:$C$630,0)))</f>
        <v/>
      </c>
      <c r="I620" s="8">
        <f>IF(ISNA(MATCH(607,Engine!$C$2:$C$630,0)),"",INDEX('Compliance Database'!$I$2:$I$630,MATCH(607,Engine!$C$2:$C$630,0)))</f>
        <v/>
      </c>
      <c r="J620" s="8">
        <f>IF(ISNA(MATCH(607,Engine!$C$2:$C$630,0)),"",INDEX('Compliance Database'!$J$2:$J$630,MATCH(607,Engine!$C$2:$C$630,0)))</f>
        <v/>
      </c>
      <c r="K620">
        <f>IF(ISNA(MATCH(607,Engine!$C$2:$C$630,0)),"",INDEX('Compliance Database'!$K$2:$K$630,MATCH(607,Engine!$C$2:$C$630,0)))</f>
        <v/>
      </c>
      <c r="L620" s="8">
        <f>IF(ISNA(MATCH(607,Engine!$C$2:$C$630,0)),"",INDEX('Compliance Database'!$L$2:$L$630,MATCH(607,Engine!$C$2:$C$630,0)))</f>
        <v/>
      </c>
      <c r="M620" s="8">
        <f>IF(ISNA(MATCH(607,Engine!$C$2:$C$630,0)),"",INDEX('Compliance Database'!$M$2:$M$630,MATCH(607,Engine!$C$2:$C$630,0)))</f>
        <v/>
      </c>
      <c r="N620" s="8">
        <f>IF(ISNA(MATCH(607,Engine!$C$2:$C$630,0)),"",INDEX('Compliance Database'!$N$2:$N$630,MATCH(607,Engine!$C$2:$C$630,0)))</f>
        <v/>
      </c>
      <c r="O620" s="8">
        <f>IF(ISNA(MATCH(607,Engine!$C$2:$C$630,0)),"",INDEX('Compliance Database'!$O$2:$O$630,MATCH(607,Engine!$C$2:$C$630,0)))</f>
        <v/>
      </c>
    </row>
    <row r="621">
      <c r="A621">
        <f>IF(ISNA(MATCH(608,Engine!$C$2:$C$630,0)),"",INDEX('Compliance Database'!$A$2:$A$630,MATCH(608,Engine!$C$2:$C$630,0)))</f>
        <v/>
      </c>
      <c r="B621">
        <f>IF(ISNA(MATCH(608,Engine!$C$2:$C$630,0)),"",INDEX('Compliance Database'!$B$2:$B$630,MATCH(608,Engine!$C$2:$C$630,0)))</f>
        <v/>
      </c>
      <c r="C621">
        <f>IF(ISNA(MATCH(608,Engine!$C$2:$C$630,0)),"",INDEX('Compliance Database'!$C$2:$C$630,MATCH(608,Engine!$C$2:$C$630,0)))</f>
        <v/>
      </c>
      <c r="D621" s="8">
        <f>IF(ISNA(MATCH(608,Engine!$C$2:$C$630,0)),"",INDEX('Compliance Database'!$D$2:$D$630,MATCH(608,Engine!$C$2:$C$630,0)))</f>
        <v/>
      </c>
      <c r="E621">
        <f>IF(ISNA(MATCH(608,Engine!$C$2:$C$630,0)),"",INDEX('Compliance Database'!$E$2:$E$630,MATCH(608,Engine!$C$2:$C$630,0)))</f>
        <v/>
      </c>
      <c r="F621">
        <f>IF(ISNA(MATCH(608,Engine!$C$2:$C$630,0)),"",INDEX('Compliance Database'!$F$2:$F$630,MATCH(608,Engine!$C$2:$C$630,0)))</f>
        <v/>
      </c>
      <c r="G621">
        <f>IF(ISNA(MATCH(608,Engine!$C$2:$C$630,0)),"",INDEX('Compliance Database'!$G$2:$G$630,MATCH(608,Engine!$C$2:$C$630,0)))</f>
        <v/>
      </c>
      <c r="H621">
        <f>IF(ISNA(MATCH(608,Engine!$C$2:$C$630,0)),"",INDEX('Compliance Database'!$H$2:$H$630,MATCH(608,Engine!$C$2:$C$630,0)))</f>
        <v/>
      </c>
      <c r="I621" s="8">
        <f>IF(ISNA(MATCH(608,Engine!$C$2:$C$630,0)),"",INDEX('Compliance Database'!$I$2:$I$630,MATCH(608,Engine!$C$2:$C$630,0)))</f>
        <v/>
      </c>
      <c r="J621" s="8">
        <f>IF(ISNA(MATCH(608,Engine!$C$2:$C$630,0)),"",INDEX('Compliance Database'!$J$2:$J$630,MATCH(608,Engine!$C$2:$C$630,0)))</f>
        <v/>
      </c>
      <c r="K621">
        <f>IF(ISNA(MATCH(608,Engine!$C$2:$C$630,0)),"",INDEX('Compliance Database'!$K$2:$K$630,MATCH(608,Engine!$C$2:$C$630,0)))</f>
        <v/>
      </c>
      <c r="L621" s="8">
        <f>IF(ISNA(MATCH(608,Engine!$C$2:$C$630,0)),"",INDEX('Compliance Database'!$L$2:$L$630,MATCH(608,Engine!$C$2:$C$630,0)))</f>
        <v/>
      </c>
      <c r="M621" s="8">
        <f>IF(ISNA(MATCH(608,Engine!$C$2:$C$630,0)),"",INDEX('Compliance Database'!$M$2:$M$630,MATCH(608,Engine!$C$2:$C$630,0)))</f>
        <v/>
      </c>
      <c r="N621" s="8">
        <f>IF(ISNA(MATCH(608,Engine!$C$2:$C$630,0)),"",INDEX('Compliance Database'!$N$2:$N$630,MATCH(608,Engine!$C$2:$C$630,0)))</f>
        <v/>
      </c>
      <c r="O621" s="8">
        <f>IF(ISNA(MATCH(608,Engine!$C$2:$C$630,0)),"",INDEX('Compliance Database'!$O$2:$O$630,MATCH(608,Engine!$C$2:$C$630,0)))</f>
        <v/>
      </c>
    </row>
    <row r="622">
      <c r="A622">
        <f>IF(ISNA(MATCH(609,Engine!$C$2:$C$630,0)),"",INDEX('Compliance Database'!$A$2:$A$630,MATCH(609,Engine!$C$2:$C$630,0)))</f>
        <v/>
      </c>
      <c r="B622">
        <f>IF(ISNA(MATCH(609,Engine!$C$2:$C$630,0)),"",INDEX('Compliance Database'!$B$2:$B$630,MATCH(609,Engine!$C$2:$C$630,0)))</f>
        <v/>
      </c>
      <c r="C622">
        <f>IF(ISNA(MATCH(609,Engine!$C$2:$C$630,0)),"",INDEX('Compliance Database'!$C$2:$C$630,MATCH(609,Engine!$C$2:$C$630,0)))</f>
        <v/>
      </c>
      <c r="D622" s="8">
        <f>IF(ISNA(MATCH(609,Engine!$C$2:$C$630,0)),"",INDEX('Compliance Database'!$D$2:$D$630,MATCH(609,Engine!$C$2:$C$630,0)))</f>
        <v/>
      </c>
      <c r="E622">
        <f>IF(ISNA(MATCH(609,Engine!$C$2:$C$630,0)),"",INDEX('Compliance Database'!$E$2:$E$630,MATCH(609,Engine!$C$2:$C$630,0)))</f>
        <v/>
      </c>
      <c r="F622">
        <f>IF(ISNA(MATCH(609,Engine!$C$2:$C$630,0)),"",INDEX('Compliance Database'!$F$2:$F$630,MATCH(609,Engine!$C$2:$C$630,0)))</f>
        <v/>
      </c>
      <c r="G622">
        <f>IF(ISNA(MATCH(609,Engine!$C$2:$C$630,0)),"",INDEX('Compliance Database'!$G$2:$G$630,MATCH(609,Engine!$C$2:$C$630,0)))</f>
        <v/>
      </c>
      <c r="H622">
        <f>IF(ISNA(MATCH(609,Engine!$C$2:$C$630,0)),"",INDEX('Compliance Database'!$H$2:$H$630,MATCH(609,Engine!$C$2:$C$630,0)))</f>
        <v/>
      </c>
      <c r="I622" s="8">
        <f>IF(ISNA(MATCH(609,Engine!$C$2:$C$630,0)),"",INDEX('Compliance Database'!$I$2:$I$630,MATCH(609,Engine!$C$2:$C$630,0)))</f>
        <v/>
      </c>
      <c r="J622" s="8">
        <f>IF(ISNA(MATCH(609,Engine!$C$2:$C$630,0)),"",INDEX('Compliance Database'!$J$2:$J$630,MATCH(609,Engine!$C$2:$C$630,0)))</f>
        <v/>
      </c>
      <c r="K622">
        <f>IF(ISNA(MATCH(609,Engine!$C$2:$C$630,0)),"",INDEX('Compliance Database'!$K$2:$K$630,MATCH(609,Engine!$C$2:$C$630,0)))</f>
        <v/>
      </c>
      <c r="L622" s="8">
        <f>IF(ISNA(MATCH(609,Engine!$C$2:$C$630,0)),"",INDEX('Compliance Database'!$L$2:$L$630,MATCH(609,Engine!$C$2:$C$630,0)))</f>
        <v/>
      </c>
      <c r="M622" s="8">
        <f>IF(ISNA(MATCH(609,Engine!$C$2:$C$630,0)),"",INDEX('Compliance Database'!$M$2:$M$630,MATCH(609,Engine!$C$2:$C$630,0)))</f>
        <v/>
      </c>
      <c r="N622" s="8">
        <f>IF(ISNA(MATCH(609,Engine!$C$2:$C$630,0)),"",INDEX('Compliance Database'!$N$2:$N$630,MATCH(609,Engine!$C$2:$C$630,0)))</f>
        <v/>
      </c>
      <c r="O622" s="8">
        <f>IF(ISNA(MATCH(609,Engine!$C$2:$C$630,0)),"",INDEX('Compliance Database'!$O$2:$O$630,MATCH(609,Engine!$C$2:$C$630,0)))</f>
        <v/>
      </c>
    </row>
    <row r="623">
      <c r="A623">
        <f>IF(ISNA(MATCH(610,Engine!$C$2:$C$630,0)),"",INDEX('Compliance Database'!$A$2:$A$630,MATCH(610,Engine!$C$2:$C$630,0)))</f>
        <v/>
      </c>
      <c r="B623">
        <f>IF(ISNA(MATCH(610,Engine!$C$2:$C$630,0)),"",INDEX('Compliance Database'!$B$2:$B$630,MATCH(610,Engine!$C$2:$C$630,0)))</f>
        <v/>
      </c>
      <c r="C623">
        <f>IF(ISNA(MATCH(610,Engine!$C$2:$C$630,0)),"",INDEX('Compliance Database'!$C$2:$C$630,MATCH(610,Engine!$C$2:$C$630,0)))</f>
        <v/>
      </c>
      <c r="D623" s="8">
        <f>IF(ISNA(MATCH(610,Engine!$C$2:$C$630,0)),"",INDEX('Compliance Database'!$D$2:$D$630,MATCH(610,Engine!$C$2:$C$630,0)))</f>
        <v/>
      </c>
      <c r="E623">
        <f>IF(ISNA(MATCH(610,Engine!$C$2:$C$630,0)),"",INDEX('Compliance Database'!$E$2:$E$630,MATCH(610,Engine!$C$2:$C$630,0)))</f>
        <v/>
      </c>
      <c r="F623">
        <f>IF(ISNA(MATCH(610,Engine!$C$2:$C$630,0)),"",INDEX('Compliance Database'!$F$2:$F$630,MATCH(610,Engine!$C$2:$C$630,0)))</f>
        <v/>
      </c>
      <c r="G623">
        <f>IF(ISNA(MATCH(610,Engine!$C$2:$C$630,0)),"",INDEX('Compliance Database'!$G$2:$G$630,MATCH(610,Engine!$C$2:$C$630,0)))</f>
        <v/>
      </c>
      <c r="H623">
        <f>IF(ISNA(MATCH(610,Engine!$C$2:$C$630,0)),"",INDEX('Compliance Database'!$H$2:$H$630,MATCH(610,Engine!$C$2:$C$630,0)))</f>
        <v/>
      </c>
      <c r="I623" s="8">
        <f>IF(ISNA(MATCH(610,Engine!$C$2:$C$630,0)),"",INDEX('Compliance Database'!$I$2:$I$630,MATCH(610,Engine!$C$2:$C$630,0)))</f>
        <v/>
      </c>
      <c r="J623" s="8">
        <f>IF(ISNA(MATCH(610,Engine!$C$2:$C$630,0)),"",INDEX('Compliance Database'!$J$2:$J$630,MATCH(610,Engine!$C$2:$C$630,0)))</f>
        <v/>
      </c>
      <c r="K623">
        <f>IF(ISNA(MATCH(610,Engine!$C$2:$C$630,0)),"",INDEX('Compliance Database'!$K$2:$K$630,MATCH(610,Engine!$C$2:$C$630,0)))</f>
        <v/>
      </c>
      <c r="L623" s="8">
        <f>IF(ISNA(MATCH(610,Engine!$C$2:$C$630,0)),"",INDEX('Compliance Database'!$L$2:$L$630,MATCH(610,Engine!$C$2:$C$630,0)))</f>
        <v/>
      </c>
      <c r="M623" s="8">
        <f>IF(ISNA(MATCH(610,Engine!$C$2:$C$630,0)),"",INDEX('Compliance Database'!$M$2:$M$630,MATCH(610,Engine!$C$2:$C$630,0)))</f>
        <v/>
      </c>
      <c r="N623" s="8">
        <f>IF(ISNA(MATCH(610,Engine!$C$2:$C$630,0)),"",INDEX('Compliance Database'!$N$2:$N$630,MATCH(610,Engine!$C$2:$C$630,0)))</f>
        <v/>
      </c>
      <c r="O623" s="8">
        <f>IF(ISNA(MATCH(610,Engine!$C$2:$C$630,0)),"",INDEX('Compliance Database'!$O$2:$O$630,MATCH(610,Engine!$C$2:$C$630,0)))</f>
        <v/>
      </c>
    </row>
    <row r="624">
      <c r="A624">
        <f>IF(ISNA(MATCH(611,Engine!$C$2:$C$630,0)),"",INDEX('Compliance Database'!$A$2:$A$630,MATCH(611,Engine!$C$2:$C$630,0)))</f>
        <v/>
      </c>
      <c r="B624">
        <f>IF(ISNA(MATCH(611,Engine!$C$2:$C$630,0)),"",INDEX('Compliance Database'!$B$2:$B$630,MATCH(611,Engine!$C$2:$C$630,0)))</f>
        <v/>
      </c>
      <c r="C624">
        <f>IF(ISNA(MATCH(611,Engine!$C$2:$C$630,0)),"",INDEX('Compliance Database'!$C$2:$C$630,MATCH(611,Engine!$C$2:$C$630,0)))</f>
        <v/>
      </c>
      <c r="D624" s="8">
        <f>IF(ISNA(MATCH(611,Engine!$C$2:$C$630,0)),"",INDEX('Compliance Database'!$D$2:$D$630,MATCH(611,Engine!$C$2:$C$630,0)))</f>
        <v/>
      </c>
      <c r="E624">
        <f>IF(ISNA(MATCH(611,Engine!$C$2:$C$630,0)),"",INDEX('Compliance Database'!$E$2:$E$630,MATCH(611,Engine!$C$2:$C$630,0)))</f>
        <v/>
      </c>
      <c r="F624">
        <f>IF(ISNA(MATCH(611,Engine!$C$2:$C$630,0)),"",INDEX('Compliance Database'!$F$2:$F$630,MATCH(611,Engine!$C$2:$C$630,0)))</f>
        <v/>
      </c>
      <c r="G624">
        <f>IF(ISNA(MATCH(611,Engine!$C$2:$C$630,0)),"",INDEX('Compliance Database'!$G$2:$G$630,MATCH(611,Engine!$C$2:$C$630,0)))</f>
        <v/>
      </c>
      <c r="H624">
        <f>IF(ISNA(MATCH(611,Engine!$C$2:$C$630,0)),"",INDEX('Compliance Database'!$H$2:$H$630,MATCH(611,Engine!$C$2:$C$630,0)))</f>
        <v/>
      </c>
      <c r="I624" s="8">
        <f>IF(ISNA(MATCH(611,Engine!$C$2:$C$630,0)),"",INDEX('Compliance Database'!$I$2:$I$630,MATCH(611,Engine!$C$2:$C$630,0)))</f>
        <v/>
      </c>
      <c r="J624" s="8">
        <f>IF(ISNA(MATCH(611,Engine!$C$2:$C$630,0)),"",INDEX('Compliance Database'!$J$2:$J$630,MATCH(611,Engine!$C$2:$C$630,0)))</f>
        <v/>
      </c>
      <c r="K624">
        <f>IF(ISNA(MATCH(611,Engine!$C$2:$C$630,0)),"",INDEX('Compliance Database'!$K$2:$K$630,MATCH(611,Engine!$C$2:$C$630,0)))</f>
        <v/>
      </c>
      <c r="L624" s="8">
        <f>IF(ISNA(MATCH(611,Engine!$C$2:$C$630,0)),"",INDEX('Compliance Database'!$L$2:$L$630,MATCH(611,Engine!$C$2:$C$630,0)))</f>
        <v/>
      </c>
      <c r="M624" s="8">
        <f>IF(ISNA(MATCH(611,Engine!$C$2:$C$630,0)),"",INDEX('Compliance Database'!$M$2:$M$630,MATCH(611,Engine!$C$2:$C$630,0)))</f>
        <v/>
      </c>
      <c r="N624" s="8">
        <f>IF(ISNA(MATCH(611,Engine!$C$2:$C$630,0)),"",INDEX('Compliance Database'!$N$2:$N$630,MATCH(611,Engine!$C$2:$C$630,0)))</f>
        <v/>
      </c>
      <c r="O624" s="8">
        <f>IF(ISNA(MATCH(611,Engine!$C$2:$C$630,0)),"",INDEX('Compliance Database'!$O$2:$O$630,MATCH(611,Engine!$C$2:$C$630,0)))</f>
        <v/>
      </c>
    </row>
    <row r="625">
      <c r="A625">
        <f>IF(ISNA(MATCH(612,Engine!$C$2:$C$630,0)),"",INDEX('Compliance Database'!$A$2:$A$630,MATCH(612,Engine!$C$2:$C$630,0)))</f>
        <v/>
      </c>
      <c r="B625">
        <f>IF(ISNA(MATCH(612,Engine!$C$2:$C$630,0)),"",INDEX('Compliance Database'!$B$2:$B$630,MATCH(612,Engine!$C$2:$C$630,0)))</f>
        <v/>
      </c>
      <c r="C625">
        <f>IF(ISNA(MATCH(612,Engine!$C$2:$C$630,0)),"",INDEX('Compliance Database'!$C$2:$C$630,MATCH(612,Engine!$C$2:$C$630,0)))</f>
        <v/>
      </c>
      <c r="D625" s="8">
        <f>IF(ISNA(MATCH(612,Engine!$C$2:$C$630,0)),"",INDEX('Compliance Database'!$D$2:$D$630,MATCH(612,Engine!$C$2:$C$630,0)))</f>
        <v/>
      </c>
      <c r="E625">
        <f>IF(ISNA(MATCH(612,Engine!$C$2:$C$630,0)),"",INDEX('Compliance Database'!$E$2:$E$630,MATCH(612,Engine!$C$2:$C$630,0)))</f>
        <v/>
      </c>
      <c r="F625">
        <f>IF(ISNA(MATCH(612,Engine!$C$2:$C$630,0)),"",INDEX('Compliance Database'!$F$2:$F$630,MATCH(612,Engine!$C$2:$C$630,0)))</f>
        <v/>
      </c>
      <c r="G625">
        <f>IF(ISNA(MATCH(612,Engine!$C$2:$C$630,0)),"",INDEX('Compliance Database'!$G$2:$G$630,MATCH(612,Engine!$C$2:$C$630,0)))</f>
        <v/>
      </c>
      <c r="H625">
        <f>IF(ISNA(MATCH(612,Engine!$C$2:$C$630,0)),"",INDEX('Compliance Database'!$H$2:$H$630,MATCH(612,Engine!$C$2:$C$630,0)))</f>
        <v/>
      </c>
      <c r="I625" s="8">
        <f>IF(ISNA(MATCH(612,Engine!$C$2:$C$630,0)),"",INDEX('Compliance Database'!$I$2:$I$630,MATCH(612,Engine!$C$2:$C$630,0)))</f>
        <v/>
      </c>
      <c r="J625" s="8">
        <f>IF(ISNA(MATCH(612,Engine!$C$2:$C$630,0)),"",INDEX('Compliance Database'!$J$2:$J$630,MATCH(612,Engine!$C$2:$C$630,0)))</f>
        <v/>
      </c>
      <c r="K625">
        <f>IF(ISNA(MATCH(612,Engine!$C$2:$C$630,0)),"",INDEX('Compliance Database'!$K$2:$K$630,MATCH(612,Engine!$C$2:$C$630,0)))</f>
        <v/>
      </c>
      <c r="L625" s="8">
        <f>IF(ISNA(MATCH(612,Engine!$C$2:$C$630,0)),"",INDEX('Compliance Database'!$L$2:$L$630,MATCH(612,Engine!$C$2:$C$630,0)))</f>
        <v/>
      </c>
      <c r="M625" s="8">
        <f>IF(ISNA(MATCH(612,Engine!$C$2:$C$630,0)),"",INDEX('Compliance Database'!$M$2:$M$630,MATCH(612,Engine!$C$2:$C$630,0)))</f>
        <v/>
      </c>
      <c r="N625" s="8">
        <f>IF(ISNA(MATCH(612,Engine!$C$2:$C$630,0)),"",INDEX('Compliance Database'!$N$2:$N$630,MATCH(612,Engine!$C$2:$C$630,0)))</f>
        <v/>
      </c>
      <c r="O625" s="8">
        <f>IF(ISNA(MATCH(612,Engine!$C$2:$C$630,0)),"",INDEX('Compliance Database'!$O$2:$O$630,MATCH(612,Engine!$C$2:$C$630,0)))</f>
        <v/>
      </c>
    </row>
    <row r="626">
      <c r="A626">
        <f>IF(ISNA(MATCH(613,Engine!$C$2:$C$630,0)),"",INDEX('Compliance Database'!$A$2:$A$630,MATCH(613,Engine!$C$2:$C$630,0)))</f>
        <v/>
      </c>
      <c r="B626">
        <f>IF(ISNA(MATCH(613,Engine!$C$2:$C$630,0)),"",INDEX('Compliance Database'!$B$2:$B$630,MATCH(613,Engine!$C$2:$C$630,0)))</f>
        <v/>
      </c>
      <c r="C626">
        <f>IF(ISNA(MATCH(613,Engine!$C$2:$C$630,0)),"",INDEX('Compliance Database'!$C$2:$C$630,MATCH(613,Engine!$C$2:$C$630,0)))</f>
        <v/>
      </c>
      <c r="D626" s="8">
        <f>IF(ISNA(MATCH(613,Engine!$C$2:$C$630,0)),"",INDEX('Compliance Database'!$D$2:$D$630,MATCH(613,Engine!$C$2:$C$630,0)))</f>
        <v/>
      </c>
      <c r="E626">
        <f>IF(ISNA(MATCH(613,Engine!$C$2:$C$630,0)),"",INDEX('Compliance Database'!$E$2:$E$630,MATCH(613,Engine!$C$2:$C$630,0)))</f>
        <v/>
      </c>
      <c r="F626">
        <f>IF(ISNA(MATCH(613,Engine!$C$2:$C$630,0)),"",INDEX('Compliance Database'!$F$2:$F$630,MATCH(613,Engine!$C$2:$C$630,0)))</f>
        <v/>
      </c>
      <c r="G626">
        <f>IF(ISNA(MATCH(613,Engine!$C$2:$C$630,0)),"",INDEX('Compliance Database'!$G$2:$G$630,MATCH(613,Engine!$C$2:$C$630,0)))</f>
        <v/>
      </c>
      <c r="H626">
        <f>IF(ISNA(MATCH(613,Engine!$C$2:$C$630,0)),"",INDEX('Compliance Database'!$H$2:$H$630,MATCH(613,Engine!$C$2:$C$630,0)))</f>
        <v/>
      </c>
      <c r="I626" s="8">
        <f>IF(ISNA(MATCH(613,Engine!$C$2:$C$630,0)),"",INDEX('Compliance Database'!$I$2:$I$630,MATCH(613,Engine!$C$2:$C$630,0)))</f>
        <v/>
      </c>
      <c r="J626" s="8">
        <f>IF(ISNA(MATCH(613,Engine!$C$2:$C$630,0)),"",INDEX('Compliance Database'!$J$2:$J$630,MATCH(613,Engine!$C$2:$C$630,0)))</f>
        <v/>
      </c>
      <c r="K626">
        <f>IF(ISNA(MATCH(613,Engine!$C$2:$C$630,0)),"",INDEX('Compliance Database'!$K$2:$K$630,MATCH(613,Engine!$C$2:$C$630,0)))</f>
        <v/>
      </c>
      <c r="L626" s="8">
        <f>IF(ISNA(MATCH(613,Engine!$C$2:$C$630,0)),"",INDEX('Compliance Database'!$L$2:$L$630,MATCH(613,Engine!$C$2:$C$630,0)))</f>
        <v/>
      </c>
      <c r="M626" s="8">
        <f>IF(ISNA(MATCH(613,Engine!$C$2:$C$630,0)),"",INDEX('Compliance Database'!$M$2:$M$630,MATCH(613,Engine!$C$2:$C$630,0)))</f>
        <v/>
      </c>
      <c r="N626" s="8">
        <f>IF(ISNA(MATCH(613,Engine!$C$2:$C$630,0)),"",INDEX('Compliance Database'!$N$2:$N$630,MATCH(613,Engine!$C$2:$C$630,0)))</f>
        <v/>
      </c>
      <c r="O626" s="8">
        <f>IF(ISNA(MATCH(613,Engine!$C$2:$C$630,0)),"",INDEX('Compliance Database'!$O$2:$O$630,MATCH(613,Engine!$C$2:$C$630,0)))</f>
        <v/>
      </c>
    </row>
    <row r="627">
      <c r="A627">
        <f>IF(ISNA(MATCH(614,Engine!$C$2:$C$630,0)),"",INDEX('Compliance Database'!$A$2:$A$630,MATCH(614,Engine!$C$2:$C$630,0)))</f>
        <v/>
      </c>
      <c r="B627">
        <f>IF(ISNA(MATCH(614,Engine!$C$2:$C$630,0)),"",INDEX('Compliance Database'!$B$2:$B$630,MATCH(614,Engine!$C$2:$C$630,0)))</f>
        <v/>
      </c>
      <c r="C627">
        <f>IF(ISNA(MATCH(614,Engine!$C$2:$C$630,0)),"",INDEX('Compliance Database'!$C$2:$C$630,MATCH(614,Engine!$C$2:$C$630,0)))</f>
        <v/>
      </c>
      <c r="D627" s="8">
        <f>IF(ISNA(MATCH(614,Engine!$C$2:$C$630,0)),"",INDEX('Compliance Database'!$D$2:$D$630,MATCH(614,Engine!$C$2:$C$630,0)))</f>
        <v/>
      </c>
      <c r="E627">
        <f>IF(ISNA(MATCH(614,Engine!$C$2:$C$630,0)),"",INDEX('Compliance Database'!$E$2:$E$630,MATCH(614,Engine!$C$2:$C$630,0)))</f>
        <v/>
      </c>
      <c r="F627">
        <f>IF(ISNA(MATCH(614,Engine!$C$2:$C$630,0)),"",INDEX('Compliance Database'!$F$2:$F$630,MATCH(614,Engine!$C$2:$C$630,0)))</f>
        <v/>
      </c>
      <c r="G627">
        <f>IF(ISNA(MATCH(614,Engine!$C$2:$C$630,0)),"",INDEX('Compliance Database'!$G$2:$G$630,MATCH(614,Engine!$C$2:$C$630,0)))</f>
        <v/>
      </c>
      <c r="H627">
        <f>IF(ISNA(MATCH(614,Engine!$C$2:$C$630,0)),"",INDEX('Compliance Database'!$H$2:$H$630,MATCH(614,Engine!$C$2:$C$630,0)))</f>
        <v/>
      </c>
      <c r="I627" s="8">
        <f>IF(ISNA(MATCH(614,Engine!$C$2:$C$630,0)),"",INDEX('Compliance Database'!$I$2:$I$630,MATCH(614,Engine!$C$2:$C$630,0)))</f>
        <v/>
      </c>
      <c r="J627" s="8">
        <f>IF(ISNA(MATCH(614,Engine!$C$2:$C$630,0)),"",INDEX('Compliance Database'!$J$2:$J$630,MATCH(614,Engine!$C$2:$C$630,0)))</f>
        <v/>
      </c>
      <c r="K627">
        <f>IF(ISNA(MATCH(614,Engine!$C$2:$C$630,0)),"",INDEX('Compliance Database'!$K$2:$K$630,MATCH(614,Engine!$C$2:$C$630,0)))</f>
        <v/>
      </c>
      <c r="L627" s="8">
        <f>IF(ISNA(MATCH(614,Engine!$C$2:$C$630,0)),"",INDEX('Compliance Database'!$L$2:$L$630,MATCH(614,Engine!$C$2:$C$630,0)))</f>
        <v/>
      </c>
      <c r="M627" s="8">
        <f>IF(ISNA(MATCH(614,Engine!$C$2:$C$630,0)),"",INDEX('Compliance Database'!$M$2:$M$630,MATCH(614,Engine!$C$2:$C$630,0)))</f>
        <v/>
      </c>
      <c r="N627" s="8">
        <f>IF(ISNA(MATCH(614,Engine!$C$2:$C$630,0)),"",INDEX('Compliance Database'!$N$2:$N$630,MATCH(614,Engine!$C$2:$C$630,0)))</f>
        <v/>
      </c>
      <c r="O627" s="8">
        <f>IF(ISNA(MATCH(614,Engine!$C$2:$C$630,0)),"",INDEX('Compliance Database'!$O$2:$O$630,MATCH(614,Engine!$C$2:$C$630,0)))</f>
        <v/>
      </c>
    </row>
    <row r="628">
      <c r="A628">
        <f>IF(ISNA(MATCH(615,Engine!$C$2:$C$630,0)),"",INDEX('Compliance Database'!$A$2:$A$630,MATCH(615,Engine!$C$2:$C$630,0)))</f>
        <v/>
      </c>
      <c r="B628">
        <f>IF(ISNA(MATCH(615,Engine!$C$2:$C$630,0)),"",INDEX('Compliance Database'!$B$2:$B$630,MATCH(615,Engine!$C$2:$C$630,0)))</f>
        <v/>
      </c>
      <c r="C628">
        <f>IF(ISNA(MATCH(615,Engine!$C$2:$C$630,0)),"",INDEX('Compliance Database'!$C$2:$C$630,MATCH(615,Engine!$C$2:$C$630,0)))</f>
        <v/>
      </c>
      <c r="D628" s="8">
        <f>IF(ISNA(MATCH(615,Engine!$C$2:$C$630,0)),"",INDEX('Compliance Database'!$D$2:$D$630,MATCH(615,Engine!$C$2:$C$630,0)))</f>
        <v/>
      </c>
      <c r="E628">
        <f>IF(ISNA(MATCH(615,Engine!$C$2:$C$630,0)),"",INDEX('Compliance Database'!$E$2:$E$630,MATCH(615,Engine!$C$2:$C$630,0)))</f>
        <v/>
      </c>
      <c r="F628">
        <f>IF(ISNA(MATCH(615,Engine!$C$2:$C$630,0)),"",INDEX('Compliance Database'!$F$2:$F$630,MATCH(615,Engine!$C$2:$C$630,0)))</f>
        <v/>
      </c>
      <c r="G628">
        <f>IF(ISNA(MATCH(615,Engine!$C$2:$C$630,0)),"",INDEX('Compliance Database'!$G$2:$G$630,MATCH(615,Engine!$C$2:$C$630,0)))</f>
        <v/>
      </c>
      <c r="H628">
        <f>IF(ISNA(MATCH(615,Engine!$C$2:$C$630,0)),"",INDEX('Compliance Database'!$H$2:$H$630,MATCH(615,Engine!$C$2:$C$630,0)))</f>
        <v/>
      </c>
      <c r="I628" s="8">
        <f>IF(ISNA(MATCH(615,Engine!$C$2:$C$630,0)),"",INDEX('Compliance Database'!$I$2:$I$630,MATCH(615,Engine!$C$2:$C$630,0)))</f>
        <v/>
      </c>
      <c r="J628" s="8">
        <f>IF(ISNA(MATCH(615,Engine!$C$2:$C$630,0)),"",INDEX('Compliance Database'!$J$2:$J$630,MATCH(615,Engine!$C$2:$C$630,0)))</f>
        <v/>
      </c>
      <c r="K628">
        <f>IF(ISNA(MATCH(615,Engine!$C$2:$C$630,0)),"",INDEX('Compliance Database'!$K$2:$K$630,MATCH(615,Engine!$C$2:$C$630,0)))</f>
        <v/>
      </c>
      <c r="L628" s="8">
        <f>IF(ISNA(MATCH(615,Engine!$C$2:$C$630,0)),"",INDEX('Compliance Database'!$L$2:$L$630,MATCH(615,Engine!$C$2:$C$630,0)))</f>
        <v/>
      </c>
      <c r="M628" s="8">
        <f>IF(ISNA(MATCH(615,Engine!$C$2:$C$630,0)),"",INDEX('Compliance Database'!$M$2:$M$630,MATCH(615,Engine!$C$2:$C$630,0)))</f>
        <v/>
      </c>
      <c r="N628" s="8">
        <f>IF(ISNA(MATCH(615,Engine!$C$2:$C$630,0)),"",INDEX('Compliance Database'!$N$2:$N$630,MATCH(615,Engine!$C$2:$C$630,0)))</f>
        <v/>
      </c>
      <c r="O628" s="8">
        <f>IF(ISNA(MATCH(615,Engine!$C$2:$C$630,0)),"",INDEX('Compliance Database'!$O$2:$O$630,MATCH(615,Engine!$C$2:$C$630,0)))</f>
        <v/>
      </c>
    </row>
    <row r="629">
      <c r="A629">
        <f>IF(ISNA(MATCH(616,Engine!$C$2:$C$630,0)),"",INDEX('Compliance Database'!$A$2:$A$630,MATCH(616,Engine!$C$2:$C$630,0)))</f>
        <v/>
      </c>
      <c r="B629">
        <f>IF(ISNA(MATCH(616,Engine!$C$2:$C$630,0)),"",INDEX('Compliance Database'!$B$2:$B$630,MATCH(616,Engine!$C$2:$C$630,0)))</f>
        <v/>
      </c>
      <c r="C629">
        <f>IF(ISNA(MATCH(616,Engine!$C$2:$C$630,0)),"",INDEX('Compliance Database'!$C$2:$C$630,MATCH(616,Engine!$C$2:$C$630,0)))</f>
        <v/>
      </c>
      <c r="D629" s="8">
        <f>IF(ISNA(MATCH(616,Engine!$C$2:$C$630,0)),"",INDEX('Compliance Database'!$D$2:$D$630,MATCH(616,Engine!$C$2:$C$630,0)))</f>
        <v/>
      </c>
      <c r="E629">
        <f>IF(ISNA(MATCH(616,Engine!$C$2:$C$630,0)),"",INDEX('Compliance Database'!$E$2:$E$630,MATCH(616,Engine!$C$2:$C$630,0)))</f>
        <v/>
      </c>
      <c r="F629">
        <f>IF(ISNA(MATCH(616,Engine!$C$2:$C$630,0)),"",INDEX('Compliance Database'!$F$2:$F$630,MATCH(616,Engine!$C$2:$C$630,0)))</f>
        <v/>
      </c>
      <c r="G629">
        <f>IF(ISNA(MATCH(616,Engine!$C$2:$C$630,0)),"",INDEX('Compliance Database'!$G$2:$G$630,MATCH(616,Engine!$C$2:$C$630,0)))</f>
        <v/>
      </c>
      <c r="H629">
        <f>IF(ISNA(MATCH(616,Engine!$C$2:$C$630,0)),"",INDEX('Compliance Database'!$H$2:$H$630,MATCH(616,Engine!$C$2:$C$630,0)))</f>
        <v/>
      </c>
      <c r="I629" s="8">
        <f>IF(ISNA(MATCH(616,Engine!$C$2:$C$630,0)),"",INDEX('Compliance Database'!$I$2:$I$630,MATCH(616,Engine!$C$2:$C$630,0)))</f>
        <v/>
      </c>
      <c r="J629" s="8">
        <f>IF(ISNA(MATCH(616,Engine!$C$2:$C$630,0)),"",INDEX('Compliance Database'!$J$2:$J$630,MATCH(616,Engine!$C$2:$C$630,0)))</f>
        <v/>
      </c>
      <c r="K629">
        <f>IF(ISNA(MATCH(616,Engine!$C$2:$C$630,0)),"",INDEX('Compliance Database'!$K$2:$K$630,MATCH(616,Engine!$C$2:$C$630,0)))</f>
        <v/>
      </c>
      <c r="L629" s="8">
        <f>IF(ISNA(MATCH(616,Engine!$C$2:$C$630,0)),"",INDEX('Compliance Database'!$L$2:$L$630,MATCH(616,Engine!$C$2:$C$630,0)))</f>
        <v/>
      </c>
      <c r="M629" s="8">
        <f>IF(ISNA(MATCH(616,Engine!$C$2:$C$630,0)),"",INDEX('Compliance Database'!$M$2:$M$630,MATCH(616,Engine!$C$2:$C$630,0)))</f>
        <v/>
      </c>
      <c r="N629" s="8">
        <f>IF(ISNA(MATCH(616,Engine!$C$2:$C$630,0)),"",INDEX('Compliance Database'!$N$2:$N$630,MATCH(616,Engine!$C$2:$C$630,0)))</f>
        <v/>
      </c>
      <c r="O629" s="8">
        <f>IF(ISNA(MATCH(616,Engine!$C$2:$C$630,0)),"",INDEX('Compliance Database'!$O$2:$O$630,MATCH(616,Engine!$C$2:$C$630,0)))</f>
        <v/>
      </c>
    </row>
    <row r="630">
      <c r="A630">
        <f>IF(ISNA(MATCH(617,Engine!$C$2:$C$630,0)),"",INDEX('Compliance Database'!$A$2:$A$630,MATCH(617,Engine!$C$2:$C$630,0)))</f>
        <v/>
      </c>
      <c r="B630">
        <f>IF(ISNA(MATCH(617,Engine!$C$2:$C$630,0)),"",INDEX('Compliance Database'!$B$2:$B$630,MATCH(617,Engine!$C$2:$C$630,0)))</f>
        <v/>
      </c>
      <c r="C630">
        <f>IF(ISNA(MATCH(617,Engine!$C$2:$C$630,0)),"",INDEX('Compliance Database'!$C$2:$C$630,MATCH(617,Engine!$C$2:$C$630,0)))</f>
        <v/>
      </c>
      <c r="D630" s="8">
        <f>IF(ISNA(MATCH(617,Engine!$C$2:$C$630,0)),"",INDEX('Compliance Database'!$D$2:$D$630,MATCH(617,Engine!$C$2:$C$630,0)))</f>
        <v/>
      </c>
      <c r="E630">
        <f>IF(ISNA(MATCH(617,Engine!$C$2:$C$630,0)),"",INDEX('Compliance Database'!$E$2:$E$630,MATCH(617,Engine!$C$2:$C$630,0)))</f>
        <v/>
      </c>
      <c r="F630">
        <f>IF(ISNA(MATCH(617,Engine!$C$2:$C$630,0)),"",INDEX('Compliance Database'!$F$2:$F$630,MATCH(617,Engine!$C$2:$C$630,0)))</f>
        <v/>
      </c>
      <c r="G630">
        <f>IF(ISNA(MATCH(617,Engine!$C$2:$C$630,0)),"",INDEX('Compliance Database'!$G$2:$G$630,MATCH(617,Engine!$C$2:$C$630,0)))</f>
        <v/>
      </c>
      <c r="H630">
        <f>IF(ISNA(MATCH(617,Engine!$C$2:$C$630,0)),"",INDEX('Compliance Database'!$H$2:$H$630,MATCH(617,Engine!$C$2:$C$630,0)))</f>
        <v/>
      </c>
      <c r="I630" s="8">
        <f>IF(ISNA(MATCH(617,Engine!$C$2:$C$630,0)),"",INDEX('Compliance Database'!$I$2:$I$630,MATCH(617,Engine!$C$2:$C$630,0)))</f>
        <v/>
      </c>
      <c r="J630" s="8">
        <f>IF(ISNA(MATCH(617,Engine!$C$2:$C$630,0)),"",INDEX('Compliance Database'!$J$2:$J$630,MATCH(617,Engine!$C$2:$C$630,0)))</f>
        <v/>
      </c>
      <c r="K630">
        <f>IF(ISNA(MATCH(617,Engine!$C$2:$C$630,0)),"",INDEX('Compliance Database'!$K$2:$K$630,MATCH(617,Engine!$C$2:$C$630,0)))</f>
        <v/>
      </c>
      <c r="L630" s="8">
        <f>IF(ISNA(MATCH(617,Engine!$C$2:$C$630,0)),"",INDEX('Compliance Database'!$L$2:$L$630,MATCH(617,Engine!$C$2:$C$630,0)))</f>
        <v/>
      </c>
      <c r="M630" s="8">
        <f>IF(ISNA(MATCH(617,Engine!$C$2:$C$630,0)),"",INDEX('Compliance Database'!$M$2:$M$630,MATCH(617,Engine!$C$2:$C$630,0)))</f>
        <v/>
      </c>
      <c r="N630" s="8">
        <f>IF(ISNA(MATCH(617,Engine!$C$2:$C$630,0)),"",INDEX('Compliance Database'!$N$2:$N$630,MATCH(617,Engine!$C$2:$C$630,0)))</f>
        <v/>
      </c>
      <c r="O630" s="8">
        <f>IF(ISNA(MATCH(617,Engine!$C$2:$C$630,0)),"",INDEX('Compliance Database'!$O$2:$O$630,MATCH(617,Engine!$C$2:$C$630,0)))</f>
        <v/>
      </c>
    </row>
    <row r="631">
      <c r="A631">
        <f>IF(ISNA(MATCH(618,Engine!$C$2:$C$630,0)),"",INDEX('Compliance Database'!$A$2:$A$630,MATCH(618,Engine!$C$2:$C$630,0)))</f>
        <v/>
      </c>
      <c r="B631">
        <f>IF(ISNA(MATCH(618,Engine!$C$2:$C$630,0)),"",INDEX('Compliance Database'!$B$2:$B$630,MATCH(618,Engine!$C$2:$C$630,0)))</f>
        <v/>
      </c>
      <c r="C631">
        <f>IF(ISNA(MATCH(618,Engine!$C$2:$C$630,0)),"",INDEX('Compliance Database'!$C$2:$C$630,MATCH(618,Engine!$C$2:$C$630,0)))</f>
        <v/>
      </c>
      <c r="D631" s="8">
        <f>IF(ISNA(MATCH(618,Engine!$C$2:$C$630,0)),"",INDEX('Compliance Database'!$D$2:$D$630,MATCH(618,Engine!$C$2:$C$630,0)))</f>
        <v/>
      </c>
      <c r="E631">
        <f>IF(ISNA(MATCH(618,Engine!$C$2:$C$630,0)),"",INDEX('Compliance Database'!$E$2:$E$630,MATCH(618,Engine!$C$2:$C$630,0)))</f>
        <v/>
      </c>
      <c r="F631">
        <f>IF(ISNA(MATCH(618,Engine!$C$2:$C$630,0)),"",INDEX('Compliance Database'!$F$2:$F$630,MATCH(618,Engine!$C$2:$C$630,0)))</f>
        <v/>
      </c>
      <c r="G631">
        <f>IF(ISNA(MATCH(618,Engine!$C$2:$C$630,0)),"",INDEX('Compliance Database'!$G$2:$G$630,MATCH(618,Engine!$C$2:$C$630,0)))</f>
        <v/>
      </c>
      <c r="H631">
        <f>IF(ISNA(MATCH(618,Engine!$C$2:$C$630,0)),"",INDEX('Compliance Database'!$H$2:$H$630,MATCH(618,Engine!$C$2:$C$630,0)))</f>
        <v/>
      </c>
      <c r="I631" s="8">
        <f>IF(ISNA(MATCH(618,Engine!$C$2:$C$630,0)),"",INDEX('Compliance Database'!$I$2:$I$630,MATCH(618,Engine!$C$2:$C$630,0)))</f>
        <v/>
      </c>
      <c r="J631" s="8">
        <f>IF(ISNA(MATCH(618,Engine!$C$2:$C$630,0)),"",INDEX('Compliance Database'!$J$2:$J$630,MATCH(618,Engine!$C$2:$C$630,0)))</f>
        <v/>
      </c>
      <c r="K631">
        <f>IF(ISNA(MATCH(618,Engine!$C$2:$C$630,0)),"",INDEX('Compliance Database'!$K$2:$K$630,MATCH(618,Engine!$C$2:$C$630,0)))</f>
        <v/>
      </c>
      <c r="L631" s="8">
        <f>IF(ISNA(MATCH(618,Engine!$C$2:$C$630,0)),"",INDEX('Compliance Database'!$L$2:$L$630,MATCH(618,Engine!$C$2:$C$630,0)))</f>
        <v/>
      </c>
      <c r="M631" s="8">
        <f>IF(ISNA(MATCH(618,Engine!$C$2:$C$630,0)),"",INDEX('Compliance Database'!$M$2:$M$630,MATCH(618,Engine!$C$2:$C$630,0)))</f>
        <v/>
      </c>
      <c r="N631" s="8">
        <f>IF(ISNA(MATCH(618,Engine!$C$2:$C$630,0)),"",INDEX('Compliance Database'!$N$2:$N$630,MATCH(618,Engine!$C$2:$C$630,0)))</f>
        <v/>
      </c>
      <c r="O631" s="8">
        <f>IF(ISNA(MATCH(618,Engine!$C$2:$C$630,0)),"",INDEX('Compliance Database'!$O$2:$O$630,MATCH(618,Engine!$C$2:$C$630,0)))</f>
        <v/>
      </c>
    </row>
    <row r="632">
      <c r="A632">
        <f>IF(ISNA(MATCH(619,Engine!$C$2:$C$630,0)),"",INDEX('Compliance Database'!$A$2:$A$630,MATCH(619,Engine!$C$2:$C$630,0)))</f>
        <v/>
      </c>
      <c r="B632">
        <f>IF(ISNA(MATCH(619,Engine!$C$2:$C$630,0)),"",INDEX('Compliance Database'!$B$2:$B$630,MATCH(619,Engine!$C$2:$C$630,0)))</f>
        <v/>
      </c>
      <c r="C632">
        <f>IF(ISNA(MATCH(619,Engine!$C$2:$C$630,0)),"",INDEX('Compliance Database'!$C$2:$C$630,MATCH(619,Engine!$C$2:$C$630,0)))</f>
        <v/>
      </c>
      <c r="D632" s="8">
        <f>IF(ISNA(MATCH(619,Engine!$C$2:$C$630,0)),"",INDEX('Compliance Database'!$D$2:$D$630,MATCH(619,Engine!$C$2:$C$630,0)))</f>
        <v/>
      </c>
      <c r="E632">
        <f>IF(ISNA(MATCH(619,Engine!$C$2:$C$630,0)),"",INDEX('Compliance Database'!$E$2:$E$630,MATCH(619,Engine!$C$2:$C$630,0)))</f>
        <v/>
      </c>
      <c r="F632">
        <f>IF(ISNA(MATCH(619,Engine!$C$2:$C$630,0)),"",INDEX('Compliance Database'!$F$2:$F$630,MATCH(619,Engine!$C$2:$C$630,0)))</f>
        <v/>
      </c>
      <c r="G632">
        <f>IF(ISNA(MATCH(619,Engine!$C$2:$C$630,0)),"",INDEX('Compliance Database'!$G$2:$G$630,MATCH(619,Engine!$C$2:$C$630,0)))</f>
        <v/>
      </c>
      <c r="H632">
        <f>IF(ISNA(MATCH(619,Engine!$C$2:$C$630,0)),"",INDEX('Compliance Database'!$H$2:$H$630,MATCH(619,Engine!$C$2:$C$630,0)))</f>
        <v/>
      </c>
      <c r="I632" s="8">
        <f>IF(ISNA(MATCH(619,Engine!$C$2:$C$630,0)),"",INDEX('Compliance Database'!$I$2:$I$630,MATCH(619,Engine!$C$2:$C$630,0)))</f>
        <v/>
      </c>
      <c r="J632" s="8">
        <f>IF(ISNA(MATCH(619,Engine!$C$2:$C$630,0)),"",INDEX('Compliance Database'!$J$2:$J$630,MATCH(619,Engine!$C$2:$C$630,0)))</f>
        <v/>
      </c>
      <c r="K632">
        <f>IF(ISNA(MATCH(619,Engine!$C$2:$C$630,0)),"",INDEX('Compliance Database'!$K$2:$K$630,MATCH(619,Engine!$C$2:$C$630,0)))</f>
        <v/>
      </c>
      <c r="L632" s="8">
        <f>IF(ISNA(MATCH(619,Engine!$C$2:$C$630,0)),"",INDEX('Compliance Database'!$L$2:$L$630,MATCH(619,Engine!$C$2:$C$630,0)))</f>
        <v/>
      </c>
      <c r="M632" s="8">
        <f>IF(ISNA(MATCH(619,Engine!$C$2:$C$630,0)),"",INDEX('Compliance Database'!$M$2:$M$630,MATCH(619,Engine!$C$2:$C$630,0)))</f>
        <v/>
      </c>
      <c r="N632" s="8">
        <f>IF(ISNA(MATCH(619,Engine!$C$2:$C$630,0)),"",INDEX('Compliance Database'!$N$2:$N$630,MATCH(619,Engine!$C$2:$C$630,0)))</f>
        <v/>
      </c>
      <c r="O632" s="8">
        <f>IF(ISNA(MATCH(619,Engine!$C$2:$C$630,0)),"",INDEX('Compliance Database'!$O$2:$O$630,MATCH(619,Engine!$C$2:$C$630,0)))</f>
        <v/>
      </c>
    </row>
    <row r="633">
      <c r="A633">
        <f>IF(ISNA(MATCH(620,Engine!$C$2:$C$630,0)),"",INDEX('Compliance Database'!$A$2:$A$630,MATCH(620,Engine!$C$2:$C$630,0)))</f>
        <v/>
      </c>
      <c r="B633">
        <f>IF(ISNA(MATCH(620,Engine!$C$2:$C$630,0)),"",INDEX('Compliance Database'!$B$2:$B$630,MATCH(620,Engine!$C$2:$C$630,0)))</f>
        <v/>
      </c>
      <c r="C633">
        <f>IF(ISNA(MATCH(620,Engine!$C$2:$C$630,0)),"",INDEX('Compliance Database'!$C$2:$C$630,MATCH(620,Engine!$C$2:$C$630,0)))</f>
        <v/>
      </c>
      <c r="D633" s="8">
        <f>IF(ISNA(MATCH(620,Engine!$C$2:$C$630,0)),"",INDEX('Compliance Database'!$D$2:$D$630,MATCH(620,Engine!$C$2:$C$630,0)))</f>
        <v/>
      </c>
      <c r="E633">
        <f>IF(ISNA(MATCH(620,Engine!$C$2:$C$630,0)),"",INDEX('Compliance Database'!$E$2:$E$630,MATCH(620,Engine!$C$2:$C$630,0)))</f>
        <v/>
      </c>
      <c r="F633">
        <f>IF(ISNA(MATCH(620,Engine!$C$2:$C$630,0)),"",INDEX('Compliance Database'!$F$2:$F$630,MATCH(620,Engine!$C$2:$C$630,0)))</f>
        <v/>
      </c>
      <c r="G633">
        <f>IF(ISNA(MATCH(620,Engine!$C$2:$C$630,0)),"",INDEX('Compliance Database'!$G$2:$G$630,MATCH(620,Engine!$C$2:$C$630,0)))</f>
        <v/>
      </c>
      <c r="H633">
        <f>IF(ISNA(MATCH(620,Engine!$C$2:$C$630,0)),"",INDEX('Compliance Database'!$H$2:$H$630,MATCH(620,Engine!$C$2:$C$630,0)))</f>
        <v/>
      </c>
      <c r="I633" s="8">
        <f>IF(ISNA(MATCH(620,Engine!$C$2:$C$630,0)),"",INDEX('Compliance Database'!$I$2:$I$630,MATCH(620,Engine!$C$2:$C$630,0)))</f>
        <v/>
      </c>
      <c r="J633" s="8">
        <f>IF(ISNA(MATCH(620,Engine!$C$2:$C$630,0)),"",INDEX('Compliance Database'!$J$2:$J$630,MATCH(620,Engine!$C$2:$C$630,0)))</f>
        <v/>
      </c>
      <c r="K633">
        <f>IF(ISNA(MATCH(620,Engine!$C$2:$C$630,0)),"",INDEX('Compliance Database'!$K$2:$K$630,MATCH(620,Engine!$C$2:$C$630,0)))</f>
        <v/>
      </c>
      <c r="L633" s="8">
        <f>IF(ISNA(MATCH(620,Engine!$C$2:$C$630,0)),"",INDEX('Compliance Database'!$L$2:$L$630,MATCH(620,Engine!$C$2:$C$630,0)))</f>
        <v/>
      </c>
      <c r="M633" s="8">
        <f>IF(ISNA(MATCH(620,Engine!$C$2:$C$630,0)),"",INDEX('Compliance Database'!$M$2:$M$630,MATCH(620,Engine!$C$2:$C$630,0)))</f>
        <v/>
      </c>
      <c r="N633" s="8">
        <f>IF(ISNA(MATCH(620,Engine!$C$2:$C$630,0)),"",INDEX('Compliance Database'!$N$2:$N$630,MATCH(620,Engine!$C$2:$C$630,0)))</f>
        <v/>
      </c>
      <c r="O633" s="8">
        <f>IF(ISNA(MATCH(620,Engine!$C$2:$C$630,0)),"",INDEX('Compliance Database'!$O$2:$O$630,MATCH(620,Engine!$C$2:$C$630,0)))</f>
        <v/>
      </c>
    </row>
    <row r="634">
      <c r="A634">
        <f>IF(ISNA(MATCH(621,Engine!$C$2:$C$630,0)),"",INDEX('Compliance Database'!$A$2:$A$630,MATCH(621,Engine!$C$2:$C$630,0)))</f>
        <v/>
      </c>
      <c r="B634">
        <f>IF(ISNA(MATCH(621,Engine!$C$2:$C$630,0)),"",INDEX('Compliance Database'!$B$2:$B$630,MATCH(621,Engine!$C$2:$C$630,0)))</f>
        <v/>
      </c>
      <c r="C634">
        <f>IF(ISNA(MATCH(621,Engine!$C$2:$C$630,0)),"",INDEX('Compliance Database'!$C$2:$C$630,MATCH(621,Engine!$C$2:$C$630,0)))</f>
        <v/>
      </c>
      <c r="D634" s="8">
        <f>IF(ISNA(MATCH(621,Engine!$C$2:$C$630,0)),"",INDEX('Compliance Database'!$D$2:$D$630,MATCH(621,Engine!$C$2:$C$630,0)))</f>
        <v/>
      </c>
      <c r="E634">
        <f>IF(ISNA(MATCH(621,Engine!$C$2:$C$630,0)),"",INDEX('Compliance Database'!$E$2:$E$630,MATCH(621,Engine!$C$2:$C$630,0)))</f>
        <v/>
      </c>
      <c r="F634">
        <f>IF(ISNA(MATCH(621,Engine!$C$2:$C$630,0)),"",INDEX('Compliance Database'!$F$2:$F$630,MATCH(621,Engine!$C$2:$C$630,0)))</f>
        <v/>
      </c>
      <c r="G634">
        <f>IF(ISNA(MATCH(621,Engine!$C$2:$C$630,0)),"",INDEX('Compliance Database'!$G$2:$G$630,MATCH(621,Engine!$C$2:$C$630,0)))</f>
        <v/>
      </c>
      <c r="H634">
        <f>IF(ISNA(MATCH(621,Engine!$C$2:$C$630,0)),"",INDEX('Compliance Database'!$H$2:$H$630,MATCH(621,Engine!$C$2:$C$630,0)))</f>
        <v/>
      </c>
      <c r="I634" s="8">
        <f>IF(ISNA(MATCH(621,Engine!$C$2:$C$630,0)),"",INDEX('Compliance Database'!$I$2:$I$630,MATCH(621,Engine!$C$2:$C$630,0)))</f>
        <v/>
      </c>
      <c r="J634" s="8">
        <f>IF(ISNA(MATCH(621,Engine!$C$2:$C$630,0)),"",INDEX('Compliance Database'!$J$2:$J$630,MATCH(621,Engine!$C$2:$C$630,0)))</f>
        <v/>
      </c>
      <c r="K634">
        <f>IF(ISNA(MATCH(621,Engine!$C$2:$C$630,0)),"",INDEX('Compliance Database'!$K$2:$K$630,MATCH(621,Engine!$C$2:$C$630,0)))</f>
        <v/>
      </c>
      <c r="L634" s="8">
        <f>IF(ISNA(MATCH(621,Engine!$C$2:$C$630,0)),"",INDEX('Compliance Database'!$L$2:$L$630,MATCH(621,Engine!$C$2:$C$630,0)))</f>
        <v/>
      </c>
      <c r="M634" s="8">
        <f>IF(ISNA(MATCH(621,Engine!$C$2:$C$630,0)),"",INDEX('Compliance Database'!$M$2:$M$630,MATCH(621,Engine!$C$2:$C$630,0)))</f>
        <v/>
      </c>
      <c r="N634" s="8">
        <f>IF(ISNA(MATCH(621,Engine!$C$2:$C$630,0)),"",INDEX('Compliance Database'!$N$2:$N$630,MATCH(621,Engine!$C$2:$C$630,0)))</f>
        <v/>
      </c>
      <c r="O634" s="8">
        <f>IF(ISNA(MATCH(621,Engine!$C$2:$C$630,0)),"",INDEX('Compliance Database'!$O$2:$O$630,MATCH(621,Engine!$C$2:$C$630,0)))</f>
        <v/>
      </c>
    </row>
    <row r="635">
      <c r="A635">
        <f>IF(ISNA(MATCH(622,Engine!$C$2:$C$630,0)),"",INDEX('Compliance Database'!$A$2:$A$630,MATCH(622,Engine!$C$2:$C$630,0)))</f>
        <v/>
      </c>
      <c r="B635">
        <f>IF(ISNA(MATCH(622,Engine!$C$2:$C$630,0)),"",INDEX('Compliance Database'!$B$2:$B$630,MATCH(622,Engine!$C$2:$C$630,0)))</f>
        <v/>
      </c>
      <c r="C635">
        <f>IF(ISNA(MATCH(622,Engine!$C$2:$C$630,0)),"",INDEX('Compliance Database'!$C$2:$C$630,MATCH(622,Engine!$C$2:$C$630,0)))</f>
        <v/>
      </c>
      <c r="D635" s="8">
        <f>IF(ISNA(MATCH(622,Engine!$C$2:$C$630,0)),"",INDEX('Compliance Database'!$D$2:$D$630,MATCH(622,Engine!$C$2:$C$630,0)))</f>
        <v/>
      </c>
      <c r="E635">
        <f>IF(ISNA(MATCH(622,Engine!$C$2:$C$630,0)),"",INDEX('Compliance Database'!$E$2:$E$630,MATCH(622,Engine!$C$2:$C$630,0)))</f>
        <v/>
      </c>
      <c r="F635">
        <f>IF(ISNA(MATCH(622,Engine!$C$2:$C$630,0)),"",INDEX('Compliance Database'!$F$2:$F$630,MATCH(622,Engine!$C$2:$C$630,0)))</f>
        <v/>
      </c>
      <c r="G635">
        <f>IF(ISNA(MATCH(622,Engine!$C$2:$C$630,0)),"",INDEX('Compliance Database'!$G$2:$G$630,MATCH(622,Engine!$C$2:$C$630,0)))</f>
        <v/>
      </c>
      <c r="H635">
        <f>IF(ISNA(MATCH(622,Engine!$C$2:$C$630,0)),"",INDEX('Compliance Database'!$H$2:$H$630,MATCH(622,Engine!$C$2:$C$630,0)))</f>
        <v/>
      </c>
      <c r="I635" s="8">
        <f>IF(ISNA(MATCH(622,Engine!$C$2:$C$630,0)),"",INDEX('Compliance Database'!$I$2:$I$630,MATCH(622,Engine!$C$2:$C$630,0)))</f>
        <v/>
      </c>
      <c r="J635" s="8">
        <f>IF(ISNA(MATCH(622,Engine!$C$2:$C$630,0)),"",INDEX('Compliance Database'!$J$2:$J$630,MATCH(622,Engine!$C$2:$C$630,0)))</f>
        <v/>
      </c>
      <c r="K635">
        <f>IF(ISNA(MATCH(622,Engine!$C$2:$C$630,0)),"",INDEX('Compliance Database'!$K$2:$K$630,MATCH(622,Engine!$C$2:$C$630,0)))</f>
        <v/>
      </c>
      <c r="L635" s="8">
        <f>IF(ISNA(MATCH(622,Engine!$C$2:$C$630,0)),"",INDEX('Compliance Database'!$L$2:$L$630,MATCH(622,Engine!$C$2:$C$630,0)))</f>
        <v/>
      </c>
      <c r="M635" s="8">
        <f>IF(ISNA(MATCH(622,Engine!$C$2:$C$630,0)),"",INDEX('Compliance Database'!$M$2:$M$630,MATCH(622,Engine!$C$2:$C$630,0)))</f>
        <v/>
      </c>
      <c r="N635" s="8">
        <f>IF(ISNA(MATCH(622,Engine!$C$2:$C$630,0)),"",INDEX('Compliance Database'!$N$2:$N$630,MATCH(622,Engine!$C$2:$C$630,0)))</f>
        <v/>
      </c>
      <c r="O635" s="8">
        <f>IF(ISNA(MATCH(622,Engine!$C$2:$C$630,0)),"",INDEX('Compliance Database'!$O$2:$O$630,MATCH(622,Engine!$C$2:$C$630,0)))</f>
        <v/>
      </c>
    </row>
    <row r="636">
      <c r="A636">
        <f>IF(ISNA(MATCH(623,Engine!$C$2:$C$630,0)),"",INDEX('Compliance Database'!$A$2:$A$630,MATCH(623,Engine!$C$2:$C$630,0)))</f>
        <v/>
      </c>
      <c r="B636">
        <f>IF(ISNA(MATCH(623,Engine!$C$2:$C$630,0)),"",INDEX('Compliance Database'!$B$2:$B$630,MATCH(623,Engine!$C$2:$C$630,0)))</f>
        <v/>
      </c>
      <c r="C636">
        <f>IF(ISNA(MATCH(623,Engine!$C$2:$C$630,0)),"",INDEX('Compliance Database'!$C$2:$C$630,MATCH(623,Engine!$C$2:$C$630,0)))</f>
        <v/>
      </c>
      <c r="D636" s="8">
        <f>IF(ISNA(MATCH(623,Engine!$C$2:$C$630,0)),"",INDEX('Compliance Database'!$D$2:$D$630,MATCH(623,Engine!$C$2:$C$630,0)))</f>
        <v/>
      </c>
      <c r="E636">
        <f>IF(ISNA(MATCH(623,Engine!$C$2:$C$630,0)),"",INDEX('Compliance Database'!$E$2:$E$630,MATCH(623,Engine!$C$2:$C$630,0)))</f>
        <v/>
      </c>
      <c r="F636">
        <f>IF(ISNA(MATCH(623,Engine!$C$2:$C$630,0)),"",INDEX('Compliance Database'!$F$2:$F$630,MATCH(623,Engine!$C$2:$C$630,0)))</f>
        <v/>
      </c>
      <c r="G636">
        <f>IF(ISNA(MATCH(623,Engine!$C$2:$C$630,0)),"",INDEX('Compliance Database'!$G$2:$G$630,MATCH(623,Engine!$C$2:$C$630,0)))</f>
        <v/>
      </c>
      <c r="H636">
        <f>IF(ISNA(MATCH(623,Engine!$C$2:$C$630,0)),"",INDEX('Compliance Database'!$H$2:$H$630,MATCH(623,Engine!$C$2:$C$630,0)))</f>
        <v/>
      </c>
      <c r="I636" s="8">
        <f>IF(ISNA(MATCH(623,Engine!$C$2:$C$630,0)),"",INDEX('Compliance Database'!$I$2:$I$630,MATCH(623,Engine!$C$2:$C$630,0)))</f>
        <v/>
      </c>
      <c r="J636" s="8">
        <f>IF(ISNA(MATCH(623,Engine!$C$2:$C$630,0)),"",INDEX('Compliance Database'!$J$2:$J$630,MATCH(623,Engine!$C$2:$C$630,0)))</f>
        <v/>
      </c>
      <c r="K636">
        <f>IF(ISNA(MATCH(623,Engine!$C$2:$C$630,0)),"",INDEX('Compliance Database'!$K$2:$K$630,MATCH(623,Engine!$C$2:$C$630,0)))</f>
        <v/>
      </c>
      <c r="L636" s="8">
        <f>IF(ISNA(MATCH(623,Engine!$C$2:$C$630,0)),"",INDEX('Compliance Database'!$L$2:$L$630,MATCH(623,Engine!$C$2:$C$630,0)))</f>
        <v/>
      </c>
      <c r="M636" s="8">
        <f>IF(ISNA(MATCH(623,Engine!$C$2:$C$630,0)),"",INDEX('Compliance Database'!$M$2:$M$630,MATCH(623,Engine!$C$2:$C$630,0)))</f>
        <v/>
      </c>
      <c r="N636" s="8">
        <f>IF(ISNA(MATCH(623,Engine!$C$2:$C$630,0)),"",INDEX('Compliance Database'!$N$2:$N$630,MATCH(623,Engine!$C$2:$C$630,0)))</f>
        <v/>
      </c>
      <c r="O636" s="8">
        <f>IF(ISNA(MATCH(623,Engine!$C$2:$C$630,0)),"",INDEX('Compliance Database'!$O$2:$O$630,MATCH(623,Engine!$C$2:$C$630,0)))</f>
        <v/>
      </c>
    </row>
    <row r="637">
      <c r="A637">
        <f>IF(ISNA(MATCH(624,Engine!$C$2:$C$630,0)),"",INDEX('Compliance Database'!$A$2:$A$630,MATCH(624,Engine!$C$2:$C$630,0)))</f>
        <v/>
      </c>
      <c r="B637">
        <f>IF(ISNA(MATCH(624,Engine!$C$2:$C$630,0)),"",INDEX('Compliance Database'!$B$2:$B$630,MATCH(624,Engine!$C$2:$C$630,0)))</f>
        <v/>
      </c>
      <c r="C637">
        <f>IF(ISNA(MATCH(624,Engine!$C$2:$C$630,0)),"",INDEX('Compliance Database'!$C$2:$C$630,MATCH(624,Engine!$C$2:$C$630,0)))</f>
        <v/>
      </c>
      <c r="D637" s="8">
        <f>IF(ISNA(MATCH(624,Engine!$C$2:$C$630,0)),"",INDEX('Compliance Database'!$D$2:$D$630,MATCH(624,Engine!$C$2:$C$630,0)))</f>
        <v/>
      </c>
      <c r="E637">
        <f>IF(ISNA(MATCH(624,Engine!$C$2:$C$630,0)),"",INDEX('Compliance Database'!$E$2:$E$630,MATCH(624,Engine!$C$2:$C$630,0)))</f>
        <v/>
      </c>
      <c r="F637">
        <f>IF(ISNA(MATCH(624,Engine!$C$2:$C$630,0)),"",INDEX('Compliance Database'!$F$2:$F$630,MATCH(624,Engine!$C$2:$C$630,0)))</f>
        <v/>
      </c>
      <c r="G637">
        <f>IF(ISNA(MATCH(624,Engine!$C$2:$C$630,0)),"",INDEX('Compliance Database'!$G$2:$G$630,MATCH(624,Engine!$C$2:$C$630,0)))</f>
        <v/>
      </c>
      <c r="H637">
        <f>IF(ISNA(MATCH(624,Engine!$C$2:$C$630,0)),"",INDEX('Compliance Database'!$H$2:$H$630,MATCH(624,Engine!$C$2:$C$630,0)))</f>
        <v/>
      </c>
      <c r="I637" s="8">
        <f>IF(ISNA(MATCH(624,Engine!$C$2:$C$630,0)),"",INDEX('Compliance Database'!$I$2:$I$630,MATCH(624,Engine!$C$2:$C$630,0)))</f>
        <v/>
      </c>
      <c r="J637" s="8">
        <f>IF(ISNA(MATCH(624,Engine!$C$2:$C$630,0)),"",INDEX('Compliance Database'!$J$2:$J$630,MATCH(624,Engine!$C$2:$C$630,0)))</f>
        <v/>
      </c>
      <c r="K637">
        <f>IF(ISNA(MATCH(624,Engine!$C$2:$C$630,0)),"",INDEX('Compliance Database'!$K$2:$K$630,MATCH(624,Engine!$C$2:$C$630,0)))</f>
        <v/>
      </c>
      <c r="L637" s="8">
        <f>IF(ISNA(MATCH(624,Engine!$C$2:$C$630,0)),"",INDEX('Compliance Database'!$L$2:$L$630,MATCH(624,Engine!$C$2:$C$630,0)))</f>
        <v/>
      </c>
      <c r="M637" s="8">
        <f>IF(ISNA(MATCH(624,Engine!$C$2:$C$630,0)),"",INDEX('Compliance Database'!$M$2:$M$630,MATCH(624,Engine!$C$2:$C$630,0)))</f>
        <v/>
      </c>
      <c r="N637" s="8">
        <f>IF(ISNA(MATCH(624,Engine!$C$2:$C$630,0)),"",INDEX('Compliance Database'!$N$2:$N$630,MATCH(624,Engine!$C$2:$C$630,0)))</f>
        <v/>
      </c>
      <c r="O637" s="8">
        <f>IF(ISNA(MATCH(624,Engine!$C$2:$C$630,0)),"",INDEX('Compliance Database'!$O$2:$O$630,MATCH(624,Engine!$C$2:$C$630,0)))</f>
        <v/>
      </c>
    </row>
    <row r="638">
      <c r="A638">
        <f>IF(ISNA(MATCH(625,Engine!$C$2:$C$630,0)),"",INDEX('Compliance Database'!$A$2:$A$630,MATCH(625,Engine!$C$2:$C$630,0)))</f>
        <v/>
      </c>
      <c r="B638">
        <f>IF(ISNA(MATCH(625,Engine!$C$2:$C$630,0)),"",INDEX('Compliance Database'!$B$2:$B$630,MATCH(625,Engine!$C$2:$C$630,0)))</f>
        <v/>
      </c>
      <c r="C638">
        <f>IF(ISNA(MATCH(625,Engine!$C$2:$C$630,0)),"",INDEX('Compliance Database'!$C$2:$C$630,MATCH(625,Engine!$C$2:$C$630,0)))</f>
        <v/>
      </c>
      <c r="D638" s="8">
        <f>IF(ISNA(MATCH(625,Engine!$C$2:$C$630,0)),"",INDEX('Compliance Database'!$D$2:$D$630,MATCH(625,Engine!$C$2:$C$630,0)))</f>
        <v/>
      </c>
      <c r="E638">
        <f>IF(ISNA(MATCH(625,Engine!$C$2:$C$630,0)),"",INDEX('Compliance Database'!$E$2:$E$630,MATCH(625,Engine!$C$2:$C$630,0)))</f>
        <v/>
      </c>
      <c r="F638">
        <f>IF(ISNA(MATCH(625,Engine!$C$2:$C$630,0)),"",INDEX('Compliance Database'!$F$2:$F$630,MATCH(625,Engine!$C$2:$C$630,0)))</f>
        <v/>
      </c>
      <c r="G638">
        <f>IF(ISNA(MATCH(625,Engine!$C$2:$C$630,0)),"",INDEX('Compliance Database'!$G$2:$G$630,MATCH(625,Engine!$C$2:$C$630,0)))</f>
        <v/>
      </c>
      <c r="H638">
        <f>IF(ISNA(MATCH(625,Engine!$C$2:$C$630,0)),"",INDEX('Compliance Database'!$H$2:$H$630,MATCH(625,Engine!$C$2:$C$630,0)))</f>
        <v/>
      </c>
      <c r="I638" s="8">
        <f>IF(ISNA(MATCH(625,Engine!$C$2:$C$630,0)),"",INDEX('Compliance Database'!$I$2:$I$630,MATCH(625,Engine!$C$2:$C$630,0)))</f>
        <v/>
      </c>
      <c r="J638" s="8">
        <f>IF(ISNA(MATCH(625,Engine!$C$2:$C$630,0)),"",INDEX('Compliance Database'!$J$2:$J$630,MATCH(625,Engine!$C$2:$C$630,0)))</f>
        <v/>
      </c>
      <c r="K638">
        <f>IF(ISNA(MATCH(625,Engine!$C$2:$C$630,0)),"",INDEX('Compliance Database'!$K$2:$K$630,MATCH(625,Engine!$C$2:$C$630,0)))</f>
        <v/>
      </c>
      <c r="L638" s="8">
        <f>IF(ISNA(MATCH(625,Engine!$C$2:$C$630,0)),"",INDEX('Compliance Database'!$L$2:$L$630,MATCH(625,Engine!$C$2:$C$630,0)))</f>
        <v/>
      </c>
      <c r="M638" s="8">
        <f>IF(ISNA(MATCH(625,Engine!$C$2:$C$630,0)),"",INDEX('Compliance Database'!$M$2:$M$630,MATCH(625,Engine!$C$2:$C$630,0)))</f>
        <v/>
      </c>
      <c r="N638" s="8">
        <f>IF(ISNA(MATCH(625,Engine!$C$2:$C$630,0)),"",INDEX('Compliance Database'!$N$2:$N$630,MATCH(625,Engine!$C$2:$C$630,0)))</f>
        <v/>
      </c>
      <c r="O638" s="8">
        <f>IF(ISNA(MATCH(625,Engine!$C$2:$C$630,0)),"",INDEX('Compliance Database'!$O$2:$O$630,MATCH(625,Engine!$C$2:$C$630,0)))</f>
        <v/>
      </c>
    </row>
    <row r="639">
      <c r="A639">
        <f>IF(ISNA(MATCH(626,Engine!$C$2:$C$630,0)),"",INDEX('Compliance Database'!$A$2:$A$630,MATCH(626,Engine!$C$2:$C$630,0)))</f>
        <v/>
      </c>
      <c r="B639">
        <f>IF(ISNA(MATCH(626,Engine!$C$2:$C$630,0)),"",INDEX('Compliance Database'!$B$2:$B$630,MATCH(626,Engine!$C$2:$C$630,0)))</f>
        <v/>
      </c>
      <c r="C639">
        <f>IF(ISNA(MATCH(626,Engine!$C$2:$C$630,0)),"",INDEX('Compliance Database'!$C$2:$C$630,MATCH(626,Engine!$C$2:$C$630,0)))</f>
        <v/>
      </c>
      <c r="D639" s="8">
        <f>IF(ISNA(MATCH(626,Engine!$C$2:$C$630,0)),"",INDEX('Compliance Database'!$D$2:$D$630,MATCH(626,Engine!$C$2:$C$630,0)))</f>
        <v/>
      </c>
      <c r="E639">
        <f>IF(ISNA(MATCH(626,Engine!$C$2:$C$630,0)),"",INDEX('Compliance Database'!$E$2:$E$630,MATCH(626,Engine!$C$2:$C$630,0)))</f>
        <v/>
      </c>
      <c r="F639">
        <f>IF(ISNA(MATCH(626,Engine!$C$2:$C$630,0)),"",INDEX('Compliance Database'!$F$2:$F$630,MATCH(626,Engine!$C$2:$C$630,0)))</f>
        <v/>
      </c>
      <c r="G639">
        <f>IF(ISNA(MATCH(626,Engine!$C$2:$C$630,0)),"",INDEX('Compliance Database'!$G$2:$G$630,MATCH(626,Engine!$C$2:$C$630,0)))</f>
        <v/>
      </c>
      <c r="H639">
        <f>IF(ISNA(MATCH(626,Engine!$C$2:$C$630,0)),"",INDEX('Compliance Database'!$H$2:$H$630,MATCH(626,Engine!$C$2:$C$630,0)))</f>
        <v/>
      </c>
      <c r="I639" s="8">
        <f>IF(ISNA(MATCH(626,Engine!$C$2:$C$630,0)),"",INDEX('Compliance Database'!$I$2:$I$630,MATCH(626,Engine!$C$2:$C$630,0)))</f>
        <v/>
      </c>
      <c r="J639" s="8">
        <f>IF(ISNA(MATCH(626,Engine!$C$2:$C$630,0)),"",INDEX('Compliance Database'!$J$2:$J$630,MATCH(626,Engine!$C$2:$C$630,0)))</f>
        <v/>
      </c>
      <c r="K639">
        <f>IF(ISNA(MATCH(626,Engine!$C$2:$C$630,0)),"",INDEX('Compliance Database'!$K$2:$K$630,MATCH(626,Engine!$C$2:$C$630,0)))</f>
        <v/>
      </c>
      <c r="L639" s="8">
        <f>IF(ISNA(MATCH(626,Engine!$C$2:$C$630,0)),"",INDEX('Compliance Database'!$L$2:$L$630,MATCH(626,Engine!$C$2:$C$630,0)))</f>
        <v/>
      </c>
      <c r="M639" s="8">
        <f>IF(ISNA(MATCH(626,Engine!$C$2:$C$630,0)),"",INDEX('Compliance Database'!$M$2:$M$630,MATCH(626,Engine!$C$2:$C$630,0)))</f>
        <v/>
      </c>
      <c r="N639" s="8">
        <f>IF(ISNA(MATCH(626,Engine!$C$2:$C$630,0)),"",INDEX('Compliance Database'!$N$2:$N$630,MATCH(626,Engine!$C$2:$C$630,0)))</f>
        <v/>
      </c>
      <c r="O639" s="8">
        <f>IF(ISNA(MATCH(626,Engine!$C$2:$C$630,0)),"",INDEX('Compliance Database'!$O$2:$O$630,MATCH(626,Engine!$C$2:$C$630,0)))</f>
        <v/>
      </c>
    </row>
    <row r="640">
      <c r="A640">
        <f>IF(ISNA(MATCH(627,Engine!$C$2:$C$630,0)),"",INDEX('Compliance Database'!$A$2:$A$630,MATCH(627,Engine!$C$2:$C$630,0)))</f>
        <v/>
      </c>
      <c r="B640">
        <f>IF(ISNA(MATCH(627,Engine!$C$2:$C$630,0)),"",INDEX('Compliance Database'!$B$2:$B$630,MATCH(627,Engine!$C$2:$C$630,0)))</f>
        <v/>
      </c>
      <c r="C640">
        <f>IF(ISNA(MATCH(627,Engine!$C$2:$C$630,0)),"",INDEX('Compliance Database'!$C$2:$C$630,MATCH(627,Engine!$C$2:$C$630,0)))</f>
        <v/>
      </c>
      <c r="D640" s="8">
        <f>IF(ISNA(MATCH(627,Engine!$C$2:$C$630,0)),"",INDEX('Compliance Database'!$D$2:$D$630,MATCH(627,Engine!$C$2:$C$630,0)))</f>
        <v/>
      </c>
      <c r="E640">
        <f>IF(ISNA(MATCH(627,Engine!$C$2:$C$630,0)),"",INDEX('Compliance Database'!$E$2:$E$630,MATCH(627,Engine!$C$2:$C$630,0)))</f>
        <v/>
      </c>
      <c r="F640">
        <f>IF(ISNA(MATCH(627,Engine!$C$2:$C$630,0)),"",INDEX('Compliance Database'!$F$2:$F$630,MATCH(627,Engine!$C$2:$C$630,0)))</f>
        <v/>
      </c>
      <c r="G640">
        <f>IF(ISNA(MATCH(627,Engine!$C$2:$C$630,0)),"",INDEX('Compliance Database'!$G$2:$G$630,MATCH(627,Engine!$C$2:$C$630,0)))</f>
        <v/>
      </c>
      <c r="H640">
        <f>IF(ISNA(MATCH(627,Engine!$C$2:$C$630,0)),"",INDEX('Compliance Database'!$H$2:$H$630,MATCH(627,Engine!$C$2:$C$630,0)))</f>
        <v/>
      </c>
      <c r="I640" s="8">
        <f>IF(ISNA(MATCH(627,Engine!$C$2:$C$630,0)),"",INDEX('Compliance Database'!$I$2:$I$630,MATCH(627,Engine!$C$2:$C$630,0)))</f>
        <v/>
      </c>
      <c r="J640" s="8">
        <f>IF(ISNA(MATCH(627,Engine!$C$2:$C$630,0)),"",INDEX('Compliance Database'!$J$2:$J$630,MATCH(627,Engine!$C$2:$C$630,0)))</f>
        <v/>
      </c>
      <c r="K640">
        <f>IF(ISNA(MATCH(627,Engine!$C$2:$C$630,0)),"",INDEX('Compliance Database'!$K$2:$K$630,MATCH(627,Engine!$C$2:$C$630,0)))</f>
        <v/>
      </c>
      <c r="L640" s="8">
        <f>IF(ISNA(MATCH(627,Engine!$C$2:$C$630,0)),"",INDEX('Compliance Database'!$L$2:$L$630,MATCH(627,Engine!$C$2:$C$630,0)))</f>
        <v/>
      </c>
      <c r="M640" s="8">
        <f>IF(ISNA(MATCH(627,Engine!$C$2:$C$630,0)),"",INDEX('Compliance Database'!$M$2:$M$630,MATCH(627,Engine!$C$2:$C$630,0)))</f>
        <v/>
      </c>
      <c r="N640" s="8">
        <f>IF(ISNA(MATCH(627,Engine!$C$2:$C$630,0)),"",INDEX('Compliance Database'!$N$2:$N$630,MATCH(627,Engine!$C$2:$C$630,0)))</f>
        <v/>
      </c>
      <c r="O640" s="8">
        <f>IF(ISNA(MATCH(627,Engine!$C$2:$C$630,0)),"",INDEX('Compliance Database'!$O$2:$O$630,MATCH(627,Engine!$C$2:$C$630,0)))</f>
        <v/>
      </c>
    </row>
    <row r="641">
      <c r="A641">
        <f>IF(ISNA(MATCH(628,Engine!$C$2:$C$630,0)),"",INDEX('Compliance Database'!$A$2:$A$630,MATCH(628,Engine!$C$2:$C$630,0)))</f>
        <v/>
      </c>
      <c r="B641">
        <f>IF(ISNA(MATCH(628,Engine!$C$2:$C$630,0)),"",INDEX('Compliance Database'!$B$2:$B$630,MATCH(628,Engine!$C$2:$C$630,0)))</f>
        <v/>
      </c>
      <c r="C641">
        <f>IF(ISNA(MATCH(628,Engine!$C$2:$C$630,0)),"",INDEX('Compliance Database'!$C$2:$C$630,MATCH(628,Engine!$C$2:$C$630,0)))</f>
        <v/>
      </c>
      <c r="D641" s="8">
        <f>IF(ISNA(MATCH(628,Engine!$C$2:$C$630,0)),"",INDEX('Compliance Database'!$D$2:$D$630,MATCH(628,Engine!$C$2:$C$630,0)))</f>
        <v/>
      </c>
      <c r="E641">
        <f>IF(ISNA(MATCH(628,Engine!$C$2:$C$630,0)),"",INDEX('Compliance Database'!$E$2:$E$630,MATCH(628,Engine!$C$2:$C$630,0)))</f>
        <v/>
      </c>
      <c r="F641">
        <f>IF(ISNA(MATCH(628,Engine!$C$2:$C$630,0)),"",INDEX('Compliance Database'!$F$2:$F$630,MATCH(628,Engine!$C$2:$C$630,0)))</f>
        <v/>
      </c>
      <c r="G641">
        <f>IF(ISNA(MATCH(628,Engine!$C$2:$C$630,0)),"",INDEX('Compliance Database'!$G$2:$G$630,MATCH(628,Engine!$C$2:$C$630,0)))</f>
        <v/>
      </c>
      <c r="H641">
        <f>IF(ISNA(MATCH(628,Engine!$C$2:$C$630,0)),"",INDEX('Compliance Database'!$H$2:$H$630,MATCH(628,Engine!$C$2:$C$630,0)))</f>
        <v/>
      </c>
      <c r="I641" s="8">
        <f>IF(ISNA(MATCH(628,Engine!$C$2:$C$630,0)),"",INDEX('Compliance Database'!$I$2:$I$630,MATCH(628,Engine!$C$2:$C$630,0)))</f>
        <v/>
      </c>
      <c r="J641" s="8">
        <f>IF(ISNA(MATCH(628,Engine!$C$2:$C$630,0)),"",INDEX('Compliance Database'!$J$2:$J$630,MATCH(628,Engine!$C$2:$C$630,0)))</f>
        <v/>
      </c>
      <c r="K641">
        <f>IF(ISNA(MATCH(628,Engine!$C$2:$C$630,0)),"",INDEX('Compliance Database'!$K$2:$K$630,MATCH(628,Engine!$C$2:$C$630,0)))</f>
        <v/>
      </c>
      <c r="L641" s="8">
        <f>IF(ISNA(MATCH(628,Engine!$C$2:$C$630,0)),"",INDEX('Compliance Database'!$L$2:$L$630,MATCH(628,Engine!$C$2:$C$630,0)))</f>
        <v/>
      </c>
      <c r="M641" s="8">
        <f>IF(ISNA(MATCH(628,Engine!$C$2:$C$630,0)),"",INDEX('Compliance Database'!$M$2:$M$630,MATCH(628,Engine!$C$2:$C$630,0)))</f>
        <v/>
      </c>
      <c r="N641" s="8">
        <f>IF(ISNA(MATCH(628,Engine!$C$2:$C$630,0)),"",INDEX('Compliance Database'!$N$2:$N$630,MATCH(628,Engine!$C$2:$C$630,0)))</f>
        <v/>
      </c>
      <c r="O641" s="8">
        <f>IF(ISNA(MATCH(628,Engine!$C$2:$C$630,0)),"",INDEX('Compliance Database'!$O$2:$O$630,MATCH(628,Engine!$C$2:$C$630,0)))</f>
        <v/>
      </c>
    </row>
    <row r="642">
      <c r="A642">
        <f>IF(ISNA(MATCH(629,Engine!$C$2:$C$630,0)),"",INDEX('Compliance Database'!$A$2:$A$630,MATCH(629,Engine!$C$2:$C$630,0)))</f>
        <v/>
      </c>
      <c r="B642">
        <f>IF(ISNA(MATCH(629,Engine!$C$2:$C$630,0)),"",INDEX('Compliance Database'!$B$2:$B$630,MATCH(629,Engine!$C$2:$C$630,0)))</f>
        <v/>
      </c>
      <c r="C642">
        <f>IF(ISNA(MATCH(629,Engine!$C$2:$C$630,0)),"",INDEX('Compliance Database'!$C$2:$C$630,MATCH(629,Engine!$C$2:$C$630,0)))</f>
        <v/>
      </c>
      <c r="D642" s="8">
        <f>IF(ISNA(MATCH(629,Engine!$C$2:$C$630,0)),"",INDEX('Compliance Database'!$D$2:$D$630,MATCH(629,Engine!$C$2:$C$630,0)))</f>
        <v/>
      </c>
      <c r="E642">
        <f>IF(ISNA(MATCH(629,Engine!$C$2:$C$630,0)),"",INDEX('Compliance Database'!$E$2:$E$630,MATCH(629,Engine!$C$2:$C$630,0)))</f>
        <v/>
      </c>
      <c r="F642">
        <f>IF(ISNA(MATCH(629,Engine!$C$2:$C$630,0)),"",INDEX('Compliance Database'!$F$2:$F$630,MATCH(629,Engine!$C$2:$C$630,0)))</f>
        <v/>
      </c>
      <c r="G642">
        <f>IF(ISNA(MATCH(629,Engine!$C$2:$C$630,0)),"",INDEX('Compliance Database'!$G$2:$G$630,MATCH(629,Engine!$C$2:$C$630,0)))</f>
        <v/>
      </c>
      <c r="H642">
        <f>IF(ISNA(MATCH(629,Engine!$C$2:$C$630,0)),"",INDEX('Compliance Database'!$H$2:$H$630,MATCH(629,Engine!$C$2:$C$630,0)))</f>
        <v/>
      </c>
      <c r="I642" s="8">
        <f>IF(ISNA(MATCH(629,Engine!$C$2:$C$630,0)),"",INDEX('Compliance Database'!$I$2:$I$630,MATCH(629,Engine!$C$2:$C$630,0)))</f>
        <v/>
      </c>
      <c r="J642" s="8">
        <f>IF(ISNA(MATCH(629,Engine!$C$2:$C$630,0)),"",INDEX('Compliance Database'!$J$2:$J$630,MATCH(629,Engine!$C$2:$C$630,0)))</f>
        <v/>
      </c>
      <c r="K642">
        <f>IF(ISNA(MATCH(629,Engine!$C$2:$C$630,0)),"",INDEX('Compliance Database'!$K$2:$K$630,MATCH(629,Engine!$C$2:$C$630,0)))</f>
        <v/>
      </c>
      <c r="L642" s="8">
        <f>IF(ISNA(MATCH(629,Engine!$C$2:$C$630,0)),"",INDEX('Compliance Database'!$L$2:$L$630,MATCH(629,Engine!$C$2:$C$630,0)))</f>
        <v/>
      </c>
      <c r="M642" s="8">
        <f>IF(ISNA(MATCH(629,Engine!$C$2:$C$630,0)),"",INDEX('Compliance Database'!$M$2:$M$630,MATCH(629,Engine!$C$2:$C$630,0)))</f>
        <v/>
      </c>
      <c r="N642" s="8">
        <f>IF(ISNA(MATCH(629,Engine!$C$2:$C$630,0)),"",INDEX('Compliance Database'!$N$2:$N$630,MATCH(629,Engine!$C$2:$C$630,0)))</f>
        <v/>
      </c>
      <c r="O642" s="8">
        <f>IF(ISNA(MATCH(629,Engine!$C$2:$C$630,0)),"",INDEX('Compliance Database'!$O$2:$O$630,MATCH(629,Engine!$C$2:$C$630,0)))</f>
        <v/>
      </c>
    </row>
  </sheetData>
  <mergeCells count="1">
    <mergeCell ref="A1:D1"/>
  </mergeCells>
  <dataValidations count="6">
    <dataValidation sqref="B4" showDropDown="0" showInputMessage="0" showErrorMessage="0" allowBlank="1" type="list">
      <formula1>Lists!$A$2:$A$11</formula1>
    </dataValidation>
    <dataValidation sqref="B5" showDropDown="0" showInputMessage="0" showErrorMessage="0" allowBlank="1" type="list">
      <formula1>Lists!$B$2:$B$31</formula1>
    </dataValidation>
    <dataValidation sqref="B6" showDropDown="0" showInputMessage="0" showErrorMessage="0" allowBlank="1" type="list">
      <formula1>Lists!$C$2:$C$53</formula1>
    </dataValidation>
    <dataValidation sqref="B7" showDropDown="0" showInputMessage="0" showErrorMessage="0" allowBlank="1" type="list">
      <formula1>Lists!$D$2:$D$11</formula1>
    </dataValidation>
    <dataValidation sqref="B8" showDropDown="0" showInputMessage="0" showErrorMessage="0" allowBlank="1" type="list">
      <formula1>Lists!$E$2:$E$6</formula1>
    </dataValidation>
    <dataValidation sqref="B9" showDropDown="0" showInputMessage="0" showErrorMessage="0" allowBlank="1" type="list">
      <formula1>Lists!$F$2:$F$62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38"/>
  <sheetViews>
    <sheetView showGridLines="0" workbookViewId="0">
      <pane ySplit="9" topLeftCell="A10"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s>
  <sheetData>
    <row r="1">
      <c r="A1" s="1" t="inlineStr">
        <is>
          <t>Cross-Border Data Transfer</t>
        </is>
      </c>
    </row>
    <row r="3">
      <c r="A3" s="5" t="inlineStr">
        <is>
          <t>Pick the two countries involved in the transfer. Every relevant act/section from either country is listed below; add a keyword to narrow it.</t>
        </is>
      </c>
    </row>
    <row r="4">
      <c r="A4" s="2" t="inlineStr">
        <is>
          <t>Country A (from)</t>
        </is>
      </c>
      <c r="B4" s="6" t="inlineStr">
        <is>
          <t>Australia</t>
        </is>
      </c>
    </row>
    <row r="5">
      <c r="A5" s="2" t="inlineStr">
        <is>
          <t>Country B (to)</t>
        </is>
      </c>
      <c r="B5" s="6" t="inlineStr">
        <is>
          <t>GDPR</t>
        </is>
      </c>
    </row>
    <row r="6">
      <c r="A6" s="2" t="inlineStr">
        <is>
          <t>Keyword (free text)</t>
        </is>
      </c>
      <c r="B6" s="6" t="inlineStr"/>
    </row>
    <row r="8">
      <c r="A8" s="2" t="inlineStr">
        <is>
          <t>Matching sections (of 629 total):</t>
        </is>
      </c>
      <c r="C8" s="2">
        <f>'Transfer Engine'!$D$1</f>
        <v/>
      </c>
    </row>
    <row r="9">
      <c r="A9" s="7" t="inlineStr">
        <is>
          <t>Country</t>
        </is>
      </c>
      <c r="B9" s="7" t="inlineStr">
        <is>
          <t>Act</t>
        </is>
      </c>
      <c r="C9" s="7" t="inlineStr">
        <is>
          <t>Section</t>
        </is>
      </c>
      <c r="D9" s="7" t="inlineStr">
        <is>
          <t>Heading</t>
        </is>
      </c>
      <c r="E9" s="7" t="inlineStr">
        <is>
          <t>Pages</t>
        </is>
      </c>
      <c r="F9" s="7" t="inlineStr">
        <is>
          <t>Category</t>
        </is>
      </c>
      <c r="G9" s="7" t="inlineStr">
        <is>
          <t>Financial Relevance</t>
        </is>
      </c>
      <c r="H9" s="7" t="inlineStr">
        <is>
          <t>Confidence</t>
        </is>
      </c>
      <c r="I9" s="7" t="inlineStr">
        <is>
          <t>Topics</t>
        </is>
      </c>
      <c r="J9" s="7" t="inlineStr">
        <is>
          <t>Data Types</t>
        </is>
      </c>
      <c r="K9" s="7" t="inlineStr">
        <is>
          <t>Authority</t>
        </is>
      </c>
      <c r="L9" s="7" t="inlineStr">
        <is>
          <t>Summary</t>
        </is>
      </c>
      <c r="M9" s="7" t="inlineStr">
        <is>
          <t>DTIA Summary</t>
        </is>
      </c>
      <c r="N9" s="7" t="inlineStr">
        <is>
          <t>Requirements</t>
        </is>
      </c>
      <c r="O9" s="7" t="inlineStr">
        <is>
          <t>Source Quote</t>
        </is>
      </c>
    </row>
    <row r="10">
      <c r="A10">
        <f>IF(ISNA(MATCH(1,'Transfer Engine'!$C$2:$C$630,0)),"",INDEX('Compliance Database'!$A$2:$A$630,MATCH(1,'Transfer Engine'!$C$2:$C$630,0)))</f>
        <v/>
      </c>
      <c r="B10">
        <f>IF(ISNA(MATCH(1,'Transfer Engine'!$C$2:$C$630,0)),"",INDEX('Compliance Database'!$B$2:$B$630,MATCH(1,'Transfer Engine'!$C$2:$C$630,0)))</f>
        <v/>
      </c>
      <c r="C10">
        <f>IF(ISNA(MATCH(1,'Transfer Engine'!$C$2:$C$630,0)),"",INDEX('Compliance Database'!$C$2:$C$630,MATCH(1,'Transfer Engine'!$C$2:$C$630,0)))</f>
        <v/>
      </c>
      <c r="D10" s="8">
        <f>IF(ISNA(MATCH(1,'Transfer Engine'!$C$2:$C$630,0)),"",INDEX('Compliance Database'!$D$2:$D$630,MATCH(1,'Transfer Engine'!$C$2:$C$630,0)))</f>
        <v/>
      </c>
      <c r="E10">
        <f>IF(ISNA(MATCH(1,'Transfer Engine'!$C$2:$C$630,0)),"",INDEX('Compliance Database'!$E$2:$E$630,MATCH(1,'Transfer Engine'!$C$2:$C$630,0)))</f>
        <v/>
      </c>
      <c r="F10">
        <f>IF(ISNA(MATCH(1,'Transfer Engine'!$C$2:$C$630,0)),"",INDEX('Compliance Database'!$F$2:$F$630,MATCH(1,'Transfer Engine'!$C$2:$C$630,0)))</f>
        <v/>
      </c>
      <c r="G10">
        <f>IF(ISNA(MATCH(1,'Transfer Engine'!$C$2:$C$630,0)),"",INDEX('Compliance Database'!$G$2:$G$630,MATCH(1,'Transfer Engine'!$C$2:$C$630,0)))</f>
        <v/>
      </c>
      <c r="H10">
        <f>IF(ISNA(MATCH(1,'Transfer Engine'!$C$2:$C$630,0)),"",INDEX('Compliance Database'!$H$2:$H$630,MATCH(1,'Transfer Engine'!$C$2:$C$630,0)))</f>
        <v/>
      </c>
      <c r="I10" s="8">
        <f>IF(ISNA(MATCH(1,'Transfer Engine'!$C$2:$C$630,0)),"",INDEX('Compliance Database'!$I$2:$I$630,MATCH(1,'Transfer Engine'!$C$2:$C$630,0)))</f>
        <v/>
      </c>
      <c r="J10" s="8">
        <f>IF(ISNA(MATCH(1,'Transfer Engine'!$C$2:$C$630,0)),"",INDEX('Compliance Database'!$J$2:$J$630,MATCH(1,'Transfer Engine'!$C$2:$C$630,0)))</f>
        <v/>
      </c>
      <c r="K10">
        <f>IF(ISNA(MATCH(1,'Transfer Engine'!$C$2:$C$630,0)),"",INDEX('Compliance Database'!$K$2:$K$630,MATCH(1,'Transfer Engine'!$C$2:$C$630,0)))</f>
        <v/>
      </c>
      <c r="L10" s="8">
        <f>IF(ISNA(MATCH(1,'Transfer Engine'!$C$2:$C$630,0)),"",INDEX('Compliance Database'!$L$2:$L$630,MATCH(1,'Transfer Engine'!$C$2:$C$630,0)))</f>
        <v/>
      </c>
      <c r="M10" s="8">
        <f>IF(ISNA(MATCH(1,'Transfer Engine'!$C$2:$C$630,0)),"",INDEX('Compliance Database'!$M$2:$M$630,MATCH(1,'Transfer Engine'!$C$2:$C$630,0)))</f>
        <v/>
      </c>
      <c r="N10" s="8">
        <f>IF(ISNA(MATCH(1,'Transfer Engine'!$C$2:$C$630,0)),"",INDEX('Compliance Database'!$N$2:$N$630,MATCH(1,'Transfer Engine'!$C$2:$C$630,0)))</f>
        <v/>
      </c>
      <c r="O10" s="8">
        <f>IF(ISNA(MATCH(1,'Transfer Engine'!$C$2:$C$630,0)),"",INDEX('Compliance Database'!$O$2:$O$630,MATCH(1,'Transfer Engine'!$C$2:$C$630,0)))</f>
        <v/>
      </c>
    </row>
    <row r="11">
      <c r="A11">
        <f>IF(ISNA(MATCH(2,'Transfer Engine'!$C$2:$C$630,0)),"",INDEX('Compliance Database'!$A$2:$A$630,MATCH(2,'Transfer Engine'!$C$2:$C$630,0)))</f>
        <v/>
      </c>
      <c r="B11">
        <f>IF(ISNA(MATCH(2,'Transfer Engine'!$C$2:$C$630,0)),"",INDEX('Compliance Database'!$B$2:$B$630,MATCH(2,'Transfer Engine'!$C$2:$C$630,0)))</f>
        <v/>
      </c>
      <c r="C11">
        <f>IF(ISNA(MATCH(2,'Transfer Engine'!$C$2:$C$630,0)),"",INDEX('Compliance Database'!$C$2:$C$630,MATCH(2,'Transfer Engine'!$C$2:$C$630,0)))</f>
        <v/>
      </c>
      <c r="D11" s="8">
        <f>IF(ISNA(MATCH(2,'Transfer Engine'!$C$2:$C$630,0)),"",INDEX('Compliance Database'!$D$2:$D$630,MATCH(2,'Transfer Engine'!$C$2:$C$630,0)))</f>
        <v/>
      </c>
      <c r="E11">
        <f>IF(ISNA(MATCH(2,'Transfer Engine'!$C$2:$C$630,0)),"",INDEX('Compliance Database'!$E$2:$E$630,MATCH(2,'Transfer Engine'!$C$2:$C$630,0)))</f>
        <v/>
      </c>
      <c r="F11">
        <f>IF(ISNA(MATCH(2,'Transfer Engine'!$C$2:$C$630,0)),"",INDEX('Compliance Database'!$F$2:$F$630,MATCH(2,'Transfer Engine'!$C$2:$C$630,0)))</f>
        <v/>
      </c>
      <c r="G11">
        <f>IF(ISNA(MATCH(2,'Transfer Engine'!$C$2:$C$630,0)),"",INDEX('Compliance Database'!$G$2:$G$630,MATCH(2,'Transfer Engine'!$C$2:$C$630,0)))</f>
        <v/>
      </c>
      <c r="H11">
        <f>IF(ISNA(MATCH(2,'Transfer Engine'!$C$2:$C$630,0)),"",INDEX('Compliance Database'!$H$2:$H$630,MATCH(2,'Transfer Engine'!$C$2:$C$630,0)))</f>
        <v/>
      </c>
      <c r="I11" s="8">
        <f>IF(ISNA(MATCH(2,'Transfer Engine'!$C$2:$C$630,0)),"",INDEX('Compliance Database'!$I$2:$I$630,MATCH(2,'Transfer Engine'!$C$2:$C$630,0)))</f>
        <v/>
      </c>
      <c r="J11" s="8">
        <f>IF(ISNA(MATCH(2,'Transfer Engine'!$C$2:$C$630,0)),"",INDEX('Compliance Database'!$J$2:$J$630,MATCH(2,'Transfer Engine'!$C$2:$C$630,0)))</f>
        <v/>
      </c>
      <c r="K11">
        <f>IF(ISNA(MATCH(2,'Transfer Engine'!$C$2:$C$630,0)),"",INDEX('Compliance Database'!$K$2:$K$630,MATCH(2,'Transfer Engine'!$C$2:$C$630,0)))</f>
        <v/>
      </c>
      <c r="L11" s="8">
        <f>IF(ISNA(MATCH(2,'Transfer Engine'!$C$2:$C$630,0)),"",INDEX('Compliance Database'!$L$2:$L$630,MATCH(2,'Transfer Engine'!$C$2:$C$630,0)))</f>
        <v/>
      </c>
      <c r="M11" s="8">
        <f>IF(ISNA(MATCH(2,'Transfer Engine'!$C$2:$C$630,0)),"",INDEX('Compliance Database'!$M$2:$M$630,MATCH(2,'Transfer Engine'!$C$2:$C$630,0)))</f>
        <v/>
      </c>
      <c r="N11" s="8">
        <f>IF(ISNA(MATCH(2,'Transfer Engine'!$C$2:$C$630,0)),"",INDEX('Compliance Database'!$N$2:$N$630,MATCH(2,'Transfer Engine'!$C$2:$C$630,0)))</f>
        <v/>
      </c>
      <c r="O11" s="8">
        <f>IF(ISNA(MATCH(2,'Transfer Engine'!$C$2:$C$630,0)),"",INDEX('Compliance Database'!$O$2:$O$630,MATCH(2,'Transfer Engine'!$C$2:$C$630,0)))</f>
        <v/>
      </c>
    </row>
    <row r="12">
      <c r="A12">
        <f>IF(ISNA(MATCH(3,'Transfer Engine'!$C$2:$C$630,0)),"",INDEX('Compliance Database'!$A$2:$A$630,MATCH(3,'Transfer Engine'!$C$2:$C$630,0)))</f>
        <v/>
      </c>
      <c r="B12">
        <f>IF(ISNA(MATCH(3,'Transfer Engine'!$C$2:$C$630,0)),"",INDEX('Compliance Database'!$B$2:$B$630,MATCH(3,'Transfer Engine'!$C$2:$C$630,0)))</f>
        <v/>
      </c>
      <c r="C12">
        <f>IF(ISNA(MATCH(3,'Transfer Engine'!$C$2:$C$630,0)),"",INDEX('Compliance Database'!$C$2:$C$630,MATCH(3,'Transfer Engine'!$C$2:$C$630,0)))</f>
        <v/>
      </c>
      <c r="D12" s="8">
        <f>IF(ISNA(MATCH(3,'Transfer Engine'!$C$2:$C$630,0)),"",INDEX('Compliance Database'!$D$2:$D$630,MATCH(3,'Transfer Engine'!$C$2:$C$630,0)))</f>
        <v/>
      </c>
      <c r="E12">
        <f>IF(ISNA(MATCH(3,'Transfer Engine'!$C$2:$C$630,0)),"",INDEX('Compliance Database'!$E$2:$E$630,MATCH(3,'Transfer Engine'!$C$2:$C$630,0)))</f>
        <v/>
      </c>
      <c r="F12">
        <f>IF(ISNA(MATCH(3,'Transfer Engine'!$C$2:$C$630,0)),"",INDEX('Compliance Database'!$F$2:$F$630,MATCH(3,'Transfer Engine'!$C$2:$C$630,0)))</f>
        <v/>
      </c>
      <c r="G12">
        <f>IF(ISNA(MATCH(3,'Transfer Engine'!$C$2:$C$630,0)),"",INDEX('Compliance Database'!$G$2:$G$630,MATCH(3,'Transfer Engine'!$C$2:$C$630,0)))</f>
        <v/>
      </c>
      <c r="H12">
        <f>IF(ISNA(MATCH(3,'Transfer Engine'!$C$2:$C$630,0)),"",INDEX('Compliance Database'!$H$2:$H$630,MATCH(3,'Transfer Engine'!$C$2:$C$630,0)))</f>
        <v/>
      </c>
      <c r="I12" s="8">
        <f>IF(ISNA(MATCH(3,'Transfer Engine'!$C$2:$C$630,0)),"",INDEX('Compliance Database'!$I$2:$I$630,MATCH(3,'Transfer Engine'!$C$2:$C$630,0)))</f>
        <v/>
      </c>
      <c r="J12" s="8">
        <f>IF(ISNA(MATCH(3,'Transfer Engine'!$C$2:$C$630,0)),"",INDEX('Compliance Database'!$J$2:$J$630,MATCH(3,'Transfer Engine'!$C$2:$C$630,0)))</f>
        <v/>
      </c>
      <c r="K12">
        <f>IF(ISNA(MATCH(3,'Transfer Engine'!$C$2:$C$630,0)),"",INDEX('Compliance Database'!$K$2:$K$630,MATCH(3,'Transfer Engine'!$C$2:$C$630,0)))</f>
        <v/>
      </c>
      <c r="L12" s="8">
        <f>IF(ISNA(MATCH(3,'Transfer Engine'!$C$2:$C$630,0)),"",INDEX('Compliance Database'!$L$2:$L$630,MATCH(3,'Transfer Engine'!$C$2:$C$630,0)))</f>
        <v/>
      </c>
      <c r="M12" s="8">
        <f>IF(ISNA(MATCH(3,'Transfer Engine'!$C$2:$C$630,0)),"",INDEX('Compliance Database'!$M$2:$M$630,MATCH(3,'Transfer Engine'!$C$2:$C$630,0)))</f>
        <v/>
      </c>
      <c r="N12" s="8">
        <f>IF(ISNA(MATCH(3,'Transfer Engine'!$C$2:$C$630,0)),"",INDEX('Compliance Database'!$N$2:$N$630,MATCH(3,'Transfer Engine'!$C$2:$C$630,0)))</f>
        <v/>
      </c>
      <c r="O12" s="8">
        <f>IF(ISNA(MATCH(3,'Transfer Engine'!$C$2:$C$630,0)),"",INDEX('Compliance Database'!$O$2:$O$630,MATCH(3,'Transfer Engine'!$C$2:$C$630,0)))</f>
        <v/>
      </c>
    </row>
    <row r="13">
      <c r="A13">
        <f>IF(ISNA(MATCH(4,'Transfer Engine'!$C$2:$C$630,0)),"",INDEX('Compliance Database'!$A$2:$A$630,MATCH(4,'Transfer Engine'!$C$2:$C$630,0)))</f>
        <v/>
      </c>
      <c r="B13">
        <f>IF(ISNA(MATCH(4,'Transfer Engine'!$C$2:$C$630,0)),"",INDEX('Compliance Database'!$B$2:$B$630,MATCH(4,'Transfer Engine'!$C$2:$C$630,0)))</f>
        <v/>
      </c>
      <c r="C13">
        <f>IF(ISNA(MATCH(4,'Transfer Engine'!$C$2:$C$630,0)),"",INDEX('Compliance Database'!$C$2:$C$630,MATCH(4,'Transfer Engine'!$C$2:$C$630,0)))</f>
        <v/>
      </c>
      <c r="D13" s="8">
        <f>IF(ISNA(MATCH(4,'Transfer Engine'!$C$2:$C$630,0)),"",INDEX('Compliance Database'!$D$2:$D$630,MATCH(4,'Transfer Engine'!$C$2:$C$630,0)))</f>
        <v/>
      </c>
      <c r="E13">
        <f>IF(ISNA(MATCH(4,'Transfer Engine'!$C$2:$C$630,0)),"",INDEX('Compliance Database'!$E$2:$E$630,MATCH(4,'Transfer Engine'!$C$2:$C$630,0)))</f>
        <v/>
      </c>
      <c r="F13">
        <f>IF(ISNA(MATCH(4,'Transfer Engine'!$C$2:$C$630,0)),"",INDEX('Compliance Database'!$F$2:$F$630,MATCH(4,'Transfer Engine'!$C$2:$C$630,0)))</f>
        <v/>
      </c>
      <c r="G13">
        <f>IF(ISNA(MATCH(4,'Transfer Engine'!$C$2:$C$630,0)),"",INDEX('Compliance Database'!$G$2:$G$630,MATCH(4,'Transfer Engine'!$C$2:$C$630,0)))</f>
        <v/>
      </c>
      <c r="H13">
        <f>IF(ISNA(MATCH(4,'Transfer Engine'!$C$2:$C$630,0)),"",INDEX('Compliance Database'!$H$2:$H$630,MATCH(4,'Transfer Engine'!$C$2:$C$630,0)))</f>
        <v/>
      </c>
      <c r="I13" s="8">
        <f>IF(ISNA(MATCH(4,'Transfer Engine'!$C$2:$C$630,0)),"",INDEX('Compliance Database'!$I$2:$I$630,MATCH(4,'Transfer Engine'!$C$2:$C$630,0)))</f>
        <v/>
      </c>
      <c r="J13" s="8">
        <f>IF(ISNA(MATCH(4,'Transfer Engine'!$C$2:$C$630,0)),"",INDEX('Compliance Database'!$J$2:$J$630,MATCH(4,'Transfer Engine'!$C$2:$C$630,0)))</f>
        <v/>
      </c>
      <c r="K13">
        <f>IF(ISNA(MATCH(4,'Transfer Engine'!$C$2:$C$630,0)),"",INDEX('Compliance Database'!$K$2:$K$630,MATCH(4,'Transfer Engine'!$C$2:$C$630,0)))</f>
        <v/>
      </c>
      <c r="L13" s="8">
        <f>IF(ISNA(MATCH(4,'Transfer Engine'!$C$2:$C$630,0)),"",INDEX('Compliance Database'!$L$2:$L$630,MATCH(4,'Transfer Engine'!$C$2:$C$630,0)))</f>
        <v/>
      </c>
      <c r="M13" s="8">
        <f>IF(ISNA(MATCH(4,'Transfer Engine'!$C$2:$C$630,0)),"",INDEX('Compliance Database'!$M$2:$M$630,MATCH(4,'Transfer Engine'!$C$2:$C$630,0)))</f>
        <v/>
      </c>
      <c r="N13" s="8">
        <f>IF(ISNA(MATCH(4,'Transfer Engine'!$C$2:$C$630,0)),"",INDEX('Compliance Database'!$N$2:$N$630,MATCH(4,'Transfer Engine'!$C$2:$C$630,0)))</f>
        <v/>
      </c>
      <c r="O13" s="8">
        <f>IF(ISNA(MATCH(4,'Transfer Engine'!$C$2:$C$630,0)),"",INDEX('Compliance Database'!$O$2:$O$630,MATCH(4,'Transfer Engine'!$C$2:$C$630,0)))</f>
        <v/>
      </c>
    </row>
    <row r="14">
      <c r="A14">
        <f>IF(ISNA(MATCH(5,'Transfer Engine'!$C$2:$C$630,0)),"",INDEX('Compliance Database'!$A$2:$A$630,MATCH(5,'Transfer Engine'!$C$2:$C$630,0)))</f>
        <v/>
      </c>
      <c r="B14">
        <f>IF(ISNA(MATCH(5,'Transfer Engine'!$C$2:$C$630,0)),"",INDEX('Compliance Database'!$B$2:$B$630,MATCH(5,'Transfer Engine'!$C$2:$C$630,0)))</f>
        <v/>
      </c>
      <c r="C14">
        <f>IF(ISNA(MATCH(5,'Transfer Engine'!$C$2:$C$630,0)),"",INDEX('Compliance Database'!$C$2:$C$630,MATCH(5,'Transfer Engine'!$C$2:$C$630,0)))</f>
        <v/>
      </c>
      <c r="D14" s="8">
        <f>IF(ISNA(MATCH(5,'Transfer Engine'!$C$2:$C$630,0)),"",INDEX('Compliance Database'!$D$2:$D$630,MATCH(5,'Transfer Engine'!$C$2:$C$630,0)))</f>
        <v/>
      </c>
      <c r="E14">
        <f>IF(ISNA(MATCH(5,'Transfer Engine'!$C$2:$C$630,0)),"",INDEX('Compliance Database'!$E$2:$E$630,MATCH(5,'Transfer Engine'!$C$2:$C$630,0)))</f>
        <v/>
      </c>
      <c r="F14">
        <f>IF(ISNA(MATCH(5,'Transfer Engine'!$C$2:$C$630,0)),"",INDEX('Compliance Database'!$F$2:$F$630,MATCH(5,'Transfer Engine'!$C$2:$C$630,0)))</f>
        <v/>
      </c>
      <c r="G14">
        <f>IF(ISNA(MATCH(5,'Transfer Engine'!$C$2:$C$630,0)),"",INDEX('Compliance Database'!$G$2:$G$630,MATCH(5,'Transfer Engine'!$C$2:$C$630,0)))</f>
        <v/>
      </c>
      <c r="H14">
        <f>IF(ISNA(MATCH(5,'Transfer Engine'!$C$2:$C$630,0)),"",INDEX('Compliance Database'!$H$2:$H$630,MATCH(5,'Transfer Engine'!$C$2:$C$630,0)))</f>
        <v/>
      </c>
      <c r="I14" s="8">
        <f>IF(ISNA(MATCH(5,'Transfer Engine'!$C$2:$C$630,0)),"",INDEX('Compliance Database'!$I$2:$I$630,MATCH(5,'Transfer Engine'!$C$2:$C$630,0)))</f>
        <v/>
      </c>
      <c r="J14" s="8">
        <f>IF(ISNA(MATCH(5,'Transfer Engine'!$C$2:$C$630,0)),"",INDEX('Compliance Database'!$J$2:$J$630,MATCH(5,'Transfer Engine'!$C$2:$C$630,0)))</f>
        <v/>
      </c>
      <c r="K14">
        <f>IF(ISNA(MATCH(5,'Transfer Engine'!$C$2:$C$630,0)),"",INDEX('Compliance Database'!$K$2:$K$630,MATCH(5,'Transfer Engine'!$C$2:$C$630,0)))</f>
        <v/>
      </c>
      <c r="L14" s="8">
        <f>IF(ISNA(MATCH(5,'Transfer Engine'!$C$2:$C$630,0)),"",INDEX('Compliance Database'!$L$2:$L$630,MATCH(5,'Transfer Engine'!$C$2:$C$630,0)))</f>
        <v/>
      </c>
      <c r="M14" s="8">
        <f>IF(ISNA(MATCH(5,'Transfer Engine'!$C$2:$C$630,0)),"",INDEX('Compliance Database'!$M$2:$M$630,MATCH(5,'Transfer Engine'!$C$2:$C$630,0)))</f>
        <v/>
      </c>
      <c r="N14" s="8">
        <f>IF(ISNA(MATCH(5,'Transfer Engine'!$C$2:$C$630,0)),"",INDEX('Compliance Database'!$N$2:$N$630,MATCH(5,'Transfer Engine'!$C$2:$C$630,0)))</f>
        <v/>
      </c>
      <c r="O14" s="8">
        <f>IF(ISNA(MATCH(5,'Transfer Engine'!$C$2:$C$630,0)),"",INDEX('Compliance Database'!$O$2:$O$630,MATCH(5,'Transfer Engine'!$C$2:$C$630,0)))</f>
        <v/>
      </c>
    </row>
    <row r="15">
      <c r="A15">
        <f>IF(ISNA(MATCH(6,'Transfer Engine'!$C$2:$C$630,0)),"",INDEX('Compliance Database'!$A$2:$A$630,MATCH(6,'Transfer Engine'!$C$2:$C$630,0)))</f>
        <v/>
      </c>
      <c r="B15">
        <f>IF(ISNA(MATCH(6,'Transfer Engine'!$C$2:$C$630,0)),"",INDEX('Compliance Database'!$B$2:$B$630,MATCH(6,'Transfer Engine'!$C$2:$C$630,0)))</f>
        <v/>
      </c>
      <c r="C15">
        <f>IF(ISNA(MATCH(6,'Transfer Engine'!$C$2:$C$630,0)),"",INDEX('Compliance Database'!$C$2:$C$630,MATCH(6,'Transfer Engine'!$C$2:$C$630,0)))</f>
        <v/>
      </c>
      <c r="D15" s="8">
        <f>IF(ISNA(MATCH(6,'Transfer Engine'!$C$2:$C$630,0)),"",INDEX('Compliance Database'!$D$2:$D$630,MATCH(6,'Transfer Engine'!$C$2:$C$630,0)))</f>
        <v/>
      </c>
      <c r="E15">
        <f>IF(ISNA(MATCH(6,'Transfer Engine'!$C$2:$C$630,0)),"",INDEX('Compliance Database'!$E$2:$E$630,MATCH(6,'Transfer Engine'!$C$2:$C$630,0)))</f>
        <v/>
      </c>
      <c r="F15">
        <f>IF(ISNA(MATCH(6,'Transfer Engine'!$C$2:$C$630,0)),"",INDEX('Compliance Database'!$F$2:$F$630,MATCH(6,'Transfer Engine'!$C$2:$C$630,0)))</f>
        <v/>
      </c>
      <c r="G15">
        <f>IF(ISNA(MATCH(6,'Transfer Engine'!$C$2:$C$630,0)),"",INDEX('Compliance Database'!$G$2:$G$630,MATCH(6,'Transfer Engine'!$C$2:$C$630,0)))</f>
        <v/>
      </c>
      <c r="H15">
        <f>IF(ISNA(MATCH(6,'Transfer Engine'!$C$2:$C$630,0)),"",INDEX('Compliance Database'!$H$2:$H$630,MATCH(6,'Transfer Engine'!$C$2:$C$630,0)))</f>
        <v/>
      </c>
      <c r="I15" s="8">
        <f>IF(ISNA(MATCH(6,'Transfer Engine'!$C$2:$C$630,0)),"",INDEX('Compliance Database'!$I$2:$I$630,MATCH(6,'Transfer Engine'!$C$2:$C$630,0)))</f>
        <v/>
      </c>
      <c r="J15" s="8">
        <f>IF(ISNA(MATCH(6,'Transfer Engine'!$C$2:$C$630,0)),"",INDEX('Compliance Database'!$J$2:$J$630,MATCH(6,'Transfer Engine'!$C$2:$C$630,0)))</f>
        <v/>
      </c>
      <c r="K15">
        <f>IF(ISNA(MATCH(6,'Transfer Engine'!$C$2:$C$630,0)),"",INDEX('Compliance Database'!$K$2:$K$630,MATCH(6,'Transfer Engine'!$C$2:$C$630,0)))</f>
        <v/>
      </c>
      <c r="L15" s="8">
        <f>IF(ISNA(MATCH(6,'Transfer Engine'!$C$2:$C$630,0)),"",INDEX('Compliance Database'!$L$2:$L$630,MATCH(6,'Transfer Engine'!$C$2:$C$630,0)))</f>
        <v/>
      </c>
      <c r="M15" s="8">
        <f>IF(ISNA(MATCH(6,'Transfer Engine'!$C$2:$C$630,0)),"",INDEX('Compliance Database'!$M$2:$M$630,MATCH(6,'Transfer Engine'!$C$2:$C$630,0)))</f>
        <v/>
      </c>
      <c r="N15" s="8">
        <f>IF(ISNA(MATCH(6,'Transfer Engine'!$C$2:$C$630,0)),"",INDEX('Compliance Database'!$N$2:$N$630,MATCH(6,'Transfer Engine'!$C$2:$C$630,0)))</f>
        <v/>
      </c>
      <c r="O15" s="8">
        <f>IF(ISNA(MATCH(6,'Transfer Engine'!$C$2:$C$630,0)),"",INDEX('Compliance Database'!$O$2:$O$630,MATCH(6,'Transfer Engine'!$C$2:$C$630,0)))</f>
        <v/>
      </c>
    </row>
    <row r="16">
      <c r="A16">
        <f>IF(ISNA(MATCH(7,'Transfer Engine'!$C$2:$C$630,0)),"",INDEX('Compliance Database'!$A$2:$A$630,MATCH(7,'Transfer Engine'!$C$2:$C$630,0)))</f>
        <v/>
      </c>
      <c r="B16">
        <f>IF(ISNA(MATCH(7,'Transfer Engine'!$C$2:$C$630,0)),"",INDEX('Compliance Database'!$B$2:$B$630,MATCH(7,'Transfer Engine'!$C$2:$C$630,0)))</f>
        <v/>
      </c>
      <c r="C16">
        <f>IF(ISNA(MATCH(7,'Transfer Engine'!$C$2:$C$630,0)),"",INDEX('Compliance Database'!$C$2:$C$630,MATCH(7,'Transfer Engine'!$C$2:$C$630,0)))</f>
        <v/>
      </c>
      <c r="D16" s="8">
        <f>IF(ISNA(MATCH(7,'Transfer Engine'!$C$2:$C$630,0)),"",INDEX('Compliance Database'!$D$2:$D$630,MATCH(7,'Transfer Engine'!$C$2:$C$630,0)))</f>
        <v/>
      </c>
      <c r="E16">
        <f>IF(ISNA(MATCH(7,'Transfer Engine'!$C$2:$C$630,0)),"",INDEX('Compliance Database'!$E$2:$E$630,MATCH(7,'Transfer Engine'!$C$2:$C$630,0)))</f>
        <v/>
      </c>
      <c r="F16">
        <f>IF(ISNA(MATCH(7,'Transfer Engine'!$C$2:$C$630,0)),"",INDEX('Compliance Database'!$F$2:$F$630,MATCH(7,'Transfer Engine'!$C$2:$C$630,0)))</f>
        <v/>
      </c>
      <c r="G16">
        <f>IF(ISNA(MATCH(7,'Transfer Engine'!$C$2:$C$630,0)),"",INDEX('Compliance Database'!$G$2:$G$630,MATCH(7,'Transfer Engine'!$C$2:$C$630,0)))</f>
        <v/>
      </c>
      <c r="H16">
        <f>IF(ISNA(MATCH(7,'Transfer Engine'!$C$2:$C$630,0)),"",INDEX('Compliance Database'!$H$2:$H$630,MATCH(7,'Transfer Engine'!$C$2:$C$630,0)))</f>
        <v/>
      </c>
      <c r="I16" s="8">
        <f>IF(ISNA(MATCH(7,'Transfer Engine'!$C$2:$C$630,0)),"",INDEX('Compliance Database'!$I$2:$I$630,MATCH(7,'Transfer Engine'!$C$2:$C$630,0)))</f>
        <v/>
      </c>
      <c r="J16" s="8">
        <f>IF(ISNA(MATCH(7,'Transfer Engine'!$C$2:$C$630,0)),"",INDEX('Compliance Database'!$J$2:$J$630,MATCH(7,'Transfer Engine'!$C$2:$C$630,0)))</f>
        <v/>
      </c>
      <c r="K16">
        <f>IF(ISNA(MATCH(7,'Transfer Engine'!$C$2:$C$630,0)),"",INDEX('Compliance Database'!$K$2:$K$630,MATCH(7,'Transfer Engine'!$C$2:$C$630,0)))</f>
        <v/>
      </c>
      <c r="L16" s="8">
        <f>IF(ISNA(MATCH(7,'Transfer Engine'!$C$2:$C$630,0)),"",INDEX('Compliance Database'!$L$2:$L$630,MATCH(7,'Transfer Engine'!$C$2:$C$630,0)))</f>
        <v/>
      </c>
      <c r="M16" s="8">
        <f>IF(ISNA(MATCH(7,'Transfer Engine'!$C$2:$C$630,0)),"",INDEX('Compliance Database'!$M$2:$M$630,MATCH(7,'Transfer Engine'!$C$2:$C$630,0)))</f>
        <v/>
      </c>
      <c r="N16" s="8">
        <f>IF(ISNA(MATCH(7,'Transfer Engine'!$C$2:$C$630,0)),"",INDEX('Compliance Database'!$N$2:$N$630,MATCH(7,'Transfer Engine'!$C$2:$C$630,0)))</f>
        <v/>
      </c>
      <c r="O16" s="8">
        <f>IF(ISNA(MATCH(7,'Transfer Engine'!$C$2:$C$630,0)),"",INDEX('Compliance Database'!$O$2:$O$630,MATCH(7,'Transfer Engine'!$C$2:$C$630,0)))</f>
        <v/>
      </c>
    </row>
    <row r="17">
      <c r="A17">
        <f>IF(ISNA(MATCH(8,'Transfer Engine'!$C$2:$C$630,0)),"",INDEX('Compliance Database'!$A$2:$A$630,MATCH(8,'Transfer Engine'!$C$2:$C$630,0)))</f>
        <v/>
      </c>
      <c r="B17">
        <f>IF(ISNA(MATCH(8,'Transfer Engine'!$C$2:$C$630,0)),"",INDEX('Compliance Database'!$B$2:$B$630,MATCH(8,'Transfer Engine'!$C$2:$C$630,0)))</f>
        <v/>
      </c>
      <c r="C17">
        <f>IF(ISNA(MATCH(8,'Transfer Engine'!$C$2:$C$630,0)),"",INDEX('Compliance Database'!$C$2:$C$630,MATCH(8,'Transfer Engine'!$C$2:$C$630,0)))</f>
        <v/>
      </c>
      <c r="D17" s="8">
        <f>IF(ISNA(MATCH(8,'Transfer Engine'!$C$2:$C$630,0)),"",INDEX('Compliance Database'!$D$2:$D$630,MATCH(8,'Transfer Engine'!$C$2:$C$630,0)))</f>
        <v/>
      </c>
      <c r="E17">
        <f>IF(ISNA(MATCH(8,'Transfer Engine'!$C$2:$C$630,0)),"",INDEX('Compliance Database'!$E$2:$E$630,MATCH(8,'Transfer Engine'!$C$2:$C$630,0)))</f>
        <v/>
      </c>
      <c r="F17">
        <f>IF(ISNA(MATCH(8,'Transfer Engine'!$C$2:$C$630,0)),"",INDEX('Compliance Database'!$F$2:$F$630,MATCH(8,'Transfer Engine'!$C$2:$C$630,0)))</f>
        <v/>
      </c>
      <c r="G17">
        <f>IF(ISNA(MATCH(8,'Transfer Engine'!$C$2:$C$630,0)),"",INDEX('Compliance Database'!$G$2:$G$630,MATCH(8,'Transfer Engine'!$C$2:$C$630,0)))</f>
        <v/>
      </c>
      <c r="H17">
        <f>IF(ISNA(MATCH(8,'Transfer Engine'!$C$2:$C$630,0)),"",INDEX('Compliance Database'!$H$2:$H$630,MATCH(8,'Transfer Engine'!$C$2:$C$630,0)))</f>
        <v/>
      </c>
      <c r="I17" s="8">
        <f>IF(ISNA(MATCH(8,'Transfer Engine'!$C$2:$C$630,0)),"",INDEX('Compliance Database'!$I$2:$I$630,MATCH(8,'Transfer Engine'!$C$2:$C$630,0)))</f>
        <v/>
      </c>
      <c r="J17" s="8">
        <f>IF(ISNA(MATCH(8,'Transfer Engine'!$C$2:$C$630,0)),"",INDEX('Compliance Database'!$J$2:$J$630,MATCH(8,'Transfer Engine'!$C$2:$C$630,0)))</f>
        <v/>
      </c>
      <c r="K17">
        <f>IF(ISNA(MATCH(8,'Transfer Engine'!$C$2:$C$630,0)),"",INDEX('Compliance Database'!$K$2:$K$630,MATCH(8,'Transfer Engine'!$C$2:$C$630,0)))</f>
        <v/>
      </c>
      <c r="L17" s="8">
        <f>IF(ISNA(MATCH(8,'Transfer Engine'!$C$2:$C$630,0)),"",INDEX('Compliance Database'!$L$2:$L$630,MATCH(8,'Transfer Engine'!$C$2:$C$630,0)))</f>
        <v/>
      </c>
      <c r="M17" s="8">
        <f>IF(ISNA(MATCH(8,'Transfer Engine'!$C$2:$C$630,0)),"",INDEX('Compliance Database'!$M$2:$M$630,MATCH(8,'Transfer Engine'!$C$2:$C$630,0)))</f>
        <v/>
      </c>
      <c r="N17" s="8">
        <f>IF(ISNA(MATCH(8,'Transfer Engine'!$C$2:$C$630,0)),"",INDEX('Compliance Database'!$N$2:$N$630,MATCH(8,'Transfer Engine'!$C$2:$C$630,0)))</f>
        <v/>
      </c>
      <c r="O17" s="8">
        <f>IF(ISNA(MATCH(8,'Transfer Engine'!$C$2:$C$630,0)),"",INDEX('Compliance Database'!$O$2:$O$630,MATCH(8,'Transfer Engine'!$C$2:$C$630,0)))</f>
        <v/>
      </c>
    </row>
    <row r="18">
      <c r="A18">
        <f>IF(ISNA(MATCH(9,'Transfer Engine'!$C$2:$C$630,0)),"",INDEX('Compliance Database'!$A$2:$A$630,MATCH(9,'Transfer Engine'!$C$2:$C$630,0)))</f>
        <v/>
      </c>
      <c r="B18">
        <f>IF(ISNA(MATCH(9,'Transfer Engine'!$C$2:$C$630,0)),"",INDEX('Compliance Database'!$B$2:$B$630,MATCH(9,'Transfer Engine'!$C$2:$C$630,0)))</f>
        <v/>
      </c>
      <c r="C18">
        <f>IF(ISNA(MATCH(9,'Transfer Engine'!$C$2:$C$630,0)),"",INDEX('Compliance Database'!$C$2:$C$630,MATCH(9,'Transfer Engine'!$C$2:$C$630,0)))</f>
        <v/>
      </c>
      <c r="D18" s="8">
        <f>IF(ISNA(MATCH(9,'Transfer Engine'!$C$2:$C$630,0)),"",INDEX('Compliance Database'!$D$2:$D$630,MATCH(9,'Transfer Engine'!$C$2:$C$630,0)))</f>
        <v/>
      </c>
      <c r="E18">
        <f>IF(ISNA(MATCH(9,'Transfer Engine'!$C$2:$C$630,0)),"",INDEX('Compliance Database'!$E$2:$E$630,MATCH(9,'Transfer Engine'!$C$2:$C$630,0)))</f>
        <v/>
      </c>
      <c r="F18">
        <f>IF(ISNA(MATCH(9,'Transfer Engine'!$C$2:$C$630,0)),"",INDEX('Compliance Database'!$F$2:$F$630,MATCH(9,'Transfer Engine'!$C$2:$C$630,0)))</f>
        <v/>
      </c>
      <c r="G18">
        <f>IF(ISNA(MATCH(9,'Transfer Engine'!$C$2:$C$630,0)),"",INDEX('Compliance Database'!$G$2:$G$630,MATCH(9,'Transfer Engine'!$C$2:$C$630,0)))</f>
        <v/>
      </c>
      <c r="H18">
        <f>IF(ISNA(MATCH(9,'Transfer Engine'!$C$2:$C$630,0)),"",INDEX('Compliance Database'!$H$2:$H$630,MATCH(9,'Transfer Engine'!$C$2:$C$630,0)))</f>
        <v/>
      </c>
      <c r="I18" s="8">
        <f>IF(ISNA(MATCH(9,'Transfer Engine'!$C$2:$C$630,0)),"",INDEX('Compliance Database'!$I$2:$I$630,MATCH(9,'Transfer Engine'!$C$2:$C$630,0)))</f>
        <v/>
      </c>
      <c r="J18" s="8">
        <f>IF(ISNA(MATCH(9,'Transfer Engine'!$C$2:$C$630,0)),"",INDEX('Compliance Database'!$J$2:$J$630,MATCH(9,'Transfer Engine'!$C$2:$C$630,0)))</f>
        <v/>
      </c>
      <c r="K18">
        <f>IF(ISNA(MATCH(9,'Transfer Engine'!$C$2:$C$630,0)),"",INDEX('Compliance Database'!$K$2:$K$630,MATCH(9,'Transfer Engine'!$C$2:$C$630,0)))</f>
        <v/>
      </c>
      <c r="L18" s="8">
        <f>IF(ISNA(MATCH(9,'Transfer Engine'!$C$2:$C$630,0)),"",INDEX('Compliance Database'!$L$2:$L$630,MATCH(9,'Transfer Engine'!$C$2:$C$630,0)))</f>
        <v/>
      </c>
      <c r="M18" s="8">
        <f>IF(ISNA(MATCH(9,'Transfer Engine'!$C$2:$C$630,0)),"",INDEX('Compliance Database'!$M$2:$M$630,MATCH(9,'Transfer Engine'!$C$2:$C$630,0)))</f>
        <v/>
      </c>
      <c r="N18" s="8">
        <f>IF(ISNA(MATCH(9,'Transfer Engine'!$C$2:$C$630,0)),"",INDEX('Compliance Database'!$N$2:$N$630,MATCH(9,'Transfer Engine'!$C$2:$C$630,0)))</f>
        <v/>
      </c>
      <c r="O18" s="8">
        <f>IF(ISNA(MATCH(9,'Transfer Engine'!$C$2:$C$630,0)),"",INDEX('Compliance Database'!$O$2:$O$630,MATCH(9,'Transfer Engine'!$C$2:$C$630,0)))</f>
        <v/>
      </c>
    </row>
    <row r="19">
      <c r="A19">
        <f>IF(ISNA(MATCH(10,'Transfer Engine'!$C$2:$C$630,0)),"",INDEX('Compliance Database'!$A$2:$A$630,MATCH(10,'Transfer Engine'!$C$2:$C$630,0)))</f>
        <v/>
      </c>
      <c r="B19">
        <f>IF(ISNA(MATCH(10,'Transfer Engine'!$C$2:$C$630,0)),"",INDEX('Compliance Database'!$B$2:$B$630,MATCH(10,'Transfer Engine'!$C$2:$C$630,0)))</f>
        <v/>
      </c>
      <c r="C19">
        <f>IF(ISNA(MATCH(10,'Transfer Engine'!$C$2:$C$630,0)),"",INDEX('Compliance Database'!$C$2:$C$630,MATCH(10,'Transfer Engine'!$C$2:$C$630,0)))</f>
        <v/>
      </c>
      <c r="D19" s="8">
        <f>IF(ISNA(MATCH(10,'Transfer Engine'!$C$2:$C$630,0)),"",INDEX('Compliance Database'!$D$2:$D$630,MATCH(10,'Transfer Engine'!$C$2:$C$630,0)))</f>
        <v/>
      </c>
      <c r="E19">
        <f>IF(ISNA(MATCH(10,'Transfer Engine'!$C$2:$C$630,0)),"",INDEX('Compliance Database'!$E$2:$E$630,MATCH(10,'Transfer Engine'!$C$2:$C$630,0)))</f>
        <v/>
      </c>
      <c r="F19">
        <f>IF(ISNA(MATCH(10,'Transfer Engine'!$C$2:$C$630,0)),"",INDEX('Compliance Database'!$F$2:$F$630,MATCH(10,'Transfer Engine'!$C$2:$C$630,0)))</f>
        <v/>
      </c>
      <c r="G19">
        <f>IF(ISNA(MATCH(10,'Transfer Engine'!$C$2:$C$630,0)),"",INDEX('Compliance Database'!$G$2:$G$630,MATCH(10,'Transfer Engine'!$C$2:$C$630,0)))</f>
        <v/>
      </c>
      <c r="H19">
        <f>IF(ISNA(MATCH(10,'Transfer Engine'!$C$2:$C$630,0)),"",INDEX('Compliance Database'!$H$2:$H$630,MATCH(10,'Transfer Engine'!$C$2:$C$630,0)))</f>
        <v/>
      </c>
      <c r="I19" s="8">
        <f>IF(ISNA(MATCH(10,'Transfer Engine'!$C$2:$C$630,0)),"",INDEX('Compliance Database'!$I$2:$I$630,MATCH(10,'Transfer Engine'!$C$2:$C$630,0)))</f>
        <v/>
      </c>
      <c r="J19" s="8">
        <f>IF(ISNA(MATCH(10,'Transfer Engine'!$C$2:$C$630,0)),"",INDEX('Compliance Database'!$J$2:$J$630,MATCH(10,'Transfer Engine'!$C$2:$C$630,0)))</f>
        <v/>
      </c>
      <c r="K19">
        <f>IF(ISNA(MATCH(10,'Transfer Engine'!$C$2:$C$630,0)),"",INDEX('Compliance Database'!$K$2:$K$630,MATCH(10,'Transfer Engine'!$C$2:$C$630,0)))</f>
        <v/>
      </c>
      <c r="L19" s="8">
        <f>IF(ISNA(MATCH(10,'Transfer Engine'!$C$2:$C$630,0)),"",INDEX('Compliance Database'!$L$2:$L$630,MATCH(10,'Transfer Engine'!$C$2:$C$630,0)))</f>
        <v/>
      </c>
      <c r="M19" s="8">
        <f>IF(ISNA(MATCH(10,'Transfer Engine'!$C$2:$C$630,0)),"",INDEX('Compliance Database'!$M$2:$M$630,MATCH(10,'Transfer Engine'!$C$2:$C$630,0)))</f>
        <v/>
      </c>
      <c r="N19" s="8">
        <f>IF(ISNA(MATCH(10,'Transfer Engine'!$C$2:$C$630,0)),"",INDEX('Compliance Database'!$N$2:$N$630,MATCH(10,'Transfer Engine'!$C$2:$C$630,0)))</f>
        <v/>
      </c>
      <c r="O19" s="8">
        <f>IF(ISNA(MATCH(10,'Transfer Engine'!$C$2:$C$630,0)),"",INDEX('Compliance Database'!$O$2:$O$630,MATCH(10,'Transfer Engine'!$C$2:$C$630,0)))</f>
        <v/>
      </c>
    </row>
    <row r="20">
      <c r="A20">
        <f>IF(ISNA(MATCH(11,'Transfer Engine'!$C$2:$C$630,0)),"",INDEX('Compliance Database'!$A$2:$A$630,MATCH(11,'Transfer Engine'!$C$2:$C$630,0)))</f>
        <v/>
      </c>
      <c r="B20">
        <f>IF(ISNA(MATCH(11,'Transfer Engine'!$C$2:$C$630,0)),"",INDEX('Compliance Database'!$B$2:$B$630,MATCH(11,'Transfer Engine'!$C$2:$C$630,0)))</f>
        <v/>
      </c>
      <c r="C20">
        <f>IF(ISNA(MATCH(11,'Transfer Engine'!$C$2:$C$630,0)),"",INDEX('Compliance Database'!$C$2:$C$630,MATCH(11,'Transfer Engine'!$C$2:$C$630,0)))</f>
        <v/>
      </c>
      <c r="D20" s="8">
        <f>IF(ISNA(MATCH(11,'Transfer Engine'!$C$2:$C$630,0)),"",INDEX('Compliance Database'!$D$2:$D$630,MATCH(11,'Transfer Engine'!$C$2:$C$630,0)))</f>
        <v/>
      </c>
      <c r="E20">
        <f>IF(ISNA(MATCH(11,'Transfer Engine'!$C$2:$C$630,0)),"",INDEX('Compliance Database'!$E$2:$E$630,MATCH(11,'Transfer Engine'!$C$2:$C$630,0)))</f>
        <v/>
      </c>
      <c r="F20">
        <f>IF(ISNA(MATCH(11,'Transfer Engine'!$C$2:$C$630,0)),"",INDEX('Compliance Database'!$F$2:$F$630,MATCH(11,'Transfer Engine'!$C$2:$C$630,0)))</f>
        <v/>
      </c>
      <c r="G20">
        <f>IF(ISNA(MATCH(11,'Transfer Engine'!$C$2:$C$630,0)),"",INDEX('Compliance Database'!$G$2:$G$630,MATCH(11,'Transfer Engine'!$C$2:$C$630,0)))</f>
        <v/>
      </c>
      <c r="H20">
        <f>IF(ISNA(MATCH(11,'Transfer Engine'!$C$2:$C$630,0)),"",INDEX('Compliance Database'!$H$2:$H$630,MATCH(11,'Transfer Engine'!$C$2:$C$630,0)))</f>
        <v/>
      </c>
      <c r="I20" s="8">
        <f>IF(ISNA(MATCH(11,'Transfer Engine'!$C$2:$C$630,0)),"",INDEX('Compliance Database'!$I$2:$I$630,MATCH(11,'Transfer Engine'!$C$2:$C$630,0)))</f>
        <v/>
      </c>
      <c r="J20" s="8">
        <f>IF(ISNA(MATCH(11,'Transfer Engine'!$C$2:$C$630,0)),"",INDEX('Compliance Database'!$J$2:$J$630,MATCH(11,'Transfer Engine'!$C$2:$C$630,0)))</f>
        <v/>
      </c>
      <c r="K20">
        <f>IF(ISNA(MATCH(11,'Transfer Engine'!$C$2:$C$630,0)),"",INDEX('Compliance Database'!$K$2:$K$630,MATCH(11,'Transfer Engine'!$C$2:$C$630,0)))</f>
        <v/>
      </c>
      <c r="L20" s="8">
        <f>IF(ISNA(MATCH(11,'Transfer Engine'!$C$2:$C$630,0)),"",INDEX('Compliance Database'!$L$2:$L$630,MATCH(11,'Transfer Engine'!$C$2:$C$630,0)))</f>
        <v/>
      </c>
      <c r="M20" s="8">
        <f>IF(ISNA(MATCH(11,'Transfer Engine'!$C$2:$C$630,0)),"",INDEX('Compliance Database'!$M$2:$M$630,MATCH(11,'Transfer Engine'!$C$2:$C$630,0)))</f>
        <v/>
      </c>
      <c r="N20" s="8">
        <f>IF(ISNA(MATCH(11,'Transfer Engine'!$C$2:$C$630,0)),"",INDEX('Compliance Database'!$N$2:$N$630,MATCH(11,'Transfer Engine'!$C$2:$C$630,0)))</f>
        <v/>
      </c>
      <c r="O20" s="8">
        <f>IF(ISNA(MATCH(11,'Transfer Engine'!$C$2:$C$630,0)),"",INDEX('Compliance Database'!$O$2:$O$630,MATCH(11,'Transfer Engine'!$C$2:$C$630,0)))</f>
        <v/>
      </c>
    </row>
    <row r="21">
      <c r="A21">
        <f>IF(ISNA(MATCH(12,'Transfer Engine'!$C$2:$C$630,0)),"",INDEX('Compliance Database'!$A$2:$A$630,MATCH(12,'Transfer Engine'!$C$2:$C$630,0)))</f>
        <v/>
      </c>
      <c r="B21">
        <f>IF(ISNA(MATCH(12,'Transfer Engine'!$C$2:$C$630,0)),"",INDEX('Compliance Database'!$B$2:$B$630,MATCH(12,'Transfer Engine'!$C$2:$C$630,0)))</f>
        <v/>
      </c>
      <c r="C21">
        <f>IF(ISNA(MATCH(12,'Transfer Engine'!$C$2:$C$630,0)),"",INDEX('Compliance Database'!$C$2:$C$630,MATCH(12,'Transfer Engine'!$C$2:$C$630,0)))</f>
        <v/>
      </c>
      <c r="D21" s="8">
        <f>IF(ISNA(MATCH(12,'Transfer Engine'!$C$2:$C$630,0)),"",INDEX('Compliance Database'!$D$2:$D$630,MATCH(12,'Transfer Engine'!$C$2:$C$630,0)))</f>
        <v/>
      </c>
      <c r="E21">
        <f>IF(ISNA(MATCH(12,'Transfer Engine'!$C$2:$C$630,0)),"",INDEX('Compliance Database'!$E$2:$E$630,MATCH(12,'Transfer Engine'!$C$2:$C$630,0)))</f>
        <v/>
      </c>
      <c r="F21">
        <f>IF(ISNA(MATCH(12,'Transfer Engine'!$C$2:$C$630,0)),"",INDEX('Compliance Database'!$F$2:$F$630,MATCH(12,'Transfer Engine'!$C$2:$C$630,0)))</f>
        <v/>
      </c>
      <c r="G21">
        <f>IF(ISNA(MATCH(12,'Transfer Engine'!$C$2:$C$630,0)),"",INDEX('Compliance Database'!$G$2:$G$630,MATCH(12,'Transfer Engine'!$C$2:$C$630,0)))</f>
        <v/>
      </c>
      <c r="H21">
        <f>IF(ISNA(MATCH(12,'Transfer Engine'!$C$2:$C$630,0)),"",INDEX('Compliance Database'!$H$2:$H$630,MATCH(12,'Transfer Engine'!$C$2:$C$630,0)))</f>
        <v/>
      </c>
      <c r="I21" s="8">
        <f>IF(ISNA(MATCH(12,'Transfer Engine'!$C$2:$C$630,0)),"",INDEX('Compliance Database'!$I$2:$I$630,MATCH(12,'Transfer Engine'!$C$2:$C$630,0)))</f>
        <v/>
      </c>
      <c r="J21" s="8">
        <f>IF(ISNA(MATCH(12,'Transfer Engine'!$C$2:$C$630,0)),"",INDEX('Compliance Database'!$J$2:$J$630,MATCH(12,'Transfer Engine'!$C$2:$C$630,0)))</f>
        <v/>
      </c>
      <c r="K21">
        <f>IF(ISNA(MATCH(12,'Transfer Engine'!$C$2:$C$630,0)),"",INDEX('Compliance Database'!$K$2:$K$630,MATCH(12,'Transfer Engine'!$C$2:$C$630,0)))</f>
        <v/>
      </c>
      <c r="L21" s="8">
        <f>IF(ISNA(MATCH(12,'Transfer Engine'!$C$2:$C$630,0)),"",INDEX('Compliance Database'!$L$2:$L$630,MATCH(12,'Transfer Engine'!$C$2:$C$630,0)))</f>
        <v/>
      </c>
      <c r="M21" s="8">
        <f>IF(ISNA(MATCH(12,'Transfer Engine'!$C$2:$C$630,0)),"",INDEX('Compliance Database'!$M$2:$M$630,MATCH(12,'Transfer Engine'!$C$2:$C$630,0)))</f>
        <v/>
      </c>
      <c r="N21" s="8">
        <f>IF(ISNA(MATCH(12,'Transfer Engine'!$C$2:$C$630,0)),"",INDEX('Compliance Database'!$N$2:$N$630,MATCH(12,'Transfer Engine'!$C$2:$C$630,0)))</f>
        <v/>
      </c>
      <c r="O21" s="8">
        <f>IF(ISNA(MATCH(12,'Transfer Engine'!$C$2:$C$630,0)),"",INDEX('Compliance Database'!$O$2:$O$630,MATCH(12,'Transfer Engine'!$C$2:$C$630,0)))</f>
        <v/>
      </c>
    </row>
    <row r="22">
      <c r="A22">
        <f>IF(ISNA(MATCH(13,'Transfer Engine'!$C$2:$C$630,0)),"",INDEX('Compliance Database'!$A$2:$A$630,MATCH(13,'Transfer Engine'!$C$2:$C$630,0)))</f>
        <v/>
      </c>
      <c r="B22">
        <f>IF(ISNA(MATCH(13,'Transfer Engine'!$C$2:$C$630,0)),"",INDEX('Compliance Database'!$B$2:$B$630,MATCH(13,'Transfer Engine'!$C$2:$C$630,0)))</f>
        <v/>
      </c>
      <c r="C22">
        <f>IF(ISNA(MATCH(13,'Transfer Engine'!$C$2:$C$630,0)),"",INDEX('Compliance Database'!$C$2:$C$630,MATCH(13,'Transfer Engine'!$C$2:$C$630,0)))</f>
        <v/>
      </c>
      <c r="D22" s="8">
        <f>IF(ISNA(MATCH(13,'Transfer Engine'!$C$2:$C$630,0)),"",INDEX('Compliance Database'!$D$2:$D$630,MATCH(13,'Transfer Engine'!$C$2:$C$630,0)))</f>
        <v/>
      </c>
      <c r="E22">
        <f>IF(ISNA(MATCH(13,'Transfer Engine'!$C$2:$C$630,0)),"",INDEX('Compliance Database'!$E$2:$E$630,MATCH(13,'Transfer Engine'!$C$2:$C$630,0)))</f>
        <v/>
      </c>
      <c r="F22">
        <f>IF(ISNA(MATCH(13,'Transfer Engine'!$C$2:$C$630,0)),"",INDEX('Compliance Database'!$F$2:$F$630,MATCH(13,'Transfer Engine'!$C$2:$C$630,0)))</f>
        <v/>
      </c>
      <c r="G22">
        <f>IF(ISNA(MATCH(13,'Transfer Engine'!$C$2:$C$630,0)),"",INDEX('Compliance Database'!$G$2:$G$630,MATCH(13,'Transfer Engine'!$C$2:$C$630,0)))</f>
        <v/>
      </c>
      <c r="H22">
        <f>IF(ISNA(MATCH(13,'Transfer Engine'!$C$2:$C$630,0)),"",INDEX('Compliance Database'!$H$2:$H$630,MATCH(13,'Transfer Engine'!$C$2:$C$630,0)))</f>
        <v/>
      </c>
      <c r="I22" s="8">
        <f>IF(ISNA(MATCH(13,'Transfer Engine'!$C$2:$C$630,0)),"",INDEX('Compliance Database'!$I$2:$I$630,MATCH(13,'Transfer Engine'!$C$2:$C$630,0)))</f>
        <v/>
      </c>
      <c r="J22" s="8">
        <f>IF(ISNA(MATCH(13,'Transfer Engine'!$C$2:$C$630,0)),"",INDEX('Compliance Database'!$J$2:$J$630,MATCH(13,'Transfer Engine'!$C$2:$C$630,0)))</f>
        <v/>
      </c>
      <c r="K22">
        <f>IF(ISNA(MATCH(13,'Transfer Engine'!$C$2:$C$630,0)),"",INDEX('Compliance Database'!$K$2:$K$630,MATCH(13,'Transfer Engine'!$C$2:$C$630,0)))</f>
        <v/>
      </c>
      <c r="L22" s="8">
        <f>IF(ISNA(MATCH(13,'Transfer Engine'!$C$2:$C$630,0)),"",INDEX('Compliance Database'!$L$2:$L$630,MATCH(13,'Transfer Engine'!$C$2:$C$630,0)))</f>
        <v/>
      </c>
      <c r="M22" s="8">
        <f>IF(ISNA(MATCH(13,'Transfer Engine'!$C$2:$C$630,0)),"",INDEX('Compliance Database'!$M$2:$M$630,MATCH(13,'Transfer Engine'!$C$2:$C$630,0)))</f>
        <v/>
      </c>
      <c r="N22" s="8">
        <f>IF(ISNA(MATCH(13,'Transfer Engine'!$C$2:$C$630,0)),"",INDEX('Compliance Database'!$N$2:$N$630,MATCH(13,'Transfer Engine'!$C$2:$C$630,0)))</f>
        <v/>
      </c>
      <c r="O22" s="8">
        <f>IF(ISNA(MATCH(13,'Transfer Engine'!$C$2:$C$630,0)),"",INDEX('Compliance Database'!$O$2:$O$630,MATCH(13,'Transfer Engine'!$C$2:$C$630,0)))</f>
        <v/>
      </c>
    </row>
    <row r="23">
      <c r="A23">
        <f>IF(ISNA(MATCH(14,'Transfer Engine'!$C$2:$C$630,0)),"",INDEX('Compliance Database'!$A$2:$A$630,MATCH(14,'Transfer Engine'!$C$2:$C$630,0)))</f>
        <v/>
      </c>
      <c r="B23">
        <f>IF(ISNA(MATCH(14,'Transfer Engine'!$C$2:$C$630,0)),"",INDEX('Compliance Database'!$B$2:$B$630,MATCH(14,'Transfer Engine'!$C$2:$C$630,0)))</f>
        <v/>
      </c>
      <c r="C23">
        <f>IF(ISNA(MATCH(14,'Transfer Engine'!$C$2:$C$630,0)),"",INDEX('Compliance Database'!$C$2:$C$630,MATCH(14,'Transfer Engine'!$C$2:$C$630,0)))</f>
        <v/>
      </c>
      <c r="D23" s="8">
        <f>IF(ISNA(MATCH(14,'Transfer Engine'!$C$2:$C$630,0)),"",INDEX('Compliance Database'!$D$2:$D$630,MATCH(14,'Transfer Engine'!$C$2:$C$630,0)))</f>
        <v/>
      </c>
      <c r="E23">
        <f>IF(ISNA(MATCH(14,'Transfer Engine'!$C$2:$C$630,0)),"",INDEX('Compliance Database'!$E$2:$E$630,MATCH(14,'Transfer Engine'!$C$2:$C$630,0)))</f>
        <v/>
      </c>
      <c r="F23">
        <f>IF(ISNA(MATCH(14,'Transfer Engine'!$C$2:$C$630,0)),"",INDEX('Compliance Database'!$F$2:$F$630,MATCH(14,'Transfer Engine'!$C$2:$C$630,0)))</f>
        <v/>
      </c>
      <c r="G23">
        <f>IF(ISNA(MATCH(14,'Transfer Engine'!$C$2:$C$630,0)),"",INDEX('Compliance Database'!$G$2:$G$630,MATCH(14,'Transfer Engine'!$C$2:$C$630,0)))</f>
        <v/>
      </c>
      <c r="H23">
        <f>IF(ISNA(MATCH(14,'Transfer Engine'!$C$2:$C$630,0)),"",INDEX('Compliance Database'!$H$2:$H$630,MATCH(14,'Transfer Engine'!$C$2:$C$630,0)))</f>
        <v/>
      </c>
      <c r="I23" s="8">
        <f>IF(ISNA(MATCH(14,'Transfer Engine'!$C$2:$C$630,0)),"",INDEX('Compliance Database'!$I$2:$I$630,MATCH(14,'Transfer Engine'!$C$2:$C$630,0)))</f>
        <v/>
      </c>
      <c r="J23" s="8">
        <f>IF(ISNA(MATCH(14,'Transfer Engine'!$C$2:$C$630,0)),"",INDEX('Compliance Database'!$J$2:$J$630,MATCH(14,'Transfer Engine'!$C$2:$C$630,0)))</f>
        <v/>
      </c>
      <c r="K23">
        <f>IF(ISNA(MATCH(14,'Transfer Engine'!$C$2:$C$630,0)),"",INDEX('Compliance Database'!$K$2:$K$630,MATCH(14,'Transfer Engine'!$C$2:$C$630,0)))</f>
        <v/>
      </c>
      <c r="L23" s="8">
        <f>IF(ISNA(MATCH(14,'Transfer Engine'!$C$2:$C$630,0)),"",INDEX('Compliance Database'!$L$2:$L$630,MATCH(14,'Transfer Engine'!$C$2:$C$630,0)))</f>
        <v/>
      </c>
      <c r="M23" s="8">
        <f>IF(ISNA(MATCH(14,'Transfer Engine'!$C$2:$C$630,0)),"",INDEX('Compliance Database'!$M$2:$M$630,MATCH(14,'Transfer Engine'!$C$2:$C$630,0)))</f>
        <v/>
      </c>
      <c r="N23" s="8">
        <f>IF(ISNA(MATCH(14,'Transfer Engine'!$C$2:$C$630,0)),"",INDEX('Compliance Database'!$N$2:$N$630,MATCH(14,'Transfer Engine'!$C$2:$C$630,0)))</f>
        <v/>
      </c>
      <c r="O23" s="8">
        <f>IF(ISNA(MATCH(14,'Transfer Engine'!$C$2:$C$630,0)),"",INDEX('Compliance Database'!$O$2:$O$630,MATCH(14,'Transfer Engine'!$C$2:$C$630,0)))</f>
        <v/>
      </c>
    </row>
    <row r="24">
      <c r="A24">
        <f>IF(ISNA(MATCH(15,'Transfer Engine'!$C$2:$C$630,0)),"",INDEX('Compliance Database'!$A$2:$A$630,MATCH(15,'Transfer Engine'!$C$2:$C$630,0)))</f>
        <v/>
      </c>
      <c r="B24">
        <f>IF(ISNA(MATCH(15,'Transfer Engine'!$C$2:$C$630,0)),"",INDEX('Compliance Database'!$B$2:$B$630,MATCH(15,'Transfer Engine'!$C$2:$C$630,0)))</f>
        <v/>
      </c>
      <c r="C24">
        <f>IF(ISNA(MATCH(15,'Transfer Engine'!$C$2:$C$630,0)),"",INDEX('Compliance Database'!$C$2:$C$630,MATCH(15,'Transfer Engine'!$C$2:$C$630,0)))</f>
        <v/>
      </c>
      <c r="D24" s="8">
        <f>IF(ISNA(MATCH(15,'Transfer Engine'!$C$2:$C$630,0)),"",INDEX('Compliance Database'!$D$2:$D$630,MATCH(15,'Transfer Engine'!$C$2:$C$630,0)))</f>
        <v/>
      </c>
      <c r="E24">
        <f>IF(ISNA(MATCH(15,'Transfer Engine'!$C$2:$C$630,0)),"",INDEX('Compliance Database'!$E$2:$E$630,MATCH(15,'Transfer Engine'!$C$2:$C$630,0)))</f>
        <v/>
      </c>
      <c r="F24">
        <f>IF(ISNA(MATCH(15,'Transfer Engine'!$C$2:$C$630,0)),"",INDEX('Compliance Database'!$F$2:$F$630,MATCH(15,'Transfer Engine'!$C$2:$C$630,0)))</f>
        <v/>
      </c>
      <c r="G24">
        <f>IF(ISNA(MATCH(15,'Transfer Engine'!$C$2:$C$630,0)),"",INDEX('Compliance Database'!$G$2:$G$630,MATCH(15,'Transfer Engine'!$C$2:$C$630,0)))</f>
        <v/>
      </c>
      <c r="H24">
        <f>IF(ISNA(MATCH(15,'Transfer Engine'!$C$2:$C$630,0)),"",INDEX('Compliance Database'!$H$2:$H$630,MATCH(15,'Transfer Engine'!$C$2:$C$630,0)))</f>
        <v/>
      </c>
      <c r="I24" s="8">
        <f>IF(ISNA(MATCH(15,'Transfer Engine'!$C$2:$C$630,0)),"",INDEX('Compliance Database'!$I$2:$I$630,MATCH(15,'Transfer Engine'!$C$2:$C$630,0)))</f>
        <v/>
      </c>
      <c r="J24" s="8">
        <f>IF(ISNA(MATCH(15,'Transfer Engine'!$C$2:$C$630,0)),"",INDEX('Compliance Database'!$J$2:$J$630,MATCH(15,'Transfer Engine'!$C$2:$C$630,0)))</f>
        <v/>
      </c>
      <c r="K24">
        <f>IF(ISNA(MATCH(15,'Transfer Engine'!$C$2:$C$630,0)),"",INDEX('Compliance Database'!$K$2:$K$630,MATCH(15,'Transfer Engine'!$C$2:$C$630,0)))</f>
        <v/>
      </c>
      <c r="L24" s="8">
        <f>IF(ISNA(MATCH(15,'Transfer Engine'!$C$2:$C$630,0)),"",INDEX('Compliance Database'!$L$2:$L$630,MATCH(15,'Transfer Engine'!$C$2:$C$630,0)))</f>
        <v/>
      </c>
      <c r="M24" s="8">
        <f>IF(ISNA(MATCH(15,'Transfer Engine'!$C$2:$C$630,0)),"",INDEX('Compliance Database'!$M$2:$M$630,MATCH(15,'Transfer Engine'!$C$2:$C$630,0)))</f>
        <v/>
      </c>
      <c r="N24" s="8">
        <f>IF(ISNA(MATCH(15,'Transfer Engine'!$C$2:$C$630,0)),"",INDEX('Compliance Database'!$N$2:$N$630,MATCH(15,'Transfer Engine'!$C$2:$C$630,0)))</f>
        <v/>
      </c>
      <c r="O24" s="8">
        <f>IF(ISNA(MATCH(15,'Transfer Engine'!$C$2:$C$630,0)),"",INDEX('Compliance Database'!$O$2:$O$630,MATCH(15,'Transfer Engine'!$C$2:$C$630,0)))</f>
        <v/>
      </c>
    </row>
    <row r="25">
      <c r="A25">
        <f>IF(ISNA(MATCH(16,'Transfer Engine'!$C$2:$C$630,0)),"",INDEX('Compliance Database'!$A$2:$A$630,MATCH(16,'Transfer Engine'!$C$2:$C$630,0)))</f>
        <v/>
      </c>
      <c r="B25">
        <f>IF(ISNA(MATCH(16,'Transfer Engine'!$C$2:$C$630,0)),"",INDEX('Compliance Database'!$B$2:$B$630,MATCH(16,'Transfer Engine'!$C$2:$C$630,0)))</f>
        <v/>
      </c>
      <c r="C25">
        <f>IF(ISNA(MATCH(16,'Transfer Engine'!$C$2:$C$630,0)),"",INDEX('Compliance Database'!$C$2:$C$630,MATCH(16,'Transfer Engine'!$C$2:$C$630,0)))</f>
        <v/>
      </c>
      <c r="D25" s="8">
        <f>IF(ISNA(MATCH(16,'Transfer Engine'!$C$2:$C$630,0)),"",INDEX('Compliance Database'!$D$2:$D$630,MATCH(16,'Transfer Engine'!$C$2:$C$630,0)))</f>
        <v/>
      </c>
      <c r="E25">
        <f>IF(ISNA(MATCH(16,'Transfer Engine'!$C$2:$C$630,0)),"",INDEX('Compliance Database'!$E$2:$E$630,MATCH(16,'Transfer Engine'!$C$2:$C$630,0)))</f>
        <v/>
      </c>
      <c r="F25">
        <f>IF(ISNA(MATCH(16,'Transfer Engine'!$C$2:$C$630,0)),"",INDEX('Compliance Database'!$F$2:$F$630,MATCH(16,'Transfer Engine'!$C$2:$C$630,0)))</f>
        <v/>
      </c>
      <c r="G25">
        <f>IF(ISNA(MATCH(16,'Transfer Engine'!$C$2:$C$630,0)),"",INDEX('Compliance Database'!$G$2:$G$630,MATCH(16,'Transfer Engine'!$C$2:$C$630,0)))</f>
        <v/>
      </c>
      <c r="H25">
        <f>IF(ISNA(MATCH(16,'Transfer Engine'!$C$2:$C$630,0)),"",INDEX('Compliance Database'!$H$2:$H$630,MATCH(16,'Transfer Engine'!$C$2:$C$630,0)))</f>
        <v/>
      </c>
      <c r="I25" s="8">
        <f>IF(ISNA(MATCH(16,'Transfer Engine'!$C$2:$C$630,0)),"",INDEX('Compliance Database'!$I$2:$I$630,MATCH(16,'Transfer Engine'!$C$2:$C$630,0)))</f>
        <v/>
      </c>
      <c r="J25" s="8">
        <f>IF(ISNA(MATCH(16,'Transfer Engine'!$C$2:$C$630,0)),"",INDEX('Compliance Database'!$J$2:$J$630,MATCH(16,'Transfer Engine'!$C$2:$C$630,0)))</f>
        <v/>
      </c>
      <c r="K25">
        <f>IF(ISNA(MATCH(16,'Transfer Engine'!$C$2:$C$630,0)),"",INDEX('Compliance Database'!$K$2:$K$630,MATCH(16,'Transfer Engine'!$C$2:$C$630,0)))</f>
        <v/>
      </c>
      <c r="L25" s="8">
        <f>IF(ISNA(MATCH(16,'Transfer Engine'!$C$2:$C$630,0)),"",INDEX('Compliance Database'!$L$2:$L$630,MATCH(16,'Transfer Engine'!$C$2:$C$630,0)))</f>
        <v/>
      </c>
      <c r="M25" s="8">
        <f>IF(ISNA(MATCH(16,'Transfer Engine'!$C$2:$C$630,0)),"",INDEX('Compliance Database'!$M$2:$M$630,MATCH(16,'Transfer Engine'!$C$2:$C$630,0)))</f>
        <v/>
      </c>
      <c r="N25" s="8">
        <f>IF(ISNA(MATCH(16,'Transfer Engine'!$C$2:$C$630,0)),"",INDEX('Compliance Database'!$N$2:$N$630,MATCH(16,'Transfer Engine'!$C$2:$C$630,0)))</f>
        <v/>
      </c>
      <c r="O25" s="8">
        <f>IF(ISNA(MATCH(16,'Transfer Engine'!$C$2:$C$630,0)),"",INDEX('Compliance Database'!$O$2:$O$630,MATCH(16,'Transfer Engine'!$C$2:$C$630,0)))</f>
        <v/>
      </c>
    </row>
    <row r="26">
      <c r="A26">
        <f>IF(ISNA(MATCH(17,'Transfer Engine'!$C$2:$C$630,0)),"",INDEX('Compliance Database'!$A$2:$A$630,MATCH(17,'Transfer Engine'!$C$2:$C$630,0)))</f>
        <v/>
      </c>
      <c r="B26">
        <f>IF(ISNA(MATCH(17,'Transfer Engine'!$C$2:$C$630,0)),"",INDEX('Compliance Database'!$B$2:$B$630,MATCH(17,'Transfer Engine'!$C$2:$C$630,0)))</f>
        <v/>
      </c>
      <c r="C26">
        <f>IF(ISNA(MATCH(17,'Transfer Engine'!$C$2:$C$630,0)),"",INDEX('Compliance Database'!$C$2:$C$630,MATCH(17,'Transfer Engine'!$C$2:$C$630,0)))</f>
        <v/>
      </c>
      <c r="D26" s="8">
        <f>IF(ISNA(MATCH(17,'Transfer Engine'!$C$2:$C$630,0)),"",INDEX('Compliance Database'!$D$2:$D$630,MATCH(17,'Transfer Engine'!$C$2:$C$630,0)))</f>
        <v/>
      </c>
      <c r="E26">
        <f>IF(ISNA(MATCH(17,'Transfer Engine'!$C$2:$C$630,0)),"",INDEX('Compliance Database'!$E$2:$E$630,MATCH(17,'Transfer Engine'!$C$2:$C$630,0)))</f>
        <v/>
      </c>
      <c r="F26">
        <f>IF(ISNA(MATCH(17,'Transfer Engine'!$C$2:$C$630,0)),"",INDEX('Compliance Database'!$F$2:$F$630,MATCH(17,'Transfer Engine'!$C$2:$C$630,0)))</f>
        <v/>
      </c>
      <c r="G26">
        <f>IF(ISNA(MATCH(17,'Transfer Engine'!$C$2:$C$630,0)),"",INDEX('Compliance Database'!$G$2:$G$630,MATCH(17,'Transfer Engine'!$C$2:$C$630,0)))</f>
        <v/>
      </c>
      <c r="H26">
        <f>IF(ISNA(MATCH(17,'Transfer Engine'!$C$2:$C$630,0)),"",INDEX('Compliance Database'!$H$2:$H$630,MATCH(17,'Transfer Engine'!$C$2:$C$630,0)))</f>
        <v/>
      </c>
      <c r="I26" s="8">
        <f>IF(ISNA(MATCH(17,'Transfer Engine'!$C$2:$C$630,0)),"",INDEX('Compliance Database'!$I$2:$I$630,MATCH(17,'Transfer Engine'!$C$2:$C$630,0)))</f>
        <v/>
      </c>
      <c r="J26" s="8">
        <f>IF(ISNA(MATCH(17,'Transfer Engine'!$C$2:$C$630,0)),"",INDEX('Compliance Database'!$J$2:$J$630,MATCH(17,'Transfer Engine'!$C$2:$C$630,0)))</f>
        <v/>
      </c>
      <c r="K26">
        <f>IF(ISNA(MATCH(17,'Transfer Engine'!$C$2:$C$630,0)),"",INDEX('Compliance Database'!$K$2:$K$630,MATCH(17,'Transfer Engine'!$C$2:$C$630,0)))</f>
        <v/>
      </c>
      <c r="L26" s="8">
        <f>IF(ISNA(MATCH(17,'Transfer Engine'!$C$2:$C$630,0)),"",INDEX('Compliance Database'!$L$2:$L$630,MATCH(17,'Transfer Engine'!$C$2:$C$630,0)))</f>
        <v/>
      </c>
      <c r="M26" s="8">
        <f>IF(ISNA(MATCH(17,'Transfer Engine'!$C$2:$C$630,0)),"",INDEX('Compliance Database'!$M$2:$M$630,MATCH(17,'Transfer Engine'!$C$2:$C$630,0)))</f>
        <v/>
      </c>
      <c r="N26" s="8">
        <f>IF(ISNA(MATCH(17,'Transfer Engine'!$C$2:$C$630,0)),"",INDEX('Compliance Database'!$N$2:$N$630,MATCH(17,'Transfer Engine'!$C$2:$C$630,0)))</f>
        <v/>
      </c>
      <c r="O26" s="8">
        <f>IF(ISNA(MATCH(17,'Transfer Engine'!$C$2:$C$630,0)),"",INDEX('Compliance Database'!$O$2:$O$630,MATCH(17,'Transfer Engine'!$C$2:$C$630,0)))</f>
        <v/>
      </c>
    </row>
    <row r="27">
      <c r="A27">
        <f>IF(ISNA(MATCH(18,'Transfer Engine'!$C$2:$C$630,0)),"",INDEX('Compliance Database'!$A$2:$A$630,MATCH(18,'Transfer Engine'!$C$2:$C$630,0)))</f>
        <v/>
      </c>
      <c r="B27">
        <f>IF(ISNA(MATCH(18,'Transfer Engine'!$C$2:$C$630,0)),"",INDEX('Compliance Database'!$B$2:$B$630,MATCH(18,'Transfer Engine'!$C$2:$C$630,0)))</f>
        <v/>
      </c>
      <c r="C27">
        <f>IF(ISNA(MATCH(18,'Transfer Engine'!$C$2:$C$630,0)),"",INDEX('Compliance Database'!$C$2:$C$630,MATCH(18,'Transfer Engine'!$C$2:$C$630,0)))</f>
        <v/>
      </c>
      <c r="D27" s="8">
        <f>IF(ISNA(MATCH(18,'Transfer Engine'!$C$2:$C$630,0)),"",INDEX('Compliance Database'!$D$2:$D$630,MATCH(18,'Transfer Engine'!$C$2:$C$630,0)))</f>
        <v/>
      </c>
      <c r="E27">
        <f>IF(ISNA(MATCH(18,'Transfer Engine'!$C$2:$C$630,0)),"",INDEX('Compliance Database'!$E$2:$E$630,MATCH(18,'Transfer Engine'!$C$2:$C$630,0)))</f>
        <v/>
      </c>
      <c r="F27">
        <f>IF(ISNA(MATCH(18,'Transfer Engine'!$C$2:$C$630,0)),"",INDEX('Compliance Database'!$F$2:$F$630,MATCH(18,'Transfer Engine'!$C$2:$C$630,0)))</f>
        <v/>
      </c>
      <c r="G27">
        <f>IF(ISNA(MATCH(18,'Transfer Engine'!$C$2:$C$630,0)),"",INDEX('Compliance Database'!$G$2:$G$630,MATCH(18,'Transfer Engine'!$C$2:$C$630,0)))</f>
        <v/>
      </c>
      <c r="H27">
        <f>IF(ISNA(MATCH(18,'Transfer Engine'!$C$2:$C$630,0)),"",INDEX('Compliance Database'!$H$2:$H$630,MATCH(18,'Transfer Engine'!$C$2:$C$630,0)))</f>
        <v/>
      </c>
      <c r="I27" s="8">
        <f>IF(ISNA(MATCH(18,'Transfer Engine'!$C$2:$C$630,0)),"",INDEX('Compliance Database'!$I$2:$I$630,MATCH(18,'Transfer Engine'!$C$2:$C$630,0)))</f>
        <v/>
      </c>
      <c r="J27" s="8">
        <f>IF(ISNA(MATCH(18,'Transfer Engine'!$C$2:$C$630,0)),"",INDEX('Compliance Database'!$J$2:$J$630,MATCH(18,'Transfer Engine'!$C$2:$C$630,0)))</f>
        <v/>
      </c>
      <c r="K27">
        <f>IF(ISNA(MATCH(18,'Transfer Engine'!$C$2:$C$630,0)),"",INDEX('Compliance Database'!$K$2:$K$630,MATCH(18,'Transfer Engine'!$C$2:$C$630,0)))</f>
        <v/>
      </c>
      <c r="L27" s="8">
        <f>IF(ISNA(MATCH(18,'Transfer Engine'!$C$2:$C$630,0)),"",INDEX('Compliance Database'!$L$2:$L$630,MATCH(18,'Transfer Engine'!$C$2:$C$630,0)))</f>
        <v/>
      </c>
      <c r="M27" s="8">
        <f>IF(ISNA(MATCH(18,'Transfer Engine'!$C$2:$C$630,0)),"",INDEX('Compliance Database'!$M$2:$M$630,MATCH(18,'Transfer Engine'!$C$2:$C$630,0)))</f>
        <v/>
      </c>
      <c r="N27" s="8">
        <f>IF(ISNA(MATCH(18,'Transfer Engine'!$C$2:$C$630,0)),"",INDEX('Compliance Database'!$N$2:$N$630,MATCH(18,'Transfer Engine'!$C$2:$C$630,0)))</f>
        <v/>
      </c>
      <c r="O27" s="8">
        <f>IF(ISNA(MATCH(18,'Transfer Engine'!$C$2:$C$630,0)),"",INDEX('Compliance Database'!$O$2:$O$630,MATCH(18,'Transfer Engine'!$C$2:$C$630,0)))</f>
        <v/>
      </c>
    </row>
    <row r="28">
      <c r="A28">
        <f>IF(ISNA(MATCH(19,'Transfer Engine'!$C$2:$C$630,0)),"",INDEX('Compliance Database'!$A$2:$A$630,MATCH(19,'Transfer Engine'!$C$2:$C$630,0)))</f>
        <v/>
      </c>
      <c r="B28">
        <f>IF(ISNA(MATCH(19,'Transfer Engine'!$C$2:$C$630,0)),"",INDEX('Compliance Database'!$B$2:$B$630,MATCH(19,'Transfer Engine'!$C$2:$C$630,0)))</f>
        <v/>
      </c>
      <c r="C28">
        <f>IF(ISNA(MATCH(19,'Transfer Engine'!$C$2:$C$630,0)),"",INDEX('Compliance Database'!$C$2:$C$630,MATCH(19,'Transfer Engine'!$C$2:$C$630,0)))</f>
        <v/>
      </c>
      <c r="D28" s="8">
        <f>IF(ISNA(MATCH(19,'Transfer Engine'!$C$2:$C$630,0)),"",INDEX('Compliance Database'!$D$2:$D$630,MATCH(19,'Transfer Engine'!$C$2:$C$630,0)))</f>
        <v/>
      </c>
      <c r="E28">
        <f>IF(ISNA(MATCH(19,'Transfer Engine'!$C$2:$C$630,0)),"",INDEX('Compliance Database'!$E$2:$E$630,MATCH(19,'Transfer Engine'!$C$2:$C$630,0)))</f>
        <v/>
      </c>
      <c r="F28">
        <f>IF(ISNA(MATCH(19,'Transfer Engine'!$C$2:$C$630,0)),"",INDEX('Compliance Database'!$F$2:$F$630,MATCH(19,'Transfer Engine'!$C$2:$C$630,0)))</f>
        <v/>
      </c>
      <c r="G28">
        <f>IF(ISNA(MATCH(19,'Transfer Engine'!$C$2:$C$630,0)),"",INDEX('Compliance Database'!$G$2:$G$630,MATCH(19,'Transfer Engine'!$C$2:$C$630,0)))</f>
        <v/>
      </c>
      <c r="H28">
        <f>IF(ISNA(MATCH(19,'Transfer Engine'!$C$2:$C$630,0)),"",INDEX('Compliance Database'!$H$2:$H$630,MATCH(19,'Transfer Engine'!$C$2:$C$630,0)))</f>
        <v/>
      </c>
      <c r="I28" s="8">
        <f>IF(ISNA(MATCH(19,'Transfer Engine'!$C$2:$C$630,0)),"",INDEX('Compliance Database'!$I$2:$I$630,MATCH(19,'Transfer Engine'!$C$2:$C$630,0)))</f>
        <v/>
      </c>
      <c r="J28" s="8">
        <f>IF(ISNA(MATCH(19,'Transfer Engine'!$C$2:$C$630,0)),"",INDEX('Compliance Database'!$J$2:$J$630,MATCH(19,'Transfer Engine'!$C$2:$C$630,0)))</f>
        <v/>
      </c>
      <c r="K28">
        <f>IF(ISNA(MATCH(19,'Transfer Engine'!$C$2:$C$630,0)),"",INDEX('Compliance Database'!$K$2:$K$630,MATCH(19,'Transfer Engine'!$C$2:$C$630,0)))</f>
        <v/>
      </c>
      <c r="L28" s="8">
        <f>IF(ISNA(MATCH(19,'Transfer Engine'!$C$2:$C$630,0)),"",INDEX('Compliance Database'!$L$2:$L$630,MATCH(19,'Transfer Engine'!$C$2:$C$630,0)))</f>
        <v/>
      </c>
      <c r="M28" s="8">
        <f>IF(ISNA(MATCH(19,'Transfer Engine'!$C$2:$C$630,0)),"",INDEX('Compliance Database'!$M$2:$M$630,MATCH(19,'Transfer Engine'!$C$2:$C$630,0)))</f>
        <v/>
      </c>
      <c r="N28" s="8">
        <f>IF(ISNA(MATCH(19,'Transfer Engine'!$C$2:$C$630,0)),"",INDEX('Compliance Database'!$N$2:$N$630,MATCH(19,'Transfer Engine'!$C$2:$C$630,0)))</f>
        <v/>
      </c>
      <c r="O28" s="8">
        <f>IF(ISNA(MATCH(19,'Transfer Engine'!$C$2:$C$630,0)),"",INDEX('Compliance Database'!$O$2:$O$630,MATCH(19,'Transfer Engine'!$C$2:$C$630,0)))</f>
        <v/>
      </c>
    </row>
    <row r="29">
      <c r="A29">
        <f>IF(ISNA(MATCH(20,'Transfer Engine'!$C$2:$C$630,0)),"",INDEX('Compliance Database'!$A$2:$A$630,MATCH(20,'Transfer Engine'!$C$2:$C$630,0)))</f>
        <v/>
      </c>
      <c r="B29">
        <f>IF(ISNA(MATCH(20,'Transfer Engine'!$C$2:$C$630,0)),"",INDEX('Compliance Database'!$B$2:$B$630,MATCH(20,'Transfer Engine'!$C$2:$C$630,0)))</f>
        <v/>
      </c>
      <c r="C29">
        <f>IF(ISNA(MATCH(20,'Transfer Engine'!$C$2:$C$630,0)),"",INDEX('Compliance Database'!$C$2:$C$630,MATCH(20,'Transfer Engine'!$C$2:$C$630,0)))</f>
        <v/>
      </c>
      <c r="D29" s="8">
        <f>IF(ISNA(MATCH(20,'Transfer Engine'!$C$2:$C$630,0)),"",INDEX('Compliance Database'!$D$2:$D$630,MATCH(20,'Transfer Engine'!$C$2:$C$630,0)))</f>
        <v/>
      </c>
      <c r="E29">
        <f>IF(ISNA(MATCH(20,'Transfer Engine'!$C$2:$C$630,0)),"",INDEX('Compliance Database'!$E$2:$E$630,MATCH(20,'Transfer Engine'!$C$2:$C$630,0)))</f>
        <v/>
      </c>
      <c r="F29">
        <f>IF(ISNA(MATCH(20,'Transfer Engine'!$C$2:$C$630,0)),"",INDEX('Compliance Database'!$F$2:$F$630,MATCH(20,'Transfer Engine'!$C$2:$C$630,0)))</f>
        <v/>
      </c>
      <c r="G29">
        <f>IF(ISNA(MATCH(20,'Transfer Engine'!$C$2:$C$630,0)),"",INDEX('Compliance Database'!$G$2:$G$630,MATCH(20,'Transfer Engine'!$C$2:$C$630,0)))</f>
        <v/>
      </c>
      <c r="H29">
        <f>IF(ISNA(MATCH(20,'Transfer Engine'!$C$2:$C$630,0)),"",INDEX('Compliance Database'!$H$2:$H$630,MATCH(20,'Transfer Engine'!$C$2:$C$630,0)))</f>
        <v/>
      </c>
      <c r="I29" s="8">
        <f>IF(ISNA(MATCH(20,'Transfer Engine'!$C$2:$C$630,0)),"",INDEX('Compliance Database'!$I$2:$I$630,MATCH(20,'Transfer Engine'!$C$2:$C$630,0)))</f>
        <v/>
      </c>
      <c r="J29" s="8">
        <f>IF(ISNA(MATCH(20,'Transfer Engine'!$C$2:$C$630,0)),"",INDEX('Compliance Database'!$J$2:$J$630,MATCH(20,'Transfer Engine'!$C$2:$C$630,0)))</f>
        <v/>
      </c>
      <c r="K29">
        <f>IF(ISNA(MATCH(20,'Transfer Engine'!$C$2:$C$630,0)),"",INDEX('Compliance Database'!$K$2:$K$630,MATCH(20,'Transfer Engine'!$C$2:$C$630,0)))</f>
        <v/>
      </c>
      <c r="L29" s="8">
        <f>IF(ISNA(MATCH(20,'Transfer Engine'!$C$2:$C$630,0)),"",INDEX('Compliance Database'!$L$2:$L$630,MATCH(20,'Transfer Engine'!$C$2:$C$630,0)))</f>
        <v/>
      </c>
      <c r="M29" s="8">
        <f>IF(ISNA(MATCH(20,'Transfer Engine'!$C$2:$C$630,0)),"",INDEX('Compliance Database'!$M$2:$M$630,MATCH(20,'Transfer Engine'!$C$2:$C$630,0)))</f>
        <v/>
      </c>
      <c r="N29" s="8">
        <f>IF(ISNA(MATCH(20,'Transfer Engine'!$C$2:$C$630,0)),"",INDEX('Compliance Database'!$N$2:$N$630,MATCH(20,'Transfer Engine'!$C$2:$C$630,0)))</f>
        <v/>
      </c>
      <c r="O29" s="8">
        <f>IF(ISNA(MATCH(20,'Transfer Engine'!$C$2:$C$630,0)),"",INDEX('Compliance Database'!$O$2:$O$630,MATCH(20,'Transfer Engine'!$C$2:$C$630,0)))</f>
        <v/>
      </c>
    </row>
    <row r="30">
      <c r="A30">
        <f>IF(ISNA(MATCH(21,'Transfer Engine'!$C$2:$C$630,0)),"",INDEX('Compliance Database'!$A$2:$A$630,MATCH(21,'Transfer Engine'!$C$2:$C$630,0)))</f>
        <v/>
      </c>
      <c r="B30">
        <f>IF(ISNA(MATCH(21,'Transfer Engine'!$C$2:$C$630,0)),"",INDEX('Compliance Database'!$B$2:$B$630,MATCH(21,'Transfer Engine'!$C$2:$C$630,0)))</f>
        <v/>
      </c>
      <c r="C30">
        <f>IF(ISNA(MATCH(21,'Transfer Engine'!$C$2:$C$630,0)),"",INDEX('Compliance Database'!$C$2:$C$630,MATCH(21,'Transfer Engine'!$C$2:$C$630,0)))</f>
        <v/>
      </c>
      <c r="D30" s="8">
        <f>IF(ISNA(MATCH(21,'Transfer Engine'!$C$2:$C$630,0)),"",INDEX('Compliance Database'!$D$2:$D$630,MATCH(21,'Transfer Engine'!$C$2:$C$630,0)))</f>
        <v/>
      </c>
      <c r="E30">
        <f>IF(ISNA(MATCH(21,'Transfer Engine'!$C$2:$C$630,0)),"",INDEX('Compliance Database'!$E$2:$E$630,MATCH(21,'Transfer Engine'!$C$2:$C$630,0)))</f>
        <v/>
      </c>
      <c r="F30">
        <f>IF(ISNA(MATCH(21,'Transfer Engine'!$C$2:$C$630,0)),"",INDEX('Compliance Database'!$F$2:$F$630,MATCH(21,'Transfer Engine'!$C$2:$C$630,0)))</f>
        <v/>
      </c>
      <c r="G30">
        <f>IF(ISNA(MATCH(21,'Transfer Engine'!$C$2:$C$630,0)),"",INDEX('Compliance Database'!$G$2:$G$630,MATCH(21,'Transfer Engine'!$C$2:$C$630,0)))</f>
        <v/>
      </c>
      <c r="H30">
        <f>IF(ISNA(MATCH(21,'Transfer Engine'!$C$2:$C$630,0)),"",INDEX('Compliance Database'!$H$2:$H$630,MATCH(21,'Transfer Engine'!$C$2:$C$630,0)))</f>
        <v/>
      </c>
      <c r="I30" s="8">
        <f>IF(ISNA(MATCH(21,'Transfer Engine'!$C$2:$C$630,0)),"",INDEX('Compliance Database'!$I$2:$I$630,MATCH(21,'Transfer Engine'!$C$2:$C$630,0)))</f>
        <v/>
      </c>
      <c r="J30" s="8">
        <f>IF(ISNA(MATCH(21,'Transfer Engine'!$C$2:$C$630,0)),"",INDEX('Compliance Database'!$J$2:$J$630,MATCH(21,'Transfer Engine'!$C$2:$C$630,0)))</f>
        <v/>
      </c>
      <c r="K30">
        <f>IF(ISNA(MATCH(21,'Transfer Engine'!$C$2:$C$630,0)),"",INDEX('Compliance Database'!$K$2:$K$630,MATCH(21,'Transfer Engine'!$C$2:$C$630,0)))</f>
        <v/>
      </c>
      <c r="L30" s="8">
        <f>IF(ISNA(MATCH(21,'Transfer Engine'!$C$2:$C$630,0)),"",INDEX('Compliance Database'!$L$2:$L$630,MATCH(21,'Transfer Engine'!$C$2:$C$630,0)))</f>
        <v/>
      </c>
      <c r="M30" s="8">
        <f>IF(ISNA(MATCH(21,'Transfer Engine'!$C$2:$C$630,0)),"",INDEX('Compliance Database'!$M$2:$M$630,MATCH(21,'Transfer Engine'!$C$2:$C$630,0)))</f>
        <v/>
      </c>
      <c r="N30" s="8">
        <f>IF(ISNA(MATCH(21,'Transfer Engine'!$C$2:$C$630,0)),"",INDEX('Compliance Database'!$N$2:$N$630,MATCH(21,'Transfer Engine'!$C$2:$C$630,0)))</f>
        <v/>
      </c>
      <c r="O30" s="8">
        <f>IF(ISNA(MATCH(21,'Transfer Engine'!$C$2:$C$630,0)),"",INDEX('Compliance Database'!$O$2:$O$630,MATCH(21,'Transfer Engine'!$C$2:$C$630,0)))</f>
        <v/>
      </c>
    </row>
    <row r="31">
      <c r="A31">
        <f>IF(ISNA(MATCH(22,'Transfer Engine'!$C$2:$C$630,0)),"",INDEX('Compliance Database'!$A$2:$A$630,MATCH(22,'Transfer Engine'!$C$2:$C$630,0)))</f>
        <v/>
      </c>
      <c r="B31">
        <f>IF(ISNA(MATCH(22,'Transfer Engine'!$C$2:$C$630,0)),"",INDEX('Compliance Database'!$B$2:$B$630,MATCH(22,'Transfer Engine'!$C$2:$C$630,0)))</f>
        <v/>
      </c>
      <c r="C31">
        <f>IF(ISNA(MATCH(22,'Transfer Engine'!$C$2:$C$630,0)),"",INDEX('Compliance Database'!$C$2:$C$630,MATCH(22,'Transfer Engine'!$C$2:$C$630,0)))</f>
        <v/>
      </c>
      <c r="D31" s="8">
        <f>IF(ISNA(MATCH(22,'Transfer Engine'!$C$2:$C$630,0)),"",INDEX('Compliance Database'!$D$2:$D$630,MATCH(22,'Transfer Engine'!$C$2:$C$630,0)))</f>
        <v/>
      </c>
      <c r="E31">
        <f>IF(ISNA(MATCH(22,'Transfer Engine'!$C$2:$C$630,0)),"",INDEX('Compliance Database'!$E$2:$E$630,MATCH(22,'Transfer Engine'!$C$2:$C$630,0)))</f>
        <v/>
      </c>
      <c r="F31">
        <f>IF(ISNA(MATCH(22,'Transfer Engine'!$C$2:$C$630,0)),"",INDEX('Compliance Database'!$F$2:$F$630,MATCH(22,'Transfer Engine'!$C$2:$C$630,0)))</f>
        <v/>
      </c>
      <c r="G31">
        <f>IF(ISNA(MATCH(22,'Transfer Engine'!$C$2:$C$630,0)),"",INDEX('Compliance Database'!$G$2:$G$630,MATCH(22,'Transfer Engine'!$C$2:$C$630,0)))</f>
        <v/>
      </c>
      <c r="H31">
        <f>IF(ISNA(MATCH(22,'Transfer Engine'!$C$2:$C$630,0)),"",INDEX('Compliance Database'!$H$2:$H$630,MATCH(22,'Transfer Engine'!$C$2:$C$630,0)))</f>
        <v/>
      </c>
      <c r="I31" s="8">
        <f>IF(ISNA(MATCH(22,'Transfer Engine'!$C$2:$C$630,0)),"",INDEX('Compliance Database'!$I$2:$I$630,MATCH(22,'Transfer Engine'!$C$2:$C$630,0)))</f>
        <v/>
      </c>
      <c r="J31" s="8">
        <f>IF(ISNA(MATCH(22,'Transfer Engine'!$C$2:$C$630,0)),"",INDEX('Compliance Database'!$J$2:$J$630,MATCH(22,'Transfer Engine'!$C$2:$C$630,0)))</f>
        <v/>
      </c>
      <c r="K31">
        <f>IF(ISNA(MATCH(22,'Transfer Engine'!$C$2:$C$630,0)),"",INDEX('Compliance Database'!$K$2:$K$630,MATCH(22,'Transfer Engine'!$C$2:$C$630,0)))</f>
        <v/>
      </c>
      <c r="L31" s="8">
        <f>IF(ISNA(MATCH(22,'Transfer Engine'!$C$2:$C$630,0)),"",INDEX('Compliance Database'!$L$2:$L$630,MATCH(22,'Transfer Engine'!$C$2:$C$630,0)))</f>
        <v/>
      </c>
      <c r="M31" s="8">
        <f>IF(ISNA(MATCH(22,'Transfer Engine'!$C$2:$C$630,0)),"",INDEX('Compliance Database'!$M$2:$M$630,MATCH(22,'Transfer Engine'!$C$2:$C$630,0)))</f>
        <v/>
      </c>
      <c r="N31" s="8">
        <f>IF(ISNA(MATCH(22,'Transfer Engine'!$C$2:$C$630,0)),"",INDEX('Compliance Database'!$N$2:$N$630,MATCH(22,'Transfer Engine'!$C$2:$C$630,0)))</f>
        <v/>
      </c>
      <c r="O31" s="8">
        <f>IF(ISNA(MATCH(22,'Transfer Engine'!$C$2:$C$630,0)),"",INDEX('Compliance Database'!$O$2:$O$630,MATCH(22,'Transfer Engine'!$C$2:$C$630,0)))</f>
        <v/>
      </c>
    </row>
    <row r="32">
      <c r="A32">
        <f>IF(ISNA(MATCH(23,'Transfer Engine'!$C$2:$C$630,0)),"",INDEX('Compliance Database'!$A$2:$A$630,MATCH(23,'Transfer Engine'!$C$2:$C$630,0)))</f>
        <v/>
      </c>
      <c r="B32">
        <f>IF(ISNA(MATCH(23,'Transfer Engine'!$C$2:$C$630,0)),"",INDEX('Compliance Database'!$B$2:$B$630,MATCH(23,'Transfer Engine'!$C$2:$C$630,0)))</f>
        <v/>
      </c>
      <c r="C32">
        <f>IF(ISNA(MATCH(23,'Transfer Engine'!$C$2:$C$630,0)),"",INDEX('Compliance Database'!$C$2:$C$630,MATCH(23,'Transfer Engine'!$C$2:$C$630,0)))</f>
        <v/>
      </c>
      <c r="D32" s="8">
        <f>IF(ISNA(MATCH(23,'Transfer Engine'!$C$2:$C$630,0)),"",INDEX('Compliance Database'!$D$2:$D$630,MATCH(23,'Transfer Engine'!$C$2:$C$630,0)))</f>
        <v/>
      </c>
      <c r="E32">
        <f>IF(ISNA(MATCH(23,'Transfer Engine'!$C$2:$C$630,0)),"",INDEX('Compliance Database'!$E$2:$E$630,MATCH(23,'Transfer Engine'!$C$2:$C$630,0)))</f>
        <v/>
      </c>
      <c r="F32">
        <f>IF(ISNA(MATCH(23,'Transfer Engine'!$C$2:$C$630,0)),"",INDEX('Compliance Database'!$F$2:$F$630,MATCH(23,'Transfer Engine'!$C$2:$C$630,0)))</f>
        <v/>
      </c>
      <c r="G32">
        <f>IF(ISNA(MATCH(23,'Transfer Engine'!$C$2:$C$630,0)),"",INDEX('Compliance Database'!$G$2:$G$630,MATCH(23,'Transfer Engine'!$C$2:$C$630,0)))</f>
        <v/>
      </c>
      <c r="H32">
        <f>IF(ISNA(MATCH(23,'Transfer Engine'!$C$2:$C$630,0)),"",INDEX('Compliance Database'!$H$2:$H$630,MATCH(23,'Transfer Engine'!$C$2:$C$630,0)))</f>
        <v/>
      </c>
      <c r="I32" s="8">
        <f>IF(ISNA(MATCH(23,'Transfer Engine'!$C$2:$C$630,0)),"",INDEX('Compliance Database'!$I$2:$I$630,MATCH(23,'Transfer Engine'!$C$2:$C$630,0)))</f>
        <v/>
      </c>
      <c r="J32" s="8">
        <f>IF(ISNA(MATCH(23,'Transfer Engine'!$C$2:$C$630,0)),"",INDEX('Compliance Database'!$J$2:$J$630,MATCH(23,'Transfer Engine'!$C$2:$C$630,0)))</f>
        <v/>
      </c>
      <c r="K32">
        <f>IF(ISNA(MATCH(23,'Transfer Engine'!$C$2:$C$630,0)),"",INDEX('Compliance Database'!$K$2:$K$630,MATCH(23,'Transfer Engine'!$C$2:$C$630,0)))</f>
        <v/>
      </c>
      <c r="L32" s="8">
        <f>IF(ISNA(MATCH(23,'Transfer Engine'!$C$2:$C$630,0)),"",INDEX('Compliance Database'!$L$2:$L$630,MATCH(23,'Transfer Engine'!$C$2:$C$630,0)))</f>
        <v/>
      </c>
      <c r="M32" s="8">
        <f>IF(ISNA(MATCH(23,'Transfer Engine'!$C$2:$C$630,0)),"",INDEX('Compliance Database'!$M$2:$M$630,MATCH(23,'Transfer Engine'!$C$2:$C$630,0)))</f>
        <v/>
      </c>
      <c r="N32" s="8">
        <f>IF(ISNA(MATCH(23,'Transfer Engine'!$C$2:$C$630,0)),"",INDEX('Compliance Database'!$N$2:$N$630,MATCH(23,'Transfer Engine'!$C$2:$C$630,0)))</f>
        <v/>
      </c>
      <c r="O32" s="8">
        <f>IF(ISNA(MATCH(23,'Transfer Engine'!$C$2:$C$630,0)),"",INDEX('Compliance Database'!$O$2:$O$630,MATCH(23,'Transfer Engine'!$C$2:$C$630,0)))</f>
        <v/>
      </c>
    </row>
    <row r="33">
      <c r="A33">
        <f>IF(ISNA(MATCH(24,'Transfer Engine'!$C$2:$C$630,0)),"",INDEX('Compliance Database'!$A$2:$A$630,MATCH(24,'Transfer Engine'!$C$2:$C$630,0)))</f>
        <v/>
      </c>
      <c r="B33">
        <f>IF(ISNA(MATCH(24,'Transfer Engine'!$C$2:$C$630,0)),"",INDEX('Compliance Database'!$B$2:$B$630,MATCH(24,'Transfer Engine'!$C$2:$C$630,0)))</f>
        <v/>
      </c>
      <c r="C33">
        <f>IF(ISNA(MATCH(24,'Transfer Engine'!$C$2:$C$630,0)),"",INDEX('Compliance Database'!$C$2:$C$630,MATCH(24,'Transfer Engine'!$C$2:$C$630,0)))</f>
        <v/>
      </c>
      <c r="D33" s="8">
        <f>IF(ISNA(MATCH(24,'Transfer Engine'!$C$2:$C$630,0)),"",INDEX('Compliance Database'!$D$2:$D$630,MATCH(24,'Transfer Engine'!$C$2:$C$630,0)))</f>
        <v/>
      </c>
      <c r="E33">
        <f>IF(ISNA(MATCH(24,'Transfer Engine'!$C$2:$C$630,0)),"",INDEX('Compliance Database'!$E$2:$E$630,MATCH(24,'Transfer Engine'!$C$2:$C$630,0)))</f>
        <v/>
      </c>
      <c r="F33">
        <f>IF(ISNA(MATCH(24,'Transfer Engine'!$C$2:$C$630,0)),"",INDEX('Compliance Database'!$F$2:$F$630,MATCH(24,'Transfer Engine'!$C$2:$C$630,0)))</f>
        <v/>
      </c>
      <c r="G33">
        <f>IF(ISNA(MATCH(24,'Transfer Engine'!$C$2:$C$630,0)),"",INDEX('Compliance Database'!$G$2:$G$630,MATCH(24,'Transfer Engine'!$C$2:$C$630,0)))</f>
        <v/>
      </c>
      <c r="H33">
        <f>IF(ISNA(MATCH(24,'Transfer Engine'!$C$2:$C$630,0)),"",INDEX('Compliance Database'!$H$2:$H$630,MATCH(24,'Transfer Engine'!$C$2:$C$630,0)))</f>
        <v/>
      </c>
      <c r="I33" s="8">
        <f>IF(ISNA(MATCH(24,'Transfer Engine'!$C$2:$C$630,0)),"",INDEX('Compliance Database'!$I$2:$I$630,MATCH(24,'Transfer Engine'!$C$2:$C$630,0)))</f>
        <v/>
      </c>
      <c r="J33" s="8">
        <f>IF(ISNA(MATCH(24,'Transfer Engine'!$C$2:$C$630,0)),"",INDEX('Compliance Database'!$J$2:$J$630,MATCH(24,'Transfer Engine'!$C$2:$C$630,0)))</f>
        <v/>
      </c>
      <c r="K33">
        <f>IF(ISNA(MATCH(24,'Transfer Engine'!$C$2:$C$630,0)),"",INDEX('Compliance Database'!$K$2:$K$630,MATCH(24,'Transfer Engine'!$C$2:$C$630,0)))</f>
        <v/>
      </c>
      <c r="L33" s="8">
        <f>IF(ISNA(MATCH(24,'Transfer Engine'!$C$2:$C$630,0)),"",INDEX('Compliance Database'!$L$2:$L$630,MATCH(24,'Transfer Engine'!$C$2:$C$630,0)))</f>
        <v/>
      </c>
      <c r="M33" s="8">
        <f>IF(ISNA(MATCH(24,'Transfer Engine'!$C$2:$C$630,0)),"",INDEX('Compliance Database'!$M$2:$M$630,MATCH(24,'Transfer Engine'!$C$2:$C$630,0)))</f>
        <v/>
      </c>
      <c r="N33" s="8">
        <f>IF(ISNA(MATCH(24,'Transfer Engine'!$C$2:$C$630,0)),"",INDEX('Compliance Database'!$N$2:$N$630,MATCH(24,'Transfer Engine'!$C$2:$C$630,0)))</f>
        <v/>
      </c>
      <c r="O33" s="8">
        <f>IF(ISNA(MATCH(24,'Transfer Engine'!$C$2:$C$630,0)),"",INDEX('Compliance Database'!$O$2:$O$630,MATCH(24,'Transfer Engine'!$C$2:$C$630,0)))</f>
        <v/>
      </c>
    </row>
    <row r="34">
      <c r="A34">
        <f>IF(ISNA(MATCH(25,'Transfer Engine'!$C$2:$C$630,0)),"",INDEX('Compliance Database'!$A$2:$A$630,MATCH(25,'Transfer Engine'!$C$2:$C$630,0)))</f>
        <v/>
      </c>
      <c r="B34">
        <f>IF(ISNA(MATCH(25,'Transfer Engine'!$C$2:$C$630,0)),"",INDEX('Compliance Database'!$B$2:$B$630,MATCH(25,'Transfer Engine'!$C$2:$C$630,0)))</f>
        <v/>
      </c>
      <c r="C34">
        <f>IF(ISNA(MATCH(25,'Transfer Engine'!$C$2:$C$630,0)),"",INDEX('Compliance Database'!$C$2:$C$630,MATCH(25,'Transfer Engine'!$C$2:$C$630,0)))</f>
        <v/>
      </c>
      <c r="D34" s="8">
        <f>IF(ISNA(MATCH(25,'Transfer Engine'!$C$2:$C$630,0)),"",INDEX('Compliance Database'!$D$2:$D$630,MATCH(25,'Transfer Engine'!$C$2:$C$630,0)))</f>
        <v/>
      </c>
      <c r="E34">
        <f>IF(ISNA(MATCH(25,'Transfer Engine'!$C$2:$C$630,0)),"",INDEX('Compliance Database'!$E$2:$E$630,MATCH(25,'Transfer Engine'!$C$2:$C$630,0)))</f>
        <v/>
      </c>
      <c r="F34">
        <f>IF(ISNA(MATCH(25,'Transfer Engine'!$C$2:$C$630,0)),"",INDEX('Compliance Database'!$F$2:$F$630,MATCH(25,'Transfer Engine'!$C$2:$C$630,0)))</f>
        <v/>
      </c>
      <c r="G34">
        <f>IF(ISNA(MATCH(25,'Transfer Engine'!$C$2:$C$630,0)),"",INDEX('Compliance Database'!$G$2:$G$630,MATCH(25,'Transfer Engine'!$C$2:$C$630,0)))</f>
        <v/>
      </c>
      <c r="H34">
        <f>IF(ISNA(MATCH(25,'Transfer Engine'!$C$2:$C$630,0)),"",INDEX('Compliance Database'!$H$2:$H$630,MATCH(25,'Transfer Engine'!$C$2:$C$630,0)))</f>
        <v/>
      </c>
      <c r="I34" s="8">
        <f>IF(ISNA(MATCH(25,'Transfer Engine'!$C$2:$C$630,0)),"",INDEX('Compliance Database'!$I$2:$I$630,MATCH(25,'Transfer Engine'!$C$2:$C$630,0)))</f>
        <v/>
      </c>
      <c r="J34" s="8">
        <f>IF(ISNA(MATCH(25,'Transfer Engine'!$C$2:$C$630,0)),"",INDEX('Compliance Database'!$J$2:$J$630,MATCH(25,'Transfer Engine'!$C$2:$C$630,0)))</f>
        <v/>
      </c>
      <c r="K34">
        <f>IF(ISNA(MATCH(25,'Transfer Engine'!$C$2:$C$630,0)),"",INDEX('Compliance Database'!$K$2:$K$630,MATCH(25,'Transfer Engine'!$C$2:$C$630,0)))</f>
        <v/>
      </c>
      <c r="L34" s="8">
        <f>IF(ISNA(MATCH(25,'Transfer Engine'!$C$2:$C$630,0)),"",INDEX('Compliance Database'!$L$2:$L$630,MATCH(25,'Transfer Engine'!$C$2:$C$630,0)))</f>
        <v/>
      </c>
      <c r="M34" s="8">
        <f>IF(ISNA(MATCH(25,'Transfer Engine'!$C$2:$C$630,0)),"",INDEX('Compliance Database'!$M$2:$M$630,MATCH(25,'Transfer Engine'!$C$2:$C$630,0)))</f>
        <v/>
      </c>
      <c r="N34" s="8">
        <f>IF(ISNA(MATCH(25,'Transfer Engine'!$C$2:$C$630,0)),"",INDEX('Compliance Database'!$N$2:$N$630,MATCH(25,'Transfer Engine'!$C$2:$C$630,0)))</f>
        <v/>
      </c>
      <c r="O34" s="8">
        <f>IF(ISNA(MATCH(25,'Transfer Engine'!$C$2:$C$630,0)),"",INDEX('Compliance Database'!$O$2:$O$630,MATCH(25,'Transfer Engine'!$C$2:$C$630,0)))</f>
        <v/>
      </c>
    </row>
    <row r="35">
      <c r="A35">
        <f>IF(ISNA(MATCH(26,'Transfer Engine'!$C$2:$C$630,0)),"",INDEX('Compliance Database'!$A$2:$A$630,MATCH(26,'Transfer Engine'!$C$2:$C$630,0)))</f>
        <v/>
      </c>
      <c r="B35">
        <f>IF(ISNA(MATCH(26,'Transfer Engine'!$C$2:$C$630,0)),"",INDEX('Compliance Database'!$B$2:$B$630,MATCH(26,'Transfer Engine'!$C$2:$C$630,0)))</f>
        <v/>
      </c>
      <c r="C35">
        <f>IF(ISNA(MATCH(26,'Transfer Engine'!$C$2:$C$630,0)),"",INDEX('Compliance Database'!$C$2:$C$630,MATCH(26,'Transfer Engine'!$C$2:$C$630,0)))</f>
        <v/>
      </c>
      <c r="D35" s="8">
        <f>IF(ISNA(MATCH(26,'Transfer Engine'!$C$2:$C$630,0)),"",INDEX('Compliance Database'!$D$2:$D$630,MATCH(26,'Transfer Engine'!$C$2:$C$630,0)))</f>
        <v/>
      </c>
      <c r="E35">
        <f>IF(ISNA(MATCH(26,'Transfer Engine'!$C$2:$C$630,0)),"",INDEX('Compliance Database'!$E$2:$E$630,MATCH(26,'Transfer Engine'!$C$2:$C$630,0)))</f>
        <v/>
      </c>
      <c r="F35">
        <f>IF(ISNA(MATCH(26,'Transfer Engine'!$C$2:$C$630,0)),"",INDEX('Compliance Database'!$F$2:$F$630,MATCH(26,'Transfer Engine'!$C$2:$C$630,0)))</f>
        <v/>
      </c>
      <c r="G35">
        <f>IF(ISNA(MATCH(26,'Transfer Engine'!$C$2:$C$630,0)),"",INDEX('Compliance Database'!$G$2:$G$630,MATCH(26,'Transfer Engine'!$C$2:$C$630,0)))</f>
        <v/>
      </c>
      <c r="H35">
        <f>IF(ISNA(MATCH(26,'Transfer Engine'!$C$2:$C$630,0)),"",INDEX('Compliance Database'!$H$2:$H$630,MATCH(26,'Transfer Engine'!$C$2:$C$630,0)))</f>
        <v/>
      </c>
      <c r="I35" s="8">
        <f>IF(ISNA(MATCH(26,'Transfer Engine'!$C$2:$C$630,0)),"",INDEX('Compliance Database'!$I$2:$I$630,MATCH(26,'Transfer Engine'!$C$2:$C$630,0)))</f>
        <v/>
      </c>
      <c r="J35" s="8">
        <f>IF(ISNA(MATCH(26,'Transfer Engine'!$C$2:$C$630,0)),"",INDEX('Compliance Database'!$J$2:$J$630,MATCH(26,'Transfer Engine'!$C$2:$C$630,0)))</f>
        <v/>
      </c>
      <c r="K35">
        <f>IF(ISNA(MATCH(26,'Transfer Engine'!$C$2:$C$630,0)),"",INDEX('Compliance Database'!$K$2:$K$630,MATCH(26,'Transfer Engine'!$C$2:$C$630,0)))</f>
        <v/>
      </c>
      <c r="L35" s="8">
        <f>IF(ISNA(MATCH(26,'Transfer Engine'!$C$2:$C$630,0)),"",INDEX('Compliance Database'!$L$2:$L$630,MATCH(26,'Transfer Engine'!$C$2:$C$630,0)))</f>
        <v/>
      </c>
      <c r="M35" s="8">
        <f>IF(ISNA(MATCH(26,'Transfer Engine'!$C$2:$C$630,0)),"",INDEX('Compliance Database'!$M$2:$M$630,MATCH(26,'Transfer Engine'!$C$2:$C$630,0)))</f>
        <v/>
      </c>
      <c r="N35" s="8">
        <f>IF(ISNA(MATCH(26,'Transfer Engine'!$C$2:$C$630,0)),"",INDEX('Compliance Database'!$N$2:$N$630,MATCH(26,'Transfer Engine'!$C$2:$C$630,0)))</f>
        <v/>
      </c>
      <c r="O35" s="8">
        <f>IF(ISNA(MATCH(26,'Transfer Engine'!$C$2:$C$630,0)),"",INDEX('Compliance Database'!$O$2:$O$630,MATCH(26,'Transfer Engine'!$C$2:$C$630,0)))</f>
        <v/>
      </c>
    </row>
    <row r="36">
      <c r="A36">
        <f>IF(ISNA(MATCH(27,'Transfer Engine'!$C$2:$C$630,0)),"",INDEX('Compliance Database'!$A$2:$A$630,MATCH(27,'Transfer Engine'!$C$2:$C$630,0)))</f>
        <v/>
      </c>
      <c r="B36">
        <f>IF(ISNA(MATCH(27,'Transfer Engine'!$C$2:$C$630,0)),"",INDEX('Compliance Database'!$B$2:$B$630,MATCH(27,'Transfer Engine'!$C$2:$C$630,0)))</f>
        <v/>
      </c>
      <c r="C36">
        <f>IF(ISNA(MATCH(27,'Transfer Engine'!$C$2:$C$630,0)),"",INDEX('Compliance Database'!$C$2:$C$630,MATCH(27,'Transfer Engine'!$C$2:$C$630,0)))</f>
        <v/>
      </c>
      <c r="D36" s="8">
        <f>IF(ISNA(MATCH(27,'Transfer Engine'!$C$2:$C$630,0)),"",INDEX('Compliance Database'!$D$2:$D$630,MATCH(27,'Transfer Engine'!$C$2:$C$630,0)))</f>
        <v/>
      </c>
      <c r="E36">
        <f>IF(ISNA(MATCH(27,'Transfer Engine'!$C$2:$C$630,0)),"",INDEX('Compliance Database'!$E$2:$E$630,MATCH(27,'Transfer Engine'!$C$2:$C$630,0)))</f>
        <v/>
      </c>
      <c r="F36">
        <f>IF(ISNA(MATCH(27,'Transfer Engine'!$C$2:$C$630,0)),"",INDEX('Compliance Database'!$F$2:$F$630,MATCH(27,'Transfer Engine'!$C$2:$C$630,0)))</f>
        <v/>
      </c>
      <c r="G36">
        <f>IF(ISNA(MATCH(27,'Transfer Engine'!$C$2:$C$630,0)),"",INDEX('Compliance Database'!$G$2:$G$630,MATCH(27,'Transfer Engine'!$C$2:$C$630,0)))</f>
        <v/>
      </c>
      <c r="H36">
        <f>IF(ISNA(MATCH(27,'Transfer Engine'!$C$2:$C$630,0)),"",INDEX('Compliance Database'!$H$2:$H$630,MATCH(27,'Transfer Engine'!$C$2:$C$630,0)))</f>
        <v/>
      </c>
      <c r="I36" s="8">
        <f>IF(ISNA(MATCH(27,'Transfer Engine'!$C$2:$C$630,0)),"",INDEX('Compliance Database'!$I$2:$I$630,MATCH(27,'Transfer Engine'!$C$2:$C$630,0)))</f>
        <v/>
      </c>
      <c r="J36" s="8">
        <f>IF(ISNA(MATCH(27,'Transfer Engine'!$C$2:$C$630,0)),"",INDEX('Compliance Database'!$J$2:$J$630,MATCH(27,'Transfer Engine'!$C$2:$C$630,0)))</f>
        <v/>
      </c>
      <c r="K36">
        <f>IF(ISNA(MATCH(27,'Transfer Engine'!$C$2:$C$630,0)),"",INDEX('Compliance Database'!$K$2:$K$630,MATCH(27,'Transfer Engine'!$C$2:$C$630,0)))</f>
        <v/>
      </c>
      <c r="L36" s="8">
        <f>IF(ISNA(MATCH(27,'Transfer Engine'!$C$2:$C$630,0)),"",INDEX('Compliance Database'!$L$2:$L$630,MATCH(27,'Transfer Engine'!$C$2:$C$630,0)))</f>
        <v/>
      </c>
      <c r="M36" s="8">
        <f>IF(ISNA(MATCH(27,'Transfer Engine'!$C$2:$C$630,0)),"",INDEX('Compliance Database'!$M$2:$M$630,MATCH(27,'Transfer Engine'!$C$2:$C$630,0)))</f>
        <v/>
      </c>
      <c r="N36" s="8">
        <f>IF(ISNA(MATCH(27,'Transfer Engine'!$C$2:$C$630,0)),"",INDEX('Compliance Database'!$N$2:$N$630,MATCH(27,'Transfer Engine'!$C$2:$C$630,0)))</f>
        <v/>
      </c>
      <c r="O36" s="8">
        <f>IF(ISNA(MATCH(27,'Transfer Engine'!$C$2:$C$630,0)),"",INDEX('Compliance Database'!$O$2:$O$630,MATCH(27,'Transfer Engine'!$C$2:$C$630,0)))</f>
        <v/>
      </c>
    </row>
    <row r="37">
      <c r="A37">
        <f>IF(ISNA(MATCH(28,'Transfer Engine'!$C$2:$C$630,0)),"",INDEX('Compliance Database'!$A$2:$A$630,MATCH(28,'Transfer Engine'!$C$2:$C$630,0)))</f>
        <v/>
      </c>
      <c r="B37">
        <f>IF(ISNA(MATCH(28,'Transfer Engine'!$C$2:$C$630,0)),"",INDEX('Compliance Database'!$B$2:$B$630,MATCH(28,'Transfer Engine'!$C$2:$C$630,0)))</f>
        <v/>
      </c>
      <c r="C37">
        <f>IF(ISNA(MATCH(28,'Transfer Engine'!$C$2:$C$630,0)),"",INDEX('Compliance Database'!$C$2:$C$630,MATCH(28,'Transfer Engine'!$C$2:$C$630,0)))</f>
        <v/>
      </c>
      <c r="D37" s="8">
        <f>IF(ISNA(MATCH(28,'Transfer Engine'!$C$2:$C$630,0)),"",INDEX('Compliance Database'!$D$2:$D$630,MATCH(28,'Transfer Engine'!$C$2:$C$630,0)))</f>
        <v/>
      </c>
      <c r="E37">
        <f>IF(ISNA(MATCH(28,'Transfer Engine'!$C$2:$C$630,0)),"",INDEX('Compliance Database'!$E$2:$E$630,MATCH(28,'Transfer Engine'!$C$2:$C$630,0)))</f>
        <v/>
      </c>
      <c r="F37">
        <f>IF(ISNA(MATCH(28,'Transfer Engine'!$C$2:$C$630,0)),"",INDEX('Compliance Database'!$F$2:$F$630,MATCH(28,'Transfer Engine'!$C$2:$C$630,0)))</f>
        <v/>
      </c>
      <c r="G37">
        <f>IF(ISNA(MATCH(28,'Transfer Engine'!$C$2:$C$630,0)),"",INDEX('Compliance Database'!$G$2:$G$630,MATCH(28,'Transfer Engine'!$C$2:$C$630,0)))</f>
        <v/>
      </c>
      <c r="H37">
        <f>IF(ISNA(MATCH(28,'Transfer Engine'!$C$2:$C$630,0)),"",INDEX('Compliance Database'!$H$2:$H$630,MATCH(28,'Transfer Engine'!$C$2:$C$630,0)))</f>
        <v/>
      </c>
      <c r="I37" s="8">
        <f>IF(ISNA(MATCH(28,'Transfer Engine'!$C$2:$C$630,0)),"",INDEX('Compliance Database'!$I$2:$I$630,MATCH(28,'Transfer Engine'!$C$2:$C$630,0)))</f>
        <v/>
      </c>
      <c r="J37" s="8">
        <f>IF(ISNA(MATCH(28,'Transfer Engine'!$C$2:$C$630,0)),"",INDEX('Compliance Database'!$J$2:$J$630,MATCH(28,'Transfer Engine'!$C$2:$C$630,0)))</f>
        <v/>
      </c>
      <c r="K37">
        <f>IF(ISNA(MATCH(28,'Transfer Engine'!$C$2:$C$630,0)),"",INDEX('Compliance Database'!$K$2:$K$630,MATCH(28,'Transfer Engine'!$C$2:$C$630,0)))</f>
        <v/>
      </c>
      <c r="L37" s="8">
        <f>IF(ISNA(MATCH(28,'Transfer Engine'!$C$2:$C$630,0)),"",INDEX('Compliance Database'!$L$2:$L$630,MATCH(28,'Transfer Engine'!$C$2:$C$630,0)))</f>
        <v/>
      </c>
      <c r="M37" s="8">
        <f>IF(ISNA(MATCH(28,'Transfer Engine'!$C$2:$C$630,0)),"",INDEX('Compliance Database'!$M$2:$M$630,MATCH(28,'Transfer Engine'!$C$2:$C$630,0)))</f>
        <v/>
      </c>
      <c r="N37" s="8">
        <f>IF(ISNA(MATCH(28,'Transfer Engine'!$C$2:$C$630,0)),"",INDEX('Compliance Database'!$N$2:$N$630,MATCH(28,'Transfer Engine'!$C$2:$C$630,0)))</f>
        <v/>
      </c>
      <c r="O37" s="8">
        <f>IF(ISNA(MATCH(28,'Transfer Engine'!$C$2:$C$630,0)),"",INDEX('Compliance Database'!$O$2:$O$630,MATCH(28,'Transfer Engine'!$C$2:$C$630,0)))</f>
        <v/>
      </c>
    </row>
    <row r="38">
      <c r="A38">
        <f>IF(ISNA(MATCH(29,'Transfer Engine'!$C$2:$C$630,0)),"",INDEX('Compliance Database'!$A$2:$A$630,MATCH(29,'Transfer Engine'!$C$2:$C$630,0)))</f>
        <v/>
      </c>
      <c r="B38">
        <f>IF(ISNA(MATCH(29,'Transfer Engine'!$C$2:$C$630,0)),"",INDEX('Compliance Database'!$B$2:$B$630,MATCH(29,'Transfer Engine'!$C$2:$C$630,0)))</f>
        <v/>
      </c>
      <c r="C38">
        <f>IF(ISNA(MATCH(29,'Transfer Engine'!$C$2:$C$630,0)),"",INDEX('Compliance Database'!$C$2:$C$630,MATCH(29,'Transfer Engine'!$C$2:$C$630,0)))</f>
        <v/>
      </c>
      <c r="D38" s="8">
        <f>IF(ISNA(MATCH(29,'Transfer Engine'!$C$2:$C$630,0)),"",INDEX('Compliance Database'!$D$2:$D$630,MATCH(29,'Transfer Engine'!$C$2:$C$630,0)))</f>
        <v/>
      </c>
      <c r="E38">
        <f>IF(ISNA(MATCH(29,'Transfer Engine'!$C$2:$C$630,0)),"",INDEX('Compliance Database'!$E$2:$E$630,MATCH(29,'Transfer Engine'!$C$2:$C$630,0)))</f>
        <v/>
      </c>
      <c r="F38">
        <f>IF(ISNA(MATCH(29,'Transfer Engine'!$C$2:$C$630,0)),"",INDEX('Compliance Database'!$F$2:$F$630,MATCH(29,'Transfer Engine'!$C$2:$C$630,0)))</f>
        <v/>
      </c>
      <c r="G38">
        <f>IF(ISNA(MATCH(29,'Transfer Engine'!$C$2:$C$630,0)),"",INDEX('Compliance Database'!$G$2:$G$630,MATCH(29,'Transfer Engine'!$C$2:$C$630,0)))</f>
        <v/>
      </c>
      <c r="H38">
        <f>IF(ISNA(MATCH(29,'Transfer Engine'!$C$2:$C$630,0)),"",INDEX('Compliance Database'!$H$2:$H$630,MATCH(29,'Transfer Engine'!$C$2:$C$630,0)))</f>
        <v/>
      </c>
      <c r="I38" s="8">
        <f>IF(ISNA(MATCH(29,'Transfer Engine'!$C$2:$C$630,0)),"",INDEX('Compliance Database'!$I$2:$I$630,MATCH(29,'Transfer Engine'!$C$2:$C$630,0)))</f>
        <v/>
      </c>
      <c r="J38" s="8">
        <f>IF(ISNA(MATCH(29,'Transfer Engine'!$C$2:$C$630,0)),"",INDEX('Compliance Database'!$J$2:$J$630,MATCH(29,'Transfer Engine'!$C$2:$C$630,0)))</f>
        <v/>
      </c>
      <c r="K38">
        <f>IF(ISNA(MATCH(29,'Transfer Engine'!$C$2:$C$630,0)),"",INDEX('Compliance Database'!$K$2:$K$630,MATCH(29,'Transfer Engine'!$C$2:$C$630,0)))</f>
        <v/>
      </c>
      <c r="L38" s="8">
        <f>IF(ISNA(MATCH(29,'Transfer Engine'!$C$2:$C$630,0)),"",INDEX('Compliance Database'!$L$2:$L$630,MATCH(29,'Transfer Engine'!$C$2:$C$630,0)))</f>
        <v/>
      </c>
      <c r="M38" s="8">
        <f>IF(ISNA(MATCH(29,'Transfer Engine'!$C$2:$C$630,0)),"",INDEX('Compliance Database'!$M$2:$M$630,MATCH(29,'Transfer Engine'!$C$2:$C$630,0)))</f>
        <v/>
      </c>
      <c r="N38" s="8">
        <f>IF(ISNA(MATCH(29,'Transfer Engine'!$C$2:$C$630,0)),"",INDEX('Compliance Database'!$N$2:$N$630,MATCH(29,'Transfer Engine'!$C$2:$C$630,0)))</f>
        <v/>
      </c>
      <c r="O38" s="8">
        <f>IF(ISNA(MATCH(29,'Transfer Engine'!$C$2:$C$630,0)),"",INDEX('Compliance Database'!$O$2:$O$630,MATCH(29,'Transfer Engine'!$C$2:$C$630,0)))</f>
        <v/>
      </c>
    </row>
    <row r="39">
      <c r="A39">
        <f>IF(ISNA(MATCH(30,'Transfer Engine'!$C$2:$C$630,0)),"",INDEX('Compliance Database'!$A$2:$A$630,MATCH(30,'Transfer Engine'!$C$2:$C$630,0)))</f>
        <v/>
      </c>
      <c r="B39">
        <f>IF(ISNA(MATCH(30,'Transfer Engine'!$C$2:$C$630,0)),"",INDEX('Compliance Database'!$B$2:$B$630,MATCH(30,'Transfer Engine'!$C$2:$C$630,0)))</f>
        <v/>
      </c>
      <c r="C39">
        <f>IF(ISNA(MATCH(30,'Transfer Engine'!$C$2:$C$630,0)),"",INDEX('Compliance Database'!$C$2:$C$630,MATCH(30,'Transfer Engine'!$C$2:$C$630,0)))</f>
        <v/>
      </c>
      <c r="D39" s="8">
        <f>IF(ISNA(MATCH(30,'Transfer Engine'!$C$2:$C$630,0)),"",INDEX('Compliance Database'!$D$2:$D$630,MATCH(30,'Transfer Engine'!$C$2:$C$630,0)))</f>
        <v/>
      </c>
      <c r="E39">
        <f>IF(ISNA(MATCH(30,'Transfer Engine'!$C$2:$C$630,0)),"",INDEX('Compliance Database'!$E$2:$E$630,MATCH(30,'Transfer Engine'!$C$2:$C$630,0)))</f>
        <v/>
      </c>
      <c r="F39">
        <f>IF(ISNA(MATCH(30,'Transfer Engine'!$C$2:$C$630,0)),"",INDEX('Compliance Database'!$F$2:$F$630,MATCH(30,'Transfer Engine'!$C$2:$C$630,0)))</f>
        <v/>
      </c>
      <c r="G39">
        <f>IF(ISNA(MATCH(30,'Transfer Engine'!$C$2:$C$630,0)),"",INDEX('Compliance Database'!$G$2:$G$630,MATCH(30,'Transfer Engine'!$C$2:$C$630,0)))</f>
        <v/>
      </c>
      <c r="H39">
        <f>IF(ISNA(MATCH(30,'Transfer Engine'!$C$2:$C$630,0)),"",INDEX('Compliance Database'!$H$2:$H$630,MATCH(30,'Transfer Engine'!$C$2:$C$630,0)))</f>
        <v/>
      </c>
      <c r="I39" s="8">
        <f>IF(ISNA(MATCH(30,'Transfer Engine'!$C$2:$C$630,0)),"",INDEX('Compliance Database'!$I$2:$I$630,MATCH(30,'Transfer Engine'!$C$2:$C$630,0)))</f>
        <v/>
      </c>
      <c r="J39" s="8">
        <f>IF(ISNA(MATCH(30,'Transfer Engine'!$C$2:$C$630,0)),"",INDEX('Compliance Database'!$J$2:$J$630,MATCH(30,'Transfer Engine'!$C$2:$C$630,0)))</f>
        <v/>
      </c>
      <c r="K39">
        <f>IF(ISNA(MATCH(30,'Transfer Engine'!$C$2:$C$630,0)),"",INDEX('Compliance Database'!$K$2:$K$630,MATCH(30,'Transfer Engine'!$C$2:$C$630,0)))</f>
        <v/>
      </c>
      <c r="L39" s="8">
        <f>IF(ISNA(MATCH(30,'Transfer Engine'!$C$2:$C$630,0)),"",INDEX('Compliance Database'!$L$2:$L$630,MATCH(30,'Transfer Engine'!$C$2:$C$630,0)))</f>
        <v/>
      </c>
      <c r="M39" s="8">
        <f>IF(ISNA(MATCH(30,'Transfer Engine'!$C$2:$C$630,0)),"",INDEX('Compliance Database'!$M$2:$M$630,MATCH(30,'Transfer Engine'!$C$2:$C$630,0)))</f>
        <v/>
      </c>
      <c r="N39" s="8">
        <f>IF(ISNA(MATCH(30,'Transfer Engine'!$C$2:$C$630,0)),"",INDEX('Compliance Database'!$N$2:$N$630,MATCH(30,'Transfer Engine'!$C$2:$C$630,0)))</f>
        <v/>
      </c>
      <c r="O39" s="8">
        <f>IF(ISNA(MATCH(30,'Transfer Engine'!$C$2:$C$630,0)),"",INDEX('Compliance Database'!$O$2:$O$630,MATCH(30,'Transfer Engine'!$C$2:$C$630,0)))</f>
        <v/>
      </c>
    </row>
    <row r="40">
      <c r="A40">
        <f>IF(ISNA(MATCH(31,'Transfer Engine'!$C$2:$C$630,0)),"",INDEX('Compliance Database'!$A$2:$A$630,MATCH(31,'Transfer Engine'!$C$2:$C$630,0)))</f>
        <v/>
      </c>
      <c r="B40">
        <f>IF(ISNA(MATCH(31,'Transfer Engine'!$C$2:$C$630,0)),"",INDEX('Compliance Database'!$B$2:$B$630,MATCH(31,'Transfer Engine'!$C$2:$C$630,0)))</f>
        <v/>
      </c>
      <c r="C40">
        <f>IF(ISNA(MATCH(31,'Transfer Engine'!$C$2:$C$630,0)),"",INDEX('Compliance Database'!$C$2:$C$630,MATCH(31,'Transfer Engine'!$C$2:$C$630,0)))</f>
        <v/>
      </c>
      <c r="D40" s="8">
        <f>IF(ISNA(MATCH(31,'Transfer Engine'!$C$2:$C$630,0)),"",INDEX('Compliance Database'!$D$2:$D$630,MATCH(31,'Transfer Engine'!$C$2:$C$630,0)))</f>
        <v/>
      </c>
      <c r="E40">
        <f>IF(ISNA(MATCH(31,'Transfer Engine'!$C$2:$C$630,0)),"",INDEX('Compliance Database'!$E$2:$E$630,MATCH(31,'Transfer Engine'!$C$2:$C$630,0)))</f>
        <v/>
      </c>
      <c r="F40">
        <f>IF(ISNA(MATCH(31,'Transfer Engine'!$C$2:$C$630,0)),"",INDEX('Compliance Database'!$F$2:$F$630,MATCH(31,'Transfer Engine'!$C$2:$C$630,0)))</f>
        <v/>
      </c>
      <c r="G40">
        <f>IF(ISNA(MATCH(31,'Transfer Engine'!$C$2:$C$630,0)),"",INDEX('Compliance Database'!$G$2:$G$630,MATCH(31,'Transfer Engine'!$C$2:$C$630,0)))</f>
        <v/>
      </c>
      <c r="H40">
        <f>IF(ISNA(MATCH(31,'Transfer Engine'!$C$2:$C$630,0)),"",INDEX('Compliance Database'!$H$2:$H$630,MATCH(31,'Transfer Engine'!$C$2:$C$630,0)))</f>
        <v/>
      </c>
      <c r="I40" s="8">
        <f>IF(ISNA(MATCH(31,'Transfer Engine'!$C$2:$C$630,0)),"",INDEX('Compliance Database'!$I$2:$I$630,MATCH(31,'Transfer Engine'!$C$2:$C$630,0)))</f>
        <v/>
      </c>
      <c r="J40" s="8">
        <f>IF(ISNA(MATCH(31,'Transfer Engine'!$C$2:$C$630,0)),"",INDEX('Compliance Database'!$J$2:$J$630,MATCH(31,'Transfer Engine'!$C$2:$C$630,0)))</f>
        <v/>
      </c>
      <c r="K40">
        <f>IF(ISNA(MATCH(31,'Transfer Engine'!$C$2:$C$630,0)),"",INDEX('Compliance Database'!$K$2:$K$630,MATCH(31,'Transfer Engine'!$C$2:$C$630,0)))</f>
        <v/>
      </c>
      <c r="L40" s="8">
        <f>IF(ISNA(MATCH(31,'Transfer Engine'!$C$2:$C$630,0)),"",INDEX('Compliance Database'!$L$2:$L$630,MATCH(31,'Transfer Engine'!$C$2:$C$630,0)))</f>
        <v/>
      </c>
      <c r="M40" s="8">
        <f>IF(ISNA(MATCH(31,'Transfer Engine'!$C$2:$C$630,0)),"",INDEX('Compliance Database'!$M$2:$M$630,MATCH(31,'Transfer Engine'!$C$2:$C$630,0)))</f>
        <v/>
      </c>
      <c r="N40" s="8">
        <f>IF(ISNA(MATCH(31,'Transfer Engine'!$C$2:$C$630,0)),"",INDEX('Compliance Database'!$N$2:$N$630,MATCH(31,'Transfer Engine'!$C$2:$C$630,0)))</f>
        <v/>
      </c>
      <c r="O40" s="8">
        <f>IF(ISNA(MATCH(31,'Transfer Engine'!$C$2:$C$630,0)),"",INDEX('Compliance Database'!$O$2:$O$630,MATCH(31,'Transfer Engine'!$C$2:$C$630,0)))</f>
        <v/>
      </c>
    </row>
    <row r="41">
      <c r="A41">
        <f>IF(ISNA(MATCH(32,'Transfer Engine'!$C$2:$C$630,0)),"",INDEX('Compliance Database'!$A$2:$A$630,MATCH(32,'Transfer Engine'!$C$2:$C$630,0)))</f>
        <v/>
      </c>
      <c r="B41">
        <f>IF(ISNA(MATCH(32,'Transfer Engine'!$C$2:$C$630,0)),"",INDEX('Compliance Database'!$B$2:$B$630,MATCH(32,'Transfer Engine'!$C$2:$C$630,0)))</f>
        <v/>
      </c>
      <c r="C41">
        <f>IF(ISNA(MATCH(32,'Transfer Engine'!$C$2:$C$630,0)),"",INDEX('Compliance Database'!$C$2:$C$630,MATCH(32,'Transfer Engine'!$C$2:$C$630,0)))</f>
        <v/>
      </c>
      <c r="D41" s="8">
        <f>IF(ISNA(MATCH(32,'Transfer Engine'!$C$2:$C$630,0)),"",INDEX('Compliance Database'!$D$2:$D$630,MATCH(32,'Transfer Engine'!$C$2:$C$630,0)))</f>
        <v/>
      </c>
      <c r="E41">
        <f>IF(ISNA(MATCH(32,'Transfer Engine'!$C$2:$C$630,0)),"",INDEX('Compliance Database'!$E$2:$E$630,MATCH(32,'Transfer Engine'!$C$2:$C$630,0)))</f>
        <v/>
      </c>
      <c r="F41">
        <f>IF(ISNA(MATCH(32,'Transfer Engine'!$C$2:$C$630,0)),"",INDEX('Compliance Database'!$F$2:$F$630,MATCH(32,'Transfer Engine'!$C$2:$C$630,0)))</f>
        <v/>
      </c>
      <c r="G41">
        <f>IF(ISNA(MATCH(32,'Transfer Engine'!$C$2:$C$630,0)),"",INDEX('Compliance Database'!$G$2:$G$630,MATCH(32,'Transfer Engine'!$C$2:$C$630,0)))</f>
        <v/>
      </c>
      <c r="H41">
        <f>IF(ISNA(MATCH(32,'Transfer Engine'!$C$2:$C$630,0)),"",INDEX('Compliance Database'!$H$2:$H$630,MATCH(32,'Transfer Engine'!$C$2:$C$630,0)))</f>
        <v/>
      </c>
      <c r="I41" s="8">
        <f>IF(ISNA(MATCH(32,'Transfer Engine'!$C$2:$C$630,0)),"",INDEX('Compliance Database'!$I$2:$I$630,MATCH(32,'Transfer Engine'!$C$2:$C$630,0)))</f>
        <v/>
      </c>
      <c r="J41" s="8">
        <f>IF(ISNA(MATCH(32,'Transfer Engine'!$C$2:$C$630,0)),"",INDEX('Compliance Database'!$J$2:$J$630,MATCH(32,'Transfer Engine'!$C$2:$C$630,0)))</f>
        <v/>
      </c>
      <c r="K41">
        <f>IF(ISNA(MATCH(32,'Transfer Engine'!$C$2:$C$630,0)),"",INDEX('Compliance Database'!$K$2:$K$630,MATCH(32,'Transfer Engine'!$C$2:$C$630,0)))</f>
        <v/>
      </c>
      <c r="L41" s="8">
        <f>IF(ISNA(MATCH(32,'Transfer Engine'!$C$2:$C$630,0)),"",INDEX('Compliance Database'!$L$2:$L$630,MATCH(32,'Transfer Engine'!$C$2:$C$630,0)))</f>
        <v/>
      </c>
      <c r="M41" s="8">
        <f>IF(ISNA(MATCH(32,'Transfer Engine'!$C$2:$C$630,0)),"",INDEX('Compliance Database'!$M$2:$M$630,MATCH(32,'Transfer Engine'!$C$2:$C$630,0)))</f>
        <v/>
      </c>
      <c r="N41" s="8">
        <f>IF(ISNA(MATCH(32,'Transfer Engine'!$C$2:$C$630,0)),"",INDEX('Compliance Database'!$N$2:$N$630,MATCH(32,'Transfer Engine'!$C$2:$C$630,0)))</f>
        <v/>
      </c>
      <c r="O41" s="8">
        <f>IF(ISNA(MATCH(32,'Transfer Engine'!$C$2:$C$630,0)),"",INDEX('Compliance Database'!$O$2:$O$630,MATCH(32,'Transfer Engine'!$C$2:$C$630,0)))</f>
        <v/>
      </c>
    </row>
    <row r="42">
      <c r="A42">
        <f>IF(ISNA(MATCH(33,'Transfer Engine'!$C$2:$C$630,0)),"",INDEX('Compliance Database'!$A$2:$A$630,MATCH(33,'Transfer Engine'!$C$2:$C$630,0)))</f>
        <v/>
      </c>
      <c r="B42">
        <f>IF(ISNA(MATCH(33,'Transfer Engine'!$C$2:$C$630,0)),"",INDEX('Compliance Database'!$B$2:$B$630,MATCH(33,'Transfer Engine'!$C$2:$C$630,0)))</f>
        <v/>
      </c>
      <c r="C42">
        <f>IF(ISNA(MATCH(33,'Transfer Engine'!$C$2:$C$630,0)),"",INDEX('Compliance Database'!$C$2:$C$630,MATCH(33,'Transfer Engine'!$C$2:$C$630,0)))</f>
        <v/>
      </c>
      <c r="D42" s="8">
        <f>IF(ISNA(MATCH(33,'Transfer Engine'!$C$2:$C$630,0)),"",INDEX('Compliance Database'!$D$2:$D$630,MATCH(33,'Transfer Engine'!$C$2:$C$630,0)))</f>
        <v/>
      </c>
      <c r="E42">
        <f>IF(ISNA(MATCH(33,'Transfer Engine'!$C$2:$C$630,0)),"",INDEX('Compliance Database'!$E$2:$E$630,MATCH(33,'Transfer Engine'!$C$2:$C$630,0)))</f>
        <v/>
      </c>
      <c r="F42">
        <f>IF(ISNA(MATCH(33,'Transfer Engine'!$C$2:$C$630,0)),"",INDEX('Compliance Database'!$F$2:$F$630,MATCH(33,'Transfer Engine'!$C$2:$C$630,0)))</f>
        <v/>
      </c>
      <c r="G42">
        <f>IF(ISNA(MATCH(33,'Transfer Engine'!$C$2:$C$630,0)),"",INDEX('Compliance Database'!$G$2:$G$630,MATCH(33,'Transfer Engine'!$C$2:$C$630,0)))</f>
        <v/>
      </c>
      <c r="H42">
        <f>IF(ISNA(MATCH(33,'Transfer Engine'!$C$2:$C$630,0)),"",INDEX('Compliance Database'!$H$2:$H$630,MATCH(33,'Transfer Engine'!$C$2:$C$630,0)))</f>
        <v/>
      </c>
      <c r="I42" s="8">
        <f>IF(ISNA(MATCH(33,'Transfer Engine'!$C$2:$C$630,0)),"",INDEX('Compliance Database'!$I$2:$I$630,MATCH(33,'Transfer Engine'!$C$2:$C$630,0)))</f>
        <v/>
      </c>
      <c r="J42" s="8">
        <f>IF(ISNA(MATCH(33,'Transfer Engine'!$C$2:$C$630,0)),"",INDEX('Compliance Database'!$J$2:$J$630,MATCH(33,'Transfer Engine'!$C$2:$C$630,0)))</f>
        <v/>
      </c>
      <c r="K42">
        <f>IF(ISNA(MATCH(33,'Transfer Engine'!$C$2:$C$630,0)),"",INDEX('Compliance Database'!$K$2:$K$630,MATCH(33,'Transfer Engine'!$C$2:$C$630,0)))</f>
        <v/>
      </c>
      <c r="L42" s="8">
        <f>IF(ISNA(MATCH(33,'Transfer Engine'!$C$2:$C$630,0)),"",INDEX('Compliance Database'!$L$2:$L$630,MATCH(33,'Transfer Engine'!$C$2:$C$630,0)))</f>
        <v/>
      </c>
      <c r="M42" s="8">
        <f>IF(ISNA(MATCH(33,'Transfer Engine'!$C$2:$C$630,0)),"",INDEX('Compliance Database'!$M$2:$M$630,MATCH(33,'Transfer Engine'!$C$2:$C$630,0)))</f>
        <v/>
      </c>
      <c r="N42" s="8">
        <f>IF(ISNA(MATCH(33,'Transfer Engine'!$C$2:$C$630,0)),"",INDEX('Compliance Database'!$N$2:$N$630,MATCH(33,'Transfer Engine'!$C$2:$C$630,0)))</f>
        <v/>
      </c>
      <c r="O42" s="8">
        <f>IF(ISNA(MATCH(33,'Transfer Engine'!$C$2:$C$630,0)),"",INDEX('Compliance Database'!$O$2:$O$630,MATCH(33,'Transfer Engine'!$C$2:$C$630,0)))</f>
        <v/>
      </c>
    </row>
    <row r="43">
      <c r="A43">
        <f>IF(ISNA(MATCH(34,'Transfer Engine'!$C$2:$C$630,0)),"",INDEX('Compliance Database'!$A$2:$A$630,MATCH(34,'Transfer Engine'!$C$2:$C$630,0)))</f>
        <v/>
      </c>
      <c r="B43">
        <f>IF(ISNA(MATCH(34,'Transfer Engine'!$C$2:$C$630,0)),"",INDEX('Compliance Database'!$B$2:$B$630,MATCH(34,'Transfer Engine'!$C$2:$C$630,0)))</f>
        <v/>
      </c>
      <c r="C43">
        <f>IF(ISNA(MATCH(34,'Transfer Engine'!$C$2:$C$630,0)),"",INDEX('Compliance Database'!$C$2:$C$630,MATCH(34,'Transfer Engine'!$C$2:$C$630,0)))</f>
        <v/>
      </c>
      <c r="D43" s="8">
        <f>IF(ISNA(MATCH(34,'Transfer Engine'!$C$2:$C$630,0)),"",INDEX('Compliance Database'!$D$2:$D$630,MATCH(34,'Transfer Engine'!$C$2:$C$630,0)))</f>
        <v/>
      </c>
      <c r="E43">
        <f>IF(ISNA(MATCH(34,'Transfer Engine'!$C$2:$C$630,0)),"",INDEX('Compliance Database'!$E$2:$E$630,MATCH(34,'Transfer Engine'!$C$2:$C$630,0)))</f>
        <v/>
      </c>
      <c r="F43">
        <f>IF(ISNA(MATCH(34,'Transfer Engine'!$C$2:$C$630,0)),"",INDEX('Compliance Database'!$F$2:$F$630,MATCH(34,'Transfer Engine'!$C$2:$C$630,0)))</f>
        <v/>
      </c>
      <c r="G43">
        <f>IF(ISNA(MATCH(34,'Transfer Engine'!$C$2:$C$630,0)),"",INDEX('Compliance Database'!$G$2:$G$630,MATCH(34,'Transfer Engine'!$C$2:$C$630,0)))</f>
        <v/>
      </c>
      <c r="H43">
        <f>IF(ISNA(MATCH(34,'Transfer Engine'!$C$2:$C$630,0)),"",INDEX('Compliance Database'!$H$2:$H$630,MATCH(34,'Transfer Engine'!$C$2:$C$630,0)))</f>
        <v/>
      </c>
      <c r="I43" s="8">
        <f>IF(ISNA(MATCH(34,'Transfer Engine'!$C$2:$C$630,0)),"",INDEX('Compliance Database'!$I$2:$I$630,MATCH(34,'Transfer Engine'!$C$2:$C$630,0)))</f>
        <v/>
      </c>
      <c r="J43" s="8">
        <f>IF(ISNA(MATCH(34,'Transfer Engine'!$C$2:$C$630,0)),"",INDEX('Compliance Database'!$J$2:$J$630,MATCH(34,'Transfer Engine'!$C$2:$C$630,0)))</f>
        <v/>
      </c>
      <c r="K43">
        <f>IF(ISNA(MATCH(34,'Transfer Engine'!$C$2:$C$630,0)),"",INDEX('Compliance Database'!$K$2:$K$630,MATCH(34,'Transfer Engine'!$C$2:$C$630,0)))</f>
        <v/>
      </c>
      <c r="L43" s="8">
        <f>IF(ISNA(MATCH(34,'Transfer Engine'!$C$2:$C$630,0)),"",INDEX('Compliance Database'!$L$2:$L$630,MATCH(34,'Transfer Engine'!$C$2:$C$630,0)))</f>
        <v/>
      </c>
      <c r="M43" s="8">
        <f>IF(ISNA(MATCH(34,'Transfer Engine'!$C$2:$C$630,0)),"",INDEX('Compliance Database'!$M$2:$M$630,MATCH(34,'Transfer Engine'!$C$2:$C$630,0)))</f>
        <v/>
      </c>
      <c r="N43" s="8">
        <f>IF(ISNA(MATCH(34,'Transfer Engine'!$C$2:$C$630,0)),"",INDEX('Compliance Database'!$N$2:$N$630,MATCH(34,'Transfer Engine'!$C$2:$C$630,0)))</f>
        <v/>
      </c>
      <c r="O43" s="8">
        <f>IF(ISNA(MATCH(34,'Transfer Engine'!$C$2:$C$630,0)),"",INDEX('Compliance Database'!$O$2:$O$630,MATCH(34,'Transfer Engine'!$C$2:$C$630,0)))</f>
        <v/>
      </c>
    </row>
    <row r="44">
      <c r="A44">
        <f>IF(ISNA(MATCH(35,'Transfer Engine'!$C$2:$C$630,0)),"",INDEX('Compliance Database'!$A$2:$A$630,MATCH(35,'Transfer Engine'!$C$2:$C$630,0)))</f>
        <v/>
      </c>
      <c r="B44">
        <f>IF(ISNA(MATCH(35,'Transfer Engine'!$C$2:$C$630,0)),"",INDEX('Compliance Database'!$B$2:$B$630,MATCH(35,'Transfer Engine'!$C$2:$C$630,0)))</f>
        <v/>
      </c>
      <c r="C44">
        <f>IF(ISNA(MATCH(35,'Transfer Engine'!$C$2:$C$630,0)),"",INDEX('Compliance Database'!$C$2:$C$630,MATCH(35,'Transfer Engine'!$C$2:$C$630,0)))</f>
        <v/>
      </c>
      <c r="D44" s="8">
        <f>IF(ISNA(MATCH(35,'Transfer Engine'!$C$2:$C$630,0)),"",INDEX('Compliance Database'!$D$2:$D$630,MATCH(35,'Transfer Engine'!$C$2:$C$630,0)))</f>
        <v/>
      </c>
      <c r="E44">
        <f>IF(ISNA(MATCH(35,'Transfer Engine'!$C$2:$C$630,0)),"",INDEX('Compliance Database'!$E$2:$E$630,MATCH(35,'Transfer Engine'!$C$2:$C$630,0)))</f>
        <v/>
      </c>
      <c r="F44">
        <f>IF(ISNA(MATCH(35,'Transfer Engine'!$C$2:$C$630,0)),"",INDEX('Compliance Database'!$F$2:$F$630,MATCH(35,'Transfer Engine'!$C$2:$C$630,0)))</f>
        <v/>
      </c>
      <c r="G44">
        <f>IF(ISNA(MATCH(35,'Transfer Engine'!$C$2:$C$630,0)),"",INDEX('Compliance Database'!$G$2:$G$630,MATCH(35,'Transfer Engine'!$C$2:$C$630,0)))</f>
        <v/>
      </c>
      <c r="H44">
        <f>IF(ISNA(MATCH(35,'Transfer Engine'!$C$2:$C$630,0)),"",INDEX('Compliance Database'!$H$2:$H$630,MATCH(35,'Transfer Engine'!$C$2:$C$630,0)))</f>
        <v/>
      </c>
      <c r="I44" s="8">
        <f>IF(ISNA(MATCH(35,'Transfer Engine'!$C$2:$C$630,0)),"",INDEX('Compliance Database'!$I$2:$I$630,MATCH(35,'Transfer Engine'!$C$2:$C$630,0)))</f>
        <v/>
      </c>
      <c r="J44" s="8">
        <f>IF(ISNA(MATCH(35,'Transfer Engine'!$C$2:$C$630,0)),"",INDEX('Compliance Database'!$J$2:$J$630,MATCH(35,'Transfer Engine'!$C$2:$C$630,0)))</f>
        <v/>
      </c>
      <c r="K44">
        <f>IF(ISNA(MATCH(35,'Transfer Engine'!$C$2:$C$630,0)),"",INDEX('Compliance Database'!$K$2:$K$630,MATCH(35,'Transfer Engine'!$C$2:$C$630,0)))</f>
        <v/>
      </c>
      <c r="L44" s="8">
        <f>IF(ISNA(MATCH(35,'Transfer Engine'!$C$2:$C$630,0)),"",INDEX('Compliance Database'!$L$2:$L$630,MATCH(35,'Transfer Engine'!$C$2:$C$630,0)))</f>
        <v/>
      </c>
      <c r="M44" s="8">
        <f>IF(ISNA(MATCH(35,'Transfer Engine'!$C$2:$C$630,0)),"",INDEX('Compliance Database'!$M$2:$M$630,MATCH(35,'Transfer Engine'!$C$2:$C$630,0)))</f>
        <v/>
      </c>
      <c r="N44" s="8">
        <f>IF(ISNA(MATCH(35,'Transfer Engine'!$C$2:$C$630,0)),"",INDEX('Compliance Database'!$N$2:$N$630,MATCH(35,'Transfer Engine'!$C$2:$C$630,0)))</f>
        <v/>
      </c>
      <c r="O44" s="8">
        <f>IF(ISNA(MATCH(35,'Transfer Engine'!$C$2:$C$630,0)),"",INDEX('Compliance Database'!$O$2:$O$630,MATCH(35,'Transfer Engine'!$C$2:$C$630,0)))</f>
        <v/>
      </c>
    </row>
    <row r="45">
      <c r="A45">
        <f>IF(ISNA(MATCH(36,'Transfer Engine'!$C$2:$C$630,0)),"",INDEX('Compliance Database'!$A$2:$A$630,MATCH(36,'Transfer Engine'!$C$2:$C$630,0)))</f>
        <v/>
      </c>
      <c r="B45">
        <f>IF(ISNA(MATCH(36,'Transfer Engine'!$C$2:$C$630,0)),"",INDEX('Compliance Database'!$B$2:$B$630,MATCH(36,'Transfer Engine'!$C$2:$C$630,0)))</f>
        <v/>
      </c>
      <c r="C45">
        <f>IF(ISNA(MATCH(36,'Transfer Engine'!$C$2:$C$630,0)),"",INDEX('Compliance Database'!$C$2:$C$630,MATCH(36,'Transfer Engine'!$C$2:$C$630,0)))</f>
        <v/>
      </c>
      <c r="D45" s="8">
        <f>IF(ISNA(MATCH(36,'Transfer Engine'!$C$2:$C$630,0)),"",INDEX('Compliance Database'!$D$2:$D$630,MATCH(36,'Transfer Engine'!$C$2:$C$630,0)))</f>
        <v/>
      </c>
      <c r="E45">
        <f>IF(ISNA(MATCH(36,'Transfer Engine'!$C$2:$C$630,0)),"",INDEX('Compliance Database'!$E$2:$E$630,MATCH(36,'Transfer Engine'!$C$2:$C$630,0)))</f>
        <v/>
      </c>
      <c r="F45">
        <f>IF(ISNA(MATCH(36,'Transfer Engine'!$C$2:$C$630,0)),"",INDEX('Compliance Database'!$F$2:$F$630,MATCH(36,'Transfer Engine'!$C$2:$C$630,0)))</f>
        <v/>
      </c>
      <c r="G45">
        <f>IF(ISNA(MATCH(36,'Transfer Engine'!$C$2:$C$630,0)),"",INDEX('Compliance Database'!$G$2:$G$630,MATCH(36,'Transfer Engine'!$C$2:$C$630,0)))</f>
        <v/>
      </c>
      <c r="H45">
        <f>IF(ISNA(MATCH(36,'Transfer Engine'!$C$2:$C$630,0)),"",INDEX('Compliance Database'!$H$2:$H$630,MATCH(36,'Transfer Engine'!$C$2:$C$630,0)))</f>
        <v/>
      </c>
      <c r="I45" s="8">
        <f>IF(ISNA(MATCH(36,'Transfer Engine'!$C$2:$C$630,0)),"",INDEX('Compliance Database'!$I$2:$I$630,MATCH(36,'Transfer Engine'!$C$2:$C$630,0)))</f>
        <v/>
      </c>
      <c r="J45" s="8">
        <f>IF(ISNA(MATCH(36,'Transfer Engine'!$C$2:$C$630,0)),"",INDEX('Compliance Database'!$J$2:$J$630,MATCH(36,'Transfer Engine'!$C$2:$C$630,0)))</f>
        <v/>
      </c>
      <c r="K45">
        <f>IF(ISNA(MATCH(36,'Transfer Engine'!$C$2:$C$630,0)),"",INDEX('Compliance Database'!$K$2:$K$630,MATCH(36,'Transfer Engine'!$C$2:$C$630,0)))</f>
        <v/>
      </c>
      <c r="L45" s="8">
        <f>IF(ISNA(MATCH(36,'Transfer Engine'!$C$2:$C$630,0)),"",INDEX('Compliance Database'!$L$2:$L$630,MATCH(36,'Transfer Engine'!$C$2:$C$630,0)))</f>
        <v/>
      </c>
      <c r="M45" s="8">
        <f>IF(ISNA(MATCH(36,'Transfer Engine'!$C$2:$C$630,0)),"",INDEX('Compliance Database'!$M$2:$M$630,MATCH(36,'Transfer Engine'!$C$2:$C$630,0)))</f>
        <v/>
      </c>
      <c r="N45" s="8">
        <f>IF(ISNA(MATCH(36,'Transfer Engine'!$C$2:$C$630,0)),"",INDEX('Compliance Database'!$N$2:$N$630,MATCH(36,'Transfer Engine'!$C$2:$C$630,0)))</f>
        <v/>
      </c>
      <c r="O45" s="8">
        <f>IF(ISNA(MATCH(36,'Transfer Engine'!$C$2:$C$630,0)),"",INDEX('Compliance Database'!$O$2:$O$630,MATCH(36,'Transfer Engine'!$C$2:$C$630,0)))</f>
        <v/>
      </c>
    </row>
    <row r="46">
      <c r="A46">
        <f>IF(ISNA(MATCH(37,'Transfer Engine'!$C$2:$C$630,0)),"",INDEX('Compliance Database'!$A$2:$A$630,MATCH(37,'Transfer Engine'!$C$2:$C$630,0)))</f>
        <v/>
      </c>
      <c r="B46">
        <f>IF(ISNA(MATCH(37,'Transfer Engine'!$C$2:$C$630,0)),"",INDEX('Compliance Database'!$B$2:$B$630,MATCH(37,'Transfer Engine'!$C$2:$C$630,0)))</f>
        <v/>
      </c>
      <c r="C46">
        <f>IF(ISNA(MATCH(37,'Transfer Engine'!$C$2:$C$630,0)),"",INDEX('Compliance Database'!$C$2:$C$630,MATCH(37,'Transfer Engine'!$C$2:$C$630,0)))</f>
        <v/>
      </c>
      <c r="D46" s="8">
        <f>IF(ISNA(MATCH(37,'Transfer Engine'!$C$2:$C$630,0)),"",INDEX('Compliance Database'!$D$2:$D$630,MATCH(37,'Transfer Engine'!$C$2:$C$630,0)))</f>
        <v/>
      </c>
      <c r="E46">
        <f>IF(ISNA(MATCH(37,'Transfer Engine'!$C$2:$C$630,0)),"",INDEX('Compliance Database'!$E$2:$E$630,MATCH(37,'Transfer Engine'!$C$2:$C$630,0)))</f>
        <v/>
      </c>
      <c r="F46">
        <f>IF(ISNA(MATCH(37,'Transfer Engine'!$C$2:$C$630,0)),"",INDEX('Compliance Database'!$F$2:$F$630,MATCH(37,'Transfer Engine'!$C$2:$C$630,0)))</f>
        <v/>
      </c>
      <c r="G46">
        <f>IF(ISNA(MATCH(37,'Transfer Engine'!$C$2:$C$630,0)),"",INDEX('Compliance Database'!$G$2:$G$630,MATCH(37,'Transfer Engine'!$C$2:$C$630,0)))</f>
        <v/>
      </c>
      <c r="H46">
        <f>IF(ISNA(MATCH(37,'Transfer Engine'!$C$2:$C$630,0)),"",INDEX('Compliance Database'!$H$2:$H$630,MATCH(37,'Transfer Engine'!$C$2:$C$630,0)))</f>
        <v/>
      </c>
      <c r="I46" s="8">
        <f>IF(ISNA(MATCH(37,'Transfer Engine'!$C$2:$C$630,0)),"",INDEX('Compliance Database'!$I$2:$I$630,MATCH(37,'Transfer Engine'!$C$2:$C$630,0)))</f>
        <v/>
      </c>
      <c r="J46" s="8">
        <f>IF(ISNA(MATCH(37,'Transfer Engine'!$C$2:$C$630,0)),"",INDEX('Compliance Database'!$J$2:$J$630,MATCH(37,'Transfer Engine'!$C$2:$C$630,0)))</f>
        <v/>
      </c>
      <c r="K46">
        <f>IF(ISNA(MATCH(37,'Transfer Engine'!$C$2:$C$630,0)),"",INDEX('Compliance Database'!$K$2:$K$630,MATCH(37,'Transfer Engine'!$C$2:$C$630,0)))</f>
        <v/>
      </c>
      <c r="L46" s="8">
        <f>IF(ISNA(MATCH(37,'Transfer Engine'!$C$2:$C$630,0)),"",INDEX('Compliance Database'!$L$2:$L$630,MATCH(37,'Transfer Engine'!$C$2:$C$630,0)))</f>
        <v/>
      </c>
      <c r="M46" s="8">
        <f>IF(ISNA(MATCH(37,'Transfer Engine'!$C$2:$C$630,0)),"",INDEX('Compliance Database'!$M$2:$M$630,MATCH(37,'Transfer Engine'!$C$2:$C$630,0)))</f>
        <v/>
      </c>
      <c r="N46" s="8">
        <f>IF(ISNA(MATCH(37,'Transfer Engine'!$C$2:$C$630,0)),"",INDEX('Compliance Database'!$N$2:$N$630,MATCH(37,'Transfer Engine'!$C$2:$C$630,0)))</f>
        <v/>
      </c>
      <c r="O46" s="8">
        <f>IF(ISNA(MATCH(37,'Transfer Engine'!$C$2:$C$630,0)),"",INDEX('Compliance Database'!$O$2:$O$630,MATCH(37,'Transfer Engine'!$C$2:$C$630,0)))</f>
        <v/>
      </c>
    </row>
    <row r="47">
      <c r="A47">
        <f>IF(ISNA(MATCH(38,'Transfer Engine'!$C$2:$C$630,0)),"",INDEX('Compliance Database'!$A$2:$A$630,MATCH(38,'Transfer Engine'!$C$2:$C$630,0)))</f>
        <v/>
      </c>
      <c r="B47">
        <f>IF(ISNA(MATCH(38,'Transfer Engine'!$C$2:$C$630,0)),"",INDEX('Compliance Database'!$B$2:$B$630,MATCH(38,'Transfer Engine'!$C$2:$C$630,0)))</f>
        <v/>
      </c>
      <c r="C47">
        <f>IF(ISNA(MATCH(38,'Transfer Engine'!$C$2:$C$630,0)),"",INDEX('Compliance Database'!$C$2:$C$630,MATCH(38,'Transfer Engine'!$C$2:$C$630,0)))</f>
        <v/>
      </c>
      <c r="D47" s="8">
        <f>IF(ISNA(MATCH(38,'Transfer Engine'!$C$2:$C$630,0)),"",INDEX('Compliance Database'!$D$2:$D$630,MATCH(38,'Transfer Engine'!$C$2:$C$630,0)))</f>
        <v/>
      </c>
      <c r="E47">
        <f>IF(ISNA(MATCH(38,'Transfer Engine'!$C$2:$C$630,0)),"",INDEX('Compliance Database'!$E$2:$E$630,MATCH(38,'Transfer Engine'!$C$2:$C$630,0)))</f>
        <v/>
      </c>
      <c r="F47">
        <f>IF(ISNA(MATCH(38,'Transfer Engine'!$C$2:$C$630,0)),"",INDEX('Compliance Database'!$F$2:$F$630,MATCH(38,'Transfer Engine'!$C$2:$C$630,0)))</f>
        <v/>
      </c>
      <c r="G47">
        <f>IF(ISNA(MATCH(38,'Transfer Engine'!$C$2:$C$630,0)),"",INDEX('Compliance Database'!$G$2:$G$630,MATCH(38,'Transfer Engine'!$C$2:$C$630,0)))</f>
        <v/>
      </c>
      <c r="H47">
        <f>IF(ISNA(MATCH(38,'Transfer Engine'!$C$2:$C$630,0)),"",INDEX('Compliance Database'!$H$2:$H$630,MATCH(38,'Transfer Engine'!$C$2:$C$630,0)))</f>
        <v/>
      </c>
      <c r="I47" s="8">
        <f>IF(ISNA(MATCH(38,'Transfer Engine'!$C$2:$C$630,0)),"",INDEX('Compliance Database'!$I$2:$I$630,MATCH(38,'Transfer Engine'!$C$2:$C$630,0)))</f>
        <v/>
      </c>
      <c r="J47" s="8">
        <f>IF(ISNA(MATCH(38,'Transfer Engine'!$C$2:$C$630,0)),"",INDEX('Compliance Database'!$J$2:$J$630,MATCH(38,'Transfer Engine'!$C$2:$C$630,0)))</f>
        <v/>
      </c>
      <c r="K47">
        <f>IF(ISNA(MATCH(38,'Transfer Engine'!$C$2:$C$630,0)),"",INDEX('Compliance Database'!$K$2:$K$630,MATCH(38,'Transfer Engine'!$C$2:$C$630,0)))</f>
        <v/>
      </c>
      <c r="L47" s="8">
        <f>IF(ISNA(MATCH(38,'Transfer Engine'!$C$2:$C$630,0)),"",INDEX('Compliance Database'!$L$2:$L$630,MATCH(38,'Transfer Engine'!$C$2:$C$630,0)))</f>
        <v/>
      </c>
      <c r="M47" s="8">
        <f>IF(ISNA(MATCH(38,'Transfer Engine'!$C$2:$C$630,0)),"",INDEX('Compliance Database'!$M$2:$M$630,MATCH(38,'Transfer Engine'!$C$2:$C$630,0)))</f>
        <v/>
      </c>
      <c r="N47" s="8">
        <f>IF(ISNA(MATCH(38,'Transfer Engine'!$C$2:$C$630,0)),"",INDEX('Compliance Database'!$N$2:$N$630,MATCH(38,'Transfer Engine'!$C$2:$C$630,0)))</f>
        <v/>
      </c>
      <c r="O47" s="8">
        <f>IF(ISNA(MATCH(38,'Transfer Engine'!$C$2:$C$630,0)),"",INDEX('Compliance Database'!$O$2:$O$630,MATCH(38,'Transfer Engine'!$C$2:$C$630,0)))</f>
        <v/>
      </c>
    </row>
    <row r="48">
      <c r="A48">
        <f>IF(ISNA(MATCH(39,'Transfer Engine'!$C$2:$C$630,0)),"",INDEX('Compliance Database'!$A$2:$A$630,MATCH(39,'Transfer Engine'!$C$2:$C$630,0)))</f>
        <v/>
      </c>
      <c r="B48">
        <f>IF(ISNA(MATCH(39,'Transfer Engine'!$C$2:$C$630,0)),"",INDEX('Compliance Database'!$B$2:$B$630,MATCH(39,'Transfer Engine'!$C$2:$C$630,0)))</f>
        <v/>
      </c>
      <c r="C48">
        <f>IF(ISNA(MATCH(39,'Transfer Engine'!$C$2:$C$630,0)),"",INDEX('Compliance Database'!$C$2:$C$630,MATCH(39,'Transfer Engine'!$C$2:$C$630,0)))</f>
        <v/>
      </c>
      <c r="D48" s="8">
        <f>IF(ISNA(MATCH(39,'Transfer Engine'!$C$2:$C$630,0)),"",INDEX('Compliance Database'!$D$2:$D$630,MATCH(39,'Transfer Engine'!$C$2:$C$630,0)))</f>
        <v/>
      </c>
      <c r="E48">
        <f>IF(ISNA(MATCH(39,'Transfer Engine'!$C$2:$C$630,0)),"",INDEX('Compliance Database'!$E$2:$E$630,MATCH(39,'Transfer Engine'!$C$2:$C$630,0)))</f>
        <v/>
      </c>
      <c r="F48">
        <f>IF(ISNA(MATCH(39,'Transfer Engine'!$C$2:$C$630,0)),"",INDEX('Compliance Database'!$F$2:$F$630,MATCH(39,'Transfer Engine'!$C$2:$C$630,0)))</f>
        <v/>
      </c>
      <c r="G48">
        <f>IF(ISNA(MATCH(39,'Transfer Engine'!$C$2:$C$630,0)),"",INDEX('Compliance Database'!$G$2:$G$630,MATCH(39,'Transfer Engine'!$C$2:$C$630,0)))</f>
        <v/>
      </c>
      <c r="H48">
        <f>IF(ISNA(MATCH(39,'Transfer Engine'!$C$2:$C$630,0)),"",INDEX('Compliance Database'!$H$2:$H$630,MATCH(39,'Transfer Engine'!$C$2:$C$630,0)))</f>
        <v/>
      </c>
      <c r="I48" s="8">
        <f>IF(ISNA(MATCH(39,'Transfer Engine'!$C$2:$C$630,0)),"",INDEX('Compliance Database'!$I$2:$I$630,MATCH(39,'Transfer Engine'!$C$2:$C$630,0)))</f>
        <v/>
      </c>
      <c r="J48" s="8">
        <f>IF(ISNA(MATCH(39,'Transfer Engine'!$C$2:$C$630,0)),"",INDEX('Compliance Database'!$J$2:$J$630,MATCH(39,'Transfer Engine'!$C$2:$C$630,0)))</f>
        <v/>
      </c>
      <c r="K48">
        <f>IF(ISNA(MATCH(39,'Transfer Engine'!$C$2:$C$630,0)),"",INDEX('Compliance Database'!$K$2:$K$630,MATCH(39,'Transfer Engine'!$C$2:$C$630,0)))</f>
        <v/>
      </c>
      <c r="L48" s="8">
        <f>IF(ISNA(MATCH(39,'Transfer Engine'!$C$2:$C$630,0)),"",INDEX('Compliance Database'!$L$2:$L$630,MATCH(39,'Transfer Engine'!$C$2:$C$630,0)))</f>
        <v/>
      </c>
      <c r="M48" s="8">
        <f>IF(ISNA(MATCH(39,'Transfer Engine'!$C$2:$C$630,0)),"",INDEX('Compliance Database'!$M$2:$M$630,MATCH(39,'Transfer Engine'!$C$2:$C$630,0)))</f>
        <v/>
      </c>
      <c r="N48" s="8">
        <f>IF(ISNA(MATCH(39,'Transfer Engine'!$C$2:$C$630,0)),"",INDEX('Compliance Database'!$N$2:$N$630,MATCH(39,'Transfer Engine'!$C$2:$C$630,0)))</f>
        <v/>
      </c>
      <c r="O48" s="8">
        <f>IF(ISNA(MATCH(39,'Transfer Engine'!$C$2:$C$630,0)),"",INDEX('Compliance Database'!$O$2:$O$630,MATCH(39,'Transfer Engine'!$C$2:$C$630,0)))</f>
        <v/>
      </c>
    </row>
    <row r="49">
      <c r="A49">
        <f>IF(ISNA(MATCH(40,'Transfer Engine'!$C$2:$C$630,0)),"",INDEX('Compliance Database'!$A$2:$A$630,MATCH(40,'Transfer Engine'!$C$2:$C$630,0)))</f>
        <v/>
      </c>
      <c r="B49">
        <f>IF(ISNA(MATCH(40,'Transfer Engine'!$C$2:$C$630,0)),"",INDEX('Compliance Database'!$B$2:$B$630,MATCH(40,'Transfer Engine'!$C$2:$C$630,0)))</f>
        <v/>
      </c>
      <c r="C49">
        <f>IF(ISNA(MATCH(40,'Transfer Engine'!$C$2:$C$630,0)),"",INDEX('Compliance Database'!$C$2:$C$630,MATCH(40,'Transfer Engine'!$C$2:$C$630,0)))</f>
        <v/>
      </c>
      <c r="D49" s="8">
        <f>IF(ISNA(MATCH(40,'Transfer Engine'!$C$2:$C$630,0)),"",INDEX('Compliance Database'!$D$2:$D$630,MATCH(40,'Transfer Engine'!$C$2:$C$630,0)))</f>
        <v/>
      </c>
      <c r="E49">
        <f>IF(ISNA(MATCH(40,'Transfer Engine'!$C$2:$C$630,0)),"",INDEX('Compliance Database'!$E$2:$E$630,MATCH(40,'Transfer Engine'!$C$2:$C$630,0)))</f>
        <v/>
      </c>
      <c r="F49">
        <f>IF(ISNA(MATCH(40,'Transfer Engine'!$C$2:$C$630,0)),"",INDEX('Compliance Database'!$F$2:$F$630,MATCH(40,'Transfer Engine'!$C$2:$C$630,0)))</f>
        <v/>
      </c>
      <c r="G49">
        <f>IF(ISNA(MATCH(40,'Transfer Engine'!$C$2:$C$630,0)),"",INDEX('Compliance Database'!$G$2:$G$630,MATCH(40,'Transfer Engine'!$C$2:$C$630,0)))</f>
        <v/>
      </c>
      <c r="H49">
        <f>IF(ISNA(MATCH(40,'Transfer Engine'!$C$2:$C$630,0)),"",INDEX('Compliance Database'!$H$2:$H$630,MATCH(40,'Transfer Engine'!$C$2:$C$630,0)))</f>
        <v/>
      </c>
      <c r="I49" s="8">
        <f>IF(ISNA(MATCH(40,'Transfer Engine'!$C$2:$C$630,0)),"",INDEX('Compliance Database'!$I$2:$I$630,MATCH(40,'Transfer Engine'!$C$2:$C$630,0)))</f>
        <v/>
      </c>
      <c r="J49" s="8">
        <f>IF(ISNA(MATCH(40,'Transfer Engine'!$C$2:$C$630,0)),"",INDEX('Compliance Database'!$J$2:$J$630,MATCH(40,'Transfer Engine'!$C$2:$C$630,0)))</f>
        <v/>
      </c>
      <c r="K49">
        <f>IF(ISNA(MATCH(40,'Transfer Engine'!$C$2:$C$630,0)),"",INDEX('Compliance Database'!$K$2:$K$630,MATCH(40,'Transfer Engine'!$C$2:$C$630,0)))</f>
        <v/>
      </c>
      <c r="L49" s="8">
        <f>IF(ISNA(MATCH(40,'Transfer Engine'!$C$2:$C$630,0)),"",INDEX('Compliance Database'!$L$2:$L$630,MATCH(40,'Transfer Engine'!$C$2:$C$630,0)))</f>
        <v/>
      </c>
      <c r="M49" s="8">
        <f>IF(ISNA(MATCH(40,'Transfer Engine'!$C$2:$C$630,0)),"",INDEX('Compliance Database'!$M$2:$M$630,MATCH(40,'Transfer Engine'!$C$2:$C$630,0)))</f>
        <v/>
      </c>
      <c r="N49" s="8">
        <f>IF(ISNA(MATCH(40,'Transfer Engine'!$C$2:$C$630,0)),"",INDEX('Compliance Database'!$N$2:$N$630,MATCH(40,'Transfer Engine'!$C$2:$C$630,0)))</f>
        <v/>
      </c>
      <c r="O49" s="8">
        <f>IF(ISNA(MATCH(40,'Transfer Engine'!$C$2:$C$630,0)),"",INDEX('Compliance Database'!$O$2:$O$630,MATCH(40,'Transfer Engine'!$C$2:$C$630,0)))</f>
        <v/>
      </c>
    </row>
    <row r="50">
      <c r="A50">
        <f>IF(ISNA(MATCH(41,'Transfer Engine'!$C$2:$C$630,0)),"",INDEX('Compliance Database'!$A$2:$A$630,MATCH(41,'Transfer Engine'!$C$2:$C$630,0)))</f>
        <v/>
      </c>
      <c r="B50">
        <f>IF(ISNA(MATCH(41,'Transfer Engine'!$C$2:$C$630,0)),"",INDEX('Compliance Database'!$B$2:$B$630,MATCH(41,'Transfer Engine'!$C$2:$C$630,0)))</f>
        <v/>
      </c>
      <c r="C50">
        <f>IF(ISNA(MATCH(41,'Transfer Engine'!$C$2:$C$630,0)),"",INDEX('Compliance Database'!$C$2:$C$630,MATCH(41,'Transfer Engine'!$C$2:$C$630,0)))</f>
        <v/>
      </c>
      <c r="D50" s="8">
        <f>IF(ISNA(MATCH(41,'Transfer Engine'!$C$2:$C$630,0)),"",INDEX('Compliance Database'!$D$2:$D$630,MATCH(41,'Transfer Engine'!$C$2:$C$630,0)))</f>
        <v/>
      </c>
      <c r="E50">
        <f>IF(ISNA(MATCH(41,'Transfer Engine'!$C$2:$C$630,0)),"",INDEX('Compliance Database'!$E$2:$E$630,MATCH(41,'Transfer Engine'!$C$2:$C$630,0)))</f>
        <v/>
      </c>
      <c r="F50">
        <f>IF(ISNA(MATCH(41,'Transfer Engine'!$C$2:$C$630,0)),"",INDEX('Compliance Database'!$F$2:$F$630,MATCH(41,'Transfer Engine'!$C$2:$C$630,0)))</f>
        <v/>
      </c>
      <c r="G50">
        <f>IF(ISNA(MATCH(41,'Transfer Engine'!$C$2:$C$630,0)),"",INDEX('Compliance Database'!$G$2:$G$630,MATCH(41,'Transfer Engine'!$C$2:$C$630,0)))</f>
        <v/>
      </c>
      <c r="H50">
        <f>IF(ISNA(MATCH(41,'Transfer Engine'!$C$2:$C$630,0)),"",INDEX('Compliance Database'!$H$2:$H$630,MATCH(41,'Transfer Engine'!$C$2:$C$630,0)))</f>
        <v/>
      </c>
      <c r="I50" s="8">
        <f>IF(ISNA(MATCH(41,'Transfer Engine'!$C$2:$C$630,0)),"",INDEX('Compliance Database'!$I$2:$I$630,MATCH(41,'Transfer Engine'!$C$2:$C$630,0)))</f>
        <v/>
      </c>
      <c r="J50" s="8">
        <f>IF(ISNA(MATCH(41,'Transfer Engine'!$C$2:$C$630,0)),"",INDEX('Compliance Database'!$J$2:$J$630,MATCH(41,'Transfer Engine'!$C$2:$C$630,0)))</f>
        <v/>
      </c>
      <c r="K50">
        <f>IF(ISNA(MATCH(41,'Transfer Engine'!$C$2:$C$630,0)),"",INDEX('Compliance Database'!$K$2:$K$630,MATCH(41,'Transfer Engine'!$C$2:$C$630,0)))</f>
        <v/>
      </c>
      <c r="L50" s="8">
        <f>IF(ISNA(MATCH(41,'Transfer Engine'!$C$2:$C$630,0)),"",INDEX('Compliance Database'!$L$2:$L$630,MATCH(41,'Transfer Engine'!$C$2:$C$630,0)))</f>
        <v/>
      </c>
      <c r="M50" s="8">
        <f>IF(ISNA(MATCH(41,'Transfer Engine'!$C$2:$C$630,0)),"",INDEX('Compliance Database'!$M$2:$M$630,MATCH(41,'Transfer Engine'!$C$2:$C$630,0)))</f>
        <v/>
      </c>
      <c r="N50" s="8">
        <f>IF(ISNA(MATCH(41,'Transfer Engine'!$C$2:$C$630,0)),"",INDEX('Compliance Database'!$N$2:$N$630,MATCH(41,'Transfer Engine'!$C$2:$C$630,0)))</f>
        <v/>
      </c>
      <c r="O50" s="8">
        <f>IF(ISNA(MATCH(41,'Transfer Engine'!$C$2:$C$630,0)),"",INDEX('Compliance Database'!$O$2:$O$630,MATCH(41,'Transfer Engine'!$C$2:$C$630,0)))</f>
        <v/>
      </c>
    </row>
    <row r="51">
      <c r="A51">
        <f>IF(ISNA(MATCH(42,'Transfer Engine'!$C$2:$C$630,0)),"",INDEX('Compliance Database'!$A$2:$A$630,MATCH(42,'Transfer Engine'!$C$2:$C$630,0)))</f>
        <v/>
      </c>
      <c r="B51">
        <f>IF(ISNA(MATCH(42,'Transfer Engine'!$C$2:$C$630,0)),"",INDEX('Compliance Database'!$B$2:$B$630,MATCH(42,'Transfer Engine'!$C$2:$C$630,0)))</f>
        <v/>
      </c>
      <c r="C51">
        <f>IF(ISNA(MATCH(42,'Transfer Engine'!$C$2:$C$630,0)),"",INDEX('Compliance Database'!$C$2:$C$630,MATCH(42,'Transfer Engine'!$C$2:$C$630,0)))</f>
        <v/>
      </c>
      <c r="D51" s="8">
        <f>IF(ISNA(MATCH(42,'Transfer Engine'!$C$2:$C$630,0)),"",INDEX('Compliance Database'!$D$2:$D$630,MATCH(42,'Transfer Engine'!$C$2:$C$630,0)))</f>
        <v/>
      </c>
      <c r="E51">
        <f>IF(ISNA(MATCH(42,'Transfer Engine'!$C$2:$C$630,0)),"",INDEX('Compliance Database'!$E$2:$E$630,MATCH(42,'Transfer Engine'!$C$2:$C$630,0)))</f>
        <v/>
      </c>
      <c r="F51">
        <f>IF(ISNA(MATCH(42,'Transfer Engine'!$C$2:$C$630,0)),"",INDEX('Compliance Database'!$F$2:$F$630,MATCH(42,'Transfer Engine'!$C$2:$C$630,0)))</f>
        <v/>
      </c>
      <c r="G51">
        <f>IF(ISNA(MATCH(42,'Transfer Engine'!$C$2:$C$630,0)),"",INDEX('Compliance Database'!$G$2:$G$630,MATCH(42,'Transfer Engine'!$C$2:$C$630,0)))</f>
        <v/>
      </c>
      <c r="H51">
        <f>IF(ISNA(MATCH(42,'Transfer Engine'!$C$2:$C$630,0)),"",INDEX('Compliance Database'!$H$2:$H$630,MATCH(42,'Transfer Engine'!$C$2:$C$630,0)))</f>
        <v/>
      </c>
      <c r="I51" s="8">
        <f>IF(ISNA(MATCH(42,'Transfer Engine'!$C$2:$C$630,0)),"",INDEX('Compliance Database'!$I$2:$I$630,MATCH(42,'Transfer Engine'!$C$2:$C$630,0)))</f>
        <v/>
      </c>
      <c r="J51" s="8">
        <f>IF(ISNA(MATCH(42,'Transfer Engine'!$C$2:$C$630,0)),"",INDEX('Compliance Database'!$J$2:$J$630,MATCH(42,'Transfer Engine'!$C$2:$C$630,0)))</f>
        <v/>
      </c>
      <c r="K51">
        <f>IF(ISNA(MATCH(42,'Transfer Engine'!$C$2:$C$630,0)),"",INDEX('Compliance Database'!$K$2:$K$630,MATCH(42,'Transfer Engine'!$C$2:$C$630,0)))</f>
        <v/>
      </c>
      <c r="L51" s="8">
        <f>IF(ISNA(MATCH(42,'Transfer Engine'!$C$2:$C$630,0)),"",INDEX('Compliance Database'!$L$2:$L$630,MATCH(42,'Transfer Engine'!$C$2:$C$630,0)))</f>
        <v/>
      </c>
      <c r="M51" s="8">
        <f>IF(ISNA(MATCH(42,'Transfer Engine'!$C$2:$C$630,0)),"",INDEX('Compliance Database'!$M$2:$M$630,MATCH(42,'Transfer Engine'!$C$2:$C$630,0)))</f>
        <v/>
      </c>
      <c r="N51" s="8">
        <f>IF(ISNA(MATCH(42,'Transfer Engine'!$C$2:$C$630,0)),"",INDEX('Compliance Database'!$N$2:$N$630,MATCH(42,'Transfer Engine'!$C$2:$C$630,0)))</f>
        <v/>
      </c>
      <c r="O51" s="8">
        <f>IF(ISNA(MATCH(42,'Transfer Engine'!$C$2:$C$630,0)),"",INDEX('Compliance Database'!$O$2:$O$630,MATCH(42,'Transfer Engine'!$C$2:$C$630,0)))</f>
        <v/>
      </c>
    </row>
    <row r="52">
      <c r="A52">
        <f>IF(ISNA(MATCH(43,'Transfer Engine'!$C$2:$C$630,0)),"",INDEX('Compliance Database'!$A$2:$A$630,MATCH(43,'Transfer Engine'!$C$2:$C$630,0)))</f>
        <v/>
      </c>
      <c r="B52">
        <f>IF(ISNA(MATCH(43,'Transfer Engine'!$C$2:$C$630,0)),"",INDEX('Compliance Database'!$B$2:$B$630,MATCH(43,'Transfer Engine'!$C$2:$C$630,0)))</f>
        <v/>
      </c>
      <c r="C52">
        <f>IF(ISNA(MATCH(43,'Transfer Engine'!$C$2:$C$630,0)),"",INDEX('Compliance Database'!$C$2:$C$630,MATCH(43,'Transfer Engine'!$C$2:$C$630,0)))</f>
        <v/>
      </c>
      <c r="D52" s="8">
        <f>IF(ISNA(MATCH(43,'Transfer Engine'!$C$2:$C$630,0)),"",INDEX('Compliance Database'!$D$2:$D$630,MATCH(43,'Transfer Engine'!$C$2:$C$630,0)))</f>
        <v/>
      </c>
      <c r="E52">
        <f>IF(ISNA(MATCH(43,'Transfer Engine'!$C$2:$C$630,0)),"",INDEX('Compliance Database'!$E$2:$E$630,MATCH(43,'Transfer Engine'!$C$2:$C$630,0)))</f>
        <v/>
      </c>
      <c r="F52">
        <f>IF(ISNA(MATCH(43,'Transfer Engine'!$C$2:$C$630,0)),"",INDEX('Compliance Database'!$F$2:$F$630,MATCH(43,'Transfer Engine'!$C$2:$C$630,0)))</f>
        <v/>
      </c>
      <c r="G52">
        <f>IF(ISNA(MATCH(43,'Transfer Engine'!$C$2:$C$630,0)),"",INDEX('Compliance Database'!$G$2:$G$630,MATCH(43,'Transfer Engine'!$C$2:$C$630,0)))</f>
        <v/>
      </c>
      <c r="H52">
        <f>IF(ISNA(MATCH(43,'Transfer Engine'!$C$2:$C$630,0)),"",INDEX('Compliance Database'!$H$2:$H$630,MATCH(43,'Transfer Engine'!$C$2:$C$630,0)))</f>
        <v/>
      </c>
      <c r="I52" s="8">
        <f>IF(ISNA(MATCH(43,'Transfer Engine'!$C$2:$C$630,0)),"",INDEX('Compliance Database'!$I$2:$I$630,MATCH(43,'Transfer Engine'!$C$2:$C$630,0)))</f>
        <v/>
      </c>
      <c r="J52" s="8">
        <f>IF(ISNA(MATCH(43,'Transfer Engine'!$C$2:$C$630,0)),"",INDEX('Compliance Database'!$J$2:$J$630,MATCH(43,'Transfer Engine'!$C$2:$C$630,0)))</f>
        <v/>
      </c>
      <c r="K52">
        <f>IF(ISNA(MATCH(43,'Transfer Engine'!$C$2:$C$630,0)),"",INDEX('Compliance Database'!$K$2:$K$630,MATCH(43,'Transfer Engine'!$C$2:$C$630,0)))</f>
        <v/>
      </c>
      <c r="L52" s="8">
        <f>IF(ISNA(MATCH(43,'Transfer Engine'!$C$2:$C$630,0)),"",INDEX('Compliance Database'!$L$2:$L$630,MATCH(43,'Transfer Engine'!$C$2:$C$630,0)))</f>
        <v/>
      </c>
      <c r="M52" s="8">
        <f>IF(ISNA(MATCH(43,'Transfer Engine'!$C$2:$C$630,0)),"",INDEX('Compliance Database'!$M$2:$M$630,MATCH(43,'Transfer Engine'!$C$2:$C$630,0)))</f>
        <v/>
      </c>
      <c r="N52" s="8">
        <f>IF(ISNA(MATCH(43,'Transfer Engine'!$C$2:$C$630,0)),"",INDEX('Compliance Database'!$N$2:$N$630,MATCH(43,'Transfer Engine'!$C$2:$C$630,0)))</f>
        <v/>
      </c>
      <c r="O52" s="8">
        <f>IF(ISNA(MATCH(43,'Transfer Engine'!$C$2:$C$630,0)),"",INDEX('Compliance Database'!$O$2:$O$630,MATCH(43,'Transfer Engine'!$C$2:$C$630,0)))</f>
        <v/>
      </c>
    </row>
    <row r="53">
      <c r="A53">
        <f>IF(ISNA(MATCH(44,'Transfer Engine'!$C$2:$C$630,0)),"",INDEX('Compliance Database'!$A$2:$A$630,MATCH(44,'Transfer Engine'!$C$2:$C$630,0)))</f>
        <v/>
      </c>
      <c r="B53">
        <f>IF(ISNA(MATCH(44,'Transfer Engine'!$C$2:$C$630,0)),"",INDEX('Compliance Database'!$B$2:$B$630,MATCH(44,'Transfer Engine'!$C$2:$C$630,0)))</f>
        <v/>
      </c>
      <c r="C53">
        <f>IF(ISNA(MATCH(44,'Transfer Engine'!$C$2:$C$630,0)),"",INDEX('Compliance Database'!$C$2:$C$630,MATCH(44,'Transfer Engine'!$C$2:$C$630,0)))</f>
        <v/>
      </c>
      <c r="D53" s="8">
        <f>IF(ISNA(MATCH(44,'Transfer Engine'!$C$2:$C$630,0)),"",INDEX('Compliance Database'!$D$2:$D$630,MATCH(44,'Transfer Engine'!$C$2:$C$630,0)))</f>
        <v/>
      </c>
      <c r="E53">
        <f>IF(ISNA(MATCH(44,'Transfer Engine'!$C$2:$C$630,0)),"",INDEX('Compliance Database'!$E$2:$E$630,MATCH(44,'Transfer Engine'!$C$2:$C$630,0)))</f>
        <v/>
      </c>
      <c r="F53">
        <f>IF(ISNA(MATCH(44,'Transfer Engine'!$C$2:$C$630,0)),"",INDEX('Compliance Database'!$F$2:$F$630,MATCH(44,'Transfer Engine'!$C$2:$C$630,0)))</f>
        <v/>
      </c>
      <c r="G53">
        <f>IF(ISNA(MATCH(44,'Transfer Engine'!$C$2:$C$630,0)),"",INDEX('Compliance Database'!$G$2:$G$630,MATCH(44,'Transfer Engine'!$C$2:$C$630,0)))</f>
        <v/>
      </c>
      <c r="H53">
        <f>IF(ISNA(MATCH(44,'Transfer Engine'!$C$2:$C$630,0)),"",INDEX('Compliance Database'!$H$2:$H$630,MATCH(44,'Transfer Engine'!$C$2:$C$630,0)))</f>
        <v/>
      </c>
      <c r="I53" s="8">
        <f>IF(ISNA(MATCH(44,'Transfer Engine'!$C$2:$C$630,0)),"",INDEX('Compliance Database'!$I$2:$I$630,MATCH(44,'Transfer Engine'!$C$2:$C$630,0)))</f>
        <v/>
      </c>
      <c r="J53" s="8">
        <f>IF(ISNA(MATCH(44,'Transfer Engine'!$C$2:$C$630,0)),"",INDEX('Compliance Database'!$J$2:$J$630,MATCH(44,'Transfer Engine'!$C$2:$C$630,0)))</f>
        <v/>
      </c>
      <c r="K53">
        <f>IF(ISNA(MATCH(44,'Transfer Engine'!$C$2:$C$630,0)),"",INDEX('Compliance Database'!$K$2:$K$630,MATCH(44,'Transfer Engine'!$C$2:$C$630,0)))</f>
        <v/>
      </c>
      <c r="L53" s="8">
        <f>IF(ISNA(MATCH(44,'Transfer Engine'!$C$2:$C$630,0)),"",INDEX('Compliance Database'!$L$2:$L$630,MATCH(44,'Transfer Engine'!$C$2:$C$630,0)))</f>
        <v/>
      </c>
      <c r="M53" s="8">
        <f>IF(ISNA(MATCH(44,'Transfer Engine'!$C$2:$C$630,0)),"",INDEX('Compliance Database'!$M$2:$M$630,MATCH(44,'Transfer Engine'!$C$2:$C$630,0)))</f>
        <v/>
      </c>
      <c r="N53" s="8">
        <f>IF(ISNA(MATCH(44,'Transfer Engine'!$C$2:$C$630,0)),"",INDEX('Compliance Database'!$N$2:$N$630,MATCH(44,'Transfer Engine'!$C$2:$C$630,0)))</f>
        <v/>
      </c>
      <c r="O53" s="8">
        <f>IF(ISNA(MATCH(44,'Transfer Engine'!$C$2:$C$630,0)),"",INDEX('Compliance Database'!$O$2:$O$630,MATCH(44,'Transfer Engine'!$C$2:$C$630,0)))</f>
        <v/>
      </c>
    </row>
    <row r="54">
      <c r="A54">
        <f>IF(ISNA(MATCH(45,'Transfer Engine'!$C$2:$C$630,0)),"",INDEX('Compliance Database'!$A$2:$A$630,MATCH(45,'Transfer Engine'!$C$2:$C$630,0)))</f>
        <v/>
      </c>
      <c r="B54">
        <f>IF(ISNA(MATCH(45,'Transfer Engine'!$C$2:$C$630,0)),"",INDEX('Compliance Database'!$B$2:$B$630,MATCH(45,'Transfer Engine'!$C$2:$C$630,0)))</f>
        <v/>
      </c>
      <c r="C54">
        <f>IF(ISNA(MATCH(45,'Transfer Engine'!$C$2:$C$630,0)),"",INDEX('Compliance Database'!$C$2:$C$630,MATCH(45,'Transfer Engine'!$C$2:$C$630,0)))</f>
        <v/>
      </c>
      <c r="D54" s="8">
        <f>IF(ISNA(MATCH(45,'Transfer Engine'!$C$2:$C$630,0)),"",INDEX('Compliance Database'!$D$2:$D$630,MATCH(45,'Transfer Engine'!$C$2:$C$630,0)))</f>
        <v/>
      </c>
      <c r="E54">
        <f>IF(ISNA(MATCH(45,'Transfer Engine'!$C$2:$C$630,0)),"",INDEX('Compliance Database'!$E$2:$E$630,MATCH(45,'Transfer Engine'!$C$2:$C$630,0)))</f>
        <v/>
      </c>
      <c r="F54">
        <f>IF(ISNA(MATCH(45,'Transfer Engine'!$C$2:$C$630,0)),"",INDEX('Compliance Database'!$F$2:$F$630,MATCH(45,'Transfer Engine'!$C$2:$C$630,0)))</f>
        <v/>
      </c>
      <c r="G54">
        <f>IF(ISNA(MATCH(45,'Transfer Engine'!$C$2:$C$630,0)),"",INDEX('Compliance Database'!$G$2:$G$630,MATCH(45,'Transfer Engine'!$C$2:$C$630,0)))</f>
        <v/>
      </c>
      <c r="H54">
        <f>IF(ISNA(MATCH(45,'Transfer Engine'!$C$2:$C$630,0)),"",INDEX('Compliance Database'!$H$2:$H$630,MATCH(45,'Transfer Engine'!$C$2:$C$630,0)))</f>
        <v/>
      </c>
      <c r="I54" s="8">
        <f>IF(ISNA(MATCH(45,'Transfer Engine'!$C$2:$C$630,0)),"",INDEX('Compliance Database'!$I$2:$I$630,MATCH(45,'Transfer Engine'!$C$2:$C$630,0)))</f>
        <v/>
      </c>
      <c r="J54" s="8">
        <f>IF(ISNA(MATCH(45,'Transfer Engine'!$C$2:$C$630,0)),"",INDEX('Compliance Database'!$J$2:$J$630,MATCH(45,'Transfer Engine'!$C$2:$C$630,0)))</f>
        <v/>
      </c>
      <c r="K54">
        <f>IF(ISNA(MATCH(45,'Transfer Engine'!$C$2:$C$630,0)),"",INDEX('Compliance Database'!$K$2:$K$630,MATCH(45,'Transfer Engine'!$C$2:$C$630,0)))</f>
        <v/>
      </c>
      <c r="L54" s="8">
        <f>IF(ISNA(MATCH(45,'Transfer Engine'!$C$2:$C$630,0)),"",INDEX('Compliance Database'!$L$2:$L$630,MATCH(45,'Transfer Engine'!$C$2:$C$630,0)))</f>
        <v/>
      </c>
      <c r="M54" s="8">
        <f>IF(ISNA(MATCH(45,'Transfer Engine'!$C$2:$C$630,0)),"",INDEX('Compliance Database'!$M$2:$M$630,MATCH(45,'Transfer Engine'!$C$2:$C$630,0)))</f>
        <v/>
      </c>
      <c r="N54" s="8">
        <f>IF(ISNA(MATCH(45,'Transfer Engine'!$C$2:$C$630,0)),"",INDEX('Compliance Database'!$N$2:$N$630,MATCH(45,'Transfer Engine'!$C$2:$C$630,0)))</f>
        <v/>
      </c>
      <c r="O54" s="8">
        <f>IF(ISNA(MATCH(45,'Transfer Engine'!$C$2:$C$630,0)),"",INDEX('Compliance Database'!$O$2:$O$630,MATCH(45,'Transfer Engine'!$C$2:$C$630,0)))</f>
        <v/>
      </c>
    </row>
    <row r="55">
      <c r="A55">
        <f>IF(ISNA(MATCH(46,'Transfer Engine'!$C$2:$C$630,0)),"",INDEX('Compliance Database'!$A$2:$A$630,MATCH(46,'Transfer Engine'!$C$2:$C$630,0)))</f>
        <v/>
      </c>
      <c r="B55">
        <f>IF(ISNA(MATCH(46,'Transfer Engine'!$C$2:$C$630,0)),"",INDEX('Compliance Database'!$B$2:$B$630,MATCH(46,'Transfer Engine'!$C$2:$C$630,0)))</f>
        <v/>
      </c>
      <c r="C55">
        <f>IF(ISNA(MATCH(46,'Transfer Engine'!$C$2:$C$630,0)),"",INDEX('Compliance Database'!$C$2:$C$630,MATCH(46,'Transfer Engine'!$C$2:$C$630,0)))</f>
        <v/>
      </c>
      <c r="D55" s="8">
        <f>IF(ISNA(MATCH(46,'Transfer Engine'!$C$2:$C$630,0)),"",INDEX('Compliance Database'!$D$2:$D$630,MATCH(46,'Transfer Engine'!$C$2:$C$630,0)))</f>
        <v/>
      </c>
      <c r="E55">
        <f>IF(ISNA(MATCH(46,'Transfer Engine'!$C$2:$C$630,0)),"",INDEX('Compliance Database'!$E$2:$E$630,MATCH(46,'Transfer Engine'!$C$2:$C$630,0)))</f>
        <v/>
      </c>
      <c r="F55">
        <f>IF(ISNA(MATCH(46,'Transfer Engine'!$C$2:$C$630,0)),"",INDEX('Compliance Database'!$F$2:$F$630,MATCH(46,'Transfer Engine'!$C$2:$C$630,0)))</f>
        <v/>
      </c>
      <c r="G55">
        <f>IF(ISNA(MATCH(46,'Transfer Engine'!$C$2:$C$630,0)),"",INDEX('Compliance Database'!$G$2:$G$630,MATCH(46,'Transfer Engine'!$C$2:$C$630,0)))</f>
        <v/>
      </c>
      <c r="H55">
        <f>IF(ISNA(MATCH(46,'Transfer Engine'!$C$2:$C$630,0)),"",INDEX('Compliance Database'!$H$2:$H$630,MATCH(46,'Transfer Engine'!$C$2:$C$630,0)))</f>
        <v/>
      </c>
      <c r="I55" s="8">
        <f>IF(ISNA(MATCH(46,'Transfer Engine'!$C$2:$C$630,0)),"",INDEX('Compliance Database'!$I$2:$I$630,MATCH(46,'Transfer Engine'!$C$2:$C$630,0)))</f>
        <v/>
      </c>
      <c r="J55" s="8">
        <f>IF(ISNA(MATCH(46,'Transfer Engine'!$C$2:$C$630,0)),"",INDEX('Compliance Database'!$J$2:$J$630,MATCH(46,'Transfer Engine'!$C$2:$C$630,0)))</f>
        <v/>
      </c>
      <c r="K55">
        <f>IF(ISNA(MATCH(46,'Transfer Engine'!$C$2:$C$630,0)),"",INDEX('Compliance Database'!$K$2:$K$630,MATCH(46,'Transfer Engine'!$C$2:$C$630,0)))</f>
        <v/>
      </c>
      <c r="L55" s="8">
        <f>IF(ISNA(MATCH(46,'Transfer Engine'!$C$2:$C$630,0)),"",INDEX('Compliance Database'!$L$2:$L$630,MATCH(46,'Transfer Engine'!$C$2:$C$630,0)))</f>
        <v/>
      </c>
      <c r="M55" s="8">
        <f>IF(ISNA(MATCH(46,'Transfer Engine'!$C$2:$C$630,0)),"",INDEX('Compliance Database'!$M$2:$M$630,MATCH(46,'Transfer Engine'!$C$2:$C$630,0)))</f>
        <v/>
      </c>
      <c r="N55" s="8">
        <f>IF(ISNA(MATCH(46,'Transfer Engine'!$C$2:$C$630,0)),"",INDEX('Compliance Database'!$N$2:$N$630,MATCH(46,'Transfer Engine'!$C$2:$C$630,0)))</f>
        <v/>
      </c>
      <c r="O55" s="8">
        <f>IF(ISNA(MATCH(46,'Transfer Engine'!$C$2:$C$630,0)),"",INDEX('Compliance Database'!$O$2:$O$630,MATCH(46,'Transfer Engine'!$C$2:$C$630,0)))</f>
        <v/>
      </c>
    </row>
    <row r="56">
      <c r="A56">
        <f>IF(ISNA(MATCH(47,'Transfer Engine'!$C$2:$C$630,0)),"",INDEX('Compliance Database'!$A$2:$A$630,MATCH(47,'Transfer Engine'!$C$2:$C$630,0)))</f>
        <v/>
      </c>
      <c r="B56">
        <f>IF(ISNA(MATCH(47,'Transfer Engine'!$C$2:$C$630,0)),"",INDEX('Compliance Database'!$B$2:$B$630,MATCH(47,'Transfer Engine'!$C$2:$C$630,0)))</f>
        <v/>
      </c>
      <c r="C56">
        <f>IF(ISNA(MATCH(47,'Transfer Engine'!$C$2:$C$630,0)),"",INDEX('Compliance Database'!$C$2:$C$630,MATCH(47,'Transfer Engine'!$C$2:$C$630,0)))</f>
        <v/>
      </c>
      <c r="D56" s="8">
        <f>IF(ISNA(MATCH(47,'Transfer Engine'!$C$2:$C$630,0)),"",INDEX('Compliance Database'!$D$2:$D$630,MATCH(47,'Transfer Engine'!$C$2:$C$630,0)))</f>
        <v/>
      </c>
      <c r="E56">
        <f>IF(ISNA(MATCH(47,'Transfer Engine'!$C$2:$C$630,0)),"",INDEX('Compliance Database'!$E$2:$E$630,MATCH(47,'Transfer Engine'!$C$2:$C$630,0)))</f>
        <v/>
      </c>
      <c r="F56">
        <f>IF(ISNA(MATCH(47,'Transfer Engine'!$C$2:$C$630,0)),"",INDEX('Compliance Database'!$F$2:$F$630,MATCH(47,'Transfer Engine'!$C$2:$C$630,0)))</f>
        <v/>
      </c>
      <c r="G56">
        <f>IF(ISNA(MATCH(47,'Transfer Engine'!$C$2:$C$630,0)),"",INDEX('Compliance Database'!$G$2:$G$630,MATCH(47,'Transfer Engine'!$C$2:$C$630,0)))</f>
        <v/>
      </c>
      <c r="H56">
        <f>IF(ISNA(MATCH(47,'Transfer Engine'!$C$2:$C$630,0)),"",INDEX('Compliance Database'!$H$2:$H$630,MATCH(47,'Transfer Engine'!$C$2:$C$630,0)))</f>
        <v/>
      </c>
      <c r="I56" s="8">
        <f>IF(ISNA(MATCH(47,'Transfer Engine'!$C$2:$C$630,0)),"",INDEX('Compliance Database'!$I$2:$I$630,MATCH(47,'Transfer Engine'!$C$2:$C$630,0)))</f>
        <v/>
      </c>
      <c r="J56" s="8">
        <f>IF(ISNA(MATCH(47,'Transfer Engine'!$C$2:$C$630,0)),"",INDEX('Compliance Database'!$J$2:$J$630,MATCH(47,'Transfer Engine'!$C$2:$C$630,0)))</f>
        <v/>
      </c>
      <c r="K56">
        <f>IF(ISNA(MATCH(47,'Transfer Engine'!$C$2:$C$630,0)),"",INDEX('Compliance Database'!$K$2:$K$630,MATCH(47,'Transfer Engine'!$C$2:$C$630,0)))</f>
        <v/>
      </c>
      <c r="L56" s="8">
        <f>IF(ISNA(MATCH(47,'Transfer Engine'!$C$2:$C$630,0)),"",INDEX('Compliance Database'!$L$2:$L$630,MATCH(47,'Transfer Engine'!$C$2:$C$630,0)))</f>
        <v/>
      </c>
      <c r="M56" s="8">
        <f>IF(ISNA(MATCH(47,'Transfer Engine'!$C$2:$C$630,0)),"",INDEX('Compliance Database'!$M$2:$M$630,MATCH(47,'Transfer Engine'!$C$2:$C$630,0)))</f>
        <v/>
      </c>
      <c r="N56" s="8">
        <f>IF(ISNA(MATCH(47,'Transfer Engine'!$C$2:$C$630,0)),"",INDEX('Compliance Database'!$N$2:$N$630,MATCH(47,'Transfer Engine'!$C$2:$C$630,0)))</f>
        <v/>
      </c>
      <c r="O56" s="8">
        <f>IF(ISNA(MATCH(47,'Transfer Engine'!$C$2:$C$630,0)),"",INDEX('Compliance Database'!$O$2:$O$630,MATCH(47,'Transfer Engine'!$C$2:$C$630,0)))</f>
        <v/>
      </c>
    </row>
    <row r="57">
      <c r="A57">
        <f>IF(ISNA(MATCH(48,'Transfer Engine'!$C$2:$C$630,0)),"",INDEX('Compliance Database'!$A$2:$A$630,MATCH(48,'Transfer Engine'!$C$2:$C$630,0)))</f>
        <v/>
      </c>
      <c r="B57">
        <f>IF(ISNA(MATCH(48,'Transfer Engine'!$C$2:$C$630,0)),"",INDEX('Compliance Database'!$B$2:$B$630,MATCH(48,'Transfer Engine'!$C$2:$C$630,0)))</f>
        <v/>
      </c>
      <c r="C57">
        <f>IF(ISNA(MATCH(48,'Transfer Engine'!$C$2:$C$630,0)),"",INDEX('Compliance Database'!$C$2:$C$630,MATCH(48,'Transfer Engine'!$C$2:$C$630,0)))</f>
        <v/>
      </c>
      <c r="D57" s="8">
        <f>IF(ISNA(MATCH(48,'Transfer Engine'!$C$2:$C$630,0)),"",INDEX('Compliance Database'!$D$2:$D$630,MATCH(48,'Transfer Engine'!$C$2:$C$630,0)))</f>
        <v/>
      </c>
      <c r="E57">
        <f>IF(ISNA(MATCH(48,'Transfer Engine'!$C$2:$C$630,0)),"",INDEX('Compliance Database'!$E$2:$E$630,MATCH(48,'Transfer Engine'!$C$2:$C$630,0)))</f>
        <v/>
      </c>
      <c r="F57">
        <f>IF(ISNA(MATCH(48,'Transfer Engine'!$C$2:$C$630,0)),"",INDEX('Compliance Database'!$F$2:$F$630,MATCH(48,'Transfer Engine'!$C$2:$C$630,0)))</f>
        <v/>
      </c>
      <c r="G57">
        <f>IF(ISNA(MATCH(48,'Transfer Engine'!$C$2:$C$630,0)),"",INDEX('Compliance Database'!$G$2:$G$630,MATCH(48,'Transfer Engine'!$C$2:$C$630,0)))</f>
        <v/>
      </c>
      <c r="H57">
        <f>IF(ISNA(MATCH(48,'Transfer Engine'!$C$2:$C$630,0)),"",INDEX('Compliance Database'!$H$2:$H$630,MATCH(48,'Transfer Engine'!$C$2:$C$630,0)))</f>
        <v/>
      </c>
      <c r="I57" s="8">
        <f>IF(ISNA(MATCH(48,'Transfer Engine'!$C$2:$C$630,0)),"",INDEX('Compliance Database'!$I$2:$I$630,MATCH(48,'Transfer Engine'!$C$2:$C$630,0)))</f>
        <v/>
      </c>
      <c r="J57" s="8">
        <f>IF(ISNA(MATCH(48,'Transfer Engine'!$C$2:$C$630,0)),"",INDEX('Compliance Database'!$J$2:$J$630,MATCH(48,'Transfer Engine'!$C$2:$C$630,0)))</f>
        <v/>
      </c>
      <c r="K57">
        <f>IF(ISNA(MATCH(48,'Transfer Engine'!$C$2:$C$630,0)),"",INDEX('Compliance Database'!$K$2:$K$630,MATCH(48,'Transfer Engine'!$C$2:$C$630,0)))</f>
        <v/>
      </c>
      <c r="L57" s="8">
        <f>IF(ISNA(MATCH(48,'Transfer Engine'!$C$2:$C$630,0)),"",INDEX('Compliance Database'!$L$2:$L$630,MATCH(48,'Transfer Engine'!$C$2:$C$630,0)))</f>
        <v/>
      </c>
      <c r="M57" s="8">
        <f>IF(ISNA(MATCH(48,'Transfer Engine'!$C$2:$C$630,0)),"",INDEX('Compliance Database'!$M$2:$M$630,MATCH(48,'Transfer Engine'!$C$2:$C$630,0)))</f>
        <v/>
      </c>
      <c r="N57" s="8">
        <f>IF(ISNA(MATCH(48,'Transfer Engine'!$C$2:$C$630,0)),"",INDEX('Compliance Database'!$N$2:$N$630,MATCH(48,'Transfer Engine'!$C$2:$C$630,0)))</f>
        <v/>
      </c>
      <c r="O57" s="8">
        <f>IF(ISNA(MATCH(48,'Transfer Engine'!$C$2:$C$630,0)),"",INDEX('Compliance Database'!$O$2:$O$630,MATCH(48,'Transfer Engine'!$C$2:$C$630,0)))</f>
        <v/>
      </c>
    </row>
    <row r="58">
      <c r="A58">
        <f>IF(ISNA(MATCH(49,'Transfer Engine'!$C$2:$C$630,0)),"",INDEX('Compliance Database'!$A$2:$A$630,MATCH(49,'Transfer Engine'!$C$2:$C$630,0)))</f>
        <v/>
      </c>
      <c r="B58">
        <f>IF(ISNA(MATCH(49,'Transfer Engine'!$C$2:$C$630,0)),"",INDEX('Compliance Database'!$B$2:$B$630,MATCH(49,'Transfer Engine'!$C$2:$C$630,0)))</f>
        <v/>
      </c>
      <c r="C58">
        <f>IF(ISNA(MATCH(49,'Transfer Engine'!$C$2:$C$630,0)),"",INDEX('Compliance Database'!$C$2:$C$630,MATCH(49,'Transfer Engine'!$C$2:$C$630,0)))</f>
        <v/>
      </c>
      <c r="D58" s="8">
        <f>IF(ISNA(MATCH(49,'Transfer Engine'!$C$2:$C$630,0)),"",INDEX('Compliance Database'!$D$2:$D$630,MATCH(49,'Transfer Engine'!$C$2:$C$630,0)))</f>
        <v/>
      </c>
      <c r="E58">
        <f>IF(ISNA(MATCH(49,'Transfer Engine'!$C$2:$C$630,0)),"",INDEX('Compliance Database'!$E$2:$E$630,MATCH(49,'Transfer Engine'!$C$2:$C$630,0)))</f>
        <v/>
      </c>
      <c r="F58">
        <f>IF(ISNA(MATCH(49,'Transfer Engine'!$C$2:$C$630,0)),"",INDEX('Compliance Database'!$F$2:$F$630,MATCH(49,'Transfer Engine'!$C$2:$C$630,0)))</f>
        <v/>
      </c>
      <c r="G58">
        <f>IF(ISNA(MATCH(49,'Transfer Engine'!$C$2:$C$630,0)),"",INDEX('Compliance Database'!$G$2:$G$630,MATCH(49,'Transfer Engine'!$C$2:$C$630,0)))</f>
        <v/>
      </c>
      <c r="H58">
        <f>IF(ISNA(MATCH(49,'Transfer Engine'!$C$2:$C$630,0)),"",INDEX('Compliance Database'!$H$2:$H$630,MATCH(49,'Transfer Engine'!$C$2:$C$630,0)))</f>
        <v/>
      </c>
      <c r="I58" s="8">
        <f>IF(ISNA(MATCH(49,'Transfer Engine'!$C$2:$C$630,0)),"",INDEX('Compliance Database'!$I$2:$I$630,MATCH(49,'Transfer Engine'!$C$2:$C$630,0)))</f>
        <v/>
      </c>
      <c r="J58" s="8">
        <f>IF(ISNA(MATCH(49,'Transfer Engine'!$C$2:$C$630,0)),"",INDEX('Compliance Database'!$J$2:$J$630,MATCH(49,'Transfer Engine'!$C$2:$C$630,0)))</f>
        <v/>
      </c>
      <c r="K58">
        <f>IF(ISNA(MATCH(49,'Transfer Engine'!$C$2:$C$630,0)),"",INDEX('Compliance Database'!$K$2:$K$630,MATCH(49,'Transfer Engine'!$C$2:$C$630,0)))</f>
        <v/>
      </c>
      <c r="L58" s="8">
        <f>IF(ISNA(MATCH(49,'Transfer Engine'!$C$2:$C$630,0)),"",INDEX('Compliance Database'!$L$2:$L$630,MATCH(49,'Transfer Engine'!$C$2:$C$630,0)))</f>
        <v/>
      </c>
      <c r="M58" s="8">
        <f>IF(ISNA(MATCH(49,'Transfer Engine'!$C$2:$C$630,0)),"",INDEX('Compliance Database'!$M$2:$M$630,MATCH(49,'Transfer Engine'!$C$2:$C$630,0)))</f>
        <v/>
      </c>
      <c r="N58" s="8">
        <f>IF(ISNA(MATCH(49,'Transfer Engine'!$C$2:$C$630,0)),"",INDEX('Compliance Database'!$N$2:$N$630,MATCH(49,'Transfer Engine'!$C$2:$C$630,0)))</f>
        <v/>
      </c>
      <c r="O58" s="8">
        <f>IF(ISNA(MATCH(49,'Transfer Engine'!$C$2:$C$630,0)),"",INDEX('Compliance Database'!$O$2:$O$630,MATCH(49,'Transfer Engine'!$C$2:$C$630,0)))</f>
        <v/>
      </c>
    </row>
    <row r="59">
      <c r="A59">
        <f>IF(ISNA(MATCH(50,'Transfer Engine'!$C$2:$C$630,0)),"",INDEX('Compliance Database'!$A$2:$A$630,MATCH(50,'Transfer Engine'!$C$2:$C$630,0)))</f>
        <v/>
      </c>
      <c r="B59">
        <f>IF(ISNA(MATCH(50,'Transfer Engine'!$C$2:$C$630,0)),"",INDEX('Compliance Database'!$B$2:$B$630,MATCH(50,'Transfer Engine'!$C$2:$C$630,0)))</f>
        <v/>
      </c>
      <c r="C59">
        <f>IF(ISNA(MATCH(50,'Transfer Engine'!$C$2:$C$630,0)),"",INDEX('Compliance Database'!$C$2:$C$630,MATCH(50,'Transfer Engine'!$C$2:$C$630,0)))</f>
        <v/>
      </c>
      <c r="D59" s="8">
        <f>IF(ISNA(MATCH(50,'Transfer Engine'!$C$2:$C$630,0)),"",INDEX('Compliance Database'!$D$2:$D$630,MATCH(50,'Transfer Engine'!$C$2:$C$630,0)))</f>
        <v/>
      </c>
      <c r="E59">
        <f>IF(ISNA(MATCH(50,'Transfer Engine'!$C$2:$C$630,0)),"",INDEX('Compliance Database'!$E$2:$E$630,MATCH(50,'Transfer Engine'!$C$2:$C$630,0)))</f>
        <v/>
      </c>
      <c r="F59">
        <f>IF(ISNA(MATCH(50,'Transfer Engine'!$C$2:$C$630,0)),"",INDEX('Compliance Database'!$F$2:$F$630,MATCH(50,'Transfer Engine'!$C$2:$C$630,0)))</f>
        <v/>
      </c>
      <c r="G59">
        <f>IF(ISNA(MATCH(50,'Transfer Engine'!$C$2:$C$630,0)),"",INDEX('Compliance Database'!$G$2:$G$630,MATCH(50,'Transfer Engine'!$C$2:$C$630,0)))</f>
        <v/>
      </c>
      <c r="H59">
        <f>IF(ISNA(MATCH(50,'Transfer Engine'!$C$2:$C$630,0)),"",INDEX('Compliance Database'!$H$2:$H$630,MATCH(50,'Transfer Engine'!$C$2:$C$630,0)))</f>
        <v/>
      </c>
      <c r="I59" s="8">
        <f>IF(ISNA(MATCH(50,'Transfer Engine'!$C$2:$C$630,0)),"",INDEX('Compliance Database'!$I$2:$I$630,MATCH(50,'Transfer Engine'!$C$2:$C$630,0)))</f>
        <v/>
      </c>
      <c r="J59" s="8">
        <f>IF(ISNA(MATCH(50,'Transfer Engine'!$C$2:$C$630,0)),"",INDEX('Compliance Database'!$J$2:$J$630,MATCH(50,'Transfer Engine'!$C$2:$C$630,0)))</f>
        <v/>
      </c>
      <c r="K59">
        <f>IF(ISNA(MATCH(50,'Transfer Engine'!$C$2:$C$630,0)),"",INDEX('Compliance Database'!$K$2:$K$630,MATCH(50,'Transfer Engine'!$C$2:$C$630,0)))</f>
        <v/>
      </c>
      <c r="L59" s="8">
        <f>IF(ISNA(MATCH(50,'Transfer Engine'!$C$2:$C$630,0)),"",INDEX('Compliance Database'!$L$2:$L$630,MATCH(50,'Transfer Engine'!$C$2:$C$630,0)))</f>
        <v/>
      </c>
      <c r="M59" s="8">
        <f>IF(ISNA(MATCH(50,'Transfer Engine'!$C$2:$C$630,0)),"",INDEX('Compliance Database'!$M$2:$M$630,MATCH(50,'Transfer Engine'!$C$2:$C$630,0)))</f>
        <v/>
      </c>
      <c r="N59" s="8">
        <f>IF(ISNA(MATCH(50,'Transfer Engine'!$C$2:$C$630,0)),"",INDEX('Compliance Database'!$N$2:$N$630,MATCH(50,'Transfer Engine'!$C$2:$C$630,0)))</f>
        <v/>
      </c>
      <c r="O59" s="8">
        <f>IF(ISNA(MATCH(50,'Transfer Engine'!$C$2:$C$630,0)),"",INDEX('Compliance Database'!$O$2:$O$630,MATCH(50,'Transfer Engine'!$C$2:$C$630,0)))</f>
        <v/>
      </c>
    </row>
    <row r="60">
      <c r="A60">
        <f>IF(ISNA(MATCH(51,'Transfer Engine'!$C$2:$C$630,0)),"",INDEX('Compliance Database'!$A$2:$A$630,MATCH(51,'Transfer Engine'!$C$2:$C$630,0)))</f>
        <v/>
      </c>
      <c r="B60">
        <f>IF(ISNA(MATCH(51,'Transfer Engine'!$C$2:$C$630,0)),"",INDEX('Compliance Database'!$B$2:$B$630,MATCH(51,'Transfer Engine'!$C$2:$C$630,0)))</f>
        <v/>
      </c>
      <c r="C60">
        <f>IF(ISNA(MATCH(51,'Transfer Engine'!$C$2:$C$630,0)),"",INDEX('Compliance Database'!$C$2:$C$630,MATCH(51,'Transfer Engine'!$C$2:$C$630,0)))</f>
        <v/>
      </c>
      <c r="D60" s="8">
        <f>IF(ISNA(MATCH(51,'Transfer Engine'!$C$2:$C$630,0)),"",INDEX('Compliance Database'!$D$2:$D$630,MATCH(51,'Transfer Engine'!$C$2:$C$630,0)))</f>
        <v/>
      </c>
      <c r="E60">
        <f>IF(ISNA(MATCH(51,'Transfer Engine'!$C$2:$C$630,0)),"",INDEX('Compliance Database'!$E$2:$E$630,MATCH(51,'Transfer Engine'!$C$2:$C$630,0)))</f>
        <v/>
      </c>
      <c r="F60">
        <f>IF(ISNA(MATCH(51,'Transfer Engine'!$C$2:$C$630,0)),"",INDEX('Compliance Database'!$F$2:$F$630,MATCH(51,'Transfer Engine'!$C$2:$C$630,0)))</f>
        <v/>
      </c>
      <c r="G60">
        <f>IF(ISNA(MATCH(51,'Transfer Engine'!$C$2:$C$630,0)),"",INDEX('Compliance Database'!$G$2:$G$630,MATCH(51,'Transfer Engine'!$C$2:$C$630,0)))</f>
        <v/>
      </c>
      <c r="H60">
        <f>IF(ISNA(MATCH(51,'Transfer Engine'!$C$2:$C$630,0)),"",INDEX('Compliance Database'!$H$2:$H$630,MATCH(51,'Transfer Engine'!$C$2:$C$630,0)))</f>
        <v/>
      </c>
      <c r="I60" s="8">
        <f>IF(ISNA(MATCH(51,'Transfer Engine'!$C$2:$C$630,0)),"",INDEX('Compliance Database'!$I$2:$I$630,MATCH(51,'Transfer Engine'!$C$2:$C$630,0)))</f>
        <v/>
      </c>
      <c r="J60" s="8">
        <f>IF(ISNA(MATCH(51,'Transfer Engine'!$C$2:$C$630,0)),"",INDEX('Compliance Database'!$J$2:$J$630,MATCH(51,'Transfer Engine'!$C$2:$C$630,0)))</f>
        <v/>
      </c>
      <c r="K60">
        <f>IF(ISNA(MATCH(51,'Transfer Engine'!$C$2:$C$630,0)),"",INDEX('Compliance Database'!$K$2:$K$630,MATCH(51,'Transfer Engine'!$C$2:$C$630,0)))</f>
        <v/>
      </c>
      <c r="L60" s="8">
        <f>IF(ISNA(MATCH(51,'Transfer Engine'!$C$2:$C$630,0)),"",INDEX('Compliance Database'!$L$2:$L$630,MATCH(51,'Transfer Engine'!$C$2:$C$630,0)))</f>
        <v/>
      </c>
      <c r="M60" s="8">
        <f>IF(ISNA(MATCH(51,'Transfer Engine'!$C$2:$C$630,0)),"",INDEX('Compliance Database'!$M$2:$M$630,MATCH(51,'Transfer Engine'!$C$2:$C$630,0)))</f>
        <v/>
      </c>
      <c r="N60" s="8">
        <f>IF(ISNA(MATCH(51,'Transfer Engine'!$C$2:$C$630,0)),"",INDEX('Compliance Database'!$N$2:$N$630,MATCH(51,'Transfer Engine'!$C$2:$C$630,0)))</f>
        <v/>
      </c>
      <c r="O60" s="8">
        <f>IF(ISNA(MATCH(51,'Transfer Engine'!$C$2:$C$630,0)),"",INDEX('Compliance Database'!$O$2:$O$630,MATCH(51,'Transfer Engine'!$C$2:$C$630,0)))</f>
        <v/>
      </c>
    </row>
    <row r="61">
      <c r="A61">
        <f>IF(ISNA(MATCH(52,'Transfer Engine'!$C$2:$C$630,0)),"",INDEX('Compliance Database'!$A$2:$A$630,MATCH(52,'Transfer Engine'!$C$2:$C$630,0)))</f>
        <v/>
      </c>
      <c r="B61">
        <f>IF(ISNA(MATCH(52,'Transfer Engine'!$C$2:$C$630,0)),"",INDEX('Compliance Database'!$B$2:$B$630,MATCH(52,'Transfer Engine'!$C$2:$C$630,0)))</f>
        <v/>
      </c>
      <c r="C61">
        <f>IF(ISNA(MATCH(52,'Transfer Engine'!$C$2:$C$630,0)),"",INDEX('Compliance Database'!$C$2:$C$630,MATCH(52,'Transfer Engine'!$C$2:$C$630,0)))</f>
        <v/>
      </c>
      <c r="D61" s="8">
        <f>IF(ISNA(MATCH(52,'Transfer Engine'!$C$2:$C$630,0)),"",INDEX('Compliance Database'!$D$2:$D$630,MATCH(52,'Transfer Engine'!$C$2:$C$630,0)))</f>
        <v/>
      </c>
      <c r="E61">
        <f>IF(ISNA(MATCH(52,'Transfer Engine'!$C$2:$C$630,0)),"",INDEX('Compliance Database'!$E$2:$E$630,MATCH(52,'Transfer Engine'!$C$2:$C$630,0)))</f>
        <v/>
      </c>
      <c r="F61">
        <f>IF(ISNA(MATCH(52,'Transfer Engine'!$C$2:$C$630,0)),"",INDEX('Compliance Database'!$F$2:$F$630,MATCH(52,'Transfer Engine'!$C$2:$C$630,0)))</f>
        <v/>
      </c>
      <c r="G61">
        <f>IF(ISNA(MATCH(52,'Transfer Engine'!$C$2:$C$630,0)),"",INDEX('Compliance Database'!$G$2:$G$630,MATCH(52,'Transfer Engine'!$C$2:$C$630,0)))</f>
        <v/>
      </c>
      <c r="H61">
        <f>IF(ISNA(MATCH(52,'Transfer Engine'!$C$2:$C$630,0)),"",INDEX('Compliance Database'!$H$2:$H$630,MATCH(52,'Transfer Engine'!$C$2:$C$630,0)))</f>
        <v/>
      </c>
      <c r="I61" s="8">
        <f>IF(ISNA(MATCH(52,'Transfer Engine'!$C$2:$C$630,0)),"",INDEX('Compliance Database'!$I$2:$I$630,MATCH(52,'Transfer Engine'!$C$2:$C$630,0)))</f>
        <v/>
      </c>
      <c r="J61" s="8">
        <f>IF(ISNA(MATCH(52,'Transfer Engine'!$C$2:$C$630,0)),"",INDEX('Compliance Database'!$J$2:$J$630,MATCH(52,'Transfer Engine'!$C$2:$C$630,0)))</f>
        <v/>
      </c>
      <c r="K61">
        <f>IF(ISNA(MATCH(52,'Transfer Engine'!$C$2:$C$630,0)),"",INDEX('Compliance Database'!$K$2:$K$630,MATCH(52,'Transfer Engine'!$C$2:$C$630,0)))</f>
        <v/>
      </c>
      <c r="L61" s="8">
        <f>IF(ISNA(MATCH(52,'Transfer Engine'!$C$2:$C$630,0)),"",INDEX('Compliance Database'!$L$2:$L$630,MATCH(52,'Transfer Engine'!$C$2:$C$630,0)))</f>
        <v/>
      </c>
      <c r="M61" s="8">
        <f>IF(ISNA(MATCH(52,'Transfer Engine'!$C$2:$C$630,0)),"",INDEX('Compliance Database'!$M$2:$M$630,MATCH(52,'Transfer Engine'!$C$2:$C$630,0)))</f>
        <v/>
      </c>
      <c r="N61" s="8">
        <f>IF(ISNA(MATCH(52,'Transfer Engine'!$C$2:$C$630,0)),"",INDEX('Compliance Database'!$N$2:$N$630,MATCH(52,'Transfer Engine'!$C$2:$C$630,0)))</f>
        <v/>
      </c>
      <c r="O61" s="8">
        <f>IF(ISNA(MATCH(52,'Transfer Engine'!$C$2:$C$630,0)),"",INDEX('Compliance Database'!$O$2:$O$630,MATCH(52,'Transfer Engine'!$C$2:$C$630,0)))</f>
        <v/>
      </c>
    </row>
    <row r="62">
      <c r="A62">
        <f>IF(ISNA(MATCH(53,'Transfer Engine'!$C$2:$C$630,0)),"",INDEX('Compliance Database'!$A$2:$A$630,MATCH(53,'Transfer Engine'!$C$2:$C$630,0)))</f>
        <v/>
      </c>
      <c r="B62">
        <f>IF(ISNA(MATCH(53,'Transfer Engine'!$C$2:$C$630,0)),"",INDEX('Compliance Database'!$B$2:$B$630,MATCH(53,'Transfer Engine'!$C$2:$C$630,0)))</f>
        <v/>
      </c>
      <c r="C62">
        <f>IF(ISNA(MATCH(53,'Transfer Engine'!$C$2:$C$630,0)),"",INDEX('Compliance Database'!$C$2:$C$630,MATCH(53,'Transfer Engine'!$C$2:$C$630,0)))</f>
        <v/>
      </c>
      <c r="D62" s="8">
        <f>IF(ISNA(MATCH(53,'Transfer Engine'!$C$2:$C$630,0)),"",INDEX('Compliance Database'!$D$2:$D$630,MATCH(53,'Transfer Engine'!$C$2:$C$630,0)))</f>
        <v/>
      </c>
      <c r="E62">
        <f>IF(ISNA(MATCH(53,'Transfer Engine'!$C$2:$C$630,0)),"",INDEX('Compliance Database'!$E$2:$E$630,MATCH(53,'Transfer Engine'!$C$2:$C$630,0)))</f>
        <v/>
      </c>
      <c r="F62">
        <f>IF(ISNA(MATCH(53,'Transfer Engine'!$C$2:$C$630,0)),"",INDEX('Compliance Database'!$F$2:$F$630,MATCH(53,'Transfer Engine'!$C$2:$C$630,0)))</f>
        <v/>
      </c>
      <c r="G62">
        <f>IF(ISNA(MATCH(53,'Transfer Engine'!$C$2:$C$630,0)),"",INDEX('Compliance Database'!$G$2:$G$630,MATCH(53,'Transfer Engine'!$C$2:$C$630,0)))</f>
        <v/>
      </c>
      <c r="H62">
        <f>IF(ISNA(MATCH(53,'Transfer Engine'!$C$2:$C$630,0)),"",INDEX('Compliance Database'!$H$2:$H$630,MATCH(53,'Transfer Engine'!$C$2:$C$630,0)))</f>
        <v/>
      </c>
      <c r="I62" s="8">
        <f>IF(ISNA(MATCH(53,'Transfer Engine'!$C$2:$C$630,0)),"",INDEX('Compliance Database'!$I$2:$I$630,MATCH(53,'Transfer Engine'!$C$2:$C$630,0)))</f>
        <v/>
      </c>
      <c r="J62" s="8">
        <f>IF(ISNA(MATCH(53,'Transfer Engine'!$C$2:$C$630,0)),"",INDEX('Compliance Database'!$J$2:$J$630,MATCH(53,'Transfer Engine'!$C$2:$C$630,0)))</f>
        <v/>
      </c>
      <c r="K62">
        <f>IF(ISNA(MATCH(53,'Transfer Engine'!$C$2:$C$630,0)),"",INDEX('Compliance Database'!$K$2:$K$630,MATCH(53,'Transfer Engine'!$C$2:$C$630,0)))</f>
        <v/>
      </c>
      <c r="L62" s="8">
        <f>IF(ISNA(MATCH(53,'Transfer Engine'!$C$2:$C$630,0)),"",INDEX('Compliance Database'!$L$2:$L$630,MATCH(53,'Transfer Engine'!$C$2:$C$630,0)))</f>
        <v/>
      </c>
      <c r="M62" s="8">
        <f>IF(ISNA(MATCH(53,'Transfer Engine'!$C$2:$C$630,0)),"",INDEX('Compliance Database'!$M$2:$M$630,MATCH(53,'Transfer Engine'!$C$2:$C$630,0)))</f>
        <v/>
      </c>
      <c r="N62" s="8">
        <f>IF(ISNA(MATCH(53,'Transfer Engine'!$C$2:$C$630,0)),"",INDEX('Compliance Database'!$N$2:$N$630,MATCH(53,'Transfer Engine'!$C$2:$C$630,0)))</f>
        <v/>
      </c>
      <c r="O62" s="8">
        <f>IF(ISNA(MATCH(53,'Transfer Engine'!$C$2:$C$630,0)),"",INDEX('Compliance Database'!$O$2:$O$630,MATCH(53,'Transfer Engine'!$C$2:$C$630,0)))</f>
        <v/>
      </c>
    </row>
    <row r="63">
      <c r="A63">
        <f>IF(ISNA(MATCH(54,'Transfer Engine'!$C$2:$C$630,0)),"",INDEX('Compliance Database'!$A$2:$A$630,MATCH(54,'Transfer Engine'!$C$2:$C$630,0)))</f>
        <v/>
      </c>
      <c r="B63">
        <f>IF(ISNA(MATCH(54,'Transfer Engine'!$C$2:$C$630,0)),"",INDEX('Compliance Database'!$B$2:$B$630,MATCH(54,'Transfer Engine'!$C$2:$C$630,0)))</f>
        <v/>
      </c>
      <c r="C63">
        <f>IF(ISNA(MATCH(54,'Transfer Engine'!$C$2:$C$630,0)),"",INDEX('Compliance Database'!$C$2:$C$630,MATCH(54,'Transfer Engine'!$C$2:$C$630,0)))</f>
        <v/>
      </c>
      <c r="D63" s="8">
        <f>IF(ISNA(MATCH(54,'Transfer Engine'!$C$2:$C$630,0)),"",INDEX('Compliance Database'!$D$2:$D$630,MATCH(54,'Transfer Engine'!$C$2:$C$630,0)))</f>
        <v/>
      </c>
      <c r="E63">
        <f>IF(ISNA(MATCH(54,'Transfer Engine'!$C$2:$C$630,0)),"",INDEX('Compliance Database'!$E$2:$E$630,MATCH(54,'Transfer Engine'!$C$2:$C$630,0)))</f>
        <v/>
      </c>
      <c r="F63">
        <f>IF(ISNA(MATCH(54,'Transfer Engine'!$C$2:$C$630,0)),"",INDEX('Compliance Database'!$F$2:$F$630,MATCH(54,'Transfer Engine'!$C$2:$C$630,0)))</f>
        <v/>
      </c>
      <c r="G63">
        <f>IF(ISNA(MATCH(54,'Transfer Engine'!$C$2:$C$630,0)),"",INDEX('Compliance Database'!$G$2:$G$630,MATCH(54,'Transfer Engine'!$C$2:$C$630,0)))</f>
        <v/>
      </c>
      <c r="H63">
        <f>IF(ISNA(MATCH(54,'Transfer Engine'!$C$2:$C$630,0)),"",INDEX('Compliance Database'!$H$2:$H$630,MATCH(54,'Transfer Engine'!$C$2:$C$630,0)))</f>
        <v/>
      </c>
      <c r="I63" s="8">
        <f>IF(ISNA(MATCH(54,'Transfer Engine'!$C$2:$C$630,0)),"",INDEX('Compliance Database'!$I$2:$I$630,MATCH(54,'Transfer Engine'!$C$2:$C$630,0)))</f>
        <v/>
      </c>
      <c r="J63" s="8">
        <f>IF(ISNA(MATCH(54,'Transfer Engine'!$C$2:$C$630,0)),"",INDEX('Compliance Database'!$J$2:$J$630,MATCH(54,'Transfer Engine'!$C$2:$C$630,0)))</f>
        <v/>
      </c>
      <c r="K63">
        <f>IF(ISNA(MATCH(54,'Transfer Engine'!$C$2:$C$630,0)),"",INDEX('Compliance Database'!$K$2:$K$630,MATCH(54,'Transfer Engine'!$C$2:$C$630,0)))</f>
        <v/>
      </c>
      <c r="L63" s="8">
        <f>IF(ISNA(MATCH(54,'Transfer Engine'!$C$2:$C$630,0)),"",INDEX('Compliance Database'!$L$2:$L$630,MATCH(54,'Transfer Engine'!$C$2:$C$630,0)))</f>
        <v/>
      </c>
      <c r="M63" s="8">
        <f>IF(ISNA(MATCH(54,'Transfer Engine'!$C$2:$C$630,0)),"",INDEX('Compliance Database'!$M$2:$M$630,MATCH(54,'Transfer Engine'!$C$2:$C$630,0)))</f>
        <v/>
      </c>
      <c r="N63" s="8">
        <f>IF(ISNA(MATCH(54,'Transfer Engine'!$C$2:$C$630,0)),"",INDEX('Compliance Database'!$N$2:$N$630,MATCH(54,'Transfer Engine'!$C$2:$C$630,0)))</f>
        <v/>
      </c>
      <c r="O63" s="8">
        <f>IF(ISNA(MATCH(54,'Transfer Engine'!$C$2:$C$630,0)),"",INDEX('Compliance Database'!$O$2:$O$630,MATCH(54,'Transfer Engine'!$C$2:$C$630,0)))</f>
        <v/>
      </c>
    </row>
    <row r="64">
      <c r="A64">
        <f>IF(ISNA(MATCH(55,'Transfer Engine'!$C$2:$C$630,0)),"",INDEX('Compliance Database'!$A$2:$A$630,MATCH(55,'Transfer Engine'!$C$2:$C$630,0)))</f>
        <v/>
      </c>
      <c r="B64">
        <f>IF(ISNA(MATCH(55,'Transfer Engine'!$C$2:$C$630,0)),"",INDEX('Compliance Database'!$B$2:$B$630,MATCH(55,'Transfer Engine'!$C$2:$C$630,0)))</f>
        <v/>
      </c>
      <c r="C64">
        <f>IF(ISNA(MATCH(55,'Transfer Engine'!$C$2:$C$630,0)),"",INDEX('Compliance Database'!$C$2:$C$630,MATCH(55,'Transfer Engine'!$C$2:$C$630,0)))</f>
        <v/>
      </c>
      <c r="D64" s="8">
        <f>IF(ISNA(MATCH(55,'Transfer Engine'!$C$2:$C$630,0)),"",INDEX('Compliance Database'!$D$2:$D$630,MATCH(55,'Transfer Engine'!$C$2:$C$630,0)))</f>
        <v/>
      </c>
      <c r="E64">
        <f>IF(ISNA(MATCH(55,'Transfer Engine'!$C$2:$C$630,0)),"",INDEX('Compliance Database'!$E$2:$E$630,MATCH(55,'Transfer Engine'!$C$2:$C$630,0)))</f>
        <v/>
      </c>
      <c r="F64">
        <f>IF(ISNA(MATCH(55,'Transfer Engine'!$C$2:$C$630,0)),"",INDEX('Compliance Database'!$F$2:$F$630,MATCH(55,'Transfer Engine'!$C$2:$C$630,0)))</f>
        <v/>
      </c>
      <c r="G64">
        <f>IF(ISNA(MATCH(55,'Transfer Engine'!$C$2:$C$630,0)),"",INDEX('Compliance Database'!$G$2:$G$630,MATCH(55,'Transfer Engine'!$C$2:$C$630,0)))</f>
        <v/>
      </c>
      <c r="H64">
        <f>IF(ISNA(MATCH(55,'Transfer Engine'!$C$2:$C$630,0)),"",INDEX('Compliance Database'!$H$2:$H$630,MATCH(55,'Transfer Engine'!$C$2:$C$630,0)))</f>
        <v/>
      </c>
      <c r="I64" s="8">
        <f>IF(ISNA(MATCH(55,'Transfer Engine'!$C$2:$C$630,0)),"",INDEX('Compliance Database'!$I$2:$I$630,MATCH(55,'Transfer Engine'!$C$2:$C$630,0)))</f>
        <v/>
      </c>
      <c r="J64" s="8">
        <f>IF(ISNA(MATCH(55,'Transfer Engine'!$C$2:$C$630,0)),"",INDEX('Compliance Database'!$J$2:$J$630,MATCH(55,'Transfer Engine'!$C$2:$C$630,0)))</f>
        <v/>
      </c>
      <c r="K64">
        <f>IF(ISNA(MATCH(55,'Transfer Engine'!$C$2:$C$630,0)),"",INDEX('Compliance Database'!$K$2:$K$630,MATCH(55,'Transfer Engine'!$C$2:$C$630,0)))</f>
        <v/>
      </c>
      <c r="L64" s="8">
        <f>IF(ISNA(MATCH(55,'Transfer Engine'!$C$2:$C$630,0)),"",INDEX('Compliance Database'!$L$2:$L$630,MATCH(55,'Transfer Engine'!$C$2:$C$630,0)))</f>
        <v/>
      </c>
      <c r="M64" s="8">
        <f>IF(ISNA(MATCH(55,'Transfer Engine'!$C$2:$C$630,0)),"",INDEX('Compliance Database'!$M$2:$M$630,MATCH(55,'Transfer Engine'!$C$2:$C$630,0)))</f>
        <v/>
      </c>
      <c r="N64" s="8">
        <f>IF(ISNA(MATCH(55,'Transfer Engine'!$C$2:$C$630,0)),"",INDEX('Compliance Database'!$N$2:$N$630,MATCH(55,'Transfer Engine'!$C$2:$C$630,0)))</f>
        <v/>
      </c>
      <c r="O64" s="8">
        <f>IF(ISNA(MATCH(55,'Transfer Engine'!$C$2:$C$630,0)),"",INDEX('Compliance Database'!$O$2:$O$630,MATCH(55,'Transfer Engine'!$C$2:$C$630,0)))</f>
        <v/>
      </c>
    </row>
    <row r="65">
      <c r="A65">
        <f>IF(ISNA(MATCH(56,'Transfer Engine'!$C$2:$C$630,0)),"",INDEX('Compliance Database'!$A$2:$A$630,MATCH(56,'Transfer Engine'!$C$2:$C$630,0)))</f>
        <v/>
      </c>
      <c r="B65">
        <f>IF(ISNA(MATCH(56,'Transfer Engine'!$C$2:$C$630,0)),"",INDEX('Compliance Database'!$B$2:$B$630,MATCH(56,'Transfer Engine'!$C$2:$C$630,0)))</f>
        <v/>
      </c>
      <c r="C65">
        <f>IF(ISNA(MATCH(56,'Transfer Engine'!$C$2:$C$630,0)),"",INDEX('Compliance Database'!$C$2:$C$630,MATCH(56,'Transfer Engine'!$C$2:$C$630,0)))</f>
        <v/>
      </c>
      <c r="D65" s="8">
        <f>IF(ISNA(MATCH(56,'Transfer Engine'!$C$2:$C$630,0)),"",INDEX('Compliance Database'!$D$2:$D$630,MATCH(56,'Transfer Engine'!$C$2:$C$630,0)))</f>
        <v/>
      </c>
      <c r="E65">
        <f>IF(ISNA(MATCH(56,'Transfer Engine'!$C$2:$C$630,0)),"",INDEX('Compliance Database'!$E$2:$E$630,MATCH(56,'Transfer Engine'!$C$2:$C$630,0)))</f>
        <v/>
      </c>
      <c r="F65">
        <f>IF(ISNA(MATCH(56,'Transfer Engine'!$C$2:$C$630,0)),"",INDEX('Compliance Database'!$F$2:$F$630,MATCH(56,'Transfer Engine'!$C$2:$C$630,0)))</f>
        <v/>
      </c>
      <c r="G65">
        <f>IF(ISNA(MATCH(56,'Transfer Engine'!$C$2:$C$630,0)),"",INDEX('Compliance Database'!$G$2:$G$630,MATCH(56,'Transfer Engine'!$C$2:$C$630,0)))</f>
        <v/>
      </c>
      <c r="H65">
        <f>IF(ISNA(MATCH(56,'Transfer Engine'!$C$2:$C$630,0)),"",INDEX('Compliance Database'!$H$2:$H$630,MATCH(56,'Transfer Engine'!$C$2:$C$630,0)))</f>
        <v/>
      </c>
      <c r="I65" s="8">
        <f>IF(ISNA(MATCH(56,'Transfer Engine'!$C$2:$C$630,0)),"",INDEX('Compliance Database'!$I$2:$I$630,MATCH(56,'Transfer Engine'!$C$2:$C$630,0)))</f>
        <v/>
      </c>
      <c r="J65" s="8">
        <f>IF(ISNA(MATCH(56,'Transfer Engine'!$C$2:$C$630,0)),"",INDEX('Compliance Database'!$J$2:$J$630,MATCH(56,'Transfer Engine'!$C$2:$C$630,0)))</f>
        <v/>
      </c>
      <c r="K65">
        <f>IF(ISNA(MATCH(56,'Transfer Engine'!$C$2:$C$630,0)),"",INDEX('Compliance Database'!$K$2:$K$630,MATCH(56,'Transfer Engine'!$C$2:$C$630,0)))</f>
        <v/>
      </c>
      <c r="L65" s="8">
        <f>IF(ISNA(MATCH(56,'Transfer Engine'!$C$2:$C$630,0)),"",INDEX('Compliance Database'!$L$2:$L$630,MATCH(56,'Transfer Engine'!$C$2:$C$630,0)))</f>
        <v/>
      </c>
      <c r="M65" s="8">
        <f>IF(ISNA(MATCH(56,'Transfer Engine'!$C$2:$C$630,0)),"",INDEX('Compliance Database'!$M$2:$M$630,MATCH(56,'Transfer Engine'!$C$2:$C$630,0)))</f>
        <v/>
      </c>
      <c r="N65" s="8">
        <f>IF(ISNA(MATCH(56,'Transfer Engine'!$C$2:$C$630,0)),"",INDEX('Compliance Database'!$N$2:$N$630,MATCH(56,'Transfer Engine'!$C$2:$C$630,0)))</f>
        <v/>
      </c>
      <c r="O65" s="8">
        <f>IF(ISNA(MATCH(56,'Transfer Engine'!$C$2:$C$630,0)),"",INDEX('Compliance Database'!$O$2:$O$630,MATCH(56,'Transfer Engine'!$C$2:$C$630,0)))</f>
        <v/>
      </c>
    </row>
    <row r="66">
      <c r="A66">
        <f>IF(ISNA(MATCH(57,'Transfer Engine'!$C$2:$C$630,0)),"",INDEX('Compliance Database'!$A$2:$A$630,MATCH(57,'Transfer Engine'!$C$2:$C$630,0)))</f>
        <v/>
      </c>
      <c r="B66">
        <f>IF(ISNA(MATCH(57,'Transfer Engine'!$C$2:$C$630,0)),"",INDEX('Compliance Database'!$B$2:$B$630,MATCH(57,'Transfer Engine'!$C$2:$C$630,0)))</f>
        <v/>
      </c>
      <c r="C66">
        <f>IF(ISNA(MATCH(57,'Transfer Engine'!$C$2:$C$630,0)),"",INDEX('Compliance Database'!$C$2:$C$630,MATCH(57,'Transfer Engine'!$C$2:$C$630,0)))</f>
        <v/>
      </c>
      <c r="D66" s="8">
        <f>IF(ISNA(MATCH(57,'Transfer Engine'!$C$2:$C$630,0)),"",INDEX('Compliance Database'!$D$2:$D$630,MATCH(57,'Transfer Engine'!$C$2:$C$630,0)))</f>
        <v/>
      </c>
      <c r="E66">
        <f>IF(ISNA(MATCH(57,'Transfer Engine'!$C$2:$C$630,0)),"",INDEX('Compliance Database'!$E$2:$E$630,MATCH(57,'Transfer Engine'!$C$2:$C$630,0)))</f>
        <v/>
      </c>
      <c r="F66">
        <f>IF(ISNA(MATCH(57,'Transfer Engine'!$C$2:$C$630,0)),"",INDEX('Compliance Database'!$F$2:$F$630,MATCH(57,'Transfer Engine'!$C$2:$C$630,0)))</f>
        <v/>
      </c>
      <c r="G66">
        <f>IF(ISNA(MATCH(57,'Transfer Engine'!$C$2:$C$630,0)),"",INDEX('Compliance Database'!$G$2:$G$630,MATCH(57,'Transfer Engine'!$C$2:$C$630,0)))</f>
        <v/>
      </c>
      <c r="H66">
        <f>IF(ISNA(MATCH(57,'Transfer Engine'!$C$2:$C$630,0)),"",INDEX('Compliance Database'!$H$2:$H$630,MATCH(57,'Transfer Engine'!$C$2:$C$630,0)))</f>
        <v/>
      </c>
      <c r="I66" s="8">
        <f>IF(ISNA(MATCH(57,'Transfer Engine'!$C$2:$C$630,0)),"",INDEX('Compliance Database'!$I$2:$I$630,MATCH(57,'Transfer Engine'!$C$2:$C$630,0)))</f>
        <v/>
      </c>
      <c r="J66" s="8">
        <f>IF(ISNA(MATCH(57,'Transfer Engine'!$C$2:$C$630,0)),"",INDEX('Compliance Database'!$J$2:$J$630,MATCH(57,'Transfer Engine'!$C$2:$C$630,0)))</f>
        <v/>
      </c>
      <c r="K66">
        <f>IF(ISNA(MATCH(57,'Transfer Engine'!$C$2:$C$630,0)),"",INDEX('Compliance Database'!$K$2:$K$630,MATCH(57,'Transfer Engine'!$C$2:$C$630,0)))</f>
        <v/>
      </c>
      <c r="L66" s="8">
        <f>IF(ISNA(MATCH(57,'Transfer Engine'!$C$2:$C$630,0)),"",INDEX('Compliance Database'!$L$2:$L$630,MATCH(57,'Transfer Engine'!$C$2:$C$630,0)))</f>
        <v/>
      </c>
      <c r="M66" s="8">
        <f>IF(ISNA(MATCH(57,'Transfer Engine'!$C$2:$C$630,0)),"",INDEX('Compliance Database'!$M$2:$M$630,MATCH(57,'Transfer Engine'!$C$2:$C$630,0)))</f>
        <v/>
      </c>
      <c r="N66" s="8">
        <f>IF(ISNA(MATCH(57,'Transfer Engine'!$C$2:$C$630,0)),"",INDEX('Compliance Database'!$N$2:$N$630,MATCH(57,'Transfer Engine'!$C$2:$C$630,0)))</f>
        <v/>
      </c>
      <c r="O66" s="8">
        <f>IF(ISNA(MATCH(57,'Transfer Engine'!$C$2:$C$630,0)),"",INDEX('Compliance Database'!$O$2:$O$630,MATCH(57,'Transfer Engine'!$C$2:$C$630,0)))</f>
        <v/>
      </c>
    </row>
    <row r="67">
      <c r="A67">
        <f>IF(ISNA(MATCH(58,'Transfer Engine'!$C$2:$C$630,0)),"",INDEX('Compliance Database'!$A$2:$A$630,MATCH(58,'Transfer Engine'!$C$2:$C$630,0)))</f>
        <v/>
      </c>
      <c r="B67">
        <f>IF(ISNA(MATCH(58,'Transfer Engine'!$C$2:$C$630,0)),"",INDEX('Compliance Database'!$B$2:$B$630,MATCH(58,'Transfer Engine'!$C$2:$C$630,0)))</f>
        <v/>
      </c>
      <c r="C67">
        <f>IF(ISNA(MATCH(58,'Transfer Engine'!$C$2:$C$630,0)),"",INDEX('Compliance Database'!$C$2:$C$630,MATCH(58,'Transfer Engine'!$C$2:$C$630,0)))</f>
        <v/>
      </c>
      <c r="D67" s="8">
        <f>IF(ISNA(MATCH(58,'Transfer Engine'!$C$2:$C$630,0)),"",INDEX('Compliance Database'!$D$2:$D$630,MATCH(58,'Transfer Engine'!$C$2:$C$630,0)))</f>
        <v/>
      </c>
      <c r="E67">
        <f>IF(ISNA(MATCH(58,'Transfer Engine'!$C$2:$C$630,0)),"",INDEX('Compliance Database'!$E$2:$E$630,MATCH(58,'Transfer Engine'!$C$2:$C$630,0)))</f>
        <v/>
      </c>
      <c r="F67">
        <f>IF(ISNA(MATCH(58,'Transfer Engine'!$C$2:$C$630,0)),"",INDEX('Compliance Database'!$F$2:$F$630,MATCH(58,'Transfer Engine'!$C$2:$C$630,0)))</f>
        <v/>
      </c>
      <c r="G67">
        <f>IF(ISNA(MATCH(58,'Transfer Engine'!$C$2:$C$630,0)),"",INDEX('Compliance Database'!$G$2:$G$630,MATCH(58,'Transfer Engine'!$C$2:$C$630,0)))</f>
        <v/>
      </c>
      <c r="H67">
        <f>IF(ISNA(MATCH(58,'Transfer Engine'!$C$2:$C$630,0)),"",INDEX('Compliance Database'!$H$2:$H$630,MATCH(58,'Transfer Engine'!$C$2:$C$630,0)))</f>
        <v/>
      </c>
      <c r="I67" s="8">
        <f>IF(ISNA(MATCH(58,'Transfer Engine'!$C$2:$C$630,0)),"",INDEX('Compliance Database'!$I$2:$I$630,MATCH(58,'Transfer Engine'!$C$2:$C$630,0)))</f>
        <v/>
      </c>
      <c r="J67" s="8">
        <f>IF(ISNA(MATCH(58,'Transfer Engine'!$C$2:$C$630,0)),"",INDEX('Compliance Database'!$J$2:$J$630,MATCH(58,'Transfer Engine'!$C$2:$C$630,0)))</f>
        <v/>
      </c>
      <c r="K67">
        <f>IF(ISNA(MATCH(58,'Transfer Engine'!$C$2:$C$630,0)),"",INDEX('Compliance Database'!$K$2:$K$630,MATCH(58,'Transfer Engine'!$C$2:$C$630,0)))</f>
        <v/>
      </c>
      <c r="L67" s="8">
        <f>IF(ISNA(MATCH(58,'Transfer Engine'!$C$2:$C$630,0)),"",INDEX('Compliance Database'!$L$2:$L$630,MATCH(58,'Transfer Engine'!$C$2:$C$630,0)))</f>
        <v/>
      </c>
      <c r="M67" s="8">
        <f>IF(ISNA(MATCH(58,'Transfer Engine'!$C$2:$C$630,0)),"",INDEX('Compliance Database'!$M$2:$M$630,MATCH(58,'Transfer Engine'!$C$2:$C$630,0)))</f>
        <v/>
      </c>
      <c r="N67" s="8">
        <f>IF(ISNA(MATCH(58,'Transfer Engine'!$C$2:$C$630,0)),"",INDEX('Compliance Database'!$N$2:$N$630,MATCH(58,'Transfer Engine'!$C$2:$C$630,0)))</f>
        <v/>
      </c>
      <c r="O67" s="8">
        <f>IF(ISNA(MATCH(58,'Transfer Engine'!$C$2:$C$630,0)),"",INDEX('Compliance Database'!$O$2:$O$630,MATCH(58,'Transfer Engine'!$C$2:$C$630,0)))</f>
        <v/>
      </c>
    </row>
    <row r="68">
      <c r="A68">
        <f>IF(ISNA(MATCH(59,'Transfer Engine'!$C$2:$C$630,0)),"",INDEX('Compliance Database'!$A$2:$A$630,MATCH(59,'Transfer Engine'!$C$2:$C$630,0)))</f>
        <v/>
      </c>
      <c r="B68">
        <f>IF(ISNA(MATCH(59,'Transfer Engine'!$C$2:$C$630,0)),"",INDEX('Compliance Database'!$B$2:$B$630,MATCH(59,'Transfer Engine'!$C$2:$C$630,0)))</f>
        <v/>
      </c>
      <c r="C68">
        <f>IF(ISNA(MATCH(59,'Transfer Engine'!$C$2:$C$630,0)),"",INDEX('Compliance Database'!$C$2:$C$630,MATCH(59,'Transfer Engine'!$C$2:$C$630,0)))</f>
        <v/>
      </c>
      <c r="D68" s="8">
        <f>IF(ISNA(MATCH(59,'Transfer Engine'!$C$2:$C$630,0)),"",INDEX('Compliance Database'!$D$2:$D$630,MATCH(59,'Transfer Engine'!$C$2:$C$630,0)))</f>
        <v/>
      </c>
      <c r="E68">
        <f>IF(ISNA(MATCH(59,'Transfer Engine'!$C$2:$C$630,0)),"",INDEX('Compliance Database'!$E$2:$E$630,MATCH(59,'Transfer Engine'!$C$2:$C$630,0)))</f>
        <v/>
      </c>
      <c r="F68">
        <f>IF(ISNA(MATCH(59,'Transfer Engine'!$C$2:$C$630,0)),"",INDEX('Compliance Database'!$F$2:$F$630,MATCH(59,'Transfer Engine'!$C$2:$C$630,0)))</f>
        <v/>
      </c>
      <c r="G68">
        <f>IF(ISNA(MATCH(59,'Transfer Engine'!$C$2:$C$630,0)),"",INDEX('Compliance Database'!$G$2:$G$630,MATCH(59,'Transfer Engine'!$C$2:$C$630,0)))</f>
        <v/>
      </c>
      <c r="H68">
        <f>IF(ISNA(MATCH(59,'Transfer Engine'!$C$2:$C$630,0)),"",INDEX('Compliance Database'!$H$2:$H$630,MATCH(59,'Transfer Engine'!$C$2:$C$630,0)))</f>
        <v/>
      </c>
      <c r="I68" s="8">
        <f>IF(ISNA(MATCH(59,'Transfer Engine'!$C$2:$C$630,0)),"",INDEX('Compliance Database'!$I$2:$I$630,MATCH(59,'Transfer Engine'!$C$2:$C$630,0)))</f>
        <v/>
      </c>
      <c r="J68" s="8">
        <f>IF(ISNA(MATCH(59,'Transfer Engine'!$C$2:$C$630,0)),"",INDEX('Compliance Database'!$J$2:$J$630,MATCH(59,'Transfer Engine'!$C$2:$C$630,0)))</f>
        <v/>
      </c>
      <c r="K68">
        <f>IF(ISNA(MATCH(59,'Transfer Engine'!$C$2:$C$630,0)),"",INDEX('Compliance Database'!$K$2:$K$630,MATCH(59,'Transfer Engine'!$C$2:$C$630,0)))</f>
        <v/>
      </c>
      <c r="L68" s="8">
        <f>IF(ISNA(MATCH(59,'Transfer Engine'!$C$2:$C$630,0)),"",INDEX('Compliance Database'!$L$2:$L$630,MATCH(59,'Transfer Engine'!$C$2:$C$630,0)))</f>
        <v/>
      </c>
      <c r="M68" s="8">
        <f>IF(ISNA(MATCH(59,'Transfer Engine'!$C$2:$C$630,0)),"",INDEX('Compliance Database'!$M$2:$M$630,MATCH(59,'Transfer Engine'!$C$2:$C$630,0)))</f>
        <v/>
      </c>
      <c r="N68" s="8">
        <f>IF(ISNA(MATCH(59,'Transfer Engine'!$C$2:$C$630,0)),"",INDEX('Compliance Database'!$N$2:$N$630,MATCH(59,'Transfer Engine'!$C$2:$C$630,0)))</f>
        <v/>
      </c>
      <c r="O68" s="8">
        <f>IF(ISNA(MATCH(59,'Transfer Engine'!$C$2:$C$630,0)),"",INDEX('Compliance Database'!$O$2:$O$630,MATCH(59,'Transfer Engine'!$C$2:$C$630,0)))</f>
        <v/>
      </c>
    </row>
    <row r="69">
      <c r="A69">
        <f>IF(ISNA(MATCH(60,'Transfer Engine'!$C$2:$C$630,0)),"",INDEX('Compliance Database'!$A$2:$A$630,MATCH(60,'Transfer Engine'!$C$2:$C$630,0)))</f>
        <v/>
      </c>
      <c r="B69">
        <f>IF(ISNA(MATCH(60,'Transfer Engine'!$C$2:$C$630,0)),"",INDEX('Compliance Database'!$B$2:$B$630,MATCH(60,'Transfer Engine'!$C$2:$C$630,0)))</f>
        <v/>
      </c>
      <c r="C69">
        <f>IF(ISNA(MATCH(60,'Transfer Engine'!$C$2:$C$630,0)),"",INDEX('Compliance Database'!$C$2:$C$630,MATCH(60,'Transfer Engine'!$C$2:$C$630,0)))</f>
        <v/>
      </c>
      <c r="D69" s="8">
        <f>IF(ISNA(MATCH(60,'Transfer Engine'!$C$2:$C$630,0)),"",INDEX('Compliance Database'!$D$2:$D$630,MATCH(60,'Transfer Engine'!$C$2:$C$630,0)))</f>
        <v/>
      </c>
      <c r="E69">
        <f>IF(ISNA(MATCH(60,'Transfer Engine'!$C$2:$C$630,0)),"",INDEX('Compliance Database'!$E$2:$E$630,MATCH(60,'Transfer Engine'!$C$2:$C$630,0)))</f>
        <v/>
      </c>
      <c r="F69">
        <f>IF(ISNA(MATCH(60,'Transfer Engine'!$C$2:$C$630,0)),"",INDEX('Compliance Database'!$F$2:$F$630,MATCH(60,'Transfer Engine'!$C$2:$C$630,0)))</f>
        <v/>
      </c>
      <c r="G69">
        <f>IF(ISNA(MATCH(60,'Transfer Engine'!$C$2:$C$630,0)),"",INDEX('Compliance Database'!$G$2:$G$630,MATCH(60,'Transfer Engine'!$C$2:$C$630,0)))</f>
        <v/>
      </c>
      <c r="H69">
        <f>IF(ISNA(MATCH(60,'Transfer Engine'!$C$2:$C$630,0)),"",INDEX('Compliance Database'!$H$2:$H$630,MATCH(60,'Transfer Engine'!$C$2:$C$630,0)))</f>
        <v/>
      </c>
      <c r="I69" s="8">
        <f>IF(ISNA(MATCH(60,'Transfer Engine'!$C$2:$C$630,0)),"",INDEX('Compliance Database'!$I$2:$I$630,MATCH(60,'Transfer Engine'!$C$2:$C$630,0)))</f>
        <v/>
      </c>
      <c r="J69" s="8">
        <f>IF(ISNA(MATCH(60,'Transfer Engine'!$C$2:$C$630,0)),"",INDEX('Compliance Database'!$J$2:$J$630,MATCH(60,'Transfer Engine'!$C$2:$C$630,0)))</f>
        <v/>
      </c>
      <c r="K69">
        <f>IF(ISNA(MATCH(60,'Transfer Engine'!$C$2:$C$630,0)),"",INDEX('Compliance Database'!$K$2:$K$630,MATCH(60,'Transfer Engine'!$C$2:$C$630,0)))</f>
        <v/>
      </c>
      <c r="L69" s="8">
        <f>IF(ISNA(MATCH(60,'Transfer Engine'!$C$2:$C$630,0)),"",INDEX('Compliance Database'!$L$2:$L$630,MATCH(60,'Transfer Engine'!$C$2:$C$630,0)))</f>
        <v/>
      </c>
      <c r="M69" s="8">
        <f>IF(ISNA(MATCH(60,'Transfer Engine'!$C$2:$C$630,0)),"",INDEX('Compliance Database'!$M$2:$M$630,MATCH(60,'Transfer Engine'!$C$2:$C$630,0)))</f>
        <v/>
      </c>
      <c r="N69" s="8">
        <f>IF(ISNA(MATCH(60,'Transfer Engine'!$C$2:$C$630,0)),"",INDEX('Compliance Database'!$N$2:$N$630,MATCH(60,'Transfer Engine'!$C$2:$C$630,0)))</f>
        <v/>
      </c>
      <c r="O69" s="8">
        <f>IF(ISNA(MATCH(60,'Transfer Engine'!$C$2:$C$630,0)),"",INDEX('Compliance Database'!$O$2:$O$630,MATCH(60,'Transfer Engine'!$C$2:$C$630,0)))</f>
        <v/>
      </c>
    </row>
    <row r="70">
      <c r="A70">
        <f>IF(ISNA(MATCH(61,'Transfer Engine'!$C$2:$C$630,0)),"",INDEX('Compliance Database'!$A$2:$A$630,MATCH(61,'Transfer Engine'!$C$2:$C$630,0)))</f>
        <v/>
      </c>
      <c r="B70">
        <f>IF(ISNA(MATCH(61,'Transfer Engine'!$C$2:$C$630,0)),"",INDEX('Compliance Database'!$B$2:$B$630,MATCH(61,'Transfer Engine'!$C$2:$C$630,0)))</f>
        <v/>
      </c>
      <c r="C70">
        <f>IF(ISNA(MATCH(61,'Transfer Engine'!$C$2:$C$630,0)),"",INDEX('Compliance Database'!$C$2:$C$630,MATCH(61,'Transfer Engine'!$C$2:$C$630,0)))</f>
        <v/>
      </c>
      <c r="D70" s="8">
        <f>IF(ISNA(MATCH(61,'Transfer Engine'!$C$2:$C$630,0)),"",INDEX('Compliance Database'!$D$2:$D$630,MATCH(61,'Transfer Engine'!$C$2:$C$630,0)))</f>
        <v/>
      </c>
      <c r="E70">
        <f>IF(ISNA(MATCH(61,'Transfer Engine'!$C$2:$C$630,0)),"",INDEX('Compliance Database'!$E$2:$E$630,MATCH(61,'Transfer Engine'!$C$2:$C$630,0)))</f>
        <v/>
      </c>
      <c r="F70">
        <f>IF(ISNA(MATCH(61,'Transfer Engine'!$C$2:$C$630,0)),"",INDEX('Compliance Database'!$F$2:$F$630,MATCH(61,'Transfer Engine'!$C$2:$C$630,0)))</f>
        <v/>
      </c>
      <c r="G70">
        <f>IF(ISNA(MATCH(61,'Transfer Engine'!$C$2:$C$630,0)),"",INDEX('Compliance Database'!$G$2:$G$630,MATCH(61,'Transfer Engine'!$C$2:$C$630,0)))</f>
        <v/>
      </c>
      <c r="H70">
        <f>IF(ISNA(MATCH(61,'Transfer Engine'!$C$2:$C$630,0)),"",INDEX('Compliance Database'!$H$2:$H$630,MATCH(61,'Transfer Engine'!$C$2:$C$630,0)))</f>
        <v/>
      </c>
      <c r="I70" s="8">
        <f>IF(ISNA(MATCH(61,'Transfer Engine'!$C$2:$C$630,0)),"",INDEX('Compliance Database'!$I$2:$I$630,MATCH(61,'Transfer Engine'!$C$2:$C$630,0)))</f>
        <v/>
      </c>
      <c r="J70" s="8">
        <f>IF(ISNA(MATCH(61,'Transfer Engine'!$C$2:$C$630,0)),"",INDEX('Compliance Database'!$J$2:$J$630,MATCH(61,'Transfer Engine'!$C$2:$C$630,0)))</f>
        <v/>
      </c>
      <c r="K70">
        <f>IF(ISNA(MATCH(61,'Transfer Engine'!$C$2:$C$630,0)),"",INDEX('Compliance Database'!$K$2:$K$630,MATCH(61,'Transfer Engine'!$C$2:$C$630,0)))</f>
        <v/>
      </c>
      <c r="L70" s="8">
        <f>IF(ISNA(MATCH(61,'Transfer Engine'!$C$2:$C$630,0)),"",INDEX('Compliance Database'!$L$2:$L$630,MATCH(61,'Transfer Engine'!$C$2:$C$630,0)))</f>
        <v/>
      </c>
      <c r="M70" s="8">
        <f>IF(ISNA(MATCH(61,'Transfer Engine'!$C$2:$C$630,0)),"",INDEX('Compliance Database'!$M$2:$M$630,MATCH(61,'Transfer Engine'!$C$2:$C$630,0)))</f>
        <v/>
      </c>
      <c r="N70" s="8">
        <f>IF(ISNA(MATCH(61,'Transfer Engine'!$C$2:$C$630,0)),"",INDEX('Compliance Database'!$N$2:$N$630,MATCH(61,'Transfer Engine'!$C$2:$C$630,0)))</f>
        <v/>
      </c>
      <c r="O70" s="8">
        <f>IF(ISNA(MATCH(61,'Transfer Engine'!$C$2:$C$630,0)),"",INDEX('Compliance Database'!$O$2:$O$630,MATCH(61,'Transfer Engine'!$C$2:$C$630,0)))</f>
        <v/>
      </c>
    </row>
    <row r="71">
      <c r="A71">
        <f>IF(ISNA(MATCH(62,'Transfer Engine'!$C$2:$C$630,0)),"",INDEX('Compliance Database'!$A$2:$A$630,MATCH(62,'Transfer Engine'!$C$2:$C$630,0)))</f>
        <v/>
      </c>
      <c r="B71">
        <f>IF(ISNA(MATCH(62,'Transfer Engine'!$C$2:$C$630,0)),"",INDEX('Compliance Database'!$B$2:$B$630,MATCH(62,'Transfer Engine'!$C$2:$C$630,0)))</f>
        <v/>
      </c>
      <c r="C71">
        <f>IF(ISNA(MATCH(62,'Transfer Engine'!$C$2:$C$630,0)),"",INDEX('Compliance Database'!$C$2:$C$630,MATCH(62,'Transfer Engine'!$C$2:$C$630,0)))</f>
        <v/>
      </c>
      <c r="D71" s="8">
        <f>IF(ISNA(MATCH(62,'Transfer Engine'!$C$2:$C$630,0)),"",INDEX('Compliance Database'!$D$2:$D$630,MATCH(62,'Transfer Engine'!$C$2:$C$630,0)))</f>
        <v/>
      </c>
      <c r="E71">
        <f>IF(ISNA(MATCH(62,'Transfer Engine'!$C$2:$C$630,0)),"",INDEX('Compliance Database'!$E$2:$E$630,MATCH(62,'Transfer Engine'!$C$2:$C$630,0)))</f>
        <v/>
      </c>
      <c r="F71">
        <f>IF(ISNA(MATCH(62,'Transfer Engine'!$C$2:$C$630,0)),"",INDEX('Compliance Database'!$F$2:$F$630,MATCH(62,'Transfer Engine'!$C$2:$C$630,0)))</f>
        <v/>
      </c>
      <c r="G71">
        <f>IF(ISNA(MATCH(62,'Transfer Engine'!$C$2:$C$630,0)),"",INDEX('Compliance Database'!$G$2:$G$630,MATCH(62,'Transfer Engine'!$C$2:$C$630,0)))</f>
        <v/>
      </c>
      <c r="H71">
        <f>IF(ISNA(MATCH(62,'Transfer Engine'!$C$2:$C$630,0)),"",INDEX('Compliance Database'!$H$2:$H$630,MATCH(62,'Transfer Engine'!$C$2:$C$630,0)))</f>
        <v/>
      </c>
      <c r="I71" s="8">
        <f>IF(ISNA(MATCH(62,'Transfer Engine'!$C$2:$C$630,0)),"",INDEX('Compliance Database'!$I$2:$I$630,MATCH(62,'Transfer Engine'!$C$2:$C$630,0)))</f>
        <v/>
      </c>
      <c r="J71" s="8">
        <f>IF(ISNA(MATCH(62,'Transfer Engine'!$C$2:$C$630,0)),"",INDEX('Compliance Database'!$J$2:$J$630,MATCH(62,'Transfer Engine'!$C$2:$C$630,0)))</f>
        <v/>
      </c>
      <c r="K71">
        <f>IF(ISNA(MATCH(62,'Transfer Engine'!$C$2:$C$630,0)),"",INDEX('Compliance Database'!$K$2:$K$630,MATCH(62,'Transfer Engine'!$C$2:$C$630,0)))</f>
        <v/>
      </c>
      <c r="L71" s="8">
        <f>IF(ISNA(MATCH(62,'Transfer Engine'!$C$2:$C$630,0)),"",INDEX('Compliance Database'!$L$2:$L$630,MATCH(62,'Transfer Engine'!$C$2:$C$630,0)))</f>
        <v/>
      </c>
      <c r="M71" s="8">
        <f>IF(ISNA(MATCH(62,'Transfer Engine'!$C$2:$C$630,0)),"",INDEX('Compliance Database'!$M$2:$M$630,MATCH(62,'Transfer Engine'!$C$2:$C$630,0)))</f>
        <v/>
      </c>
      <c r="N71" s="8">
        <f>IF(ISNA(MATCH(62,'Transfer Engine'!$C$2:$C$630,0)),"",INDEX('Compliance Database'!$N$2:$N$630,MATCH(62,'Transfer Engine'!$C$2:$C$630,0)))</f>
        <v/>
      </c>
      <c r="O71" s="8">
        <f>IF(ISNA(MATCH(62,'Transfer Engine'!$C$2:$C$630,0)),"",INDEX('Compliance Database'!$O$2:$O$630,MATCH(62,'Transfer Engine'!$C$2:$C$630,0)))</f>
        <v/>
      </c>
    </row>
    <row r="72">
      <c r="A72">
        <f>IF(ISNA(MATCH(63,'Transfer Engine'!$C$2:$C$630,0)),"",INDEX('Compliance Database'!$A$2:$A$630,MATCH(63,'Transfer Engine'!$C$2:$C$630,0)))</f>
        <v/>
      </c>
      <c r="B72">
        <f>IF(ISNA(MATCH(63,'Transfer Engine'!$C$2:$C$630,0)),"",INDEX('Compliance Database'!$B$2:$B$630,MATCH(63,'Transfer Engine'!$C$2:$C$630,0)))</f>
        <v/>
      </c>
      <c r="C72">
        <f>IF(ISNA(MATCH(63,'Transfer Engine'!$C$2:$C$630,0)),"",INDEX('Compliance Database'!$C$2:$C$630,MATCH(63,'Transfer Engine'!$C$2:$C$630,0)))</f>
        <v/>
      </c>
      <c r="D72" s="8">
        <f>IF(ISNA(MATCH(63,'Transfer Engine'!$C$2:$C$630,0)),"",INDEX('Compliance Database'!$D$2:$D$630,MATCH(63,'Transfer Engine'!$C$2:$C$630,0)))</f>
        <v/>
      </c>
      <c r="E72">
        <f>IF(ISNA(MATCH(63,'Transfer Engine'!$C$2:$C$630,0)),"",INDEX('Compliance Database'!$E$2:$E$630,MATCH(63,'Transfer Engine'!$C$2:$C$630,0)))</f>
        <v/>
      </c>
      <c r="F72">
        <f>IF(ISNA(MATCH(63,'Transfer Engine'!$C$2:$C$630,0)),"",INDEX('Compliance Database'!$F$2:$F$630,MATCH(63,'Transfer Engine'!$C$2:$C$630,0)))</f>
        <v/>
      </c>
      <c r="G72">
        <f>IF(ISNA(MATCH(63,'Transfer Engine'!$C$2:$C$630,0)),"",INDEX('Compliance Database'!$G$2:$G$630,MATCH(63,'Transfer Engine'!$C$2:$C$630,0)))</f>
        <v/>
      </c>
      <c r="H72">
        <f>IF(ISNA(MATCH(63,'Transfer Engine'!$C$2:$C$630,0)),"",INDEX('Compliance Database'!$H$2:$H$630,MATCH(63,'Transfer Engine'!$C$2:$C$630,0)))</f>
        <v/>
      </c>
      <c r="I72" s="8">
        <f>IF(ISNA(MATCH(63,'Transfer Engine'!$C$2:$C$630,0)),"",INDEX('Compliance Database'!$I$2:$I$630,MATCH(63,'Transfer Engine'!$C$2:$C$630,0)))</f>
        <v/>
      </c>
      <c r="J72" s="8">
        <f>IF(ISNA(MATCH(63,'Transfer Engine'!$C$2:$C$630,0)),"",INDEX('Compliance Database'!$J$2:$J$630,MATCH(63,'Transfer Engine'!$C$2:$C$630,0)))</f>
        <v/>
      </c>
      <c r="K72">
        <f>IF(ISNA(MATCH(63,'Transfer Engine'!$C$2:$C$630,0)),"",INDEX('Compliance Database'!$K$2:$K$630,MATCH(63,'Transfer Engine'!$C$2:$C$630,0)))</f>
        <v/>
      </c>
      <c r="L72" s="8">
        <f>IF(ISNA(MATCH(63,'Transfer Engine'!$C$2:$C$630,0)),"",INDEX('Compliance Database'!$L$2:$L$630,MATCH(63,'Transfer Engine'!$C$2:$C$630,0)))</f>
        <v/>
      </c>
      <c r="M72" s="8">
        <f>IF(ISNA(MATCH(63,'Transfer Engine'!$C$2:$C$630,0)),"",INDEX('Compliance Database'!$M$2:$M$630,MATCH(63,'Transfer Engine'!$C$2:$C$630,0)))</f>
        <v/>
      </c>
      <c r="N72" s="8">
        <f>IF(ISNA(MATCH(63,'Transfer Engine'!$C$2:$C$630,0)),"",INDEX('Compliance Database'!$N$2:$N$630,MATCH(63,'Transfer Engine'!$C$2:$C$630,0)))</f>
        <v/>
      </c>
      <c r="O72" s="8">
        <f>IF(ISNA(MATCH(63,'Transfer Engine'!$C$2:$C$630,0)),"",INDEX('Compliance Database'!$O$2:$O$630,MATCH(63,'Transfer Engine'!$C$2:$C$630,0)))</f>
        <v/>
      </c>
    </row>
    <row r="73">
      <c r="A73">
        <f>IF(ISNA(MATCH(64,'Transfer Engine'!$C$2:$C$630,0)),"",INDEX('Compliance Database'!$A$2:$A$630,MATCH(64,'Transfer Engine'!$C$2:$C$630,0)))</f>
        <v/>
      </c>
      <c r="B73">
        <f>IF(ISNA(MATCH(64,'Transfer Engine'!$C$2:$C$630,0)),"",INDEX('Compliance Database'!$B$2:$B$630,MATCH(64,'Transfer Engine'!$C$2:$C$630,0)))</f>
        <v/>
      </c>
      <c r="C73">
        <f>IF(ISNA(MATCH(64,'Transfer Engine'!$C$2:$C$630,0)),"",INDEX('Compliance Database'!$C$2:$C$630,MATCH(64,'Transfer Engine'!$C$2:$C$630,0)))</f>
        <v/>
      </c>
      <c r="D73" s="8">
        <f>IF(ISNA(MATCH(64,'Transfer Engine'!$C$2:$C$630,0)),"",INDEX('Compliance Database'!$D$2:$D$630,MATCH(64,'Transfer Engine'!$C$2:$C$630,0)))</f>
        <v/>
      </c>
      <c r="E73">
        <f>IF(ISNA(MATCH(64,'Transfer Engine'!$C$2:$C$630,0)),"",INDEX('Compliance Database'!$E$2:$E$630,MATCH(64,'Transfer Engine'!$C$2:$C$630,0)))</f>
        <v/>
      </c>
      <c r="F73">
        <f>IF(ISNA(MATCH(64,'Transfer Engine'!$C$2:$C$630,0)),"",INDEX('Compliance Database'!$F$2:$F$630,MATCH(64,'Transfer Engine'!$C$2:$C$630,0)))</f>
        <v/>
      </c>
      <c r="G73">
        <f>IF(ISNA(MATCH(64,'Transfer Engine'!$C$2:$C$630,0)),"",INDEX('Compliance Database'!$G$2:$G$630,MATCH(64,'Transfer Engine'!$C$2:$C$630,0)))</f>
        <v/>
      </c>
      <c r="H73">
        <f>IF(ISNA(MATCH(64,'Transfer Engine'!$C$2:$C$630,0)),"",INDEX('Compliance Database'!$H$2:$H$630,MATCH(64,'Transfer Engine'!$C$2:$C$630,0)))</f>
        <v/>
      </c>
      <c r="I73" s="8">
        <f>IF(ISNA(MATCH(64,'Transfer Engine'!$C$2:$C$630,0)),"",INDEX('Compliance Database'!$I$2:$I$630,MATCH(64,'Transfer Engine'!$C$2:$C$630,0)))</f>
        <v/>
      </c>
      <c r="J73" s="8">
        <f>IF(ISNA(MATCH(64,'Transfer Engine'!$C$2:$C$630,0)),"",INDEX('Compliance Database'!$J$2:$J$630,MATCH(64,'Transfer Engine'!$C$2:$C$630,0)))</f>
        <v/>
      </c>
      <c r="K73">
        <f>IF(ISNA(MATCH(64,'Transfer Engine'!$C$2:$C$630,0)),"",INDEX('Compliance Database'!$K$2:$K$630,MATCH(64,'Transfer Engine'!$C$2:$C$630,0)))</f>
        <v/>
      </c>
      <c r="L73" s="8">
        <f>IF(ISNA(MATCH(64,'Transfer Engine'!$C$2:$C$630,0)),"",INDEX('Compliance Database'!$L$2:$L$630,MATCH(64,'Transfer Engine'!$C$2:$C$630,0)))</f>
        <v/>
      </c>
      <c r="M73" s="8">
        <f>IF(ISNA(MATCH(64,'Transfer Engine'!$C$2:$C$630,0)),"",INDEX('Compliance Database'!$M$2:$M$630,MATCH(64,'Transfer Engine'!$C$2:$C$630,0)))</f>
        <v/>
      </c>
      <c r="N73" s="8">
        <f>IF(ISNA(MATCH(64,'Transfer Engine'!$C$2:$C$630,0)),"",INDEX('Compliance Database'!$N$2:$N$630,MATCH(64,'Transfer Engine'!$C$2:$C$630,0)))</f>
        <v/>
      </c>
      <c r="O73" s="8">
        <f>IF(ISNA(MATCH(64,'Transfer Engine'!$C$2:$C$630,0)),"",INDEX('Compliance Database'!$O$2:$O$630,MATCH(64,'Transfer Engine'!$C$2:$C$630,0)))</f>
        <v/>
      </c>
    </row>
    <row r="74">
      <c r="A74">
        <f>IF(ISNA(MATCH(65,'Transfer Engine'!$C$2:$C$630,0)),"",INDEX('Compliance Database'!$A$2:$A$630,MATCH(65,'Transfer Engine'!$C$2:$C$630,0)))</f>
        <v/>
      </c>
      <c r="B74">
        <f>IF(ISNA(MATCH(65,'Transfer Engine'!$C$2:$C$630,0)),"",INDEX('Compliance Database'!$B$2:$B$630,MATCH(65,'Transfer Engine'!$C$2:$C$630,0)))</f>
        <v/>
      </c>
      <c r="C74">
        <f>IF(ISNA(MATCH(65,'Transfer Engine'!$C$2:$C$630,0)),"",INDEX('Compliance Database'!$C$2:$C$630,MATCH(65,'Transfer Engine'!$C$2:$C$630,0)))</f>
        <v/>
      </c>
      <c r="D74" s="8">
        <f>IF(ISNA(MATCH(65,'Transfer Engine'!$C$2:$C$630,0)),"",INDEX('Compliance Database'!$D$2:$D$630,MATCH(65,'Transfer Engine'!$C$2:$C$630,0)))</f>
        <v/>
      </c>
      <c r="E74">
        <f>IF(ISNA(MATCH(65,'Transfer Engine'!$C$2:$C$630,0)),"",INDEX('Compliance Database'!$E$2:$E$630,MATCH(65,'Transfer Engine'!$C$2:$C$630,0)))</f>
        <v/>
      </c>
      <c r="F74">
        <f>IF(ISNA(MATCH(65,'Transfer Engine'!$C$2:$C$630,0)),"",INDEX('Compliance Database'!$F$2:$F$630,MATCH(65,'Transfer Engine'!$C$2:$C$630,0)))</f>
        <v/>
      </c>
      <c r="G74">
        <f>IF(ISNA(MATCH(65,'Transfer Engine'!$C$2:$C$630,0)),"",INDEX('Compliance Database'!$G$2:$G$630,MATCH(65,'Transfer Engine'!$C$2:$C$630,0)))</f>
        <v/>
      </c>
      <c r="H74">
        <f>IF(ISNA(MATCH(65,'Transfer Engine'!$C$2:$C$630,0)),"",INDEX('Compliance Database'!$H$2:$H$630,MATCH(65,'Transfer Engine'!$C$2:$C$630,0)))</f>
        <v/>
      </c>
      <c r="I74" s="8">
        <f>IF(ISNA(MATCH(65,'Transfer Engine'!$C$2:$C$630,0)),"",INDEX('Compliance Database'!$I$2:$I$630,MATCH(65,'Transfer Engine'!$C$2:$C$630,0)))</f>
        <v/>
      </c>
      <c r="J74" s="8">
        <f>IF(ISNA(MATCH(65,'Transfer Engine'!$C$2:$C$630,0)),"",INDEX('Compliance Database'!$J$2:$J$630,MATCH(65,'Transfer Engine'!$C$2:$C$630,0)))</f>
        <v/>
      </c>
      <c r="K74">
        <f>IF(ISNA(MATCH(65,'Transfer Engine'!$C$2:$C$630,0)),"",INDEX('Compliance Database'!$K$2:$K$630,MATCH(65,'Transfer Engine'!$C$2:$C$630,0)))</f>
        <v/>
      </c>
      <c r="L74" s="8">
        <f>IF(ISNA(MATCH(65,'Transfer Engine'!$C$2:$C$630,0)),"",INDEX('Compliance Database'!$L$2:$L$630,MATCH(65,'Transfer Engine'!$C$2:$C$630,0)))</f>
        <v/>
      </c>
      <c r="M74" s="8">
        <f>IF(ISNA(MATCH(65,'Transfer Engine'!$C$2:$C$630,0)),"",INDEX('Compliance Database'!$M$2:$M$630,MATCH(65,'Transfer Engine'!$C$2:$C$630,0)))</f>
        <v/>
      </c>
      <c r="N74" s="8">
        <f>IF(ISNA(MATCH(65,'Transfer Engine'!$C$2:$C$630,0)),"",INDEX('Compliance Database'!$N$2:$N$630,MATCH(65,'Transfer Engine'!$C$2:$C$630,0)))</f>
        <v/>
      </c>
      <c r="O74" s="8">
        <f>IF(ISNA(MATCH(65,'Transfer Engine'!$C$2:$C$630,0)),"",INDEX('Compliance Database'!$O$2:$O$630,MATCH(65,'Transfer Engine'!$C$2:$C$630,0)))</f>
        <v/>
      </c>
    </row>
    <row r="75">
      <c r="A75">
        <f>IF(ISNA(MATCH(66,'Transfer Engine'!$C$2:$C$630,0)),"",INDEX('Compliance Database'!$A$2:$A$630,MATCH(66,'Transfer Engine'!$C$2:$C$630,0)))</f>
        <v/>
      </c>
      <c r="B75">
        <f>IF(ISNA(MATCH(66,'Transfer Engine'!$C$2:$C$630,0)),"",INDEX('Compliance Database'!$B$2:$B$630,MATCH(66,'Transfer Engine'!$C$2:$C$630,0)))</f>
        <v/>
      </c>
      <c r="C75">
        <f>IF(ISNA(MATCH(66,'Transfer Engine'!$C$2:$C$630,0)),"",INDEX('Compliance Database'!$C$2:$C$630,MATCH(66,'Transfer Engine'!$C$2:$C$630,0)))</f>
        <v/>
      </c>
      <c r="D75" s="8">
        <f>IF(ISNA(MATCH(66,'Transfer Engine'!$C$2:$C$630,0)),"",INDEX('Compliance Database'!$D$2:$D$630,MATCH(66,'Transfer Engine'!$C$2:$C$630,0)))</f>
        <v/>
      </c>
      <c r="E75">
        <f>IF(ISNA(MATCH(66,'Transfer Engine'!$C$2:$C$630,0)),"",INDEX('Compliance Database'!$E$2:$E$630,MATCH(66,'Transfer Engine'!$C$2:$C$630,0)))</f>
        <v/>
      </c>
      <c r="F75">
        <f>IF(ISNA(MATCH(66,'Transfer Engine'!$C$2:$C$630,0)),"",INDEX('Compliance Database'!$F$2:$F$630,MATCH(66,'Transfer Engine'!$C$2:$C$630,0)))</f>
        <v/>
      </c>
      <c r="G75">
        <f>IF(ISNA(MATCH(66,'Transfer Engine'!$C$2:$C$630,0)),"",INDEX('Compliance Database'!$G$2:$G$630,MATCH(66,'Transfer Engine'!$C$2:$C$630,0)))</f>
        <v/>
      </c>
      <c r="H75">
        <f>IF(ISNA(MATCH(66,'Transfer Engine'!$C$2:$C$630,0)),"",INDEX('Compliance Database'!$H$2:$H$630,MATCH(66,'Transfer Engine'!$C$2:$C$630,0)))</f>
        <v/>
      </c>
      <c r="I75" s="8">
        <f>IF(ISNA(MATCH(66,'Transfer Engine'!$C$2:$C$630,0)),"",INDEX('Compliance Database'!$I$2:$I$630,MATCH(66,'Transfer Engine'!$C$2:$C$630,0)))</f>
        <v/>
      </c>
      <c r="J75" s="8">
        <f>IF(ISNA(MATCH(66,'Transfer Engine'!$C$2:$C$630,0)),"",INDEX('Compliance Database'!$J$2:$J$630,MATCH(66,'Transfer Engine'!$C$2:$C$630,0)))</f>
        <v/>
      </c>
      <c r="K75">
        <f>IF(ISNA(MATCH(66,'Transfer Engine'!$C$2:$C$630,0)),"",INDEX('Compliance Database'!$K$2:$K$630,MATCH(66,'Transfer Engine'!$C$2:$C$630,0)))</f>
        <v/>
      </c>
      <c r="L75" s="8">
        <f>IF(ISNA(MATCH(66,'Transfer Engine'!$C$2:$C$630,0)),"",INDEX('Compliance Database'!$L$2:$L$630,MATCH(66,'Transfer Engine'!$C$2:$C$630,0)))</f>
        <v/>
      </c>
      <c r="M75" s="8">
        <f>IF(ISNA(MATCH(66,'Transfer Engine'!$C$2:$C$630,0)),"",INDEX('Compliance Database'!$M$2:$M$630,MATCH(66,'Transfer Engine'!$C$2:$C$630,0)))</f>
        <v/>
      </c>
      <c r="N75" s="8">
        <f>IF(ISNA(MATCH(66,'Transfer Engine'!$C$2:$C$630,0)),"",INDEX('Compliance Database'!$N$2:$N$630,MATCH(66,'Transfer Engine'!$C$2:$C$630,0)))</f>
        <v/>
      </c>
      <c r="O75" s="8">
        <f>IF(ISNA(MATCH(66,'Transfer Engine'!$C$2:$C$630,0)),"",INDEX('Compliance Database'!$O$2:$O$630,MATCH(66,'Transfer Engine'!$C$2:$C$630,0)))</f>
        <v/>
      </c>
    </row>
    <row r="76">
      <c r="A76">
        <f>IF(ISNA(MATCH(67,'Transfer Engine'!$C$2:$C$630,0)),"",INDEX('Compliance Database'!$A$2:$A$630,MATCH(67,'Transfer Engine'!$C$2:$C$630,0)))</f>
        <v/>
      </c>
      <c r="B76">
        <f>IF(ISNA(MATCH(67,'Transfer Engine'!$C$2:$C$630,0)),"",INDEX('Compliance Database'!$B$2:$B$630,MATCH(67,'Transfer Engine'!$C$2:$C$630,0)))</f>
        <v/>
      </c>
      <c r="C76">
        <f>IF(ISNA(MATCH(67,'Transfer Engine'!$C$2:$C$630,0)),"",INDEX('Compliance Database'!$C$2:$C$630,MATCH(67,'Transfer Engine'!$C$2:$C$630,0)))</f>
        <v/>
      </c>
      <c r="D76" s="8">
        <f>IF(ISNA(MATCH(67,'Transfer Engine'!$C$2:$C$630,0)),"",INDEX('Compliance Database'!$D$2:$D$630,MATCH(67,'Transfer Engine'!$C$2:$C$630,0)))</f>
        <v/>
      </c>
      <c r="E76">
        <f>IF(ISNA(MATCH(67,'Transfer Engine'!$C$2:$C$630,0)),"",INDEX('Compliance Database'!$E$2:$E$630,MATCH(67,'Transfer Engine'!$C$2:$C$630,0)))</f>
        <v/>
      </c>
      <c r="F76">
        <f>IF(ISNA(MATCH(67,'Transfer Engine'!$C$2:$C$630,0)),"",INDEX('Compliance Database'!$F$2:$F$630,MATCH(67,'Transfer Engine'!$C$2:$C$630,0)))</f>
        <v/>
      </c>
      <c r="G76">
        <f>IF(ISNA(MATCH(67,'Transfer Engine'!$C$2:$C$630,0)),"",INDEX('Compliance Database'!$G$2:$G$630,MATCH(67,'Transfer Engine'!$C$2:$C$630,0)))</f>
        <v/>
      </c>
      <c r="H76">
        <f>IF(ISNA(MATCH(67,'Transfer Engine'!$C$2:$C$630,0)),"",INDEX('Compliance Database'!$H$2:$H$630,MATCH(67,'Transfer Engine'!$C$2:$C$630,0)))</f>
        <v/>
      </c>
      <c r="I76" s="8">
        <f>IF(ISNA(MATCH(67,'Transfer Engine'!$C$2:$C$630,0)),"",INDEX('Compliance Database'!$I$2:$I$630,MATCH(67,'Transfer Engine'!$C$2:$C$630,0)))</f>
        <v/>
      </c>
      <c r="J76" s="8">
        <f>IF(ISNA(MATCH(67,'Transfer Engine'!$C$2:$C$630,0)),"",INDEX('Compliance Database'!$J$2:$J$630,MATCH(67,'Transfer Engine'!$C$2:$C$630,0)))</f>
        <v/>
      </c>
      <c r="K76">
        <f>IF(ISNA(MATCH(67,'Transfer Engine'!$C$2:$C$630,0)),"",INDEX('Compliance Database'!$K$2:$K$630,MATCH(67,'Transfer Engine'!$C$2:$C$630,0)))</f>
        <v/>
      </c>
      <c r="L76" s="8">
        <f>IF(ISNA(MATCH(67,'Transfer Engine'!$C$2:$C$630,0)),"",INDEX('Compliance Database'!$L$2:$L$630,MATCH(67,'Transfer Engine'!$C$2:$C$630,0)))</f>
        <v/>
      </c>
      <c r="M76" s="8">
        <f>IF(ISNA(MATCH(67,'Transfer Engine'!$C$2:$C$630,0)),"",INDEX('Compliance Database'!$M$2:$M$630,MATCH(67,'Transfer Engine'!$C$2:$C$630,0)))</f>
        <v/>
      </c>
      <c r="N76" s="8">
        <f>IF(ISNA(MATCH(67,'Transfer Engine'!$C$2:$C$630,0)),"",INDEX('Compliance Database'!$N$2:$N$630,MATCH(67,'Transfer Engine'!$C$2:$C$630,0)))</f>
        <v/>
      </c>
      <c r="O76" s="8">
        <f>IF(ISNA(MATCH(67,'Transfer Engine'!$C$2:$C$630,0)),"",INDEX('Compliance Database'!$O$2:$O$630,MATCH(67,'Transfer Engine'!$C$2:$C$630,0)))</f>
        <v/>
      </c>
    </row>
    <row r="77">
      <c r="A77">
        <f>IF(ISNA(MATCH(68,'Transfer Engine'!$C$2:$C$630,0)),"",INDEX('Compliance Database'!$A$2:$A$630,MATCH(68,'Transfer Engine'!$C$2:$C$630,0)))</f>
        <v/>
      </c>
      <c r="B77">
        <f>IF(ISNA(MATCH(68,'Transfer Engine'!$C$2:$C$630,0)),"",INDEX('Compliance Database'!$B$2:$B$630,MATCH(68,'Transfer Engine'!$C$2:$C$630,0)))</f>
        <v/>
      </c>
      <c r="C77">
        <f>IF(ISNA(MATCH(68,'Transfer Engine'!$C$2:$C$630,0)),"",INDEX('Compliance Database'!$C$2:$C$630,MATCH(68,'Transfer Engine'!$C$2:$C$630,0)))</f>
        <v/>
      </c>
      <c r="D77" s="8">
        <f>IF(ISNA(MATCH(68,'Transfer Engine'!$C$2:$C$630,0)),"",INDEX('Compliance Database'!$D$2:$D$630,MATCH(68,'Transfer Engine'!$C$2:$C$630,0)))</f>
        <v/>
      </c>
      <c r="E77">
        <f>IF(ISNA(MATCH(68,'Transfer Engine'!$C$2:$C$630,0)),"",INDEX('Compliance Database'!$E$2:$E$630,MATCH(68,'Transfer Engine'!$C$2:$C$630,0)))</f>
        <v/>
      </c>
      <c r="F77">
        <f>IF(ISNA(MATCH(68,'Transfer Engine'!$C$2:$C$630,0)),"",INDEX('Compliance Database'!$F$2:$F$630,MATCH(68,'Transfer Engine'!$C$2:$C$630,0)))</f>
        <v/>
      </c>
      <c r="G77">
        <f>IF(ISNA(MATCH(68,'Transfer Engine'!$C$2:$C$630,0)),"",INDEX('Compliance Database'!$G$2:$G$630,MATCH(68,'Transfer Engine'!$C$2:$C$630,0)))</f>
        <v/>
      </c>
      <c r="H77">
        <f>IF(ISNA(MATCH(68,'Transfer Engine'!$C$2:$C$630,0)),"",INDEX('Compliance Database'!$H$2:$H$630,MATCH(68,'Transfer Engine'!$C$2:$C$630,0)))</f>
        <v/>
      </c>
      <c r="I77" s="8">
        <f>IF(ISNA(MATCH(68,'Transfer Engine'!$C$2:$C$630,0)),"",INDEX('Compliance Database'!$I$2:$I$630,MATCH(68,'Transfer Engine'!$C$2:$C$630,0)))</f>
        <v/>
      </c>
      <c r="J77" s="8">
        <f>IF(ISNA(MATCH(68,'Transfer Engine'!$C$2:$C$630,0)),"",INDEX('Compliance Database'!$J$2:$J$630,MATCH(68,'Transfer Engine'!$C$2:$C$630,0)))</f>
        <v/>
      </c>
      <c r="K77">
        <f>IF(ISNA(MATCH(68,'Transfer Engine'!$C$2:$C$630,0)),"",INDEX('Compliance Database'!$K$2:$K$630,MATCH(68,'Transfer Engine'!$C$2:$C$630,0)))</f>
        <v/>
      </c>
      <c r="L77" s="8">
        <f>IF(ISNA(MATCH(68,'Transfer Engine'!$C$2:$C$630,0)),"",INDEX('Compliance Database'!$L$2:$L$630,MATCH(68,'Transfer Engine'!$C$2:$C$630,0)))</f>
        <v/>
      </c>
      <c r="M77" s="8">
        <f>IF(ISNA(MATCH(68,'Transfer Engine'!$C$2:$C$630,0)),"",INDEX('Compliance Database'!$M$2:$M$630,MATCH(68,'Transfer Engine'!$C$2:$C$630,0)))</f>
        <v/>
      </c>
      <c r="N77" s="8">
        <f>IF(ISNA(MATCH(68,'Transfer Engine'!$C$2:$C$630,0)),"",INDEX('Compliance Database'!$N$2:$N$630,MATCH(68,'Transfer Engine'!$C$2:$C$630,0)))</f>
        <v/>
      </c>
      <c r="O77" s="8">
        <f>IF(ISNA(MATCH(68,'Transfer Engine'!$C$2:$C$630,0)),"",INDEX('Compliance Database'!$O$2:$O$630,MATCH(68,'Transfer Engine'!$C$2:$C$630,0)))</f>
        <v/>
      </c>
    </row>
    <row r="78">
      <c r="A78">
        <f>IF(ISNA(MATCH(69,'Transfer Engine'!$C$2:$C$630,0)),"",INDEX('Compliance Database'!$A$2:$A$630,MATCH(69,'Transfer Engine'!$C$2:$C$630,0)))</f>
        <v/>
      </c>
      <c r="B78">
        <f>IF(ISNA(MATCH(69,'Transfer Engine'!$C$2:$C$630,0)),"",INDEX('Compliance Database'!$B$2:$B$630,MATCH(69,'Transfer Engine'!$C$2:$C$630,0)))</f>
        <v/>
      </c>
      <c r="C78">
        <f>IF(ISNA(MATCH(69,'Transfer Engine'!$C$2:$C$630,0)),"",INDEX('Compliance Database'!$C$2:$C$630,MATCH(69,'Transfer Engine'!$C$2:$C$630,0)))</f>
        <v/>
      </c>
      <c r="D78" s="8">
        <f>IF(ISNA(MATCH(69,'Transfer Engine'!$C$2:$C$630,0)),"",INDEX('Compliance Database'!$D$2:$D$630,MATCH(69,'Transfer Engine'!$C$2:$C$630,0)))</f>
        <v/>
      </c>
      <c r="E78">
        <f>IF(ISNA(MATCH(69,'Transfer Engine'!$C$2:$C$630,0)),"",INDEX('Compliance Database'!$E$2:$E$630,MATCH(69,'Transfer Engine'!$C$2:$C$630,0)))</f>
        <v/>
      </c>
      <c r="F78">
        <f>IF(ISNA(MATCH(69,'Transfer Engine'!$C$2:$C$630,0)),"",INDEX('Compliance Database'!$F$2:$F$630,MATCH(69,'Transfer Engine'!$C$2:$C$630,0)))</f>
        <v/>
      </c>
      <c r="G78">
        <f>IF(ISNA(MATCH(69,'Transfer Engine'!$C$2:$C$630,0)),"",INDEX('Compliance Database'!$G$2:$G$630,MATCH(69,'Transfer Engine'!$C$2:$C$630,0)))</f>
        <v/>
      </c>
      <c r="H78">
        <f>IF(ISNA(MATCH(69,'Transfer Engine'!$C$2:$C$630,0)),"",INDEX('Compliance Database'!$H$2:$H$630,MATCH(69,'Transfer Engine'!$C$2:$C$630,0)))</f>
        <v/>
      </c>
      <c r="I78" s="8">
        <f>IF(ISNA(MATCH(69,'Transfer Engine'!$C$2:$C$630,0)),"",INDEX('Compliance Database'!$I$2:$I$630,MATCH(69,'Transfer Engine'!$C$2:$C$630,0)))</f>
        <v/>
      </c>
      <c r="J78" s="8">
        <f>IF(ISNA(MATCH(69,'Transfer Engine'!$C$2:$C$630,0)),"",INDEX('Compliance Database'!$J$2:$J$630,MATCH(69,'Transfer Engine'!$C$2:$C$630,0)))</f>
        <v/>
      </c>
      <c r="K78">
        <f>IF(ISNA(MATCH(69,'Transfer Engine'!$C$2:$C$630,0)),"",INDEX('Compliance Database'!$K$2:$K$630,MATCH(69,'Transfer Engine'!$C$2:$C$630,0)))</f>
        <v/>
      </c>
      <c r="L78" s="8">
        <f>IF(ISNA(MATCH(69,'Transfer Engine'!$C$2:$C$630,0)),"",INDEX('Compliance Database'!$L$2:$L$630,MATCH(69,'Transfer Engine'!$C$2:$C$630,0)))</f>
        <v/>
      </c>
      <c r="M78" s="8">
        <f>IF(ISNA(MATCH(69,'Transfer Engine'!$C$2:$C$630,0)),"",INDEX('Compliance Database'!$M$2:$M$630,MATCH(69,'Transfer Engine'!$C$2:$C$630,0)))</f>
        <v/>
      </c>
      <c r="N78" s="8">
        <f>IF(ISNA(MATCH(69,'Transfer Engine'!$C$2:$C$630,0)),"",INDEX('Compliance Database'!$N$2:$N$630,MATCH(69,'Transfer Engine'!$C$2:$C$630,0)))</f>
        <v/>
      </c>
      <c r="O78" s="8">
        <f>IF(ISNA(MATCH(69,'Transfer Engine'!$C$2:$C$630,0)),"",INDEX('Compliance Database'!$O$2:$O$630,MATCH(69,'Transfer Engine'!$C$2:$C$630,0)))</f>
        <v/>
      </c>
    </row>
    <row r="79">
      <c r="A79">
        <f>IF(ISNA(MATCH(70,'Transfer Engine'!$C$2:$C$630,0)),"",INDEX('Compliance Database'!$A$2:$A$630,MATCH(70,'Transfer Engine'!$C$2:$C$630,0)))</f>
        <v/>
      </c>
      <c r="B79">
        <f>IF(ISNA(MATCH(70,'Transfer Engine'!$C$2:$C$630,0)),"",INDEX('Compliance Database'!$B$2:$B$630,MATCH(70,'Transfer Engine'!$C$2:$C$630,0)))</f>
        <v/>
      </c>
      <c r="C79">
        <f>IF(ISNA(MATCH(70,'Transfer Engine'!$C$2:$C$630,0)),"",INDEX('Compliance Database'!$C$2:$C$630,MATCH(70,'Transfer Engine'!$C$2:$C$630,0)))</f>
        <v/>
      </c>
      <c r="D79" s="8">
        <f>IF(ISNA(MATCH(70,'Transfer Engine'!$C$2:$C$630,0)),"",INDEX('Compliance Database'!$D$2:$D$630,MATCH(70,'Transfer Engine'!$C$2:$C$630,0)))</f>
        <v/>
      </c>
      <c r="E79">
        <f>IF(ISNA(MATCH(70,'Transfer Engine'!$C$2:$C$630,0)),"",INDEX('Compliance Database'!$E$2:$E$630,MATCH(70,'Transfer Engine'!$C$2:$C$630,0)))</f>
        <v/>
      </c>
      <c r="F79">
        <f>IF(ISNA(MATCH(70,'Transfer Engine'!$C$2:$C$630,0)),"",INDEX('Compliance Database'!$F$2:$F$630,MATCH(70,'Transfer Engine'!$C$2:$C$630,0)))</f>
        <v/>
      </c>
      <c r="G79">
        <f>IF(ISNA(MATCH(70,'Transfer Engine'!$C$2:$C$630,0)),"",INDEX('Compliance Database'!$G$2:$G$630,MATCH(70,'Transfer Engine'!$C$2:$C$630,0)))</f>
        <v/>
      </c>
      <c r="H79">
        <f>IF(ISNA(MATCH(70,'Transfer Engine'!$C$2:$C$630,0)),"",INDEX('Compliance Database'!$H$2:$H$630,MATCH(70,'Transfer Engine'!$C$2:$C$630,0)))</f>
        <v/>
      </c>
      <c r="I79" s="8">
        <f>IF(ISNA(MATCH(70,'Transfer Engine'!$C$2:$C$630,0)),"",INDEX('Compliance Database'!$I$2:$I$630,MATCH(70,'Transfer Engine'!$C$2:$C$630,0)))</f>
        <v/>
      </c>
      <c r="J79" s="8">
        <f>IF(ISNA(MATCH(70,'Transfer Engine'!$C$2:$C$630,0)),"",INDEX('Compliance Database'!$J$2:$J$630,MATCH(70,'Transfer Engine'!$C$2:$C$630,0)))</f>
        <v/>
      </c>
      <c r="K79">
        <f>IF(ISNA(MATCH(70,'Transfer Engine'!$C$2:$C$630,0)),"",INDEX('Compliance Database'!$K$2:$K$630,MATCH(70,'Transfer Engine'!$C$2:$C$630,0)))</f>
        <v/>
      </c>
      <c r="L79" s="8">
        <f>IF(ISNA(MATCH(70,'Transfer Engine'!$C$2:$C$630,0)),"",INDEX('Compliance Database'!$L$2:$L$630,MATCH(70,'Transfer Engine'!$C$2:$C$630,0)))</f>
        <v/>
      </c>
      <c r="M79" s="8">
        <f>IF(ISNA(MATCH(70,'Transfer Engine'!$C$2:$C$630,0)),"",INDEX('Compliance Database'!$M$2:$M$630,MATCH(70,'Transfer Engine'!$C$2:$C$630,0)))</f>
        <v/>
      </c>
      <c r="N79" s="8">
        <f>IF(ISNA(MATCH(70,'Transfer Engine'!$C$2:$C$630,0)),"",INDEX('Compliance Database'!$N$2:$N$630,MATCH(70,'Transfer Engine'!$C$2:$C$630,0)))</f>
        <v/>
      </c>
      <c r="O79" s="8">
        <f>IF(ISNA(MATCH(70,'Transfer Engine'!$C$2:$C$630,0)),"",INDEX('Compliance Database'!$O$2:$O$630,MATCH(70,'Transfer Engine'!$C$2:$C$630,0)))</f>
        <v/>
      </c>
    </row>
    <row r="80">
      <c r="A80">
        <f>IF(ISNA(MATCH(71,'Transfer Engine'!$C$2:$C$630,0)),"",INDEX('Compliance Database'!$A$2:$A$630,MATCH(71,'Transfer Engine'!$C$2:$C$630,0)))</f>
        <v/>
      </c>
      <c r="B80">
        <f>IF(ISNA(MATCH(71,'Transfer Engine'!$C$2:$C$630,0)),"",INDEX('Compliance Database'!$B$2:$B$630,MATCH(71,'Transfer Engine'!$C$2:$C$630,0)))</f>
        <v/>
      </c>
      <c r="C80">
        <f>IF(ISNA(MATCH(71,'Transfer Engine'!$C$2:$C$630,0)),"",INDEX('Compliance Database'!$C$2:$C$630,MATCH(71,'Transfer Engine'!$C$2:$C$630,0)))</f>
        <v/>
      </c>
      <c r="D80" s="8">
        <f>IF(ISNA(MATCH(71,'Transfer Engine'!$C$2:$C$630,0)),"",INDEX('Compliance Database'!$D$2:$D$630,MATCH(71,'Transfer Engine'!$C$2:$C$630,0)))</f>
        <v/>
      </c>
      <c r="E80">
        <f>IF(ISNA(MATCH(71,'Transfer Engine'!$C$2:$C$630,0)),"",INDEX('Compliance Database'!$E$2:$E$630,MATCH(71,'Transfer Engine'!$C$2:$C$630,0)))</f>
        <v/>
      </c>
      <c r="F80">
        <f>IF(ISNA(MATCH(71,'Transfer Engine'!$C$2:$C$630,0)),"",INDEX('Compliance Database'!$F$2:$F$630,MATCH(71,'Transfer Engine'!$C$2:$C$630,0)))</f>
        <v/>
      </c>
      <c r="G80">
        <f>IF(ISNA(MATCH(71,'Transfer Engine'!$C$2:$C$630,0)),"",INDEX('Compliance Database'!$G$2:$G$630,MATCH(71,'Transfer Engine'!$C$2:$C$630,0)))</f>
        <v/>
      </c>
      <c r="H80">
        <f>IF(ISNA(MATCH(71,'Transfer Engine'!$C$2:$C$630,0)),"",INDEX('Compliance Database'!$H$2:$H$630,MATCH(71,'Transfer Engine'!$C$2:$C$630,0)))</f>
        <v/>
      </c>
      <c r="I80" s="8">
        <f>IF(ISNA(MATCH(71,'Transfer Engine'!$C$2:$C$630,0)),"",INDEX('Compliance Database'!$I$2:$I$630,MATCH(71,'Transfer Engine'!$C$2:$C$630,0)))</f>
        <v/>
      </c>
      <c r="J80" s="8">
        <f>IF(ISNA(MATCH(71,'Transfer Engine'!$C$2:$C$630,0)),"",INDEX('Compliance Database'!$J$2:$J$630,MATCH(71,'Transfer Engine'!$C$2:$C$630,0)))</f>
        <v/>
      </c>
      <c r="K80">
        <f>IF(ISNA(MATCH(71,'Transfer Engine'!$C$2:$C$630,0)),"",INDEX('Compliance Database'!$K$2:$K$630,MATCH(71,'Transfer Engine'!$C$2:$C$630,0)))</f>
        <v/>
      </c>
      <c r="L80" s="8">
        <f>IF(ISNA(MATCH(71,'Transfer Engine'!$C$2:$C$630,0)),"",INDEX('Compliance Database'!$L$2:$L$630,MATCH(71,'Transfer Engine'!$C$2:$C$630,0)))</f>
        <v/>
      </c>
      <c r="M80" s="8">
        <f>IF(ISNA(MATCH(71,'Transfer Engine'!$C$2:$C$630,0)),"",INDEX('Compliance Database'!$M$2:$M$630,MATCH(71,'Transfer Engine'!$C$2:$C$630,0)))</f>
        <v/>
      </c>
      <c r="N80" s="8">
        <f>IF(ISNA(MATCH(71,'Transfer Engine'!$C$2:$C$630,0)),"",INDEX('Compliance Database'!$N$2:$N$630,MATCH(71,'Transfer Engine'!$C$2:$C$630,0)))</f>
        <v/>
      </c>
      <c r="O80" s="8">
        <f>IF(ISNA(MATCH(71,'Transfer Engine'!$C$2:$C$630,0)),"",INDEX('Compliance Database'!$O$2:$O$630,MATCH(71,'Transfer Engine'!$C$2:$C$630,0)))</f>
        <v/>
      </c>
    </row>
    <row r="81">
      <c r="A81">
        <f>IF(ISNA(MATCH(72,'Transfer Engine'!$C$2:$C$630,0)),"",INDEX('Compliance Database'!$A$2:$A$630,MATCH(72,'Transfer Engine'!$C$2:$C$630,0)))</f>
        <v/>
      </c>
      <c r="B81">
        <f>IF(ISNA(MATCH(72,'Transfer Engine'!$C$2:$C$630,0)),"",INDEX('Compliance Database'!$B$2:$B$630,MATCH(72,'Transfer Engine'!$C$2:$C$630,0)))</f>
        <v/>
      </c>
      <c r="C81">
        <f>IF(ISNA(MATCH(72,'Transfer Engine'!$C$2:$C$630,0)),"",INDEX('Compliance Database'!$C$2:$C$630,MATCH(72,'Transfer Engine'!$C$2:$C$630,0)))</f>
        <v/>
      </c>
      <c r="D81" s="8">
        <f>IF(ISNA(MATCH(72,'Transfer Engine'!$C$2:$C$630,0)),"",INDEX('Compliance Database'!$D$2:$D$630,MATCH(72,'Transfer Engine'!$C$2:$C$630,0)))</f>
        <v/>
      </c>
      <c r="E81">
        <f>IF(ISNA(MATCH(72,'Transfer Engine'!$C$2:$C$630,0)),"",INDEX('Compliance Database'!$E$2:$E$630,MATCH(72,'Transfer Engine'!$C$2:$C$630,0)))</f>
        <v/>
      </c>
      <c r="F81">
        <f>IF(ISNA(MATCH(72,'Transfer Engine'!$C$2:$C$630,0)),"",INDEX('Compliance Database'!$F$2:$F$630,MATCH(72,'Transfer Engine'!$C$2:$C$630,0)))</f>
        <v/>
      </c>
      <c r="G81">
        <f>IF(ISNA(MATCH(72,'Transfer Engine'!$C$2:$C$630,0)),"",INDEX('Compliance Database'!$G$2:$G$630,MATCH(72,'Transfer Engine'!$C$2:$C$630,0)))</f>
        <v/>
      </c>
      <c r="H81">
        <f>IF(ISNA(MATCH(72,'Transfer Engine'!$C$2:$C$630,0)),"",INDEX('Compliance Database'!$H$2:$H$630,MATCH(72,'Transfer Engine'!$C$2:$C$630,0)))</f>
        <v/>
      </c>
      <c r="I81" s="8">
        <f>IF(ISNA(MATCH(72,'Transfer Engine'!$C$2:$C$630,0)),"",INDEX('Compliance Database'!$I$2:$I$630,MATCH(72,'Transfer Engine'!$C$2:$C$630,0)))</f>
        <v/>
      </c>
      <c r="J81" s="8">
        <f>IF(ISNA(MATCH(72,'Transfer Engine'!$C$2:$C$630,0)),"",INDEX('Compliance Database'!$J$2:$J$630,MATCH(72,'Transfer Engine'!$C$2:$C$630,0)))</f>
        <v/>
      </c>
      <c r="K81">
        <f>IF(ISNA(MATCH(72,'Transfer Engine'!$C$2:$C$630,0)),"",INDEX('Compliance Database'!$K$2:$K$630,MATCH(72,'Transfer Engine'!$C$2:$C$630,0)))</f>
        <v/>
      </c>
      <c r="L81" s="8">
        <f>IF(ISNA(MATCH(72,'Transfer Engine'!$C$2:$C$630,0)),"",INDEX('Compliance Database'!$L$2:$L$630,MATCH(72,'Transfer Engine'!$C$2:$C$630,0)))</f>
        <v/>
      </c>
      <c r="M81" s="8">
        <f>IF(ISNA(MATCH(72,'Transfer Engine'!$C$2:$C$630,0)),"",INDEX('Compliance Database'!$M$2:$M$630,MATCH(72,'Transfer Engine'!$C$2:$C$630,0)))</f>
        <v/>
      </c>
      <c r="N81" s="8">
        <f>IF(ISNA(MATCH(72,'Transfer Engine'!$C$2:$C$630,0)),"",INDEX('Compliance Database'!$N$2:$N$630,MATCH(72,'Transfer Engine'!$C$2:$C$630,0)))</f>
        <v/>
      </c>
      <c r="O81" s="8">
        <f>IF(ISNA(MATCH(72,'Transfer Engine'!$C$2:$C$630,0)),"",INDEX('Compliance Database'!$O$2:$O$630,MATCH(72,'Transfer Engine'!$C$2:$C$630,0)))</f>
        <v/>
      </c>
    </row>
    <row r="82">
      <c r="A82">
        <f>IF(ISNA(MATCH(73,'Transfer Engine'!$C$2:$C$630,0)),"",INDEX('Compliance Database'!$A$2:$A$630,MATCH(73,'Transfer Engine'!$C$2:$C$630,0)))</f>
        <v/>
      </c>
      <c r="B82">
        <f>IF(ISNA(MATCH(73,'Transfer Engine'!$C$2:$C$630,0)),"",INDEX('Compliance Database'!$B$2:$B$630,MATCH(73,'Transfer Engine'!$C$2:$C$630,0)))</f>
        <v/>
      </c>
      <c r="C82">
        <f>IF(ISNA(MATCH(73,'Transfer Engine'!$C$2:$C$630,0)),"",INDEX('Compliance Database'!$C$2:$C$630,MATCH(73,'Transfer Engine'!$C$2:$C$630,0)))</f>
        <v/>
      </c>
      <c r="D82" s="8">
        <f>IF(ISNA(MATCH(73,'Transfer Engine'!$C$2:$C$630,0)),"",INDEX('Compliance Database'!$D$2:$D$630,MATCH(73,'Transfer Engine'!$C$2:$C$630,0)))</f>
        <v/>
      </c>
      <c r="E82">
        <f>IF(ISNA(MATCH(73,'Transfer Engine'!$C$2:$C$630,0)),"",INDEX('Compliance Database'!$E$2:$E$630,MATCH(73,'Transfer Engine'!$C$2:$C$630,0)))</f>
        <v/>
      </c>
      <c r="F82">
        <f>IF(ISNA(MATCH(73,'Transfer Engine'!$C$2:$C$630,0)),"",INDEX('Compliance Database'!$F$2:$F$630,MATCH(73,'Transfer Engine'!$C$2:$C$630,0)))</f>
        <v/>
      </c>
      <c r="G82">
        <f>IF(ISNA(MATCH(73,'Transfer Engine'!$C$2:$C$630,0)),"",INDEX('Compliance Database'!$G$2:$G$630,MATCH(73,'Transfer Engine'!$C$2:$C$630,0)))</f>
        <v/>
      </c>
      <c r="H82">
        <f>IF(ISNA(MATCH(73,'Transfer Engine'!$C$2:$C$630,0)),"",INDEX('Compliance Database'!$H$2:$H$630,MATCH(73,'Transfer Engine'!$C$2:$C$630,0)))</f>
        <v/>
      </c>
      <c r="I82" s="8">
        <f>IF(ISNA(MATCH(73,'Transfer Engine'!$C$2:$C$630,0)),"",INDEX('Compliance Database'!$I$2:$I$630,MATCH(73,'Transfer Engine'!$C$2:$C$630,0)))</f>
        <v/>
      </c>
      <c r="J82" s="8">
        <f>IF(ISNA(MATCH(73,'Transfer Engine'!$C$2:$C$630,0)),"",INDEX('Compliance Database'!$J$2:$J$630,MATCH(73,'Transfer Engine'!$C$2:$C$630,0)))</f>
        <v/>
      </c>
      <c r="K82">
        <f>IF(ISNA(MATCH(73,'Transfer Engine'!$C$2:$C$630,0)),"",INDEX('Compliance Database'!$K$2:$K$630,MATCH(73,'Transfer Engine'!$C$2:$C$630,0)))</f>
        <v/>
      </c>
      <c r="L82" s="8">
        <f>IF(ISNA(MATCH(73,'Transfer Engine'!$C$2:$C$630,0)),"",INDEX('Compliance Database'!$L$2:$L$630,MATCH(73,'Transfer Engine'!$C$2:$C$630,0)))</f>
        <v/>
      </c>
      <c r="M82" s="8">
        <f>IF(ISNA(MATCH(73,'Transfer Engine'!$C$2:$C$630,0)),"",INDEX('Compliance Database'!$M$2:$M$630,MATCH(73,'Transfer Engine'!$C$2:$C$630,0)))</f>
        <v/>
      </c>
      <c r="N82" s="8">
        <f>IF(ISNA(MATCH(73,'Transfer Engine'!$C$2:$C$630,0)),"",INDEX('Compliance Database'!$N$2:$N$630,MATCH(73,'Transfer Engine'!$C$2:$C$630,0)))</f>
        <v/>
      </c>
      <c r="O82" s="8">
        <f>IF(ISNA(MATCH(73,'Transfer Engine'!$C$2:$C$630,0)),"",INDEX('Compliance Database'!$O$2:$O$630,MATCH(73,'Transfer Engine'!$C$2:$C$630,0)))</f>
        <v/>
      </c>
    </row>
    <row r="83">
      <c r="A83">
        <f>IF(ISNA(MATCH(74,'Transfer Engine'!$C$2:$C$630,0)),"",INDEX('Compliance Database'!$A$2:$A$630,MATCH(74,'Transfer Engine'!$C$2:$C$630,0)))</f>
        <v/>
      </c>
      <c r="B83">
        <f>IF(ISNA(MATCH(74,'Transfer Engine'!$C$2:$C$630,0)),"",INDEX('Compliance Database'!$B$2:$B$630,MATCH(74,'Transfer Engine'!$C$2:$C$630,0)))</f>
        <v/>
      </c>
      <c r="C83">
        <f>IF(ISNA(MATCH(74,'Transfer Engine'!$C$2:$C$630,0)),"",INDEX('Compliance Database'!$C$2:$C$630,MATCH(74,'Transfer Engine'!$C$2:$C$630,0)))</f>
        <v/>
      </c>
      <c r="D83" s="8">
        <f>IF(ISNA(MATCH(74,'Transfer Engine'!$C$2:$C$630,0)),"",INDEX('Compliance Database'!$D$2:$D$630,MATCH(74,'Transfer Engine'!$C$2:$C$630,0)))</f>
        <v/>
      </c>
      <c r="E83">
        <f>IF(ISNA(MATCH(74,'Transfer Engine'!$C$2:$C$630,0)),"",INDEX('Compliance Database'!$E$2:$E$630,MATCH(74,'Transfer Engine'!$C$2:$C$630,0)))</f>
        <v/>
      </c>
      <c r="F83">
        <f>IF(ISNA(MATCH(74,'Transfer Engine'!$C$2:$C$630,0)),"",INDEX('Compliance Database'!$F$2:$F$630,MATCH(74,'Transfer Engine'!$C$2:$C$630,0)))</f>
        <v/>
      </c>
      <c r="G83">
        <f>IF(ISNA(MATCH(74,'Transfer Engine'!$C$2:$C$630,0)),"",INDEX('Compliance Database'!$G$2:$G$630,MATCH(74,'Transfer Engine'!$C$2:$C$630,0)))</f>
        <v/>
      </c>
      <c r="H83">
        <f>IF(ISNA(MATCH(74,'Transfer Engine'!$C$2:$C$630,0)),"",INDEX('Compliance Database'!$H$2:$H$630,MATCH(74,'Transfer Engine'!$C$2:$C$630,0)))</f>
        <v/>
      </c>
      <c r="I83" s="8">
        <f>IF(ISNA(MATCH(74,'Transfer Engine'!$C$2:$C$630,0)),"",INDEX('Compliance Database'!$I$2:$I$630,MATCH(74,'Transfer Engine'!$C$2:$C$630,0)))</f>
        <v/>
      </c>
      <c r="J83" s="8">
        <f>IF(ISNA(MATCH(74,'Transfer Engine'!$C$2:$C$630,0)),"",INDEX('Compliance Database'!$J$2:$J$630,MATCH(74,'Transfer Engine'!$C$2:$C$630,0)))</f>
        <v/>
      </c>
      <c r="K83">
        <f>IF(ISNA(MATCH(74,'Transfer Engine'!$C$2:$C$630,0)),"",INDEX('Compliance Database'!$K$2:$K$630,MATCH(74,'Transfer Engine'!$C$2:$C$630,0)))</f>
        <v/>
      </c>
      <c r="L83" s="8">
        <f>IF(ISNA(MATCH(74,'Transfer Engine'!$C$2:$C$630,0)),"",INDEX('Compliance Database'!$L$2:$L$630,MATCH(74,'Transfer Engine'!$C$2:$C$630,0)))</f>
        <v/>
      </c>
      <c r="M83" s="8">
        <f>IF(ISNA(MATCH(74,'Transfer Engine'!$C$2:$C$630,0)),"",INDEX('Compliance Database'!$M$2:$M$630,MATCH(74,'Transfer Engine'!$C$2:$C$630,0)))</f>
        <v/>
      </c>
      <c r="N83" s="8">
        <f>IF(ISNA(MATCH(74,'Transfer Engine'!$C$2:$C$630,0)),"",INDEX('Compliance Database'!$N$2:$N$630,MATCH(74,'Transfer Engine'!$C$2:$C$630,0)))</f>
        <v/>
      </c>
      <c r="O83" s="8">
        <f>IF(ISNA(MATCH(74,'Transfer Engine'!$C$2:$C$630,0)),"",INDEX('Compliance Database'!$O$2:$O$630,MATCH(74,'Transfer Engine'!$C$2:$C$630,0)))</f>
        <v/>
      </c>
    </row>
    <row r="84">
      <c r="A84">
        <f>IF(ISNA(MATCH(75,'Transfer Engine'!$C$2:$C$630,0)),"",INDEX('Compliance Database'!$A$2:$A$630,MATCH(75,'Transfer Engine'!$C$2:$C$630,0)))</f>
        <v/>
      </c>
      <c r="B84">
        <f>IF(ISNA(MATCH(75,'Transfer Engine'!$C$2:$C$630,0)),"",INDEX('Compliance Database'!$B$2:$B$630,MATCH(75,'Transfer Engine'!$C$2:$C$630,0)))</f>
        <v/>
      </c>
      <c r="C84">
        <f>IF(ISNA(MATCH(75,'Transfer Engine'!$C$2:$C$630,0)),"",INDEX('Compliance Database'!$C$2:$C$630,MATCH(75,'Transfer Engine'!$C$2:$C$630,0)))</f>
        <v/>
      </c>
      <c r="D84" s="8">
        <f>IF(ISNA(MATCH(75,'Transfer Engine'!$C$2:$C$630,0)),"",INDEX('Compliance Database'!$D$2:$D$630,MATCH(75,'Transfer Engine'!$C$2:$C$630,0)))</f>
        <v/>
      </c>
      <c r="E84">
        <f>IF(ISNA(MATCH(75,'Transfer Engine'!$C$2:$C$630,0)),"",INDEX('Compliance Database'!$E$2:$E$630,MATCH(75,'Transfer Engine'!$C$2:$C$630,0)))</f>
        <v/>
      </c>
      <c r="F84">
        <f>IF(ISNA(MATCH(75,'Transfer Engine'!$C$2:$C$630,0)),"",INDEX('Compliance Database'!$F$2:$F$630,MATCH(75,'Transfer Engine'!$C$2:$C$630,0)))</f>
        <v/>
      </c>
      <c r="G84">
        <f>IF(ISNA(MATCH(75,'Transfer Engine'!$C$2:$C$630,0)),"",INDEX('Compliance Database'!$G$2:$G$630,MATCH(75,'Transfer Engine'!$C$2:$C$630,0)))</f>
        <v/>
      </c>
      <c r="H84">
        <f>IF(ISNA(MATCH(75,'Transfer Engine'!$C$2:$C$630,0)),"",INDEX('Compliance Database'!$H$2:$H$630,MATCH(75,'Transfer Engine'!$C$2:$C$630,0)))</f>
        <v/>
      </c>
      <c r="I84" s="8">
        <f>IF(ISNA(MATCH(75,'Transfer Engine'!$C$2:$C$630,0)),"",INDEX('Compliance Database'!$I$2:$I$630,MATCH(75,'Transfer Engine'!$C$2:$C$630,0)))</f>
        <v/>
      </c>
      <c r="J84" s="8">
        <f>IF(ISNA(MATCH(75,'Transfer Engine'!$C$2:$C$630,0)),"",INDEX('Compliance Database'!$J$2:$J$630,MATCH(75,'Transfer Engine'!$C$2:$C$630,0)))</f>
        <v/>
      </c>
      <c r="K84">
        <f>IF(ISNA(MATCH(75,'Transfer Engine'!$C$2:$C$630,0)),"",INDEX('Compliance Database'!$K$2:$K$630,MATCH(75,'Transfer Engine'!$C$2:$C$630,0)))</f>
        <v/>
      </c>
      <c r="L84" s="8">
        <f>IF(ISNA(MATCH(75,'Transfer Engine'!$C$2:$C$630,0)),"",INDEX('Compliance Database'!$L$2:$L$630,MATCH(75,'Transfer Engine'!$C$2:$C$630,0)))</f>
        <v/>
      </c>
      <c r="M84" s="8">
        <f>IF(ISNA(MATCH(75,'Transfer Engine'!$C$2:$C$630,0)),"",INDEX('Compliance Database'!$M$2:$M$630,MATCH(75,'Transfer Engine'!$C$2:$C$630,0)))</f>
        <v/>
      </c>
      <c r="N84" s="8">
        <f>IF(ISNA(MATCH(75,'Transfer Engine'!$C$2:$C$630,0)),"",INDEX('Compliance Database'!$N$2:$N$630,MATCH(75,'Transfer Engine'!$C$2:$C$630,0)))</f>
        <v/>
      </c>
      <c r="O84" s="8">
        <f>IF(ISNA(MATCH(75,'Transfer Engine'!$C$2:$C$630,0)),"",INDEX('Compliance Database'!$O$2:$O$630,MATCH(75,'Transfer Engine'!$C$2:$C$630,0)))</f>
        <v/>
      </c>
    </row>
    <row r="85">
      <c r="A85">
        <f>IF(ISNA(MATCH(76,'Transfer Engine'!$C$2:$C$630,0)),"",INDEX('Compliance Database'!$A$2:$A$630,MATCH(76,'Transfer Engine'!$C$2:$C$630,0)))</f>
        <v/>
      </c>
      <c r="B85">
        <f>IF(ISNA(MATCH(76,'Transfer Engine'!$C$2:$C$630,0)),"",INDEX('Compliance Database'!$B$2:$B$630,MATCH(76,'Transfer Engine'!$C$2:$C$630,0)))</f>
        <v/>
      </c>
      <c r="C85">
        <f>IF(ISNA(MATCH(76,'Transfer Engine'!$C$2:$C$630,0)),"",INDEX('Compliance Database'!$C$2:$C$630,MATCH(76,'Transfer Engine'!$C$2:$C$630,0)))</f>
        <v/>
      </c>
      <c r="D85" s="8">
        <f>IF(ISNA(MATCH(76,'Transfer Engine'!$C$2:$C$630,0)),"",INDEX('Compliance Database'!$D$2:$D$630,MATCH(76,'Transfer Engine'!$C$2:$C$630,0)))</f>
        <v/>
      </c>
      <c r="E85">
        <f>IF(ISNA(MATCH(76,'Transfer Engine'!$C$2:$C$630,0)),"",INDEX('Compliance Database'!$E$2:$E$630,MATCH(76,'Transfer Engine'!$C$2:$C$630,0)))</f>
        <v/>
      </c>
      <c r="F85">
        <f>IF(ISNA(MATCH(76,'Transfer Engine'!$C$2:$C$630,0)),"",INDEX('Compliance Database'!$F$2:$F$630,MATCH(76,'Transfer Engine'!$C$2:$C$630,0)))</f>
        <v/>
      </c>
      <c r="G85">
        <f>IF(ISNA(MATCH(76,'Transfer Engine'!$C$2:$C$630,0)),"",INDEX('Compliance Database'!$G$2:$G$630,MATCH(76,'Transfer Engine'!$C$2:$C$630,0)))</f>
        <v/>
      </c>
      <c r="H85">
        <f>IF(ISNA(MATCH(76,'Transfer Engine'!$C$2:$C$630,0)),"",INDEX('Compliance Database'!$H$2:$H$630,MATCH(76,'Transfer Engine'!$C$2:$C$630,0)))</f>
        <v/>
      </c>
      <c r="I85" s="8">
        <f>IF(ISNA(MATCH(76,'Transfer Engine'!$C$2:$C$630,0)),"",INDEX('Compliance Database'!$I$2:$I$630,MATCH(76,'Transfer Engine'!$C$2:$C$630,0)))</f>
        <v/>
      </c>
      <c r="J85" s="8">
        <f>IF(ISNA(MATCH(76,'Transfer Engine'!$C$2:$C$630,0)),"",INDEX('Compliance Database'!$J$2:$J$630,MATCH(76,'Transfer Engine'!$C$2:$C$630,0)))</f>
        <v/>
      </c>
      <c r="K85">
        <f>IF(ISNA(MATCH(76,'Transfer Engine'!$C$2:$C$630,0)),"",INDEX('Compliance Database'!$K$2:$K$630,MATCH(76,'Transfer Engine'!$C$2:$C$630,0)))</f>
        <v/>
      </c>
      <c r="L85" s="8">
        <f>IF(ISNA(MATCH(76,'Transfer Engine'!$C$2:$C$630,0)),"",INDEX('Compliance Database'!$L$2:$L$630,MATCH(76,'Transfer Engine'!$C$2:$C$630,0)))</f>
        <v/>
      </c>
      <c r="M85" s="8">
        <f>IF(ISNA(MATCH(76,'Transfer Engine'!$C$2:$C$630,0)),"",INDEX('Compliance Database'!$M$2:$M$630,MATCH(76,'Transfer Engine'!$C$2:$C$630,0)))</f>
        <v/>
      </c>
      <c r="N85" s="8">
        <f>IF(ISNA(MATCH(76,'Transfer Engine'!$C$2:$C$630,0)),"",INDEX('Compliance Database'!$N$2:$N$630,MATCH(76,'Transfer Engine'!$C$2:$C$630,0)))</f>
        <v/>
      </c>
      <c r="O85" s="8">
        <f>IF(ISNA(MATCH(76,'Transfer Engine'!$C$2:$C$630,0)),"",INDEX('Compliance Database'!$O$2:$O$630,MATCH(76,'Transfer Engine'!$C$2:$C$630,0)))</f>
        <v/>
      </c>
    </row>
    <row r="86">
      <c r="A86">
        <f>IF(ISNA(MATCH(77,'Transfer Engine'!$C$2:$C$630,0)),"",INDEX('Compliance Database'!$A$2:$A$630,MATCH(77,'Transfer Engine'!$C$2:$C$630,0)))</f>
        <v/>
      </c>
      <c r="B86">
        <f>IF(ISNA(MATCH(77,'Transfer Engine'!$C$2:$C$630,0)),"",INDEX('Compliance Database'!$B$2:$B$630,MATCH(77,'Transfer Engine'!$C$2:$C$630,0)))</f>
        <v/>
      </c>
      <c r="C86">
        <f>IF(ISNA(MATCH(77,'Transfer Engine'!$C$2:$C$630,0)),"",INDEX('Compliance Database'!$C$2:$C$630,MATCH(77,'Transfer Engine'!$C$2:$C$630,0)))</f>
        <v/>
      </c>
      <c r="D86" s="8">
        <f>IF(ISNA(MATCH(77,'Transfer Engine'!$C$2:$C$630,0)),"",INDEX('Compliance Database'!$D$2:$D$630,MATCH(77,'Transfer Engine'!$C$2:$C$630,0)))</f>
        <v/>
      </c>
      <c r="E86">
        <f>IF(ISNA(MATCH(77,'Transfer Engine'!$C$2:$C$630,0)),"",INDEX('Compliance Database'!$E$2:$E$630,MATCH(77,'Transfer Engine'!$C$2:$C$630,0)))</f>
        <v/>
      </c>
      <c r="F86">
        <f>IF(ISNA(MATCH(77,'Transfer Engine'!$C$2:$C$630,0)),"",INDEX('Compliance Database'!$F$2:$F$630,MATCH(77,'Transfer Engine'!$C$2:$C$630,0)))</f>
        <v/>
      </c>
      <c r="G86">
        <f>IF(ISNA(MATCH(77,'Transfer Engine'!$C$2:$C$630,0)),"",INDEX('Compliance Database'!$G$2:$G$630,MATCH(77,'Transfer Engine'!$C$2:$C$630,0)))</f>
        <v/>
      </c>
      <c r="H86">
        <f>IF(ISNA(MATCH(77,'Transfer Engine'!$C$2:$C$630,0)),"",INDEX('Compliance Database'!$H$2:$H$630,MATCH(77,'Transfer Engine'!$C$2:$C$630,0)))</f>
        <v/>
      </c>
      <c r="I86" s="8">
        <f>IF(ISNA(MATCH(77,'Transfer Engine'!$C$2:$C$630,0)),"",INDEX('Compliance Database'!$I$2:$I$630,MATCH(77,'Transfer Engine'!$C$2:$C$630,0)))</f>
        <v/>
      </c>
      <c r="J86" s="8">
        <f>IF(ISNA(MATCH(77,'Transfer Engine'!$C$2:$C$630,0)),"",INDEX('Compliance Database'!$J$2:$J$630,MATCH(77,'Transfer Engine'!$C$2:$C$630,0)))</f>
        <v/>
      </c>
      <c r="K86">
        <f>IF(ISNA(MATCH(77,'Transfer Engine'!$C$2:$C$630,0)),"",INDEX('Compliance Database'!$K$2:$K$630,MATCH(77,'Transfer Engine'!$C$2:$C$630,0)))</f>
        <v/>
      </c>
      <c r="L86" s="8">
        <f>IF(ISNA(MATCH(77,'Transfer Engine'!$C$2:$C$630,0)),"",INDEX('Compliance Database'!$L$2:$L$630,MATCH(77,'Transfer Engine'!$C$2:$C$630,0)))</f>
        <v/>
      </c>
      <c r="M86" s="8">
        <f>IF(ISNA(MATCH(77,'Transfer Engine'!$C$2:$C$630,0)),"",INDEX('Compliance Database'!$M$2:$M$630,MATCH(77,'Transfer Engine'!$C$2:$C$630,0)))</f>
        <v/>
      </c>
      <c r="N86" s="8">
        <f>IF(ISNA(MATCH(77,'Transfer Engine'!$C$2:$C$630,0)),"",INDEX('Compliance Database'!$N$2:$N$630,MATCH(77,'Transfer Engine'!$C$2:$C$630,0)))</f>
        <v/>
      </c>
      <c r="O86" s="8">
        <f>IF(ISNA(MATCH(77,'Transfer Engine'!$C$2:$C$630,0)),"",INDEX('Compliance Database'!$O$2:$O$630,MATCH(77,'Transfer Engine'!$C$2:$C$630,0)))</f>
        <v/>
      </c>
    </row>
    <row r="87">
      <c r="A87">
        <f>IF(ISNA(MATCH(78,'Transfer Engine'!$C$2:$C$630,0)),"",INDEX('Compliance Database'!$A$2:$A$630,MATCH(78,'Transfer Engine'!$C$2:$C$630,0)))</f>
        <v/>
      </c>
      <c r="B87">
        <f>IF(ISNA(MATCH(78,'Transfer Engine'!$C$2:$C$630,0)),"",INDEX('Compliance Database'!$B$2:$B$630,MATCH(78,'Transfer Engine'!$C$2:$C$630,0)))</f>
        <v/>
      </c>
      <c r="C87">
        <f>IF(ISNA(MATCH(78,'Transfer Engine'!$C$2:$C$630,0)),"",INDEX('Compliance Database'!$C$2:$C$630,MATCH(78,'Transfer Engine'!$C$2:$C$630,0)))</f>
        <v/>
      </c>
      <c r="D87" s="8">
        <f>IF(ISNA(MATCH(78,'Transfer Engine'!$C$2:$C$630,0)),"",INDEX('Compliance Database'!$D$2:$D$630,MATCH(78,'Transfer Engine'!$C$2:$C$630,0)))</f>
        <v/>
      </c>
      <c r="E87">
        <f>IF(ISNA(MATCH(78,'Transfer Engine'!$C$2:$C$630,0)),"",INDEX('Compliance Database'!$E$2:$E$630,MATCH(78,'Transfer Engine'!$C$2:$C$630,0)))</f>
        <v/>
      </c>
      <c r="F87">
        <f>IF(ISNA(MATCH(78,'Transfer Engine'!$C$2:$C$630,0)),"",INDEX('Compliance Database'!$F$2:$F$630,MATCH(78,'Transfer Engine'!$C$2:$C$630,0)))</f>
        <v/>
      </c>
      <c r="G87">
        <f>IF(ISNA(MATCH(78,'Transfer Engine'!$C$2:$C$630,0)),"",INDEX('Compliance Database'!$G$2:$G$630,MATCH(78,'Transfer Engine'!$C$2:$C$630,0)))</f>
        <v/>
      </c>
      <c r="H87">
        <f>IF(ISNA(MATCH(78,'Transfer Engine'!$C$2:$C$630,0)),"",INDEX('Compliance Database'!$H$2:$H$630,MATCH(78,'Transfer Engine'!$C$2:$C$630,0)))</f>
        <v/>
      </c>
      <c r="I87" s="8">
        <f>IF(ISNA(MATCH(78,'Transfer Engine'!$C$2:$C$630,0)),"",INDEX('Compliance Database'!$I$2:$I$630,MATCH(78,'Transfer Engine'!$C$2:$C$630,0)))</f>
        <v/>
      </c>
      <c r="J87" s="8">
        <f>IF(ISNA(MATCH(78,'Transfer Engine'!$C$2:$C$630,0)),"",INDEX('Compliance Database'!$J$2:$J$630,MATCH(78,'Transfer Engine'!$C$2:$C$630,0)))</f>
        <v/>
      </c>
      <c r="K87">
        <f>IF(ISNA(MATCH(78,'Transfer Engine'!$C$2:$C$630,0)),"",INDEX('Compliance Database'!$K$2:$K$630,MATCH(78,'Transfer Engine'!$C$2:$C$630,0)))</f>
        <v/>
      </c>
      <c r="L87" s="8">
        <f>IF(ISNA(MATCH(78,'Transfer Engine'!$C$2:$C$630,0)),"",INDEX('Compliance Database'!$L$2:$L$630,MATCH(78,'Transfer Engine'!$C$2:$C$630,0)))</f>
        <v/>
      </c>
      <c r="M87" s="8">
        <f>IF(ISNA(MATCH(78,'Transfer Engine'!$C$2:$C$630,0)),"",INDEX('Compliance Database'!$M$2:$M$630,MATCH(78,'Transfer Engine'!$C$2:$C$630,0)))</f>
        <v/>
      </c>
      <c r="N87" s="8">
        <f>IF(ISNA(MATCH(78,'Transfer Engine'!$C$2:$C$630,0)),"",INDEX('Compliance Database'!$N$2:$N$630,MATCH(78,'Transfer Engine'!$C$2:$C$630,0)))</f>
        <v/>
      </c>
      <c r="O87" s="8">
        <f>IF(ISNA(MATCH(78,'Transfer Engine'!$C$2:$C$630,0)),"",INDEX('Compliance Database'!$O$2:$O$630,MATCH(78,'Transfer Engine'!$C$2:$C$630,0)))</f>
        <v/>
      </c>
    </row>
    <row r="88">
      <c r="A88">
        <f>IF(ISNA(MATCH(79,'Transfer Engine'!$C$2:$C$630,0)),"",INDEX('Compliance Database'!$A$2:$A$630,MATCH(79,'Transfer Engine'!$C$2:$C$630,0)))</f>
        <v/>
      </c>
      <c r="B88">
        <f>IF(ISNA(MATCH(79,'Transfer Engine'!$C$2:$C$630,0)),"",INDEX('Compliance Database'!$B$2:$B$630,MATCH(79,'Transfer Engine'!$C$2:$C$630,0)))</f>
        <v/>
      </c>
      <c r="C88">
        <f>IF(ISNA(MATCH(79,'Transfer Engine'!$C$2:$C$630,0)),"",INDEX('Compliance Database'!$C$2:$C$630,MATCH(79,'Transfer Engine'!$C$2:$C$630,0)))</f>
        <v/>
      </c>
      <c r="D88" s="8">
        <f>IF(ISNA(MATCH(79,'Transfer Engine'!$C$2:$C$630,0)),"",INDEX('Compliance Database'!$D$2:$D$630,MATCH(79,'Transfer Engine'!$C$2:$C$630,0)))</f>
        <v/>
      </c>
      <c r="E88">
        <f>IF(ISNA(MATCH(79,'Transfer Engine'!$C$2:$C$630,0)),"",INDEX('Compliance Database'!$E$2:$E$630,MATCH(79,'Transfer Engine'!$C$2:$C$630,0)))</f>
        <v/>
      </c>
      <c r="F88">
        <f>IF(ISNA(MATCH(79,'Transfer Engine'!$C$2:$C$630,0)),"",INDEX('Compliance Database'!$F$2:$F$630,MATCH(79,'Transfer Engine'!$C$2:$C$630,0)))</f>
        <v/>
      </c>
      <c r="G88">
        <f>IF(ISNA(MATCH(79,'Transfer Engine'!$C$2:$C$630,0)),"",INDEX('Compliance Database'!$G$2:$G$630,MATCH(79,'Transfer Engine'!$C$2:$C$630,0)))</f>
        <v/>
      </c>
      <c r="H88">
        <f>IF(ISNA(MATCH(79,'Transfer Engine'!$C$2:$C$630,0)),"",INDEX('Compliance Database'!$H$2:$H$630,MATCH(79,'Transfer Engine'!$C$2:$C$630,0)))</f>
        <v/>
      </c>
      <c r="I88" s="8">
        <f>IF(ISNA(MATCH(79,'Transfer Engine'!$C$2:$C$630,0)),"",INDEX('Compliance Database'!$I$2:$I$630,MATCH(79,'Transfer Engine'!$C$2:$C$630,0)))</f>
        <v/>
      </c>
      <c r="J88" s="8">
        <f>IF(ISNA(MATCH(79,'Transfer Engine'!$C$2:$C$630,0)),"",INDEX('Compliance Database'!$J$2:$J$630,MATCH(79,'Transfer Engine'!$C$2:$C$630,0)))</f>
        <v/>
      </c>
      <c r="K88">
        <f>IF(ISNA(MATCH(79,'Transfer Engine'!$C$2:$C$630,0)),"",INDEX('Compliance Database'!$K$2:$K$630,MATCH(79,'Transfer Engine'!$C$2:$C$630,0)))</f>
        <v/>
      </c>
      <c r="L88" s="8">
        <f>IF(ISNA(MATCH(79,'Transfer Engine'!$C$2:$C$630,0)),"",INDEX('Compliance Database'!$L$2:$L$630,MATCH(79,'Transfer Engine'!$C$2:$C$630,0)))</f>
        <v/>
      </c>
      <c r="M88" s="8">
        <f>IF(ISNA(MATCH(79,'Transfer Engine'!$C$2:$C$630,0)),"",INDEX('Compliance Database'!$M$2:$M$630,MATCH(79,'Transfer Engine'!$C$2:$C$630,0)))</f>
        <v/>
      </c>
      <c r="N88" s="8">
        <f>IF(ISNA(MATCH(79,'Transfer Engine'!$C$2:$C$630,0)),"",INDEX('Compliance Database'!$N$2:$N$630,MATCH(79,'Transfer Engine'!$C$2:$C$630,0)))</f>
        <v/>
      </c>
      <c r="O88" s="8">
        <f>IF(ISNA(MATCH(79,'Transfer Engine'!$C$2:$C$630,0)),"",INDEX('Compliance Database'!$O$2:$O$630,MATCH(79,'Transfer Engine'!$C$2:$C$630,0)))</f>
        <v/>
      </c>
    </row>
    <row r="89">
      <c r="A89">
        <f>IF(ISNA(MATCH(80,'Transfer Engine'!$C$2:$C$630,0)),"",INDEX('Compliance Database'!$A$2:$A$630,MATCH(80,'Transfer Engine'!$C$2:$C$630,0)))</f>
        <v/>
      </c>
      <c r="B89">
        <f>IF(ISNA(MATCH(80,'Transfer Engine'!$C$2:$C$630,0)),"",INDEX('Compliance Database'!$B$2:$B$630,MATCH(80,'Transfer Engine'!$C$2:$C$630,0)))</f>
        <v/>
      </c>
      <c r="C89">
        <f>IF(ISNA(MATCH(80,'Transfer Engine'!$C$2:$C$630,0)),"",INDEX('Compliance Database'!$C$2:$C$630,MATCH(80,'Transfer Engine'!$C$2:$C$630,0)))</f>
        <v/>
      </c>
      <c r="D89" s="8">
        <f>IF(ISNA(MATCH(80,'Transfer Engine'!$C$2:$C$630,0)),"",INDEX('Compliance Database'!$D$2:$D$630,MATCH(80,'Transfer Engine'!$C$2:$C$630,0)))</f>
        <v/>
      </c>
      <c r="E89">
        <f>IF(ISNA(MATCH(80,'Transfer Engine'!$C$2:$C$630,0)),"",INDEX('Compliance Database'!$E$2:$E$630,MATCH(80,'Transfer Engine'!$C$2:$C$630,0)))</f>
        <v/>
      </c>
      <c r="F89">
        <f>IF(ISNA(MATCH(80,'Transfer Engine'!$C$2:$C$630,0)),"",INDEX('Compliance Database'!$F$2:$F$630,MATCH(80,'Transfer Engine'!$C$2:$C$630,0)))</f>
        <v/>
      </c>
      <c r="G89">
        <f>IF(ISNA(MATCH(80,'Transfer Engine'!$C$2:$C$630,0)),"",INDEX('Compliance Database'!$G$2:$G$630,MATCH(80,'Transfer Engine'!$C$2:$C$630,0)))</f>
        <v/>
      </c>
      <c r="H89">
        <f>IF(ISNA(MATCH(80,'Transfer Engine'!$C$2:$C$630,0)),"",INDEX('Compliance Database'!$H$2:$H$630,MATCH(80,'Transfer Engine'!$C$2:$C$630,0)))</f>
        <v/>
      </c>
      <c r="I89" s="8">
        <f>IF(ISNA(MATCH(80,'Transfer Engine'!$C$2:$C$630,0)),"",INDEX('Compliance Database'!$I$2:$I$630,MATCH(80,'Transfer Engine'!$C$2:$C$630,0)))</f>
        <v/>
      </c>
      <c r="J89" s="8">
        <f>IF(ISNA(MATCH(80,'Transfer Engine'!$C$2:$C$630,0)),"",INDEX('Compliance Database'!$J$2:$J$630,MATCH(80,'Transfer Engine'!$C$2:$C$630,0)))</f>
        <v/>
      </c>
      <c r="K89">
        <f>IF(ISNA(MATCH(80,'Transfer Engine'!$C$2:$C$630,0)),"",INDEX('Compliance Database'!$K$2:$K$630,MATCH(80,'Transfer Engine'!$C$2:$C$630,0)))</f>
        <v/>
      </c>
      <c r="L89" s="8">
        <f>IF(ISNA(MATCH(80,'Transfer Engine'!$C$2:$C$630,0)),"",INDEX('Compliance Database'!$L$2:$L$630,MATCH(80,'Transfer Engine'!$C$2:$C$630,0)))</f>
        <v/>
      </c>
      <c r="M89" s="8">
        <f>IF(ISNA(MATCH(80,'Transfer Engine'!$C$2:$C$630,0)),"",INDEX('Compliance Database'!$M$2:$M$630,MATCH(80,'Transfer Engine'!$C$2:$C$630,0)))</f>
        <v/>
      </c>
      <c r="N89" s="8">
        <f>IF(ISNA(MATCH(80,'Transfer Engine'!$C$2:$C$630,0)),"",INDEX('Compliance Database'!$N$2:$N$630,MATCH(80,'Transfer Engine'!$C$2:$C$630,0)))</f>
        <v/>
      </c>
      <c r="O89" s="8">
        <f>IF(ISNA(MATCH(80,'Transfer Engine'!$C$2:$C$630,0)),"",INDEX('Compliance Database'!$O$2:$O$630,MATCH(80,'Transfer Engine'!$C$2:$C$630,0)))</f>
        <v/>
      </c>
    </row>
    <row r="90">
      <c r="A90">
        <f>IF(ISNA(MATCH(81,'Transfer Engine'!$C$2:$C$630,0)),"",INDEX('Compliance Database'!$A$2:$A$630,MATCH(81,'Transfer Engine'!$C$2:$C$630,0)))</f>
        <v/>
      </c>
      <c r="B90">
        <f>IF(ISNA(MATCH(81,'Transfer Engine'!$C$2:$C$630,0)),"",INDEX('Compliance Database'!$B$2:$B$630,MATCH(81,'Transfer Engine'!$C$2:$C$630,0)))</f>
        <v/>
      </c>
      <c r="C90">
        <f>IF(ISNA(MATCH(81,'Transfer Engine'!$C$2:$C$630,0)),"",INDEX('Compliance Database'!$C$2:$C$630,MATCH(81,'Transfer Engine'!$C$2:$C$630,0)))</f>
        <v/>
      </c>
      <c r="D90" s="8">
        <f>IF(ISNA(MATCH(81,'Transfer Engine'!$C$2:$C$630,0)),"",INDEX('Compliance Database'!$D$2:$D$630,MATCH(81,'Transfer Engine'!$C$2:$C$630,0)))</f>
        <v/>
      </c>
      <c r="E90">
        <f>IF(ISNA(MATCH(81,'Transfer Engine'!$C$2:$C$630,0)),"",INDEX('Compliance Database'!$E$2:$E$630,MATCH(81,'Transfer Engine'!$C$2:$C$630,0)))</f>
        <v/>
      </c>
      <c r="F90">
        <f>IF(ISNA(MATCH(81,'Transfer Engine'!$C$2:$C$630,0)),"",INDEX('Compliance Database'!$F$2:$F$630,MATCH(81,'Transfer Engine'!$C$2:$C$630,0)))</f>
        <v/>
      </c>
      <c r="G90">
        <f>IF(ISNA(MATCH(81,'Transfer Engine'!$C$2:$C$630,0)),"",INDEX('Compliance Database'!$G$2:$G$630,MATCH(81,'Transfer Engine'!$C$2:$C$630,0)))</f>
        <v/>
      </c>
      <c r="H90">
        <f>IF(ISNA(MATCH(81,'Transfer Engine'!$C$2:$C$630,0)),"",INDEX('Compliance Database'!$H$2:$H$630,MATCH(81,'Transfer Engine'!$C$2:$C$630,0)))</f>
        <v/>
      </c>
      <c r="I90" s="8">
        <f>IF(ISNA(MATCH(81,'Transfer Engine'!$C$2:$C$630,0)),"",INDEX('Compliance Database'!$I$2:$I$630,MATCH(81,'Transfer Engine'!$C$2:$C$630,0)))</f>
        <v/>
      </c>
      <c r="J90" s="8">
        <f>IF(ISNA(MATCH(81,'Transfer Engine'!$C$2:$C$630,0)),"",INDEX('Compliance Database'!$J$2:$J$630,MATCH(81,'Transfer Engine'!$C$2:$C$630,0)))</f>
        <v/>
      </c>
      <c r="K90">
        <f>IF(ISNA(MATCH(81,'Transfer Engine'!$C$2:$C$630,0)),"",INDEX('Compliance Database'!$K$2:$K$630,MATCH(81,'Transfer Engine'!$C$2:$C$630,0)))</f>
        <v/>
      </c>
      <c r="L90" s="8">
        <f>IF(ISNA(MATCH(81,'Transfer Engine'!$C$2:$C$630,0)),"",INDEX('Compliance Database'!$L$2:$L$630,MATCH(81,'Transfer Engine'!$C$2:$C$630,0)))</f>
        <v/>
      </c>
      <c r="M90" s="8">
        <f>IF(ISNA(MATCH(81,'Transfer Engine'!$C$2:$C$630,0)),"",INDEX('Compliance Database'!$M$2:$M$630,MATCH(81,'Transfer Engine'!$C$2:$C$630,0)))</f>
        <v/>
      </c>
      <c r="N90" s="8">
        <f>IF(ISNA(MATCH(81,'Transfer Engine'!$C$2:$C$630,0)),"",INDEX('Compliance Database'!$N$2:$N$630,MATCH(81,'Transfer Engine'!$C$2:$C$630,0)))</f>
        <v/>
      </c>
      <c r="O90" s="8">
        <f>IF(ISNA(MATCH(81,'Transfer Engine'!$C$2:$C$630,0)),"",INDEX('Compliance Database'!$O$2:$O$630,MATCH(81,'Transfer Engine'!$C$2:$C$630,0)))</f>
        <v/>
      </c>
    </row>
    <row r="91">
      <c r="A91">
        <f>IF(ISNA(MATCH(82,'Transfer Engine'!$C$2:$C$630,0)),"",INDEX('Compliance Database'!$A$2:$A$630,MATCH(82,'Transfer Engine'!$C$2:$C$630,0)))</f>
        <v/>
      </c>
      <c r="B91">
        <f>IF(ISNA(MATCH(82,'Transfer Engine'!$C$2:$C$630,0)),"",INDEX('Compliance Database'!$B$2:$B$630,MATCH(82,'Transfer Engine'!$C$2:$C$630,0)))</f>
        <v/>
      </c>
      <c r="C91">
        <f>IF(ISNA(MATCH(82,'Transfer Engine'!$C$2:$C$630,0)),"",INDEX('Compliance Database'!$C$2:$C$630,MATCH(82,'Transfer Engine'!$C$2:$C$630,0)))</f>
        <v/>
      </c>
      <c r="D91" s="8">
        <f>IF(ISNA(MATCH(82,'Transfer Engine'!$C$2:$C$630,0)),"",INDEX('Compliance Database'!$D$2:$D$630,MATCH(82,'Transfer Engine'!$C$2:$C$630,0)))</f>
        <v/>
      </c>
      <c r="E91">
        <f>IF(ISNA(MATCH(82,'Transfer Engine'!$C$2:$C$630,0)),"",INDEX('Compliance Database'!$E$2:$E$630,MATCH(82,'Transfer Engine'!$C$2:$C$630,0)))</f>
        <v/>
      </c>
      <c r="F91">
        <f>IF(ISNA(MATCH(82,'Transfer Engine'!$C$2:$C$630,0)),"",INDEX('Compliance Database'!$F$2:$F$630,MATCH(82,'Transfer Engine'!$C$2:$C$630,0)))</f>
        <v/>
      </c>
      <c r="G91">
        <f>IF(ISNA(MATCH(82,'Transfer Engine'!$C$2:$C$630,0)),"",INDEX('Compliance Database'!$G$2:$G$630,MATCH(82,'Transfer Engine'!$C$2:$C$630,0)))</f>
        <v/>
      </c>
      <c r="H91">
        <f>IF(ISNA(MATCH(82,'Transfer Engine'!$C$2:$C$630,0)),"",INDEX('Compliance Database'!$H$2:$H$630,MATCH(82,'Transfer Engine'!$C$2:$C$630,0)))</f>
        <v/>
      </c>
      <c r="I91" s="8">
        <f>IF(ISNA(MATCH(82,'Transfer Engine'!$C$2:$C$630,0)),"",INDEX('Compliance Database'!$I$2:$I$630,MATCH(82,'Transfer Engine'!$C$2:$C$630,0)))</f>
        <v/>
      </c>
      <c r="J91" s="8">
        <f>IF(ISNA(MATCH(82,'Transfer Engine'!$C$2:$C$630,0)),"",INDEX('Compliance Database'!$J$2:$J$630,MATCH(82,'Transfer Engine'!$C$2:$C$630,0)))</f>
        <v/>
      </c>
      <c r="K91">
        <f>IF(ISNA(MATCH(82,'Transfer Engine'!$C$2:$C$630,0)),"",INDEX('Compliance Database'!$K$2:$K$630,MATCH(82,'Transfer Engine'!$C$2:$C$630,0)))</f>
        <v/>
      </c>
      <c r="L91" s="8">
        <f>IF(ISNA(MATCH(82,'Transfer Engine'!$C$2:$C$630,0)),"",INDEX('Compliance Database'!$L$2:$L$630,MATCH(82,'Transfer Engine'!$C$2:$C$630,0)))</f>
        <v/>
      </c>
      <c r="M91" s="8">
        <f>IF(ISNA(MATCH(82,'Transfer Engine'!$C$2:$C$630,0)),"",INDEX('Compliance Database'!$M$2:$M$630,MATCH(82,'Transfer Engine'!$C$2:$C$630,0)))</f>
        <v/>
      </c>
      <c r="N91" s="8">
        <f>IF(ISNA(MATCH(82,'Transfer Engine'!$C$2:$C$630,0)),"",INDEX('Compliance Database'!$N$2:$N$630,MATCH(82,'Transfer Engine'!$C$2:$C$630,0)))</f>
        <v/>
      </c>
      <c r="O91" s="8">
        <f>IF(ISNA(MATCH(82,'Transfer Engine'!$C$2:$C$630,0)),"",INDEX('Compliance Database'!$O$2:$O$630,MATCH(82,'Transfer Engine'!$C$2:$C$630,0)))</f>
        <v/>
      </c>
    </row>
    <row r="92">
      <c r="A92">
        <f>IF(ISNA(MATCH(83,'Transfer Engine'!$C$2:$C$630,0)),"",INDEX('Compliance Database'!$A$2:$A$630,MATCH(83,'Transfer Engine'!$C$2:$C$630,0)))</f>
        <v/>
      </c>
      <c r="B92">
        <f>IF(ISNA(MATCH(83,'Transfer Engine'!$C$2:$C$630,0)),"",INDEX('Compliance Database'!$B$2:$B$630,MATCH(83,'Transfer Engine'!$C$2:$C$630,0)))</f>
        <v/>
      </c>
      <c r="C92">
        <f>IF(ISNA(MATCH(83,'Transfer Engine'!$C$2:$C$630,0)),"",INDEX('Compliance Database'!$C$2:$C$630,MATCH(83,'Transfer Engine'!$C$2:$C$630,0)))</f>
        <v/>
      </c>
      <c r="D92" s="8">
        <f>IF(ISNA(MATCH(83,'Transfer Engine'!$C$2:$C$630,0)),"",INDEX('Compliance Database'!$D$2:$D$630,MATCH(83,'Transfer Engine'!$C$2:$C$630,0)))</f>
        <v/>
      </c>
      <c r="E92">
        <f>IF(ISNA(MATCH(83,'Transfer Engine'!$C$2:$C$630,0)),"",INDEX('Compliance Database'!$E$2:$E$630,MATCH(83,'Transfer Engine'!$C$2:$C$630,0)))</f>
        <v/>
      </c>
      <c r="F92">
        <f>IF(ISNA(MATCH(83,'Transfer Engine'!$C$2:$C$630,0)),"",INDEX('Compliance Database'!$F$2:$F$630,MATCH(83,'Transfer Engine'!$C$2:$C$630,0)))</f>
        <v/>
      </c>
      <c r="G92">
        <f>IF(ISNA(MATCH(83,'Transfer Engine'!$C$2:$C$630,0)),"",INDEX('Compliance Database'!$G$2:$G$630,MATCH(83,'Transfer Engine'!$C$2:$C$630,0)))</f>
        <v/>
      </c>
      <c r="H92">
        <f>IF(ISNA(MATCH(83,'Transfer Engine'!$C$2:$C$630,0)),"",INDEX('Compliance Database'!$H$2:$H$630,MATCH(83,'Transfer Engine'!$C$2:$C$630,0)))</f>
        <v/>
      </c>
      <c r="I92" s="8">
        <f>IF(ISNA(MATCH(83,'Transfer Engine'!$C$2:$C$630,0)),"",INDEX('Compliance Database'!$I$2:$I$630,MATCH(83,'Transfer Engine'!$C$2:$C$630,0)))</f>
        <v/>
      </c>
      <c r="J92" s="8">
        <f>IF(ISNA(MATCH(83,'Transfer Engine'!$C$2:$C$630,0)),"",INDEX('Compliance Database'!$J$2:$J$630,MATCH(83,'Transfer Engine'!$C$2:$C$630,0)))</f>
        <v/>
      </c>
      <c r="K92">
        <f>IF(ISNA(MATCH(83,'Transfer Engine'!$C$2:$C$630,0)),"",INDEX('Compliance Database'!$K$2:$K$630,MATCH(83,'Transfer Engine'!$C$2:$C$630,0)))</f>
        <v/>
      </c>
      <c r="L92" s="8">
        <f>IF(ISNA(MATCH(83,'Transfer Engine'!$C$2:$C$630,0)),"",INDEX('Compliance Database'!$L$2:$L$630,MATCH(83,'Transfer Engine'!$C$2:$C$630,0)))</f>
        <v/>
      </c>
      <c r="M92" s="8">
        <f>IF(ISNA(MATCH(83,'Transfer Engine'!$C$2:$C$630,0)),"",INDEX('Compliance Database'!$M$2:$M$630,MATCH(83,'Transfer Engine'!$C$2:$C$630,0)))</f>
        <v/>
      </c>
      <c r="N92" s="8">
        <f>IF(ISNA(MATCH(83,'Transfer Engine'!$C$2:$C$630,0)),"",INDEX('Compliance Database'!$N$2:$N$630,MATCH(83,'Transfer Engine'!$C$2:$C$630,0)))</f>
        <v/>
      </c>
      <c r="O92" s="8">
        <f>IF(ISNA(MATCH(83,'Transfer Engine'!$C$2:$C$630,0)),"",INDEX('Compliance Database'!$O$2:$O$630,MATCH(83,'Transfer Engine'!$C$2:$C$630,0)))</f>
        <v/>
      </c>
    </row>
    <row r="93">
      <c r="A93">
        <f>IF(ISNA(MATCH(84,'Transfer Engine'!$C$2:$C$630,0)),"",INDEX('Compliance Database'!$A$2:$A$630,MATCH(84,'Transfer Engine'!$C$2:$C$630,0)))</f>
        <v/>
      </c>
      <c r="B93">
        <f>IF(ISNA(MATCH(84,'Transfer Engine'!$C$2:$C$630,0)),"",INDEX('Compliance Database'!$B$2:$B$630,MATCH(84,'Transfer Engine'!$C$2:$C$630,0)))</f>
        <v/>
      </c>
      <c r="C93">
        <f>IF(ISNA(MATCH(84,'Transfer Engine'!$C$2:$C$630,0)),"",INDEX('Compliance Database'!$C$2:$C$630,MATCH(84,'Transfer Engine'!$C$2:$C$630,0)))</f>
        <v/>
      </c>
      <c r="D93" s="8">
        <f>IF(ISNA(MATCH(84,'Transfer Engine'!$C$2:$C$630,0)),"",INDEX('Compliance Database'!$D$2:$D$630,MATCH(84,'Transfer Engine'!$C$2:$C$630,0)))</f>
        <v/>
      </c>
      <c r="E93">
        <f>IF(ISNA(MATCH(84,'Transfer Engine'!$C$2:$C$630,0)),"",INDEX('Compliance Database'!$E$2:$E$630,MATCH(84,'Transfer Engine'!$C$2:$C$630,0)))</f>
        <v/>
      </c>
      <c r="F93">
        <f>IF(ISNA(MATCH(84,'Transfer Engine'!$C$2:$C$630,0)),"",INDEX('Compliance Database'!$F$2:$F$630,MATCH(84,'Transfer Engine'!$C$2:$C$630,0)))</f>
        <v/>
      </c>
      <c r="G93">
        <f>IF(ISNA(MATCH(84,'Transfer Engine'!$C$2:$C$630,0)),"",INDEX('Compliance Database'!$G$2:$G$630,MATCH(84,'Transfer Engine'!$C$2:$C$630,0)))</f>
        <v/>
      </c>
      <c r="H93">
        <f>IF(ISNA(MATCH(84,'Transfer Engine'!$C$2:$C$630,0)),"",INDEX('Compliance Database'!$H$2:$H$630,MATCH(84,'Transfer Engine'!$C$2:$C$630,0)))</f>
        <v/>
      </c>
      <c r="I93" s="8">
        <f>IF(ISNA(MATCH(84,'Transfer Engine'!$C$2:$C$630,0)),"",INDEX('Compliance Database'!$I$2:$I$630,MATCH(84,'Transfer Engine'!$C$2:$C$630,0)))</f>
        <v/>
      </c>
      <c r="J93" s="8">
        <f>IF(ISNA(MATCH(84,'Transfer Engine'!$C$2:$C$630,0)),"",INDEX('Compliance Database'!$J$2:$J$630,MATCH(84,'Transfer Engine'!$C$2:$C$630,0)))</f>
        <v/>
      </c>
      <c r="K93">
        <f>IF(ISNA(MATCH(84,'Transfer Engine'!$C$2:$C$630,0)),"",INDEX('Compliance Database'!$K$2:$K$630,MATCH(84,'Transfer Engine'!$C$2:$C$630,0)))</f>
        <v/>
      </c>
      <c r="L93" s="8">
        <f>IF(ISNA(MATCH(84,'Transfer Engine'!$C$2:$C$630,0)),"",INDEX('Compliance Database'!$L$2:$L$630,MATCH(84,'Transfer Engine'!$C$2:$C$630,0)))</f>
        <v/>
      </c>
      <c r="M93" s="8">
        <f>IF(ISNA(MATCH(84,'Transfer Engine'!$C$2:$C$630,0)),"",INDEX('Compliance Database'!$M$2:$M$630,MATCH(84,'Transfer Engine'!$C$2:$C$630,0)))</f>
        <v/>
      </c>
      <c r="N93" s="8">
        <f>IF(ISNA(MATCH(84,'Transfer Engine'!$C$2:$C$630,0)),"",INDEX('Compliance Database'!$N$2:$N$630,MATCH(84,'Transfer Engine'!$C$2:$C$630,0)))</f>
        <v/>
      </c>
      <c r="O93" s="8">
        <f>IF(ISNA(MATCH(84,'Transfer Engine'!$C$2:$C$630,0)),"",INDEX('Compliance Database'!$O$2:$O$630,MATCH(84,'Transfer Engine'!$C$2:$C$630,0)))</f>
        <v/>
      </c>
    </row>
    <row r="94">
      <c r="A94">
        <f>IF(ISNA(MATCH(85,'Transfer Engine'!$C$2:$C$630,0)),"",INDEX('Compliance Database'!$A$2:$A$630,MATCH(85,'Transfer Engine'!$C$2:$C$630,0)))</f>
        <v/>
      </c>
      <c r="B94">
        <f>IF(ISNA(MATCH(85,'Transfer Engine'!$C$2:$C$630,0)),"",INDEX('Compliance Database'!$B$2:$B$630,MATCH(85,'Transfer Engine'!$C$2:$C$630,0)))</f>
        <v/>
      </c>
      <c r="C94">
        <f>IF(ISNA(MATCH(85,'Transfer Engine'!$C$2:$C$630,0)),"",INDEX('Compliance Database'!$C$2:$C$630,MATCH(85,'Transfer Engine'!$C$2:$C$630,0)))</f>
        <v/>
      </c>
      <c r="D94" s="8">
        <f>IF(ISNA(MATCH(85,'Transfer Engine'!$C$2:$C$630,0)),"",INDEX('Compliance Database'!$D$2:$D$630,MATCH(85,'Transfer Engine'!$C$2:$C$630,0)))</f>
        <v/>
      </c>
      <c r="E94">
        <f>IF(ISNA(MATCH(85,'Transfer Engine'!$C$2:$C$630,0)),"",INDEX('Compliance Database'!$E$2:$E$630,MATCH(85,'Transfer Engine'!$C$2:$C$630,0)))</f>
        <v/>
      </c>
      <c r="F94">
        <f>IF(ISNA(MATCH(85,'Transfer Engine'!$C$2:$C$630,0)),"",INDEX('Compliance Database'!$F$2:$F$630,MATCH(85,'Transfer Engine'!$C$2:$C$630,0)))</f>
        <v/>
      </c>
      <c r="G94">
        <f>IF(ISNA(MATCH(85,'Transfer Engine'!$C$2:$C$630,0)),"",INDEX('Compliance Database'!$G$2:$G$630,MATCH(85,'Transfer Engine'!$C$2:$C$630,0)))</f>
        <v/>
      </c>
      <c r="H94">
        <f>IF(ISNA(MATCH(85,'Transfer Engine'!$C$2:$C$630,0)),"",INDEX('Compliance Database'!$H$2:$H$630,MATCH(85,'Transfer Engine'!$C$2:$C$630,0)))</f>
        <v/>
      </c>
      <c r="I94" s="8">
        <f>IF(ISNA(MATCH(85,'Transfer Engine'!$C$2:$C$630,0)),"",INDEX('Compliance Database'!$I$2:$I$630,MATCH(85,'Transfer Engine'!$C$2:$C$630,0)))</f>
        <v/>
      </c>
      <c r="J94" s="8">
        <f>IF(ISNA(MATCH(85,'Transfer Engine'!$C$2:$C$630,0)),"",INDEX('Compliance Database'!$J$2:$J$630,MATCH(85,'Transfer Engine'!$C$2:$C$630,0)))</f>
        <v/>
      </c>
      <c r="K94">
        <f>IF(ISNA(MATCH(85,'Transfer Engine'!$C$2:$C$630,0)),"",INDEX('Compliance Database'!$K$2:$K$630,MATCH(85,'Transfer Engine'!$C$2:$C$630,0)))</f>
        <v/>
      </c>
      <c r="L94" s="8">
        <f>IF(ISNA(MATCH(85,'Transfer Engine'!$C$2:$C$630,0)),"",INDEX('Compliance Database'!$L$2:$L$630,MATCH(85,'Transfer Engine'!$C$2:$C$630,0)))</f>
        <v/>
      </c>
      <c r="M94" s="8">
        <f>IF(ISNA(MATCH(85,'Transfer Engine'!$C$2:$C$630,0)),"",INDEX('Compliance Database'!$M$2:$M$630,MATCH(85,'Transfer Engine'!$C$2:$C$630,0)))</f>
        <v/>
      </c>
      <c r="N94" s="8">
        <f>IF(ISNA(MATCH(85,'Transfer Engine'!$C$2:$C$630,0)),"",INDEX('Compliance Database'!$N$2:$N$630,MATCH(85,'Transfer Engine'!$C$2:$C$630,0)))</f>
        <v/>
      </c>
      <c r="O94" s="8">
        <f>IF(ISNA(MATCH(85,'Transfer Engine'!$C$2:$C$630,0)),"",INDEX('Compliance Database'!$O$2:$O$630,MATCH(85,'Transfer Engine'!$C$2:$C$630,0)))</f>
        <v/>
      </c>
    </row>
    <row r="95">
      <c r="A95">
        <f>IF(ISNA(MATCH(86,'Transfer Engine'!$C$2:$C$630,0)),"",INDEX('Compliance Database'!$A$2:$A$630,MATCH(86,'Transfer Engine'!$C$2:$C$630,0)))</f>
        <v/>
      </c>
      <c r="B95">
        <f>IF(ISNA(MATCH(86,'Transfer Engine'!$C$2:$C$630,0)),"",INDEX('Compliance Database'!$B$2:$B$630,MATCH(86,'Transfer Engine'!$C$2:$C$630,0)))</f>
        <v/>
      </c>
      <c r="C95">
        <f>IF(ISNA(MATCH(86,'Transfer Engine'!$C$2:$C$630,0)),"",INDEX('Compliance Database'!$C$2:$C$630,MATCH(86,'Transfer Engine'!$C$2:$C$630,0)))</f>
        <v/>
      </c>
      <c r="D95" s="8">
        <f>IF(ISNA(MATCH(86,'Transfer Engine'!$C$2:$C$630,0)),"",INDEX('Compliance Database'!$D$2:$D$630,MATCH(86,'Transfer Engine'!$C$2:$C$630,0)))</f>
        <v/>
      </c>
      <c r="E95">
        <f>IF(ISNA(MATCH(86,'Transfer Engine'!$C$2:$C$630,0)),"",INDEX('Compliance Database'!$E$2:$E$630,MATCH(86,'Transfer Engine'!$C$2:$C$630,0)))</f>
        <v/>
      </c>
      <c r="F95">
        <f>IF(ISNA(MATCH(86,'Transfer Engine'!$C$2:$C$630,0)),"",INDEX('Compliance Database'!$F$2:$F$630,MATCH(86,'Transfer Engine'!$C$2:$C$630,0)))</f>
        <v/>
      </c>
      <c r="G95">
        <f>IF(ISNA(MATCH(86,'Transfer Engine'!$C$2:$C$630,0)),"",INDEX('Compliance Database'!$G$2:$G$630,MATCH(86,'Transfer Engine'!$C$2:$C$630,0)))</f>
        <v/>
      </c>
      <c r="H95">
        <f>IF(ISNA(MATCH(86,'Transfer Engine'!$C$2:$C$630,0)),"",INDEX('Compliance Database'!$H$2:$H$630,MATCH(86,'Transfer Engine'!$C$2:$C$630,0)))</f>
        <v/>
      </c>
      <c r="I95" s="8">
        <f>IF(ISNA(MATCH(86,'Transfer Engine'!$C$2:$C$630,0)),"",INDEX('Compliance Database'!$I$2:$I$630,MATCH(86,'Transfer Engine'!$C$2:$C$630,0)))</f>
        <v/>
      </c>
      <c r="J95" s="8">
        <f>IF(ISNA(MATCH(86,'Transfer Engine'!$C$2:$C$630,0)),"",INDEX('Compliance Database'!$J$2:$J$630,MATCH(86,'Transfer Engine'!$C$2:$C$630,0)))</f>
        <v/>
      </c>
      <c r="K95">
        <f>IF(ISNA(MATCH(86,'Transfer Engine'!$C$2:$C$630,0)),"",INDEX('Compliance Database'!$K$2:$K$630,MATCH(86,'Transfer Engine'!$C$2:$C$630,0)))</f>
        <v/>
      </c>
      <c r="L95" s="8">
        <f>IF(ISNA(MATCH(86,'Transfer Engine'!$C$2:$C$630,0)),"",INDEX('Compliance Database'!$L$2:$L$630,MATCH(86,'Transfer Engine'!$C$2:$C$630,0)))</f>
        <v/>
      </c>
      <c r="M95" s="8">
        <f>IF(ISNA(MATCH(86,'Transfer Engine'!$C$2:$C$630,0)),"",INDEX('Compliance Database'!$M$2:$M$630,MATCH(86,'Transfer Engine'!$C$2:$C$630,0)))</f>
        <v/>
      </c>
      <c r="N95" s="8">
        <f>IF(ISNA(MATCH(86,'Transfer Engine'!$C$2:$C$630,0)),"",INDEX('Compliance Database'!$N$2:$N$630,MATCH(86,'Transfer Engine'!$C$2:$C$630,0)))</f>
        <v/>
      </c>
      <c r="O95" s="8">
        <f>IF(ISNA(MATCH(86,'Transfer Engine'!$C$2:$C$630,0)),"",INDEX('Compliance Database'!$O$2:$O$630,MATCH(86,'Transfer Engine'!$C$2:$C$630,0)))</f>
        <v/>
      </c>
    </row>
    <row r="96">
      <c r="A96">
        <f>IF(ISNA(MATCH(87,'Transfer Engine'!$C$2:$C$630,0)),"",INDEX('Compliance Database'!$A$2:$A$630,MATCH(87,'Transfer Engine'!$C$2:$C$630,0)))</f>
        <v/>
      </c>
      <c r="B96">
        <f>IF(ISNA(MATCH(87,'Transfer Engine'!$C$2:$C$630,0)),"",INDEX('Compliance Database'!$B$2:$B$630,MATCH(87,'Transfer Engine'!$C$2:$C$630,0)))</f>
        <v/>
      </c>
      <c r="C96">
        <f>IF(ISNA(MATCH(87,'Transfer Engine'!$C$2:$C$630,0)),"",INDEX('Compliance Database'!$C$2:$C$630,MATCH(87,'Transfer Engine'!$C$2:$C$630,0)))</f>
        <v/>
      </c>
      <c r="D96" s="8">
        <f>IF(ISNA(MATCH(87,'Transfer Engine'!$C$2:$C$630,0)),"",INDEX('Compliance Database'!$D$2:$D$630,MATCH(87,'Transfer Engine'!$C$2:$C$630,0)))</f>
        <v/>
      </c>
      <c r="E96">
        <f>IF(ISNA(MATCH(87,'Transfer Engine'!$C$2:$C$630,0)),"",INDEX('Compliance Database'!$E$2:$E$630,MATCH(87,'Transfer Engine'!$C$2:$C$630,0)))</f>
        <v/>
      </c>
      <c r="F96">
        <f>IF(ISNA(MATCH(87,'Transfer Engine'!$C$2:$C$630,0)),"",INDEX('Compliance Database'!$F$2:$F$630,MATCH(87,'Transfer Engine'!$C$2:$C$630,0)))</f>
        <v/>
      </c>
      <c r="G96">
        <f>IF(ISNA(MATCH(87,'Transfer Engine'!$C$2:$C$630,0)),"",INDEX('Compliance Database'!$G$2:$G$630,MATCH(87,'Transfer Engine'!$C$2:$C$630,0)))</f>
        <v/>
      </c>
      <c r="H96">
        <f>IF(ISNA(MATCH(87,'Transfer Engine'!$C$2:$C$630,0)),"",INDEX('Compliance Database'!$H$2:$H$630,MATCH(87,'Transfer Engine'!$C$2:$C$630,0)))</f>
        <v/>
      </c>
      <c r="I96" s="8">
        <f>IF(ISNA(MATCH(87,'Transfer Engine'!$C$2:$C$630,0)),"",INDEX('Compliance Database'!$I$2:$I$630,MATCH(87,'Transfer Engine'!$C$2:$C$630,0)))</f>
        <v/>
      </c>
      <c r="J96" s="8">
        <f>IF(ISNA(MATCH(87,'Transfer Engine'!$C$2:$C$630,0)),"",INDEX('Compliance Database'!$J$2:$J$630,MATCH(87,'Transfer Engine'!$C$2:$C$630,0)))</f>
        <v/>
      </c>
      <c r="K96">
        <f>IF(ISNA(MATCH(87,'Transfer Engine'!$C$2:$C$630,0)),"",INDEX('Compliance Database'!$K$2:$K$630,MATCH(87,'Transfer Engine'!$C$2:$C$630,0)))</f>
        <v/>
      </c>
      <c r="L96" s="8">
        <f>IF(ISNA(MATCH(87,'Transfer Engine'!$C$2:$C$630,0)),"",INDEX('Compliance Database'!$L$2:$L$630,MATCH(87,'Transfer Engine'!$C$2:$C$630,0)))</f>
        <v/>
      </c>
      <c r="M96" s="8">
        <f>IF(ISNA(MATCH(87,'Transfer Engine'!$C$2:$C$630,0)),"",INDEX('Compliance Database'!$M$2:$M$630,MATCH(87,'Transfer Engine'!$C$2:$C$630,0)))</f>
        <v/>
      </c>
      <c r="N96" s="8">
        <f>IF(ISNA(MATCH(87,'Transfer Engine'!$C$2:$C$630,0)),"",INDEX('Compliance Database'!$N$2:$N$630,MATCH(87,'Transfer Engine'!$C$2:$C$630,0)))</f>
        <v/>
      </c>
      <c r="O96" s="8">
        <f>IF(ISNA(MATCH(87,'Transfer Engine'!$C$2:$C$630,0)),"",INDEX('Compliance Database'!$O$2:$O$630,MATCH(87,'Transfer Engine'!$C$2:$C$630,0)))</f>
        <v/>
      </c>
    </row>
    <row r="97">
      <c r="A97">
        <f>IF(ISNA(MATCH(88,'Transfer Engine'!$C$2:$C$630,0)),"",INDEX('Compliance Database'!$A$2:$A$630,MATCH(88,'Transfer Engine'!$C$2:$C$630,0)))</f>
        <v/>
      </c>
      <c r="B97">
        <f>IF(ISNA(MATCH(88,'Transfer Engine'!$C$2:$C$630,0)),"",INDEX('Compliance Database'!$B$2:$B$630,MATCH(88,'Transfer Engine'!$C$2:$C$630,0)))</f>
        <v/>
      </c>
      <c r="C97">
        <f>IF(ISNA(MATCH(88,'Transfer Engine'!$C$2:$C$630,0)),"",INDEX('Compliance Database'!$C$2:$C$630,MATCH(88,'Transfer Engine'!$C$2:$C$630,0)))</f>
        <v/>
      </c>
      <c r="D97" s="8">
        <f>IF(ISNA(MATCH(88,'Transfer Engine'!$C$2:$C$630,0)),"",INDEX('Compliance Database'!$D$2:$D$630,MATCH(88,'Transfer Engine'!$C$2:$C$630,0)))</f>
        <v/>
      </c>
      <c r="E97">
        <f>IF(ISNA(MATCH(88,'Transfer Engine'!$C$2:$C$630,0)),"",INDEX('Compliance Database'!$E$2:$E$630,MATCH(88,'Transfer Engine'!$C$2:$C$630,0)))</f>
        <v/>
      </c>
      <c r="F97">
        <f>IF(ISNA(MATCH(88,'Transfer Engine'!$C$2:$C$630,0)),"",INDEX('Compliance Database'!$F$2:$F$630,MATCH(88,'Transfer Engine'!$C$2:$C$630,0)))</f>
        <v/>
      </c>
      <c r="G97">
        <f>IF(ISNA(MATCH(88,'Transfer Engine'!$C$2:$C$630,0)),"",INDEX('Compliance Database'!$G$2:$G$630,MATCH(88,'Transfer Engine'!$C$2:$C$630,0)))</f>
        <v/>
      </c>
      <c r="H97">
        <f>IF(ISNA(MATCH(88,'Transfer Engine'!$C$2:$C$630,0)),"",INDEX('Compliance Database'!$H$2:$H$630,MATCH(88,'Transfer Engine'!$C$2:$C$630,0)))</f>
        <v/>
      </c>
      <c r="I97" s="8">
        <f>IF(ISNA(MATCH(88,'Transfer Engine'!$C$2:$C$630,0)),"",INDEX('Compliance Database'!$I$2:$I$630,MATCH(88,'Transfer Engine'!$C$2:$C$630,0)))</f>
        <v/>
      </c>
      <c r="J97" s="8">
        <f>IF(ISNA(MATCH(88,'Transfer Engine'!$C$2:$C$630,0)),"",INDEX('Compliance Database'!$J$2:$J$630,MATCH(88,'Transfer Engine'!$C$2:$C$630,0)))</f>
        <v/>
      </c>
      <c r="K97">
        <f>IF(ISNA(MATCH(88,'Transfer Engine'!$C$2:$C$630,0)),"",INDEX('Compliance Database'!$K$2:$K$630,MATCH(88,'Transfer Engine'!$C$2:$C$630,0)))</f>
        <v/>
      </c>
      <c r="L97" s="8">
        <f>IF(ISNA(MATCH(88,'Transfer Engine'!$C$2:$C$630,0)),"",INDEX('Compliance Database'!$L$2:$L$630,MATCH(88,'Transfer Engine'!$C$2:$C$630,0)))</f>
        <v/>
      </c>
      <c r="M97" s="8">
        <f>IF(ISNA(MATCH(88,'Transfer Engine'!$C$2:$C$630,0)),"",INDEX('Compliance Database'!$M$2:$M$630,MATCH(88,'Transfer Engine'!$C$2:$C$630,0)))</f>
        <v/>
      </c>
      <c r="N97" s="8">
        <f>IF(ISNA(MATCH(88,'Transfer Engine'!$C$2:$C$630,0)),"",INDEX('Compliance Database'!$N$2:$N$630,MATCH(88,'Transfer Engine'!$C$2:$C$630,0)))</f>
        <v/>
      </c>
      <c r="O97" s="8">
        <f>IF(ISNA(MATCH(88,'Transfer Engine'!$C$2:$C$630,0)),"",INDEX('Compliance Database'!$O$2:$O$630,MATCH(88,'Transfer Engine'!$C$2:$C$630,0)))</f>
        <v/>
      </c>
    </row>
    <row r="98">
      <c r="A98">
        <f>IF(ISNA(MATCH(89,'Transfer Engine'!$C$2:$C$630,0)),"",INDEX('Compliance Database'!$A$2:$A$630,MATCH(89,'Transfer Engine'!$C$2:$C$630,0)))</f>
        <v/>
      </c>
      <c r="B98">
        <f>IF(ISNA(MATCH(89,'Transfer Engine'!$C$2:$C$630,0)),"",INDEX('Compliance Database'!$B$2:$B$630,MATCH(89,'Transfer Engine'!$C$2:$C$630,0)))</f>
        <v/>
      </c>
      <c r="C98">
        <f>IF(ISNA(MATCH(89,'Transfer Engine'!$C$2:$C$630,0)),"",INDEX('Compliance Database'!$C$2:$C$630,MATCH(89,'Transfer Engine'!$C$2:$C$630,0)))</f>
        <v/>
      </c>
      <c r="D98" s="8">
        <f>IF(ISNA(MATCH(89,'Transfer Engine'!$C$2:$C$630,0)),"",INDEX('Compliance Database'!$D$2:$D$630,MATCH(89,'Transfer Engine'!$C$2:$C$630,0)))</f>
        <v/>
      </c>
      <c r="E98">
        <f>IF(ISNA(MATCH(89,'Transfer Engine'!$C$2:$C$630,0)),"",INDEX('Compliance Database'!$E$2:$E$630,MATCH(89,'Transfer Engine'!$C$2:$C$630,0)))</f>
        <v/>
      </c>
      <c r="F98">
        <f>IF(ISNA(MATCH(89,'Transfer Engine'!$C$2:$C$630,0)),"",INDEX('Compliance Database'!$F$2:$F$630,MATCH(89,'Transfer Engine'!$C$2:$C$630,0)))</f>
        <v/>
      </c>
      <c r="G98">
        <f>IF(ISNA(MATCH(89,'Transfer Engine'!$C$2:$C$630,0)),"",INDEX('Compliance Database'!$G$2:$G$630,MATCH(89,'Transfer Engine'!$C$2:$C$630,0)))</f>
        <v/>
      </c>
      <c r="H98">
        <f>IF(ISNA(MATCH(89,'Transfer Engine'!$C$2:$C$630,0)),"",INDEX('Compliance Database'!$H$2:$H$630,MATCH(89,'Transfer Engine'!$C$2:$C$630,0)))</f>
        <v/>
      </c>
      <c r="I98" s="8">
        <f>IF(ISNA(MATCH(89,'Transfer Engine'!$C$2:$C$630,0)),"",INDEX('Compliance Database'!$I$2:$I$630,MATCH(89,'Transfer Engine'!$C$2:$C$630,0)))</f>
        <v/>
      </c>
      <c r="J98" s="8">
        <f>IF(ISNA(MATCH(89,'Transfer Engine'!$C$2:$C$630,0)),"",INDEX('Compliance Database'!$J$2:$J$630,MATCH(89,'Transfer Engine'!$C$2:$C$630,0)))</f>
        <v/>
      </c>
      <c r="K98">
        <f>IF(ISNA(MATCH(89,'Transfer Engine'!$C$2:$C$630,0)),"",INDEX('Compliance Database'!$K$2:$K$630,MATCH(89,'Transfer Engine'!$C$2:$C$630,0)))</f>
        <v/>
      </c>
      <c r="L98" s="8">
        <f>IF(ISNA(MATCH(89,'Transfer Engine'!$C$2:$C$630,0)),"",INDEX('Compliance Database'!$L$2:$L$630,MATCH(89,'Transfer Engine'!$C$2:$C$630,0)))</f>
        <v/>
      </c>
      <c r="M98" s="8">
        <f>IF(ISNA(MATCH(89,'Transfer Engine'!$C$2:$C$630,0)),"",INDEX('Compliance Database'!$M$2:$M$630,MATCH(89,'Transfer Engine'!$C$2:$C$630,0)))</f>
        <v/>
      </c>
      <c r="N98" s="8">
        <f>IF(ISNA(MATCH(89,'Transfer Engine'!$C$2:$C$630,0)),"",INDEX('Compliance Database'!$N$2:$N$630,MATCH(89,'Transfer Engine'!$C$2:$C$630,0)))</f>
        <v/>
      </c>
      <c r="O98" s="8">
        <f>IF(ISNA(MATCH(89,'Transfer Engine'!$C$2:$C$630,0)),"",INDEX('Compliance Database'!$O$2:$O$630,MATCH(89,'Transfer Engine'!$C$2:$C$630,0)))</f>
        <v/>
      </c>
    </row>
    <row r="99">
      <c r="A99">
        <f>IF(ISNA(MATCH(90,'Transfer Engine'!$C$2:$C$630,0)),"",INDEX('Compliance Database'!$A$2:$A$630,MATCH(90,'Transfer Engine'!$C$2:$C$630,0)))</f>
        <v/>
      </c>
      <c r="B99">
        <f>IF(ISNA(MATCH(90,'Transfer Engine'!$C$2:$C$630,0)),"",INDEX('Compliance Database'!$B$2:$B$630,MATCH(90,'Transfer Engine'!$C$2:$C$630,0)))</f>
        <v/>
      </c>
      <c r="C99">
        <f>IF(ISNA(MATCH(90,'Transfer Engine'!$C$2:$C$630,0)),"",INDEX('Compliance Database'!$C$2:$C$630,MATCH(90,'Transfer Engine'!$C$2:$C$630,0)))</f>
        <v/>
      </c>
      <c r="D99" s="8">
        <f>IF(ISNA(MATCH(90,'Transfer Engine'!$C$2:$C$630,0)),"",INDEX('Compliance Database'!$D$2:$D$630,MATCH(90,'Transfer Engine'!$C$2:$C$630,0)))</f>
        <v/>
      </c>
      <c r="E99">
        <f>IF(ISNA(MATCH(90,'Transfer Engine'!$C$2:$C$630,0)),"",INDEX('Compliance Database'!$E$2:$E$630,MATCH(90,'Transfer Engine'!$C$2:$C$630,0)))</f>
        <v/>
      </c>
      <c r="F99">
        <f>IF(ISNA(MATCH(90,'Transfer Engine'!$C$2:$C$630,0)),"",INDEX('Compliance Database'!$F$2:$F$630,MATCH(90,'Transfer Engine'!$C$2:$C$630,0)))</f>
        <v/>
      </c>
      <c r="G99">
        <f>IF(ISNA(MATCH(90,'Transfer Engine'!$C$2:$C$630,0)),"",INDEX('Compliance Database'!$G$2:$G$630,MATCH(90,'Transfer Engine'!$C$2:$C$630,0)))</f>
        <v/>
      </c>
      <c r="H99">
        <f>IF(ISNA(MATCH(90,'Transfer Engine'!$C$2:$C$630,0)),"",INDEX('Compliance Database'!$H$2:$H$630,MATCH(90,'Transfer Engine'!$C$2:$C$630,0)))</f>
        <v/>
      </c>
      <c r="I99" s="8">
        <f>IF(ISNA(MATCH(90,'Transfer Engine'!$C$2:$C$630,0)),"",INDEX('Compliance Database'!$I$2:$I$630,MATCH(90,'Transfer Engine'!$C$2:$C$630,0)))</f>
        <v/>
      </c>
      <c r="J99" s="8">
        <f>IF(ISNA(MATCH(90,'Transfer Engine'!$C$2:$C$630,0)),"",INDEX('Compliance Database'!$J$2:$J$630,MATCH(90,'Transfer Engine'!$C$2:$C$630,0)))</f>
        <v/>
      </c>
      <c r="K99">
        <f>IF(ISNA(MATCH(90,'Transfer Engine'!$C$2:$C$630,0)),"",INDEX('Compliance Database'!$K$2:$K$630,MATCH(90,'Transfer Engine'!$C$2:$C$630,0)))</f>
        <v/>
      </c>
      <c r="L99" s="8">
        <f>IF(ISNA(MATCH(90,'Transfer Engine'!$C$2:$C$630,0)),"",INDEX('Compliance Database'!$L$2:$L$630,MATCH(90,'Transfer Engine'!$C$2:$C$630,0)))</f>
        <v/>
      </c>
      <c r="M99" s="8">
        <f>IF(ISNA(MATCH(90,'Transfer Engine'!$C$2:$C$630,0)),"",INDEX('Compliance Database'!$M$2:$M$630,MATCH(90,'Transfer Engine'!$C$2:$C$630,0)))</f>
        <v/>
      </c>
      <c r="N99" s="8">
        <f>IF(ISNA(MATCH(90,'Transfer Engine'!$C$2:$C$630,0)),"",INDEX('Compliance Database'!$N$2:$N$630,MATCH(90,'Transfer Engine'!$C$2:$C$630,0)))</f>
        <v/>
      </c>
      <c r="O99" s="8">
        <f>IF(ISNA(MATCH(90,'Transfer Engine'!$C$2:$C$630,0)),"",INDEX('Compliance Database'!$O$2:$O$630,MATCH(90,'Transfer Engine'!$C$2:$C$630,0)))</f>
        <v/>
      </c>
    </row>
    <row r="100">
      <c r="A100">
        <f>IF(ISNA(MATCH(91,'Transfer Engine'!$C$2:$C$630,0)),"",INDEX('Compliance Database'!$A$2:$A$630,MATCH(91,'Transfer Engine'!$C$2:$C$630,0)))</f>
        <v/>
      </c>
      <c r="B100">
        <f>IF(ISNA(MATCH(91,'Transfer Engine'!$C$2:$C$630,0)),"",INDEX('Compliance Database'!$B$2:$B$630,MATCH(91,'Transfer Engine'!$C$2:$C$630,0)))</f>
        <v/>
      </c>
      <c r="C100">
        <f>IF(ISNA(MATCH(91,'Transfer Engine'!$C$2:$C$630,0)),"",INDEX('Compliance Database'!$C$2:$C$630,MATCH(91,'Transfer Engine'!$C$2:$C$630,0)))</f>
        <v/>
      </c>
      <c r="D100" s="8">
        <f>IF(ISNA(MATCH(91,'Transfer Engine'!$C$2:$C$630,0)),"",INDEX('Compliance Database'!$D$2:$D$630,MATCH(91,'Transfer Engine'!$C$2:$C$630,0)))</f>
        <v/>
      </c>
      <c r="E100">
        <f>IF(ISNA(MATCH(91,'Transfer Engine'!$C$2:$C$630,0)),"",INDEX('Compliance Database'!$E$2:$E$630,MATCH(91,'Transfer Engine'!$C$2:$C$630,0)))</f>
        <v/>
      </c>
      <c r="F100">
        <f>IF(ISNA(MATCH(91,'Transfer Engine'!$C$2:$C$630,0)),"",INDEX('Compliance Database'!$F$2:$F$630,MATCH(91,'Transfer Engine'!$C$2:$C$630,0)))</f>
        <v/>
      </c>
      <c r="G100">
        <f>IF(ISNA(MATCH(91,'Transfer Engine'!$C$2:$C$630,0)),"",INDEX('Compliance Database'!$G$2:$G$630,MATCH(91,'Transfer Engine'!$C$2:$C$630,0)))</f>
        <v/>
      </c>
      <c r="H100">
        <f>IF(ISNA(MATCH(91,'Transfer Engine'!$C$2:$C$630,0)),"",INDEX('Compliance Database'!$H$2:$H$630,MATCH(91,'Transfer Engine'!$C$2:$C$630,0)))</f>
        <v/>
      </c>
      <c r="I100" s="8">
        <f>IF(ISNA(MATCH(91,'Transfer Engine'!$C$2:$C$630,0)),"",INDEX('Compliance Database'!$I$2:$I$630,MATCH(91,'Transfer Engine'!$C$2:$C$630,0)))</f>
        <v/>
      </c>
      <c r="J100" s="8">
        <f>IF(ISNA(MATCH(91,'Transfer Engine'!$C$2:$C$630,0)),"",INDEX('Compliance Database'!$J$2:$J$630,MATCH(91,'Transfer Engine'!$C$2:$C$630,0)))</f>
        <v/>
      </c>
      <c r="K100">
        <f>IF(ISNA(MATCH(91,'Transfer Engine'!$C$2:$C$630,0)),"",INDEX('Compliance Database'!$K$2:$K$630,MATCH(91,'Transfer Engine'!$C$2:$C$630,0)))</f>
        <v/>
      </c>
      <c r="L100" s="8">
        <f>IF(ISNA(MATCH(91,'Transfer Engine'!$C$2:$C$630,0)),"",INDEX('Compliance Database'!$L$2:$L$630,MATCH(91,'Transfer Engine'!$C$2:$C$630,0)))</f>
        <v/>
      </c>
      <c r="M100" s="8">
        <f>IF(ISNA(MATCH(91,'Transfer Engine'!$C$2:$C$630,0)),"",INDEX('Compliance Database'!$M$2:$M$630,MATCH(91,'Transfer Engine'!$C$2:$C$630,0)))</f>
        <v/>
      </c>
      <c r="N100" s="8">
        <f>IF(ISNA(MATCH(91,'Transfer Engine'!$C$2:$C$630,0)),"",INDEX('Compliance Database'!$N$2:$N$630,MATCH(91,'Transfer Engine'!$C$2:$C$630,0)))</f>
        <v/>
      </c>
      <c r="O100" s="8">
        <f>IF(ISNA(MATCH(91,'Transfer Engine'!$C$2:$C$630,0)),"",INDEX('Compliance Database'!$O$2:$O$630,MATCH(91,'Transfer Engine'!$C$2:$C$630,0)))</f>
        <v/>
      </c>
    </row>
    <row r="101">
      <c r="A101">
        <f>IF(ISNA(MATCH(92,'Transfer Engine'!$C$2:$C$630,0)),"",INDEX('Compliance Database'!$A$2:$A$630,MATCH(92,'Transfer Engine'!$C$2:$C$630,0)))</f>
        <v/>
      </c>
      <c r="B101">
        <f>IF(ISNA(MATCH(92,'Transfer Engine'!$C$2:$C$630,0)),"",INDEX('Compliance Database'!$B$2:$B$630,MATCH(92,'Transfer Engine'!$C$2:$C$630,0)))</f>
        <v/>
      </c>
      <c r="C101">
        <f>IF(ISNA(MATCH(92,'Transfer Engine'!$C$2:$C$630,0)),"",INDEX('Compliance Database'!$C$2:$C$630,MATCH(92,'Transfer Engine'!$C$2:$C$630,0)))</f>
        <v/>
      </c>
      <c r="D101" s="8">
        <f>IF(ISNA(MATCH(92,'Transfer Engine'!$C$2:$C$630,0)),"",INDEX('Compliance Database'!$D$2:$D$630,MATCH(92,'Transfer Engine'!$C$2:$C$630,0)))</f>
        <v/>
      </c>
      <c r="E101">
        <f>IF(ISNA(MATCH(92,'Transfer Engine'!$C$2:$C$630,0)),"",INDEX('Compliance Database'!$E$2:$E$630,MATCH(92,'Transfer Engine'!$C$2:$C$630,0)))</f>
        <v/>
      </c>
      <c r="F101">
        <f>IF(ISNA(MATCH(92,'Transfer Engine'!$C$2:$C$630,0)),"",INDEX('Compliance Database'!$F$2:$F$630,MATCH(92,'Transfer Engine'!$C$2:$C$630,0)))</f>
        <v/>
      </c>
      <c r="G101">
        <f>IF(ISNA(MATCH(92,'Transfer Engine'!$C$2:$C$630,0)),"",INDEX('Compliance Database'!$G$2:$G$630,MATCH(92,'Transfer Engine'!$C$2:$C$630,0)))</f>
        <v/>
      </c>
      <c r="H101">
        <f>IF(ISNA(MATCH(92,'Transfer Engine'!$C$2:$C$630,0)),"",INDEX('Compliance Database'!$H$2:$H$630,MATCH(92,'Transfer Engine'!$C$2:$C$630,0)))</f>
        <v/>
      </c>
      <c r="I101" s="8">
        <f>IF(ISNA(MATCH(92,'Transfer Engine'!$C$2:$C$630,0)),"",INDEX('Compliance Database'!$I$2:$I$630,MATCH(92,'Transfer Engine'!$C$2:$C$630,0)))</f>
        <v/>
      </c>
      <c r="J101" s="8">
        <f>IF(ISNA(MATCH(92,'Transfer Engine'!$C$2:$C$630,0)),"",INDEX('Compliance Database'!$J$2:$J$630,MATCH(92,'Transfer Engine'!$C$2:$C$630,0)))</f>
        <v/>
      </c>
      <c r="K101">
        <f>IF(ISNA(MATCH(92,'Transfer Engine'!$C$2:$C$630,0)),"",INDEX('Compliance Database'!$K$2:$K$630,MATCH(92,'Transfer Engine'!$C$2:$C$630,0)))</f>
        <v/>
      </c>
      <c r="L101" s="8">
        <f>IF(ISNA(MATCH(92,'Transfer Engine'!$C$2:$C$630,0)),"",INDEX('Compliance Database'!$L$2:$L$630,MATCH(92,'Transfer Engine'!$C$2:$C$630,0)))</f>
        <v/>
      </c>
      <c r="M101" s="8">
        <f>IF(ISNA(MATCH(92,'Transfer Engine'!$C$2:$C$630,0)),"",INDEX('Compliance Database'!$M$2:$M$630,MATCH(92,'Transfer Engine'!$C$2:$C$630,0)))</f>
        <v/>
      </c>
      <c r="N101" s="8">
        <f>IF(ISNA(MATCH(92,'Transfer Engine'!$C$2:$C$630,0)),"",INDEX('Compliance Database'!$N$2:$N$630,MATCH(92,'Transfer Engine'!$C$2:$C$630,0)))</f>
        <v/>
      </c>
      <c r="O101" s="8">
        <f>IF(ISNA(MATCH(92,'Transfer Engine'!$C$2:$C$630,0)),"",INDEX('Compliance Database'!$O$2:$O$630,MATCH(92,'Transfer Engine'!$C$2:$C$630,0)))</f>
        <v/>
      </c>
    </row>
    <row r="102">
      <c r="A102">
        <f>IF(ISNA(MATCH(93,'Transfer Engine'!$C$2:$C$630,0)),"",INDEX('Compliance Database'!$A$2:$A$630,MATCH(93,'Transfer Engine'!$C$2:$C$630,0)))</f>
        <v/>
      </c>
      <c r="B102">
        <f>IF(ISNA(MATCH(93,'Transfer Engine'!$C$2:$C$630,0)),"",INDEX('Compliance Database'!$B$2:$B$630,MATCH(93,'Transfer Engine'!$C$2:$C$630,0)))</f>
        <v/>
      </c>
      <c r="C102">
        <f>IF(ISNA(MATCH(93,'Transfer Engine'!$C$2:$C$630,0)),"",INDEX('Compliance Database'!$C$2:$C$630,MATCH(93,'Transfer Engine'!$C$2:$C$630,0)))</f>
        <v/>
      </c>
      <c r="D102" s="8">
        <f>IF(ISNA(MATCH(93,'Transfer Engine'!$C$2:$C$630,0)),"",INDEX('Compliance Database'!$D$2:$D$630,MATCH(93,'Transfer Engine'!$C$2:$C$630,0)))</f>
        <v/>
      </c>
      <c r="E102">
        <f>IF(ISNA(MATCH(93,'Transfer Engine'!$C$2:$C$630,0)),"",INDEX('Compliance Database'!$E$2:$E$630,MATCH(93,'Transfer Engine'!$C$2:$C$630,0)))</f>
        <v/>
      </c>
      <c r="F102">
        <f>IF(ISNA(MATCH(93,'Transfer Engine'!$C$2:$C$630,0)),"",INDEX('Compliance Database'!$F$2:$F$630,MATCH(93,'Transfer Engine'!$C$2:$C$630,0)))</f>
        <v/>
      </c>
      <c r="G102">
        <f>IF(ISNA(MATCH(93,'Transfer Engine'!$C$2:$C$630,0)),"",INDEX('Compliance Database'!$G$2:$G$630,MATCH(93,'Transfer Engine'!$C$2:$C$630,0)))</f>
        <v/>
      </c>
      <c r="H102">
        <f>IF(ISNA(MATCH(93,'Transfer Engine'!$C$2:$C$630,0)),"",INDEX('Compliance Database'!$H$2:$H$630,MATCH(93,'Transfer Engine'!$C$2:$C$630,0)))</f>
        <v/>
      </c>
      <c r="I102" s="8">
        <f>IF(ISNA(MATCH(93,'Transfer Engine'!$C$2:$C$630,0)),"",INDEX('Compliance Database'!$I$2:$I$630,MATCH(93,'Transfer Engine'!$C$2:$C$630,0)))</f>
        <v/>
      </c>
      <c r="J102" s="8">
        <f>IF(ISNA(MATCH(93,'Transfer Engine'!$C$2:$C$630,0)),"",INDEX('Compliance Database'!$J$2:$J$630,MATCH(93,'Transfer Engine'!$C$2:$C$630,0)))</f>
        <v/>
      </c>
      <c r="K102">
        <f>IF(ISNA(MATCH(93,'Transfer Engine'!$C$2:$C$630,0)),"",INDEX('Compliance Database'!$K$2:$K$630,MATCH(93,'Transfer Engine'!$C$2:$C$630,0)))</f>
        <v/>
      </c>
      <c r="L102" s="8">
        <f>IF(ISNA(MATCH(93,'Transfer Engine'!$C$2:$C$630,0)),"",INDEX('Compliance Database'!$L$2:$L$630,MATCH(93,'Transfer Engine'!$C$2:$C$630,0)))</f>
        <v/>
      </c>
      <c r="M102" s="8">
        <f>IF(ISNA(MATCH(93,'Transfer Engine'!$C$2:$C$630,0)),"",INDEX('Compliance Database'!$M$2:$M$630,MATCH(93,'Transfer Engine'!$C$2:$C$630,0)))</f>
        <v/>
      </c>
      <c r="N102" s="8">
        <f>IF(ISNA(MATCH(93,'Transfer Engine'!$C$2:$C$630,0)),"",INDEX('Compliance Database'!$N$2:$N$630,MATCH(93,'Transfer Engine'!$C$2:$C$630,0)))</f>
        <v/>
      </c>
      <c r="O102" s="8">
        <f>IF(ISNA(MATCH(93,'Transfer Engine'!$C$2:$C$630,0)),"",INDEX('Compliance Database'!$O$2:$O$630,MATCH(93,'Transfer Engine'!$C$2:$C$630,0)))</f>
        <v/>
      </c>
    </row>
    <row r="103">
      <c r="A103">
        <f>IF(ISNA(MATCH(94,'Transfer Engine'!$C$2:$C$630,0)),"",INDEX('Compliance Database'!$A$2:$A$630,MATCH(94,'Transfer Engine'!$C$2:$C$630,0)))</f>
        <v/>
      </c>
      <c r="B103">
        <f>IF(ISNA(MATCH(94,'Transfer Engine'!$C$2:$C$630,0)),"",INDEX('Compliance Database'!$B$2:$B$630,MATCH(94,'Transfer Engine'!$C$2:$C$630,0)))</f>
        <v/>
      </c>
      <c r="C103">
        <f>IF(ISNA(MATCH(94,'Transfer Engine'!$C$2:$C$630,0)),"",INDEX('Compliance Database'!$C$2:$C$630,MATCH(94,'Transfer Engine'!$C$2:$C$630,0)))</f>
        <v/>
      </c>
      <c r="D103" s="8">
        <f>IF(ISNA(MATCH(94,'Transfer Engine'!$C$2:$C$630,0)),"",INDEX('Compliance Database'!$D$2:$D$630,MATCH(94,'Transfer Engine'!$C$2:$C$630,0)))</f>
        <v/>
      </c>
      <c r="E103">
        <f>IF(ISNA(MATCH(94,'Transfer Engine'!$C$2:$C$630,0)),"",INDEX('Compliance Database'!$E$2:$E$630,MATCH(94,'Transfer Engine'!$C$2:$C$630,0)))</f>
        <v/>
      </c>
      <c r="F103">
        <f>IF(ISNA(MATCH(94,'Transfer Engine'!$C$2:$C$630,0)),"",INDEX('Compliance Database'!$F$2:$F$630,MATCH(94,'Transfer Engine'!$C$2:$C$630,0)))</f>
        <v/>
      </c>
      <c r="G103">
        <f>IF(ISNA(MATCH(94,'Transfer Engine'!$C$2:$C$630,0)),"",INDEX('Compliance Database'!$G$2:$G$630,MATCH(94,'Transfer Engine'!$C$2:$C$630,0)))</f>
        <v/>
      </c>
      <c r="H103">
        <f>IF(ISNA(MATCH(94,'Transfer Engine'!$C$2:$C$630,0)),"",INDEX('Compliance Database'!$H$2:$H$630,MATCH(94,'Transfer Engine'!$C$2:$C$630,0)))</f>
        <v/>
      </c>
      <c r="I103" s="8">
        <f>IF(ISNA(MATCH(94,'Transfer Engine'!$C$2:$C$630,0)),"",INDEX('Compliance Database'!$I$2:$I$630,MATCH(94,'Transfer Engine'!$C$2:$C$630,0)))</f>
        <v/>
      </c>
      <c r="J103" s="8">
        <f>IF(ISNA(MATCH(94,'Transfer Engine'!$C$2:$C$630,0)),"",INDEX('Compliance Database'!$J$2:$J$630,MATCH(94,'Transfer Engine'!$C$2:$C$630,0)))</f>
        <v/>
      </c>
      <c r="K103">
        <f>IF(ISNA(MATCH(94,'Transfer Engine'!$C$2:$C$630,0)),"",INDEX('Compliance Database'!$K$2:$K$630,MATCH(94,'Transfer Engine'!$C$2:$C$630,0)))</f>
        <v/>
      </c>
      <c r="L103" s="8">
        <f>IF(ISNA(MATCH(94,'Transfer Engine'!$C$2:$C$630,0)),"",INDEX('Compliance Database'!$L$2:$L$630,MATCH(94,'Transfer Engine'!$C$2:$C$630,0)))</f>
        <v/>
      </c>
      <c r="M103" s="8">
        <f>IF(ISNA(MATCH(94,'Transfer Engine'!$C$2:$C$630,0)),"",INDEX('Compliance Database'!$M$2:$M$630,MATCH(94,'Transfer Engine'!$C$2:$C$630,0)))</f>
        <v/>
      </c>
      <c r="N103" s="8">
        <f>IF(ISNA(MATCH(94,'Transfer Engine'!$C$2:$C$630,0)),"",INDEX('Compliance Database'!$N$2:$N$630,MATCH(94,'Transfer Engine'!$C$2:$C$630,0)))</f>
        <v/>
      </c>
      <c r="O103" s="8">
        <f>IF(ISNA(MATCH(94,'Transfer Engine'!$C$2:$C$630,0)),"",INDEX('Compliance Database'!$O$2:$O$630,MATCH(94,'Transfer Engine'!$C$2:$C$630,0)))</f>
        <v/>
      </c>
    </row>
    <row r="104">
      <c r="A104">
        <f>IF(ISNA(MATCH(95,'Transfer Engine'!$C$2:$C$630,0)),"",INDEX('Compliance Database'!$A$2:$A$630,MATCH(95,'Transfer Engine'!$C$2:$C$630,0)))</f>
        <v/>
      </c>
      <c r="B104">
        <f>IF(ISNA(MATCH(95,'Transfer Engine'!$C$2:$C$630,0)),"",INDEX('Compliance Database'!$B$2:$B$630,MATCH(95,'Transfer Engine'!$C$2:$C$630,0)))</f>
        <v/>
      </c>
      <c r="C104">
        <f>IF(ISNA(MATCH(95,'Transfer Engine'!$C$2:$C$630,0)),"",INDEX('Compliance Database'!$C$2:$C$630,MATCH(95,'Transfer Engine'!$C$2:$C$630,0)))</f>
        <v/>
      </c>
      <c r="D104" s="8">
        <f>IF(ISNA(MATCH(95,'Transfer Engine'!$C$2:$C$630,0)),"",INDEX('Compliance Database'!$D$2:$D$630,MATCH(95,'Transfer Engine'!$C$2:$C$630,0)))</f>
        <v/>
      </c>
      <c r="E104">
        <f>IF(ISNA(MATCH(95,'Transfer Engine'!$C$2:$C$630,0)),"",INDEX('Compliance Database'!$E$2:$E$630,MATCH(95,'Transfer Engine'!$C$2:$C$630,0)))</f>
        <v/>
      </c>
      <c r="F104">
        <f>IF(ISNA(MATCH(95,'Transfer Engine'!$C$2:$C$630,0)),"",INDEX('Compliance Database'!$F$2:$F$630,MATCH(95,'Transfer Engine'!$C$2:$C$630,0)))</f>
        <v/>
      </c>
      <c r="G104">
        <f>IF(ISNA(MATCH(95,'Transfer Engine'!$C$2:$C$630,0)),"",INDEX('Compliance Database'!$G$2:$G$630,MATCH(95,'Transfer Engine'!$C$2:$C$630,0)))</f>
        <v/>
      </c>
      <c r="H104">
        <f>IF(ISNA(MATCH(95,'Transfer Engine'!$C$2:$C$630,0)),"",INDEX('Compliance Database'!$H$2:$H$630,MATCH(95,'Transfer Engine'!$C$2:$C$630,0)))</f>
        <v/>
      </c>
      <c r="I104" s="8">
        <f>IF(ISNA(MATCH(95,'Transfer Engine'!$C$2:$C$630,0)),"",INDEX('Compliance Database'!$I$2:$I$630,MATCH(95,'Transfer Engine'!$C$2:$C$630,0)))</f>
        <v/>
      </c>
      <c r="J104" s="8">
        <f>IF(ISNA(MATCH(95,'Transfer Engine'!$C$2:$C$630,0)),"",INDEX('Compliance Database'!$J$2:$J$630,MATCH(95,'Transfer Engine'!$C$2:$C$630,0)))</f>
        <v/>
      </c>
      <c r="K104">
        <f>IF(ISNA(MATCH(95,'Transfer Engine'!$C$2:$C$630,0)),"",INDEX('Compliance Database'!$K$2:$K$630,MATCH(95,'Transfer Engine'!$C$2:$C$630,0)))</f>
        <v/>
      </c>
      <c r="L104" s="8">
        <f>IF(ISNA(MATCH(95,'Transfer Engine'!$C$2:$C$630,0)),"",INDEX('Compliance Database'!$L$2:$L$630,MATCH(95,'Transfer Engine'!$C$2:$C$630,0)))</f>
        <v/>
      </c>
      <c r="M104" s="8">
        <f>IF(ISNA(MATCH(95,'Transfer Engine'!$C$2:$C$630,0)),"",INDEX('Compliance Database'!$M$2:$M$630,MATCH(95,'Transfer Engine'!$C$2:$C$630,0)))</f>
        <v/>
      </c>
      <c r="N104" s="8">
        <f>IF(ISNA(MATCH(95,'Transfer Engine'!$C$2:$C$630,0)),"",INDEX('Compliance Database'!$N$2:$N$630,MATCH(95,'Transfer Engine'!$C$2:$C$630,0)))</f>
        <v/>
      </c>
      <c r="O104" s="8">
        <f>IF(ISNA(MATCH(95,'Transfer Engine'!$C$2:$C$630,0)),"",INDEX('Compliance Database'!$O$2:$O$630,MATCH(95,'Transfer Engine'!$C$2:$C$630,0)))</f>
        <v/>
      </c>
    </row>
    <row r="105">
      <c r="A105">
        <f>IF(ISNA(MATCH(96,'Transfer Engine'!$C$2:$C$630,0)),"",INDEX('Compliance Database'!$A$2:$A$630,MATCH(96,'Transfer Engine'!$C$2:$C$630,0)))</f>
        <v/>
      </c>
      <c r="B105">
        <f>IF(ISNA(MATCH(96,'Transfer Engine'!$C$2:$C$630,0)),"",INDEX('Compliance Database'!$B$2:$B$630,MATCH(96,'Transfer Engine'!$C$2:$C$630,0)))</f>
        <v/>
      </c>
      <c r="C105">
        <f>IF(ISNA(MATCH(96,'Transfer Engine'!$C$2:$C$630,0)),"",INDEX('Compliance Database'!$C$2:$C$630,MATCH(96,'Transfer Engine'!$C$2:$C$630,0)))</f>
        <v/>
      </c>
      <c r="D105" s="8">
        <f>IF(ISNA(MATCH(96,'Transfer Engine'!$C$2:$C$630,0)),"",INDEX('Compliance Database'!$D$2:$D$630,MATCH(96,'Transfer Engine'!$C$2:$C$630,0)))</f>
        <v/>
      </c>
      <c r="E105">
        <f>IF(ISNA(MATCH(96,'Transfer Engine'!$C$2:$C$630,0)),"",INDEX('Compliance Database'!$E$2:$E$630,MATCH(96,'Transfer Engine'!$C$2:$C$630,0)))</f>
        <v/>
      </c>
      <c r="F105">
        <f>IF(ISNA(MATCH(96,'Transfer Engine'!$C$2:$C$630,0)),"",INDEX('Compliance Database'!$F$2:$F$630,MATCH(96,'Transfer Engine'!$C$2:$C$630,0)))</f>
        <v/>
      </c>
      <c r="G105">
        <f>IF(ISNA(MATCH(96,'Transfer Engine'!$C$2:$C$630,0)),"",INDEX('Compliance Database'!$G$2:$G$630,MATCH(96,'Transfer Engine'!$C$2:$C$630,0)))</f>
        <v/>
      </c>
      <c r="H105">
        <f>IF(ISNA(MATCH(96,'Transfer Engine'!$C$2:$C$630,0)),"",INDEX('Compliance Database'!$H$2:$H$630,MATCH(96,'Transfer Engine'!$C$2:$C$630,0)))</f>
        <v/>
      </c>
      <c r="I105" s="8">
        <f>IF(ISNA(MATCH(96,'Transfer Engine'!$C$2:$C$630,0)),"",INDEX('Compliance Database'!$I$2:$I$630,MATCH(96,'Transfer Engine'!$C$2:$C$630,0)))</f>
        <v/>
      </c>
      <c r="J105" s="8">
        <f>IF(ISNA(MATCH(96,'Transfer Engine'!$C$2:$C$630,0)),"",INDEX('Compliance Database'!$J$2:$J$630,MATCH(96,'Transfer Engine'!$C$2:$C$630,0)))</f>
        <v/>
      </c>
      <c r="K105">
        <f>IF(ISNA(MATCH(96,'Transfer Engine'!$C$2:$C$630,0)),"",INDEX('Compliance Database'!$K$2:$K$630,MATCH(96,'Transfer Engine'!$C$2:$C$630,0)))</f>
        <v/>
      </c>
      <c r="L105" s="8">
        <f>IF(ISNA(MATCH(96,'Transfer Engine'!$C$2:$C$630,0)),"",INDEX('Compliance Database'!$L$2:$L$630,MATCH(96,'Transfer Engine'!$C$2:$C$630,0)))</f>
        <v/>
      </c>
      <c r="M105" s="8">
        <f>IF(ISNA(MATCH(96,'Transfer Engine'!$C$2:$C$630,0)),"",INDEX('Compliance Database'!$M$2:$M$630,MATCH(96,'Transfer Engine'!$C$2:$C$630,0)))</f>
        <v/>
      </c>
      <c r="N105" s="8">
        <f>IF(ISNA(MATCH(96,'Transfer Engine'!$C$2:$C$630,0)),"",INDEX('Compliance Database'!$N$2:$N$630,MATCH(96,'Transfer Engine'!$C$2:$C$630,0)))</f>
        <v/>
      </c>
      <c r="O105" s="8">
        <f>IF(ISNA(MATCH(96,'Transfer Engine'!$C$2:$C$630,0)),"",INDEX('Compliance Database'!$O$2:$O$630,MATCH(96,'Transfer Engine'!$C$2:$C$630,0)))</f>
        <v/>
      </c>
    </row>
    <row r="106">
      <c r="A106">
        <f>IF(ISNA(MATCH(97,'Transfer Engine'!$C$2:$C$630,0)),"",INDEX('Compliance Database'!$A$2:$A$630,MATCH(97,'Transfer Engine'!$C$2:$C$630,0)))</f>
        <v/>
      </c>
      <c r="B106">
        <f>IF(ISNA(MATCH(97,'Transfer Engine'!$C$2:$C$630,0)),"",INDEX('Compliance Database'!$B$2:$B$630,MATCH(97,'Transfer Engine'!$C$2:$C$630,0)))</f>
        <v/>
      </c>
      <c r="C106">
        <f>IF(ISNA(MATCH(97,'Transfer Engine'!$C$2:$C$630,0)),"",INDEX('Compliance Database'!$C$2:$C$630,MATCH(97,'Transfer Engine'!$C$2:$C$630,0)))</f>
        <v/>
      </c>
      <c r="D106" s="8">
        <f>IF(ISNA(MATCH(97,'Transfer Engine'!$C$2:$C$630,0)),"",INDEX('Compliance Database'!$D$2:$D$630,MATCH(97,'Transfer Engine'!$C$2:$C$630,0)))</f>
        <v/>
      </c>
      <c r="E106">
        <f>IF(ISNA(MATCH(97,'Transfer Engine'!$C$2:$C$630,0)),"",INDEX('Compliance Database'!$E$2:$E$630,MATCH(97,'Transfer Engine'!$C$2:$C$630,0)))</f>
        <v/>
      </c>
      <c r="F106">
        <f>IF(ISNA(MATCH(97,'Transfer Engine'!$C$2:$C$630,0)),"",INDEX('Compliance Database'!$F$2:$F$630,MATCH(97,'Transfer Engine'!$C$2:$C$630,0)))</f>
        <v/>
      </c>
      <c r="G106">
        <f>IF(ISNA(MATCH(97,'Transfer Engine'!$C$2:$C$630,0)),"",INDEX('Compliance Database'!$G$2:$G$630,MATCH(97,'Transfer Engine'!$C$2:$C$630,0)))</f>
        <v/>
      </c>
      <c r="H106">
        <f>IF(ISNA(MATCH(97,'Transfer Engine'!$C$2:$C$630,0)),"",INDEX('Compliance Database'!$H$2:$H$630,MATCH(97,'Transfer Engine'!$C$2:$C$630,0)))</f>
        <v/>
      </c>
      <c r="I106" s="8">
        <f>IF(ISNA(MATCH(97,'Transfer Engine'!$C$2:$C$630,0)),"",INDEX('Compliance Database'!$I$2:$I$630,MATCH(97,'Transfer Engine'!$C$2:$C$630,0)))</f>
        <v/>
      </c>
      <c r="J106" s="8">
        <f>IF(ISNA(MATCH(97,'Transfer Engine'!$C$2:$C$630,0)),"",INDEX('Compliance Database'!$J$2:$J$630,MATCH(97,'Transfer Engine'!$C$2:$C$630,0)))</f>
        <v/>
      </c>
      <c r="K106">
        <f>IF(ISNA(MATCH(97,'Transfer Engine'!$C$2:$C$630,0)),"",INDEX('Compliance Database'!$K$2:$K$630,MATCH(97,'Transfer Engine'!$C$2:$C$630,0)))</f>
        <v/>
      </c>
      <c r="L106" s="8">
        <f>IF(ISNA(MATCH(97,'Transfer Engine'!$C$2:$C$630,0)),"",INDEX('Compliance Database'!$L$2:$L$630,MATCH(97,'Transfer Engine'!$C$2:$C$630,0)))</f>
        <v/>
      </c>
      <c r="M106" s="8">
        <f>IF(ISNA(MATCH(97,'Transfer Engine'!$C$2:$C$630,0)),"",INDEX('Compliance Database'!$M$2:$M$630,MATCH(97,'Transfer Engine'!$C$2:$C$630,0)))</f>
        <v/>
      </c>
      <c r="N106" s="8">
        <f>IF(ISNA(MATCH(97,'Transfer Engine'!$C$2:$C$630,0)),"",INDEX('Compliance Database'!$N$2:$N$630,MATCH(97,'Transfer Engine'!$C$2:$C$630,0)))</f>
        <v/>
      </c>
      <c r="O106" s="8">
        <f>IF(ISNA(MATCH(97,'Transfer Engine'!$C$2:$C$630,0)),"",INDEX('Compliance Database'!$O$2:$O$630,MATCH(97,'Transfer Engine'!$C$2:$C$630,0)))</f>
        <v/>
      </c>
    </row>
    <row r="107">
      <c r="A107">
        <f>IF(ISNA(MATCH(98,'Transfer Engine'!$C$2:$C$630,0)),"",INDEX('Compliance Database'!$A$2:$A$630,MATCH(98,'Transfer Engine'!$C$2:$C$630,0)))</f>
        <v/>
      </c>
      <c r="B107">
        <f>IF(ISNA(MATCH(98,'Transfer Engine'!$C$2:$C$630,0)),"",INDEX('Compliance Database'!$B$2:$B$630,MATCH(98,'Transfer Engine'!$C$2:$C$630,0)))</f>
        <v/>
      </c>
      <c r="C107">
        <f>IF(ISNA(MATCH(98,'Transfer Engine'!$C$2:$C$630,0)),"",INDEX('Compliance Database'!$C$2:$C$630,MATCH(98,'Transfer Engine'!$C$2:$C$630,0)))</f>
        <v/>
      </c>
      <c r="D107" s="8">
        <f>IF(ISNA(MATCH(98,'Transfer Engine'!$C$2:$C$630,0)),"",INDEX('Compliance Database'!$D$2:$D$630,MATCH(98,'Transfer Engine'!$C$2:$C$630,0)))</f>
        <v/>
      </c>
      <c r="E107">
        <f>IF(ISNA(MATCH(98,'Transfer Engine'!$C$2:$C$630,0)),"",INDEX('Compliance Database'!$E$2:$E$630,MATCH(98,'Transfer Engine'!$C$2:$C$630,0)))</f>
        <v/>
      </c>
      <c r="F107">
        <f>IF(ISNA(MATCH(98,'Transfer Engine'!$C$2:$C$630,0)),"",INDEX('Compliance Database'!$F$2:$F$630,MATCH(98,'Transfer Engine'!$C$2:$C$630,0)))</f>
        <v/>
      </c>
      <c r="G107">
        <f>IF(ISNA(MATCH(98,'Transfer Engine'!$C$2:$C$630,0)),"",INDEX('Compliance Database'!$G$2:$G$630,MATCH(98,'Transfer Engine'!$C$2:$C$630,0)))</f>
        <v/>
      </c>
      <c r="H107">
        <f>IF(ISNA(MATCH(98,'Transfer Engine'!$C$2:$C$630,0)),"",INDEX('Compliance Database'!$H$2:$H$630,MATCH(98,'Transfer Engine'!$C$2:$C$630,0)))</f>
        <v/>
      </c>
      <c r="I107" s="8">
        <f>IF(ISNA(MATCH(98,'Transfer Engine'!$C$2:$C$630,0)),"",INDEX('Compliance Database'!$I$2:$I$630,MATCH(98,'Transfer Engine'!$C$2:$C$630,0)))</f>
        <v/>
      </c>
      <c r="J107" s="8">
        <f>IF(ISNA(MATCH(98,'Transfer Engine'!$C$2:$C$630,0)),"",INDEX('Compliance Database'!$J$2:$J$630,MATCH(98,'Transfer Engine'!$C$2:$C$630,0)))</f>
        <v/>
      </c>
      <c r="K107">
        <f>IF(ISNA(MATCH(98,'Transfer Engine'!$C$2:$C$630,0)),"",INDEX('Compliance Database'!$K$2:$K$630,MATCH(98,'Transfer Engine'!$C$2:$C$630,0)))</f>
        <v/>
      </c>
      <c r="L107" s="8">
        <f>IF(ISNA(MATCH(98,'Transfer Engine'!$C$2:$C$630,0)),"",INDEX('Compliance Database'!$L$2:$L$630,MATCH(98,'Transfer Engine'!$C$2:$C$630,0)))</f>
        <v/>
      </c>
      <c r="M107" s="8">
        <f>IF(ISNA(MATCH(98,'Transfer Engine'!$C$2:$C$630,0)),"",INDEX('Compliance Database'!$M$2:$M$630,MATCH(98,'Transfer Engine'!$C$2:$C$630,0)))</f>
        <v/>
      </c>
      <c r="N107" s="8">
        <f>IF(ISNA(MATCH(98,'Transfer Engine'!$C$2:$C$630,0)),"",INDEX('Compliance Database'!$N$2:$N$630,MATCH(98,'Transfer Engine'!$C$2:$C$630,0)))</f>
        <v/>
      </c>
      <c r="O107" s="8">
        <f>IF(ISNA(MATCH(98,'Transfer Engine'!$C$2:$C$630,0)),"",INDEX('Compliance Database'!$O$2:$O$630,MATCH(98,'Transfer Engine'!$C$2:$C$630,0)))</f>
        <v/>
      </c>
    </row>
    <row r="108">
      <c r="A108">
        <f>IF(ISNA(MATCH(99,'Transfer Engine'!$C$2:$C$630,0)),"",INDEX('Compliance Database'!$A$2:$A$630,MATCH(99,'Transfer Engine'!$C$2:$C$630,0)))</f>
        <v/>
      </c>
      <c r="B108">
        <f>IF(ISNA(MATCH(99,'Transfer Engine'!$C$2:$C$630,0)),"",INDEX('Compliance Database'!$B$2:$B$630,MATCH(99,'Transfer Engine'!$C$2:$C$630,0)))</f>
        <v/>
      </c>
      <c r="C108">
        <f>IF(ISNA(MATCH(99,'Transfer Engine'!$C$2:$C$630,0)),"",INDEX('Compliance Database'!$C$2:$C$630,MATCH(99,'Transfer Engine'!$C$2:$C$630,0)))</f>
        <v/>
      </c>
      <c r="D108" s="8">
        <f>IF(ISNA(MATCH(99,'Transfer Engine'!$C$2:$C$630,0)),"",INDEX('Compliance Database'!$D$2:$D$630,MATCH(99,'Transfer Engine'!$C$2:$C$630,0)))</f>
        <v/>
      </c>
      <c r="E108">
        <f>IF(ISNA(MATCH(99,'Transfer Engine'!$C$2:$C$630,0)),"",INDEX('Compliance Database'!$E$2:$E$630,MATCH(99,'Transfer Engine'!$C$2:$C$630,0)))</f>
        <v/>
      </c>
      <c r="F108">
        <f>IF(ISNA(MATCH(99,'Transfer Engine'!$C$2:$C$630,0)),"",INDEX('Compliance Database'!$F$2:$F$630,MATCH(99,'Transfer Engine'!$C$2:$C$630,0)))</f>
        <v/>
      </c>
      <c r="G108">
        <f>IF(ISNA(MATCH(99,'Transfer Engine'!$C$2:$C$630,0)),"",INDEX('Compliance Database'!$G$2:$G$630,MATCH(99,'Transfer Engine'!$C$2:$C$630,0)))</f>
        <v/>
      </c>
      <c r="H108">
        <f>IF(ISNA(MATCH(99,'Transfer Engine'!$C$2:$C$630,0)),"",INDEX('Compliance Database'!$H$2:$H$630,MATCH(99,'Transfer Engine'!$C$2:$C$630,0)))</f>
        <v/>
      </c>
      <c r="I108" s="8">
        <f>IF(ISNA(MATCH(99,'Transfer Engine'!$C$2:$C$630,0)),"",INDEX('Compliance Database'!$I$2:$I$630,MATCH(99,'Transfer Engine'!$C$2:$C$630,0)))</f>
        <v/>
      </c>
      <c r="J108" s="8">
        <f>IF(ISNA(MATCH(99,'Transfer Engine'!$C$2:$C$630,0)),"",INDEX('Compliance Database'!$J$2:$J$630,MATCH(99,'Transfer Engine'!$C$2:$C$630,0)))</f>
        <v/>
      </c>
      <c r="K108">
        <f>IF(ISNA(MATCH(99,'Transfer Engine'!$C$2:$C$630,0)),"",INDEX('Compliance Database'!$K$2:$K$630,MATCH(99,'Transfer Engine'!$C$2:$C$630,0)))</f>
        <v/>
      </c>
      <c r="L108" s="8">
        <f>IF(ISNA(MATCH(99,'Transfer Engine'!$C$2:$C$630,0)),"",INDEX('Compliance Database'!$L$2:$L$630,MATCH(99,'Transfer Engine'!$C$2:$C$630,0)))</f>
        <v/>
      </c>
      <c r="M108" s="8">
        <f>IF(ISNA(MATCH(99,'Transfer Engine'!$C$2:$C$630,0)),"",INDEX('Compliance Database'!$M$2:$M$630,MATCH(99,'Transfer Engine'!$C$2:$C$630,0)))</f>
        <v/>
      </c>
      <c r="N108" s="8">
        <f>IF(ISNA(MATCH(99,'Transfer Engine'!$C$2:$C$630,0)),"",INDEX('Compliance Database'!$N$2:$N$630,MATCH(99,'Transfer Engine'!$C$2:$C$630,0)))</f>
        <v/>
      </c>
      <c r="O108" s="8">
        <f>IF(ISNA(MATCH(99,'Transfer Engine'!$C$2:$C$630,0)),"",INDEX('Compliance Database'!$O$2:$O$630,MATCH(99,'Transfer Engine'!$C$2:$C$630,0)))</f>
        <v/>
      </c>
    </row>
    <row r="109">
      <c r="A109">
        <f>IF(ISNA(MATCH(100,'Transfer Engine'!$C$2:$C$630,0)),"",INDEX('Compliance Database'!$A$2:$A$630,MATCH(100,'Transfer Engine'!$C$2:$C$630,0)))</f>
        <v/>
      </c>
      <c r="B109">
        <f>IF(ISNA(MATCH(100,'Transfer Engine'!$C$2:$C$630,0)),"",INDEX('Compliance Database'!$B$2:$B$630,MATCH(100,'Transfer Engine'!$C$2:$C$630,0)))</f>
        <v/>
      </c>
      <c r="C109">
        <f>IF(ISNA(MATCH(100,'Transfer Engine'!$C$2:$C$630,0)),"",INDEX('Compliance Database'!$C$2:$C$630,MATCH(100,'Transfer Engine'!$C$2:$C$630,0)))</f>
        <v/>
      </c>
      <c r="D109" s="8">
        <f>IF(ISNA(MATCH(100,'Transfer Engine'!$C$2:$C$630,0)),"",INDEX('Compliance Database'!$D$2:$D$630,MATCH(100,'Transfer Engine'!$C$2:$C$630,0)))</f>
        <v/>
      </c>
      <c r="E109">
        <f>IF(ISNA(MATCH(100,'Transfer Engine'!$C$2:$C$630,0)),"",INDEX('Compliance Database'!$E$2:$E$630,MATCH(100,'Transfer Engine'!$C$2:$C$630,0)))</f>
        <v/>
      </c>
      <c r="F109">
        <f>IF(ISNA(MATCH(100,'Transfer Engine'!$C$2:$C$630,0)),"",INDEX('Compliance Database'!$F$2:$F$630,MATCH(100,'Transfer Engine'!$C$2:$C$630,0)))</f>
        <v/>
      </c>
      <c r="G109">
        <f>IF(ISNA(MATCH(100,'Transfer Engine'!$C$2:$C$630,0)),"",INDEX('Compliance Database'!$G$2:$G$630,MATCH(100,'Transfer Engine'!$C$2:$C$630,0)))</f>
        <v/>
      </c>
      <c r="H109">
        <f>IF(ISNA(MATCH(100,'Transfer Engine'!$C$2:$C$630,0)),"",INDEX('Compliance Database'!$H$2:$H$630,MATCH(100,'Transfer Engine'!$C$2:$C$630,0)))</f>
        <v/>
      </c>
      <c r="I109" s="8">
        <f>IF(ISNA(MATCH(100,'Transfer Engine'!$C$2:$C$630,0)),"",INDEX('Compliance Database'!$I$2:$I$630,MATCH(100,'Transfer Engine'!$C$2:$C$630,0)))</f>
        <v/>
      </c>
      <c r="J109" s="8">
        <f>IF(ISNA(MATCH(100,'Transfer Engine'!$C$2:$C$630,0)),"",INDEX('Compliance Database'!$J$2:$J$630,MATCH(100,'Transfer Engine'!$C$2:$C$630,0)))</f>
        <v/>
      </c>
      <c r="K109">
        <f>IF(ISNA(MATCH(100,'Transfer Engine'!$C$2:$C$630,0)),"",INDEX('Compliance Database'!$K$2:$K$630,MATCH(100,'Transfer Engine'!$C$2:$C$630,0)))</f>
        <v/>
      </c>
      <c r="L109" s="8">
        <f>IF(ISNA(MATCH(100,'Transfer Engine'!$C$2:$C$630,0)),"",INDEX('Compliance Database'!$L$2:$L$630,MATCH(100,'Transfer Engine'!$C$2:$C$630,0)))</f>
        <v/>
      </c>
      <c r="M109" s="8">
        <f>IF(ISNA(MATCH(100,'Transfer Engine'!$C$2:$C$630,0)),"",INDEX('Compliance Database'!$M$2:$M$630,MATCH(100,'Transfer Engine'!$C$2:$C$630,0)))</f>
        <v/>
      </c>
      <c r="N109" s="8">
        <f>IF(ISNA(MATCH(100,'Transfer Engine'!$C$2:$C$630,0)),"",INDEX('Compliance Database'!$N$2:$N$630,MATCH(100,'Transfer Engine'!$C$2:$C$630,0)))</f>
        <v/>
      </c>
      <c r="O109" s="8">
        <f>IF(ISNA(MATCH(100,'Transfer Engine'!$C$2:$C$630,0)),"",INDEX('Compliance Database'!$O$2:$O$630,MATCH(100,'Transfer Engine'!$C$2:$C$630,0)))</f>
        <v/>
      </c>
    </row>
    <row r="110">
      <c r="A110">
        <f>IF(ISNA(MATCH(101,'Transfer Engine'!$C$2:$C$630,0)),"",INDEX('Compliance Database'!$A$2:$A$630,MATCH(101,'Transfer Engine'!$C$2:$C$630,0)))</f>
        <v/>
      </c>
      <c r="B110">
        <f>IF(ISNA(MATCH(101,'Transfer Engine'!$C$2:$C$630,0)),"",INDEX('Compliance Database'!$B$2:$B$630,MATCH(101,'Transfer Engine'!$C$2:$C$630,0)))</f>
        <v/>
      </c>
      <c r="C110">
        <f>IF(ISNA(MATCH(101,'Transfer Engine'!$C$2:$C$630,0)),"",INDEX('Compliance Database'!$C$2:$C$630,MATCH(101,'Transfer Engine'!$C$2:$C$630,0)))</f>
        <v/>
      </c>
      <c r="D110" s="8">
        <f>IF(ISNA(MATCH(101,'Transfer Engine'!$C$2:$C$630,0)),"",INDEX('Compliance Database'!$D$2:$D$630,MATCH(101,'Transfer Engine'!$C$2:$C$630,0)))</f>
        <v/>
      </c>
      <c r="E110">
        <f>IF(ISNA(MATCH(101,'Transfer Engine'!$C$2:$C$630,0)),"",INDEX('Compliance Database'!$E$2:$E$630,MATCH(101,'Transfer Engine'!$C$2:$C$630,0)))</f>
        <v/>
      </c>
      <c r="F110">
        <f>IF(ISNA(MATCH(101,'Transfer Engine'!$C$2:$C$630,0)),"",INDEX('Compliance Database'!$F$2:$F$630,MATCH(101,'Transfer Engine'!$C$2:$C$630,0)))</f>
        <v/>
      </c>
      <c r="G110">
        <f>IF(ISNA(MATCH(101,'Transfer Engine'!$C$2:$C$630,0)),"",INDEX('Compliance Database'!$G$2:$G$630,MATCH(101,'Transfer Engine'!$C$2:$C$630,0)))</f>
        <v/>
      </c>
      <c r="H110">
        <f>IF(ISNA(MATCH(101,'Transfer Engine'!$C$2:$C$630,0)),"",INDEX('Compliance Database'!$H$2:$H$630,MATCH(101,'Transfer Engine'!$C$2:$C$630,0)))</f>
        <v/>
      </c>
      <c r="I110" s="8">
        <f>IF(ISNA(MATCH(101,'Transfer Engine'!$C$2:$C$630,0)),"",INDEX('Compliance Database'!$I$2:$I$630,MATCH(101,'Transfer Engine'!$C$2:$C$630,0)))</f>
        <v/>
      </c>
      <c r="J110" s="8">
        <f>IF(ISNA(MATCH(101,'Transfer Engine'!$C$2:$C$630,0)),"",INDEX('Compliance Database'!$J$2:$J$630,MATCH(101,'Transfer Engine'!$C$2:$C$630,0)))</f>
        <v/>
      </c>
      <c r="K110">
        <f>IF(ISNA(MATCH(101,'Transfer Engine'!$C$2:$C$630,0)),"",INDEX('Compliance Database'!$K$2:$K$630,MATCH(101,'Transfer Engine'!$C$2:$C$630,0)))</f>
        <v/>
      </c>
      <c r="L110" s="8">
        <f>IF(ISNA(MATCH(101,'Transfer Engine'!$C$2:$C$630,0)),"",INDEX('Compliance Database'!$L$2:$L$630,MATCH(101,'Transfer Engine'!$C$2:$C$630,0)))</f>
        <v/>
      </c>
      <c r="M110" s="8">
        <f>IF(ISNA(MATCH(101,'Transfer Engine'!$C$2:$C$630,0)),"",INDEX('Compliance Database'!$M$2:$M$630,MATCH(101,'Transfer Engine'!$C$2:$C$630,0)))</f>
        <v/>
      </c>
      <c r="N110" s="8">
        <f>IF(ISNA(MATCH(101,'Transfer Engine'!$C$2:$C$630,0)),"",INDEX('Compliance Database'!$N$2:$N$630,MATCH(101,'Transfer Engine'!$C$2:$C$630,0)))</f>
        <v/>
      </c>
      <c r="O110" s="8">
        <f>IF(ISNA(MATCH(101,'Transfer Engine'!$C$2:$C$630,0)),"",INDEX('Compliance Database'!$O$2:$O$630,MATCH(101,'Transfer Engine'!$C$2:$C$630,0)))</f>
        <v/>
      </c>
    </row>
    <row r="111">
      <c r="A111">
        <f>IF(ISNA(MATCH(102,'Transfer Engine'!$C$2:$C$630,0)),"",INDEX('Compliance Database'!$A$2:$A$630,MATCH(102,'Transfer Engine'!$C$2:$C$630,0)))</f>
        <v/>
      </c>
      <c r="B111">
        <f>IF(ISNA(MATCH(102,'Transfer Engine'!$C$2:$C$630,0)),"",INDEX('Compliance Database'!$B$2:$B$630,MATCH(102,'Transfer Engine'!$C$2:$C$630,0)))</f>
        <v/>
      </c>
      <c r="C111">
        <f>IF(ISNA(MATCH(102,'Transfer Engine'!$C$2:$C$630,0)),"",INDEX('Compliance Database'!$C$2:$C$630,MATCH(102,'Transfer Engine'!$C$2:$C$630,0)))</f>
        <v/>
      </c>
      <c r="D111" s="8">
        <f>IF(ISNA(MATCH(102,'Transfer Engine'!$C$2:$C$630,0)),"",INDEX('Compliance Database'!$D$2:$D$630,MATCH(102,'Transfer Engine'!$C$2:$C$630,0)))</f>
        <v/>
      </c>
      <c r="E111">
        <f>IF(ISNA(MATCH(102,'Transfer Engine'!$C$2:$C$630,0)),"",INDEX('Compliance Database'!$E$2:$E$630,MATCH(102,'Transfer Engine'!$C$2:$C$630,0)))</f>
        <v/>
      </c>
      <c r="F111">
        <f>IF(ISNA(MATCH(102,'Transfer Engine'!$C$2:$C$630,0)),"",INDEX('Compliance Database'!$F$2:$F$630,MATCH(102,'Transfer Engine'!$C$2:$C$630,0)))</f>
        <v/>
      </c>
      <c r="G111">
        <f>IF(ISNA(MATCH(102,'Transfer Engine'!$C$2:$C$630,0)),"",INDEX('Compliance Database'!$G$2:$G$630,MATCH(102,'Transfer Engine'!$C$2:$C$630,0)))</f>
        <v/>
      </c>
      <c r="H111">
        <f>IF(ISNA(MATCH(102,'Transfer Engine'!$C$2:$C$630,0)),"",INDEX('Compliance Database'!$H$2:$H$630,MATCH(102,'Transfer Engine'!$C$2:$C$630,0)))</f>
        <v/>
      </c>
      <c r="I111" s="8">
        <f>IF(ISNA(MATCH(102,'Transfer Engine'!$C$2:$C$630,0)),"",INDEX('Compliance Database'!$I$2:$I$630,MATCH(102,'Transfer Engine'!$C$2:$C$630,0)))</f>
        <v/>
      </c>
      <c r="J111" s="8">
        <f>IF(ISNA(MATCH(102,'Transfer Engine'!$C$2:$C$630,0)),"",INDEX('Compliance Database'!$J$2:$J$630,MATCH(102,'Transfer Engine'!$C$2:$C$630,0)))</f>
        <v/>
      </c>
      <c r="K111">
        <f>IF(ISNA(MATCH(102,'Transfer Engine'!$C$2:$C$630,0)),"",INDEX('Compliance Database'!$K$2:$K$630,MATCH(102,'Transfer Engine'!$C$2:$C$630,0)))</f>
        <v/>
      </c>
      <c r="L111" s="8">
        <f>IF(ISNA(MATCH(102,'Transfer Engine'!$C$2:$C$630,0)),"",INDEX('Compliance Database'!$L$2:$L$630,MATCH(102,'Transfer Engine'!$C$2:$C$630,0)))</f>
        <v/>
      </c>
      <c r="M111" s="8">
        <f>IF(ISNA(MATCH(102,'Transfer Engine'!$C$2:$C$630,0)),"",INDEX('Compliance Database'!$M$2:$M$630,MATCH(102,'Transfer Engine'!$C$2:$C$630,0)))</f>
        <v/>
      </c>
      <c r="N111" s="8">
        <f>IF(ISNA(MATCH(102,'Transfer Engine'!$C$2:$C$630,0)),"",INDEX('Compliance Database'!$N$2:$N$630,MATCH(102,'Transfer Engine'!$C$2:$C$630,0)))</f>
        <v/>
      </c>
      <c r="O111" s="8">
        <f>IF(ISNA(MATCH(102,'Transfer Engine'!$C$2:$C$630,0)),"",INDEX('Compliance Database'!$O$2:$O$630,MATCH(102,'Transfer Engine'!$C$2:$C$630,0)))</f>
        <v/>
      </c>
    </row>
    <row r="112">
      <c r="A112">
        <f>IF(ISNA(MATCH(103,'Transfer Engine'!$C$2:$C$630,0)),"",INDEX('Compliance Database'!$A$2:$A$630,MATCH(103,'Transfer Engine'!$C$2:$C$630,0)))</f>
        <v/>
      </c>
      <c r="B112">
        <f>IF(ISNA(MATCH(103,'Transfer Engine'!$C$2:$C$630,0)),"",INDEX('Compliance Database'!$B$2:$B$630,MATCH(103,'Transfer Engine'!$C$2:$C$630,0)))</f>
        <v/>
      </c>
      <c r="C112">
        <f>IF(ISNA(MATCH(103,'Transfer Engine'!$C$2:$C$630,0)),"",INDEX('Compliance Database'!$C$2:$C$630,MATCH(103,'Transfer Engine'!$C$2:$C$630,0)))</f>
        <v/>
      </c>
      <c r="D112" s="8">
        <f>IF(ISNA(MATCH(103,'Transfer Engine'!$C$2:$C$630,0)),"",INDEX('Compliance Database'!$D$2:$D$630,MATCH(103,'Transfer Engine'!$C$2:$C$630,0)))</f>
        <v/>
      </c>
      <c r="E112">
        <f>IF(ISNA(MATCH(103,'Transfer Engine'!$C$2:$C$630,0)),"",INDEX('Compliance Database'!$E$2:$E$630,MATCH(103,'Transfer Engine'!$C$2:$C$630,0)))</f>
        <v/>
      </c>
      <c r="F112">
        <f>IF(ISNA(MATCH(103,'Transfer Engine'!$C$2:$C$630,0)),"",INDEX('Compliance Database'!$F$2:$F$630,MATCH(103,'Transfer Engine'!$C$2:$C$630,0)))</f>
        <v/>
      </c>
      <c r="G112">
        <f>IF(ISNA(MATCH(103,'Transfer Engine'!$C$2:$C$630,0)),"",INDEX('Compliance Database'!$G$2:$G$630,MATCH(103,'Transfer Engine'!$C$2:$C$630,0)))</f>
        <v/>
      </c>
      <c r="H112">
        <f>IF(ISNA(MATCH(103,'Transfer Engine'!$C$2:$C$630,0)),"",INDEX('Compliance Database'!$H$2:$H$630,MATCH(103,'Transfer Engine'!$C$2:$C$630,0)))</f>
        <v/>
      </c>
      <c r="I112" s="8">
        <f>IF(ISNA(MATCH(103,'Transfer Engine'!$C$2:$C$630,0)),"",INDEX('Compliance Database'!$I$2:$I$630,MATCH(103,'Transfer Engine'!$C$2:$C$630,0)))</f>
        <v/>
      </c>
      <c r="J112" s="8">
        <f>IF(ISNA(MATCH(103,'Transfer Engine'!$C$2:$C$630,0)),"",INDEX('Compliance Database'!$J$2:$J$630,MATCH(103,'Transfer Engine'!$C$2:$C$630,0)))</f>
        <v/>
      </c>
      <c r="K112">
        <f>IF(ISNA(MATCH(103,'Transfer Engine'!$C$2:$C$630,0)),"",INDEX('Compliance Database'!$K$2:$K$630,MATCH(103,'Transfer Engine'!$C$2:$C$630,0)))</f>
        <v/>
      </c>
      <c r="L112" s="8">
        <f>IF(ISNA(MATCH(103,'Transfer Engine'!$C$2:$C$630,0)),"",INDEX('Compliance Database'!$L$2:$L$630,MATCH(103,'Transfer Engine'!$C$2:$C$630,0)))</f>
        <v/>
      </c>
      <c r="M112" s="8">
        <f>IF(ISNA(MATCH(103,'Transfer Engine'!$C$2:$C$630,0)),"",INDEX('Compliance Database'!$M$2:$M$630,MATCH(103,'Transfer Engine'!$C$2:$C$630,0)))</f>
        <v/>
      </c>
      <c r="N112" s="8">
        <f>IF(ISNA(MATCH(103,'Transfer Engine'!$C$2:$C$630,0)),"",INDEX('Compliance Database'!$N$2:$N$630,MATCH(103,'Transfer Engine'!$C$2:$C$630,0)))</f>
        <v/>
      </c>
      <c r="O112" s="8">
        <f>IF(ISNA(MATCH(103,'Transfer Engine'!$C$2:$C$630,0)),"",INDEX('Compliance Database'!$O$2:$O$630,MATCH(103,'Transfer Engine'!$C$2:$C$630,0)))</f>
        <v/>
      </c>
    </row>
    <row r="113">
      <c r="A113">
        <f>IF(ISNA(MATCH(104,'Transfer Engine'!$C$2:$C$630,0)),"",INDEX('Compliance Database'!$A$2:$A$630,MATCH(104,'Transfer Engine'!$C$2:$C$630,0)))</f>
        <v/>
      </c>
      <c r="B113">
        <f>IF(ISNA(MATCH(104,'Transfer Engine'!$C$2:$C$630,0)),"",INDEX('Compliance Database'!$B$2:$B$630,MATCH(104,'Transfer Engine'!$C$2:$C$630,0)))</f>
        <v/>
      </c>
      <c r="C113">
        <f>IF(ISNA(MATCH(104,'Transfer Engine'!$C$2:$C$630,0)),"",INDEX('Compliance Database'!$C$2:$C$630,MATCH(104,'Transfer Engine'!$C$2:$C$630,0)))</f>
        <v/>
      </c>
      <c r="D113" s="8">
        <f>IF(ISNA(MATCH(104,'Transfer Engine'!$C$2:$C$630,0)),"",INDEX('Compliance Database'!$D$2:$D$630,MATCH(104,'Transfer Engine'!$C$2:$C$630,0)))</f>
        <v/>
      </c>
      <c r="E113">
        <f>IF(ISNA(MATCH(104,'Transfer Engine'!$C$2:$C$630,0)),"",INDEX('Compliance Database'!$E$2:$E$630,MATCH(104,'Transfer Engine'!$C$2:$C$630,0)))</f>
        <v/>
      </c>
      <c r="F113">
        <f>IF(ISNA(MATCH(104,'Transfer Engine'!$C$2:$C$630,0)),"",INDEX('Compliance Database'!$F$2:$F$630,MATCH(104,'Transfer Engine'!$C$2:$C$630,0)))</f>
        <v/>
      </c>
      <c r="G113">
        <f>IF(ISNA(MATCH(104,'Transfer Engine'!$C$2:$C$630,0)),"",INDEX('Compliance Database'!$G$2:$G$630,MATCH(104,'Transfer Engine'!$C$2:$C$630,0)))</f>
        <v/>
      </c>
      <c r="H113">
        <f>IF(ISNA(MATCH(104,'Transfer Engine'!$C$2:$C$630,0)),"",INDEX('Compliance Database'!$H$2:$H$630,MATCH(104,'Transfer Engine'!$C$2:$C$630,0)))</f>
        <v/>
      </c>
      <c r="I113" s="8">
        <f>IF(ISNA(MATCH(104,'Transfer Engine'!$C$2:$C$630,0)),"",INDEX('Compliance Database'!$I$2:$I$630,MATCH(104,'Transfer Engine'!$C$2:$C$630,0)))</f>
        <v/>
      </c>
      <c r="J113" s="8">
        <f>IF(ISNA(MATCH(104,'Transfer Engine'!$C$2:$C$630,0)),"",INDEX('Compliance Database'!$J$2:$J$630,MATCH(104,'Transfer Engine'!$C$2:$C$630,0)))</f>
        <v/>
      </c>
      <c r="K113">
        <f>IF(ISNA(MATCH(104,'Transfer Engine'!$C$2:$C$630,0)),"",INDEX('Compliance Database'!$K$2:$K$630,MATCH(104,'Transfer Engine'!$C$2:$C$630,0)))</f>
        <v/>
      </c>
      <c r="L113" s="8">
        <f>IF(ISNA(MATCH(104,'Transfer Engine'!$C$2:$C$630,0)),"",INDEX('Compliance Database'!$L$2:$L$630,MATCH(104,'Transfer Engine'!$C$2:$C$630,0)))</f>
        <v/>
      </c>
      <c r="M113" s="8">
        <f>IF(ISNA(MATCH(104,'Transfer Engine'!$C$2:$C$630,0)),"",INDEX('Compliance Database'!$M$2:$M$630,MATCH(104,'Transfer Engine'!$C$2:$C$630,0)))</f>
        <v/>
      </c>
      <c r="N113" s="8">
        <f>IF(ISNA(MATCH(104,'Transfer Engine'!$C$2:$C$630,0)),"",INDEX('Compliance Database'!$N$2:$N$630,MATCH(104,'Transfer Engine'!$C$2:$C$630,0)))</f>
        <v/>
      </c>
      <c r="O113" s="8">
        <f>IF(ISNA(MATCH(104,'Transfer Engine'!$C$2:$C$630,0)),"",INDEX('Compliance Database'!$O$2:$O$630,MATCH(104,'Transfer Engine'!$C$2:$C$630,0)))</f>
        <v/>
      </c>
    </row>
    <row r="114">
      <c r="A114">
        <f>IF(ISNA(MATCH(105,'Transfer Engine'!$C$2:$C$630,0)),"",INDEX('Compliance Database'!$A$2:$A$630,MATCH(105,'Transfer Engine'!$C$2:$C$630,0)))</f>
        <v/>
      </c>
      <c r="B114">
        <f>IF(ISNA(MATCH(105,'Transfer Engine'!$C$2:$C$630,0)),"",INDEX('Compliance Database'!$B$2:$B$630,MATCH(105,'Transfer Engine'!$C$2:$C$630,0)))</f>
        <v/>
      </c>
      <c r="C114">
        <f>IF(ISNA(MATCH(105,'Transfer Engine'!$C$2:$C$630,0)),"",INDEX('Compliance Database'!$C$2:$C$630,MATCH(105,'Transfer Engine'!$C$2:$C$630,0)))</f>
        <v/>
      </c>
      <c r="D114" s="8">
        <f>IF(ISNA(MATCH(105,'Transfer Engine'!$C$2:$C$630,0)),"",INDEX('Compliance Database'!$D$2:$D$630,MATCH(105,'Transfer Engine'!$C$2:$C$630,0)))</f>
        <v/>
      </c>
      <c r="E114">
        <f>IF(ISNA(MATCH(105,'Transfer Engine'!$C$2:$C$630,0)),"",INDEX('Compliance Database'!$E$2:$E$630,MATCH(105,'Transfer Engine'!$C$2:$C$630,0)))</f>
        <v/>
      </c>
      <c r="F114">
        <f>IF(ISNA(MATCH(105,'Transfer Engine'!$C$2:$C$630,0)),"",INDEX('Compliance Database'!$F$2:$F$630,MATCH(105,'Transfer Engine'!$C$2:$C$630,0)))</f>
        <v/>
      </c>
      <c r="G114">
        <f>IF(ISNA(MATCH(105,'Transfer Engine'!$C$2:$C$630,0)),"",INDEX('Compliance Database'!$G$2:$G$630,MATCH(105,'Transfer Engine'!$C$2:$C$630,0)))</f>
        <v/>
      </c>
      <c r="H114">
        <f>IF(ISNA(MATCH(105,'Transfer Engine'!$C$2:$C$630,0)),"",INDEX('Compliance Database'!$H$2:$H$630,MATCH(105,'Transfer Engine'!$C$2:$C$630,0)))</f>
        <v/>
      </c>
      <c r="I114" s="8">
        <f>IF(ISNA(MATCH(105,'Transfer Engine'!$C$2:$C$630,0)),"",INDEX('Compliance Database'!$I$2:$I$630,MATCH(105,'Transfer Engine'!$C$2:$C$630,0)))</f>
        <v/>
      </c>
      <c r="J114" s="8">
        <f>IF(ISNA(MATCH(105,'Transfer Engine'!$C$2:$C$630,0)),"",INDEX('Compliance Database'!$J$2:$J$630,MATCH(105,'Transfer Engine'!$C$2:$C$630,0)))</f>
        <v/>
      </c>
      <c r="K114">
        <f>IF(ISNA(MATCH(105,'Transfer Engine'!$C$2:$C$630,0)),"",INDEX('Compliance Database'!$K$2:$K$630,MATCH(105,'Transfer Engine'!$C$2:$C$630,0)))</f>
        <v/>
      </c>
      <c r="L114" s="8">
        <f>IF(ISNA(MATCH(105,'Transfer Engine'!$C$2:$C$630,0)),"",INDEX('Compliance Database'!$L$2:$L$630,MATCH(105,'Transfer Engine'!$C$2:$C$630,0)))</f>
        <v/>
      </c>
      <c r="M114" s="8">
        <f>IF(ISNA(MATCH(105,'Transfer Engine'!$C$2:$C$630,0)),"",INDEX('Compliance Database'!$M$2:$M$630,MATCH(105,'Transfer Engine'!$C$2:$C$630,0)))</f>
        <v/>
      </c>
      <c r="N114" s="8">
        <f>IF(ISNA(MATCH(105,'Transfer Engine'!$C$2:$C$630,0)),"",INDEX('Compliance Database'!$N$2:$N$630,MATCH(105,'Transfer Engine'!$C$2:$C$630,0)))</f>
        <v/>
      </c>
      <c r="O114" s="8">
        <f>IF(ISNA(MATCH(105,'Transfer Engine'!$C$2:$C$630,0)),"",INDEX('Compliance Database'!$O$2:$O$630,MATCH(105,'Transfer Engine'!$C$2:$C$630,0)))</f>
        <v/>
      </c>
    </row>
    <row r="115">
      <c r="A115">
        <f>IF(ISNA(MATCH(106,'Transfer Engine'!$C$2:$C$630,0)),"",INDEX('Compliance Database'!$A$2:$A$630,MATCH(106,'Transfer Engine'!$C$2:$C$630,0)))</f>
        <v/>
      </c>
      <c r="B115">
        <f>IF(ISNA(MATCH(106,'Transfer Engine'!$C$2:$C$630,0)),"",INDEX('Compliance Database'!$B$2:$B$630,MATCH(106,'Transfer Engine'!$C$2:$C$630,0)))</f>
        <v/>
      </c>
      <c r="C115">
        <f>IF(ISNA(MATCH(106,'Transfer Engine'!$C$2:$C$630,0)),"",INDEX('Compliance Database'!$C$2:$C$630,MATCH(106,'Transfer Engine'!$C$2:$C$630,0)))</f>
        <v/>
      </c>
      <c r="D115" s="8">
        <f>IF(ISNA(MATCH(106,'Transfer Engine'!$C$2:$C$630,0)),"",INDEX('Compliance Database'!$D$2:$D$630,MATCH(106,'Transfer Engine'!$C$2:$C$630,0)))</f>
        <v/>
      </c>
      <c r="E115">
        <f>IF(ISNA(MATCH(106,'Transfer Engine'!$C$2:$C$630,0)),"",INDEX('Compliance Database'!$E$2:$E$630,MATCH(106,'Transfer Engine'!$C$2:$C$630,0)))</f>
        <v/>
      </c>
      <c r="F115">
        <f>IF(ISNA(MATCH(106,'Transfer Engine'!$C$2:$C$630,0)),"",INDEX('Compliance Database'!$F$2:$F$630,MATCH(106,'Transfer Engine'!$C$2:$C$630,0)))</f>
        <v/>
      </c>
      <c r="G115">
        <f>IF(ISNA(MATCH(106,'Transfer Engine'!$C$2:$C$630,0)),"",INDEX('Compliance Database'!$G$2:$G$630,MATCH(106,'Transfer Engine'!$C$2:$C$630,0)))</f>
        <v/>
      </c>
      <c r="H115">
        <f>IF(ISNA(MATCH(106,'Transfer Engine'!$C$2:$C$630,0)),"",INDEX('Compliance Database'!$H$2:$H$630,MATCH(106,'Transfer Engine'!$C$2:$C$630,0)))</f>
        <v/>
      </c>
      <c r="I115" s="8">
        <f>IF(ISNA(MATCH(106,'Transfer Engine'!$C$2:$C$630,0)),"",INDEX('Compliance Database'!$I$2:$I$630,MATCH(106,'Transfer Engine'!$C$2:$C$630,0)))</f>
        <v/>
      </c>
      <c r="J115" s="8">
        <f>IF(ISNA(MATCH(106,'Transfer Engine'!$C$2:$C$630,0)),"",INDEX('Compliance Database'!$J$2:$J$630,MATCH(106,'Transfer Engine'!$C$2:$C$630,0)))</f>
        <v/>
      </c>
      <c r="K115">
        <f>IF(ISNA(MATCH(106,'Transfer Engine'!$C$2:$C$630,0)),"",INDEX('Compliance Database'!$K$2:$K$630,MATCH(106,'Transfer Engine'!$C$2:$C$630,0)))</f>
        <v/>
      </c>
      <c r="L115" s="8">
        <f>IF(ISNA(MATCH(106,'Transfer Engine'!$C$2:$C$630,0)),"",INDEX('Compliance Database'!$L$2:$L$630,MATCH(106,'Transfer Engine'!$C$2:$C$630,0)))</f>
        <v/>
      </c>
      <c r="M115" s="8">
        <f>IF(ISNA(MATCH(106,'Transfer Engine'!$C$2:$C$630,0)),"",INDEX('Compliance Database'!$M$2:$M$630,MATCH(106,'Transfer Engine'!$C$2:$C$630,0)))</f>
        <v/>
      </c>
      <c r="N115" s="8">
        <f>IF(ISNA(MATCH(106,'Transfer Engine'!$C$2:$C$630,0)),"",INDEX('Compliance Database'!$N$2:$N$630,MATCH(106,'Transfer Engine'!$C$2:$C$630,0)))</f>
        <v/>
      </c>
      <c r="O115" s="8">
        <f>IF(ISNA(MATCH(106,'Transfer Engine'!$C$2:$C$630,0)),"",INDEX('Compliance Database'!$O$2:$O$630,MATCH(106,'Transfer Engine'!$C$2:$C$630,0)))</f>
        <v/>
      </c>
    </row>
    <row r="116">
      <c r="A116">
        <f>IF(ISNA(MATCH(107,'Transfer Engine'!$C$2:$C$630,0)),"",INDEX('Compliance Database'!$A$2:$A$630,MATCH(107,'Transfer Engine'!$C$2:$C$630,0)))</f>
        <v/>
      </c>
      <c r="B116">
        <f>IF(ISNA(MATCH(107,'Transfer Engine'!$C$2:$C$630,0)),"",INDEX('Compliance Database'!$B$2:$B$630,MATCH(107,'Transfer Engine'!$C$2:$C$630,0)))</f>
        <v/>
      </c>
      <c r="C116">
        <f>IF(ISNA(MATCH(107,'Transfer Engine'!$C$2:$C$630,0)),"",INDEX('Compliance Database'!$C$2:$C$630,MATCH(107,'Transfer Engine'!$C$2:$C$630,0)))</f>
        <v/>
      </c>
      <c r="D116" s="8">
        <f>IF(ISNA(MATCH(107,'Transfer Engine'!$C$2:$C$630,0)),"",INDEX('Compliance Database'!$D$2:$D$630,MATCH(107,'Transfer Engine'!$C$2:$C$630,0)))</f>
        <v/>
      </c>
      <c r="E116">
        <f>IF(ISNA(MATCH(107,'Transfer Engine'!$C$2:$C$630,0)),"",INDEX('Compliance Database'!$E$2:$E$630,MATCH(107,'Transfer Engine'!$C$2:$C$630,0)))</f>
        <v/>
      </c>
      <c r="F116">
        <f>IF(ISNA(MATCH(107,'Transfer Engine'!$C$2:$C$630,0)),"",INDEX('Compliance Database'!$F$2:$F$630,MATCH(107,'Transfer Engine'!$C$2:$C$630,0)))</f>
        <v/>
      </c>
      <c r="G116">
        <f>IF(ISNA(MATCH(107,'Transfer Engine'!$C$2:$C$630,0)),"",INDEX('Compliance Database'!$G$2:$G$630,MATCH(107,'Transfer Engine'!$C$2:$C$630,0)))</f>
        <v/>
      </c>
      <c r="H116">
        <f>IF(ISNA(MATCH(107,'Transfer Engine'!$C$2:$C$630,0)),"",INDEX('Compliance Database'!$H$2:$H$630,MATCH(107,'Transfer Engine'!$C$2:$C$630,0)))</f>
        <v/>
      </c>
      <c r="I116" s="8">
        <f>IF(ISNA(MATCH(107,'Transfer Engine'!$C$2:$C$630,0)),"",INDEX('Compliance Database'!$I$2:$I$630,MATCH(107,'Transfer Engine'!$C$2:$C$630,0)))</f>
        <v/>
      </c>
      <c r="J116" s="8">
        <f>IF(ISNA(MATCH(107,'Transfer Engine'!$C$2:$C$630,0)),"",INDEX('Compliance Database'!$J$2:$J$630,MATCH(107,'Transfer Engine'!$C$2:$C$630,0)))</f>
        <v/>
      </c>
      <c r="K116">
        <f>IF(ISNA(MATCH(107,'Transfer Engine'!$C$2:$C$630,0)),"",INDEX('Compliance Database'!$K$2:$K$630,MATCH(107,'Transfer Engine'!$C$2:$C$630,0)))</f>
        <v/>
      </c>
      <c r="L116" s="8">
        <f>IF(ISNA(MATCH(107,'Transfer Engine'!$C$2:$C$630,0)),"",INDEX('Compliance Database'!$L$2:$L$630,MATCH(107,'Transfer Engine'!$C$2:$C$630,0)))</f>
        <v/>
      </c>
      <c r="M116" s="8">
        <f>IF(ISNA(MATCH(107,'Transfer Engine'!$C$2:$C$630,0)),"",INDEX('Compliance Database'!$M$2:$M$630,MATCH(107,'Transfer Engine'!$C$2:$C$630,0)))</f>
        <v/>
      </c>
      <c r="N116" s="8">
        <f>IF(ISNA(MATCH(107,'Transfer Engine'!$C$2:$C$630,0)),"",INDEX('Compliance Database'!$N$2:$N$630,MATCH(107,'Transfer Engine'!$C$2:$C$630,0)))</f>
        <v/>
      </c>
      <c r="O116" s="8">
        <f>IF(ISNA(MATCH(107,'Transfer Engine'!$C$2:$C$630,0)),"",INDEX('Compliance Database'!$O$2:$O$630,MATCH(107,'Transfer Engine'!$C$2:$C$630,0)))</f>
        <v/>
      </c>
    </row>
    <row r="117">
      <c r="A117">
        <f>IF(ISNA(MATCH(108,'Transfer Engine'!$C$2:$C$630,0)),"",INDEX('Compliance Database'!$A$2:$A$630,MATCH(108,'Transfer Engine'!$C$2:$C$630,0)))</f>
        <v/>
      </c>
      <c r="B117">
        <f>IF(ISNA(MATCH(108,'Transfer Engine'!$C$2:$C$630,0)),"",INDEX('Compliance Database'!$B$2:$B$630,MATCH(108,'Transfer Engine'!$C$2:$C$630,0)))</f>
        <v/>
      </c>
      <c r="C117">
        <f>IF(ISNA(MATCH(108,'Transfer Engine'!$C$2:$C$630,0)),"",INDEX('Compliance Database'!$C$2:$C$630,MATCH(108,'Transfer Engine'!$C$2:$C$630,0)))</f>
        <v/>
      </c>
      <c r="D117" s="8">
        <f>IF(ISNA(MATCH(108,'Transfer Engine'!$C$2:$C$630,0)),"",INDEX('Compliance Database'!$D$2:$D$630,MATCH(108,'Transfer Engine'!$C$2:$C$630,0)))</f>
        <v/>
      </c>
      <c r="E117">
        <f>IF(ISNA(MATCH(108,'Transfer Engine'!$C$2:$C$630,0)),"",INDEX('Compliance Database'!$E$2:$E$630,MATCH(108,'Transfer Engine'!$C$2:$C$630,0)))</f>
        <v/>
      </c>
      <c r="F117">
        <f>IF(ISNA(MATCH(108,'Transfer Engine'!$C$2:$C$630,0)),"",INDEX('Compliance Database'!$F$2:$F$630,MATCH(108,'Transfer Engine'!$C$2:$C$630,0)))</f>
        <v/>
      </c>
      <c r="G117">
        <f>IF(ISNA(MATCH(108,'Transfer Engine'!$C$2:$C$630,0)),"",INDEX('Compliance Database'!$G$2:$G$630,MATCH(108,'Transfer Engine'!$C$2:$C$630,0)))</f>
        <v/>
      </c>
      <c r="H117">
        <f>IF(ISNA(MATCH(108,'Transfer Engine'!$C$2:$C$630,0)),"",INDEX('Compliance Database'!$H$2:$H$630,MATCH(108,'Transfer Engine'!$C$2:$C$630,0)))</f>
        <v/>
      </c>
      <c r="I117" s="8">
        <f>IF(ISNA(MATCH(108,'Transfer Engine'!$C$2:$C$630,0)),"",INDEX('Compliance Database'!$I$2:$I$630,MATCH(108,'Transfer Engine'!$C$2:$C$630,0)))</f>
        <v/>
      </c>
      <c r="J117" s="8">
        <f>IF(ISNA(MATCH(108,'Transfer Engine'!$C$2:$C$630,0)),"",INDEX('Compliance Database'!$J$2:$J$630,MATCH(108,'Transfer Engine'!$C$2:$C$630,0)))</f>
        <v/>
      </c>
      <c r="K117">
        <f>IF(ISNA(MATCH(108,'Transfer Engine'!$C$2:$C$630,0)),"",INDEX('Compliance Database'!$K$2:$K$630,MATCH(108,'Transfer Engine'!$C$2:$C$630,0)))</f>
        <v/>
      </c>
      <c r="L117" s="8">
        <f>IF(ISNA(MATCH(108,'Transfer Engine'!$C$2:$C$630,0)),"",INDEX('Compliance Database'!$L$2:$L$630,MATCH(108,'Transfer Engine'!$C$2:$C$630,0)))</f>
        <v/>
      </c>
      <c r="M117" s="8">
        <f>IF(ISNA(MATCH(108,'Transfer Engine'!$C$2:$C$630,0)),"",INDEX('Compliance Database'!$M$2:$M$630,MATCH(108,'Transfer Engine'!$C$2:$C$630,0)))</f>
        <v/>
      </c>
      <c r="N117" s="8">
        <f>IF(ISNA(MATCH(108,'Transfer Engine'!$C$2:$C$630,0)),"",INDEX('Compliance Database'!$N$2:$N$630,MATCH(108,'Transfer Engine'!$C$2:$C$630,0)))</f>
        <v/>
      </c>
      <c r="O117" s="8">
        <f>IF(ISNA(MATCH(108,'Transfer Engine'!$C$2:$C$630,0)),"",INDEX('Compliance Database'!$O$2:$O$630,MATCH(108,'Transfer Engine'!$C$2:$C$630,0)))</f>
        <v/>
      </c>
    </row>
    <row r="118">
      <c r="A118">
        <f>IF(ISNA(MATCH(109,'Transfer Engine'!$C$2:$C$630,0)),"",INDEX('Compliance Database'!$A$2:$A$630,MATCH(109,'Transfer Engine'!$C$2:$C$630,0)))</f>
        <v/>
      </c>
      <c r="B118">
        <f>IF(ISNA(MATCH(109,'Transfer Engine'!$C$2:$C$630,0)),"",INDEX('Compliance Database'!$B$2:$B$630,MATCH(109,'Transfer Engine'!$C$2:$C$630,0)))</f>
        <v/>
      </c>
      <c r="C118">
        <f>IF(ISNA(MATCH(109,'Transfer Engine'!$C$2:$C$630,0)),"",INDEX('Compliance Database'!$C$2:$C$630,MATCH(109,'Transfer Engine'!$C$2:$C$630,0)))</f>
        <v/>
      </c>
      <c r="D118" s="8">
        <f>IF(ISNA(MATCH(109,'Transfer Engine'!$C$2:$C$630,0)),"",INDEX('Compliance Database'!$D$2:$D$630,MATCH(109,'Transfer Engine'!$C$2:$C$630,0)))</f>
        <v/>
      </c>
      <c r="E118">
        <f>IF(ISNA(MATCH(109,'Transfer Engine'!$C$2:$C$630,0)),"",INDEX('Compliance Database'!$E$2:$E$630,MATCH(109,'Transfer Engine'!$C$2:$C$630,0)))</f>
        <v/>
      </c>
      <c r="F118">
        <f>IF(ISNA(MATCH(109,'Transfer Engine'!$C$2:$C$630,0)),"",INDEX('Compliance Database'!$F$2:$F$630,MATCH(109,'Transfer Engine'!$C$2:$C$630,0)))</f>
        <v/>
      </c>
      <c r="G118">
        <f>IF(ISNA(MATCH(109,'Transfer Engine'!$C$2:$C$630,0)),"",INDEX('Compliance Database'!$G$2:$G$630,MATCH(109,'Transfer Engine'!$C$2:$C$630,0)))</f>
        <v/>
      </c>
      <c r="H118">
        <f>IF(ISNA(MATCH(109,'Transfer Engine'!$C$2:$C$630,0)),"",INDEX('Compliance Database'!$H$2:$H$630,MATCH(109,'Transfer Engine'!$C$2:$C$630,0)))</f>
        <v/>
      </c>
      <c r="I118" s="8">
        <f>IF(ISNA(MATCH(109,'Transfer Engine'!$C$2:$C$630,0)),"",INDEX('Compliance Database'!$I$2:$I$630,MATCH(109,'Transfer Engine'!$C$2:$C$630,0)))</f>
        <v/>
      </c>
      <c r="J118" s="8">
        <f>IF(ISNA(MATCH(109,'Transfer Engine'!$C$2:$C$630,0)),"",INDEX('Compliance Database'!$J$2:$J$630,MATCH(109,'Transfer Engine'!$C$2:$C$630,0)))</f>
        <v/>
      </c>
      <c r="K118">
        <f>IF(ISNA(MATCH(109,'Transfer Engine'!$C$2:$C$630,0)),"",INDEX('Compliance Database'!$K$2:$K$630,MATCH(109,'Transfer Engine'!$C$2:$C$630,0)))</f>
        <v/>
      </c>
      <c r="L118" s="8">
        <f>IF(ISNA(MATCH(109,'Transfer Engine'!$C$2:$C$630,0)),"",INDEX('Compliance Database'!$L$2:$L$630,MATCH(109,'Transfer Engine'!$C$2:$C$630,0)))</f>
        <v/>
      </c>
      <c r="M118" s="8">
        <f>IF(ISNA(MATCH(109,'Transfer Engine'!$C$2:$C$630,0)),"",INDEX('Compliance Database'!$M$2:$M$630,MATCH(109,'Transfer Engine'!$C$2:$C$630,0)))</f>
        <v/>
      </c>
      <c r="N118" s="8">
        <f>IF(ISNA(MATCH(109,'Transfer Engine'!$C$2:$C$630,0)),"",INDEX('Compliance Database'!$N$2:$N$630,MATCH(109,'Transfer Engine'!$C$2:$C$630,0)))</f>
        <v/>
      </c>
      <c r="O118" s="8">
        <f>IF(ISNA(MATCH(109,'Transfer Engine'!$C$2:$C$630,0)),"",INDEX('Compliance Database'!$O$2:$O$630,MATCH(109,'Transfer Engine'!$C$2:$C$630,0)))</f>
        <v/>
      </c>
    </row>
    <row r="119">
      <c r="A119">
        <f>IF(ISNA(MATCH(110,'Transfer Engine'!$C$2:$C$630,0)),"",INDEX('Compliance Database'!$A$2:$A$630,MATCH(110,'Transfer Engine'!$C$2:$C$630,0)))</f>
        <v/>
      </c>
      <c r="B119">
        <f>IF(ISNA(MATCH(110,'Transfer Engine'!$C$2:$C$630,0)),"",INDEX('Compliance Database'!$B$2:$B$630,MATCH(110,'Transfer Engine'!$C$2:$C$630,0)))</f>
        <v/>
      </c>
      <c r="C119">
        <f>IF(ISNA(MATCH(110,'Transfer Engine'!$C$2:$C$630,0)),"",INDEX('Compliance Database'!$C$2:$C$630,MATCH(110,'Transfer Engine'!$C$2:$C$630,0)))</f>
        <v/>
      </c>
      <c r="D119" s="8">
        <f>IF(ISNA(MATCH(110,'Transfer Engine'!$C$2:$C$630,0)),"",INDEX('Compliance Database'!$D$2:$D$630,MATCH(110,'Transfer Engine'!$C$2:$C$630,0)))</f>
        <v/>
      </c>
      <c r="E119">
        <f>IF(ISNA(MATCH(110,'Transfer Engine'!$C$2:$C$630,0)),"",INDEX('Compliance Database'!$E$2:$E$630,MATCH(110,'Transfer Engine'!$C$2:$C$630,0)))</f>
        <v/>
      </c>
      <c r="F119">
        <f>IF(ISNA(MATCH(110,'Transfer Engine'!$C$2:$C$630,0)),"",INDEX('Compliance Database'!$F$2:$F$630,MATCH(110,'Transfer Engine'!$C$2:$C$630,0)))</f>
        <v/>
      </c>
      <c r="G119">
        <f>IF(ISNA(MATCH(110,'Transfer Engine'!$C$2:$C$630,0)),"",INDEX('Compliance Database'!$G$2:$G$630,MATCH(110,'Transfer Engine'!$C$2:$C$630,0)))</f>
        <v/>
      </c>
      <c r="H119">
        <f>IF(ISNA(MATCH(110,'Transfer Engine'!$C$2:$C$630,0)),"",INDEX('Compliance Database'!$H$2:$H$630,MATCH(110,'Transfer Engine'!$C$2:$C$630,0)))</f>
        <v/>
      </c>
      <c r="I119" s="8">
        <f>IF(ISNA(MATCH(110,'Transfer Engine'!$C$2:$C$630,0)),"",INDEX('Compliance Database'!$I$2:$I$630,MATCH(110,'Transfer Engine'!$C$2:$C$630,0)))</f>
        <v/>
      </c>
      <c r="J119" s="8">
        <f>IF(ISNA(MATCH(110,'Transfer Engine'!$C$2:$C$630,0)),"",INDEX('Compliance Database'!$J$2:$J$630,MATCH(110,'Transfer Engine'!$C$2:$C$630,0)))</f>
        <v/>
      </c>
      <c r="K119">
        <f>IF(ISNA(MATCH(110,'Transfer Engine'!$C$2:$C$630,0)),"",INDEX('Compliance Database'!$K$2:$K$630,MATCH(110,'Transfer Engine'!$C$2:$C$630,0)))</f>
        <v/>
      </c>
      <c r="L119" s="8">
        <f>IF(ISNA(MATCH(110,'Transfer Engine'!$C$2:$C$630,0)),"",INDEX('Compliance Database'!$L$2:$L$630,MATCH(110,'Transfer Engine'!$C$2:$C$630,0)))</f>
        <v/>
      </c>
      <c r="M119" s="8">
        <f>IF(ISNA(MATCH(110,'Transfer Engine'!$C$2:$C$630,0)),"",INDEX('Compliance Database'!$M$2:$M$630,MATCH(110,'Transfer Engine'!$C$2:$C$630,0)))</f>
        <v/>
      </c>
      <c r="N119" s="8">
        <f>IF(ISNA(MATCH(110,'Transfer Engine'!$C$2:$C$630,0)),"",INDEX('Compliance Database'!$N$2:$N$630,MATCH(110,'Transfer Engine'!$C$2:$C$630,0)))</f>
        <v/>
      </c>
      <c r="O119" s="8">
        <f>IF(ISNA(MATCH(110,'Transfer Engine'!$C$2:$C$630,0)),"",INDEX('Compliance Database'!$O$2:$O$630,MATCH(110,'Transfer Engine'!$C$2:$C$630,0)))</f>
        <v/>
      </c>
    </row>
    <row r="120">
      <c r="A120">
        <f>IF(ISNA(MATCH(111,'Transfer Engine'!$C$2:$C$630,0)),"",INDEX('Compliance Database'!$A$2:$A$630,MATCH(111,'Transfer Engine'!$C$2:$C$630,0)))</f>
        <v/>
      </c>
      <c r="B120">
        <f>IF(ISNA(MATCH(111,'Transfer Engine'!$C$2:$C$630,0)),"",INDEX('Compliance Database'!$B$2:$B$630,MATCH(111,'Transfer Engine'!$C$2:$C$630,0)))</f>
        <v/>
      </c>
      <c r="C120">
        <f>IF(ISNA(MATCH(111,'Transfer Engine'!$C$2:$C$630,0)),"",INDEX('Compliance Database'!$C$2:$C$630,MATCH(111,'Transfer Engine'!$C$2:$C$630,0)))</f>
        <v/>
      </c>
      <c r="D120" s="8">
        <f>IF(ISNA(MATCH(111,'Transfer Engine'!$C$2:$C$630,0)),"",INDEX('Compliance Database'!$D$2:$D$630,MATCH(111,'Transfer Engine'!$C$2:$C$630,0)))</f>
        <v/>
      </c>
      <c r="E120">
        <f>IF(ISNA(MATCH(111,'Transfer Engine'!$C$2:$C$630,0)),"",INDEX('Compliance Database'!$E$2:$E$630,MATCH(111,'Transfer Engine'!$C$2:$C$630,0)))</f>
        <v/>
      </c>
      <c r="F120">
        <f>IF(ISNA(MATCH(111,'Transfer Engine'!$C$2:$C$630,0)),"",INDEX('Compliance Database'!$F$2:$F$630,MATCH(111,'Transfer Engine'!$C$2:$C$630,0)))</f>
        <v/>
      </c>
      <c r="G120">
        <f>IF(ISNA(MATCH(111,'Transfer Engine'!$C$2:$C$630,0)),"",INDEX('Compliance Database'!$G$2:$G$630,MATCH(111,'Transfer Engine'!$C$2:$C$630,0)))</f>
        <v/>
      </c>
      <c r="H120">
        <f>IF(ISNA(MATCH(111,'Transfer Engine'!$C$2:$C$630,0)),"",INDEX('Compliance Database'!$H$2:$H$630,MATCH(111,'Transfer Engine'!$C$2:$C$630,0)))</f>
        <v/>
      </c>
      <c r="I120" s="8">
        <f>IF(ISNA(MATCH(111,'Transfer Engine'!$C$2:$C$630,0)),"",INDEX('Compliance Database'!$I$2:$I$630,MATCH(111,'Transfer Engine'!$C$2:$C$630,0)))</f>
        <v/>
      </c>
      <c r="J120" s="8">
        <f>IF(ISNA(MATCH(111,'Transfer Engine'!$C$2:$C$630,0)),"",INDEX('Compliance Database'!$J$2:$J$630,MATCH(111,'Transfer Engine'!$C$2:$C$630,0)))</f>
        <v/>
      </c>
      <c r="K120">
        <f>IF(ISNA(MATCH(111,'Transfer Engine'!$C$2:$C$630,0)),"",INDEX('Compliance Database'!$K$2:$K$630,MATCH(111,'Transfer Engine'!$C$2:$C$630,0)))</f>
        <v/>
      </c>
      <c r="L120" s="8">
        <f>IF(ISNA(MATCH(111,'Transfer Engine'!$C$2:$C$630,0)),"",INDEX('Compliance Database'!$L$2:$L$630,MATCH(111,'Transfer Engine'!$C$2:$C$630,0)))</f>
        <v/>
      </c>
      <c r="M120" s="8">
        <f>IF(ISNA(MATCH(111,'Transfer Engine'!$C$2:$C$630,0)),"",INDEX('Compliance Database'!$M$2:$M$630,MATCH(111,'Transfer Engine'!$C$2:$C$630,0)))</f>
        <v/>
      </c>
      <c r="N120" s="8">
        <f>IF(ISNA(MATCH(111,'Transfer Engine'!$C$2:$C$630,0)),"",INDEX('Compliance Database'!$N$2:$N$630,MATCH(111,'Transfer Engine'!$C$2:$C$630,0)))</f>
        <v/>
      </c>
      <c r="O120" s="8">
        <f>IF(ISNA(MATCH(111,'Transfer Engine'!$C$2:$C$630,0)),"",INDEX('Compliance Database'!$O$2:$O$630,MATCH(111,'Transfer Engine'!$C$2:$C$630,0)))</f>
        <v/>
      </c>
    </row>
    <row r="121">
      <c r="A121">
        <f>IF(ISNA(MATCH(112,'Transfer Engine'!$C$2:$C$630,0)),"",INDEX('Compliance Database'!$A$2:$A$630,MATCH(112,'Transfer Engine'!$C$2:$C$630,0)))</f>
        <v/>
      </c>
      <c r="B121">
        <f>IF(ISNA(MATCH(112,'Transfer Engine'!$C$2:$C$630,0)),"",INDEX('Compliance Database'!$B$2:$B$630,MATCH(112,'Transfer Engine'!$C$2:$C$630,0)))</f>
        <v/>
      </c>
      <c r="C121">
        <f>IF(ISNA(MATCH(112,'Transfer Engine'!$C$2:$C$630,0)),"",INDEX('Compliance Database'!$C$2:$C$630,MATCH(112,'Transfer Engine'!$C$2:$C$630,0)))</f>
        <v/>
      </c>
      <c r="D121" s="8">
        <f>IF(ISNA(MATCH(112,'Transfer Engine'!$C$2:$C$630,0)),"",INDEX('Compliance Database'!$D$2:$D$630,MATCH(112,'Transfer Engine'!$C$2:$C$630,0)))</f>
        <v/>
      </c>
      <c r="E121">
        <f>IF(ISNA(MATCH(112,'Transfer Engine'!$C$2:$C$630,0)),"",INDEX('Compliance Database'!$E$2:$E$630,MATCH(112,'Transfer Engine'!$C$2:$C$630,0)))</f>
        <v/>
      </c>
      <c r="F121">
        <f>IF(ISNA(MATCH(112,'Transfer Engine'!$C$2:$C$630,0)),"",INDEX('Compliance Database'!$F$2:$F$630,MATCH(112,'Transfer Engine'!$C$2:$C$630,0)))</f>
        <v/>
      </c>
      <c r="G121">
        <f>IF(ISNA(MATCH(112,'Transfer Engine'!$C$2:$C$630,0)),"",INDEX('Compliance Database'!$G$2:$G$630,MATCH(112,'Transfer Engine'!$C$2:$C$630,0)))</f>
        <v/>
      </c>
      <c r="H121">
        <f>IF(ISNA(MATCH(112,'Transfer Engine'!$C$2:$C$630,0)),"",INDEX('Compliance Database'!$H$2:$H$630,MATCH(112,'Transfer Engine'!$C$2:$C$630,0)))</f>
        <v/>
      </c>
      <c r="I121" s="8">
        <f>IF(ISNA(MATCH(112,'Transfer Engine'!$C$2:$C$630,0)),"",INDEX('Compliance Database'!$I$2:$I$630,MATCH(112,'Transfer Engine'!$C$2:$C$630,0)))</f>
        <v/>
      </c>
      <c r="J121" s="8">
        <f>IF(ISNA(MATCH(112,'Transfer Engine'!$C$2:$C$630,0)),"",INDEX('Compliance Database'!$J$2:$J$630,MATCH(112,'Transfer Engine'!$C$2:$C$630,0)))</f>
        <v/>
      </c>
      <c r="K121">
        <f>IF(ISNA(MATCH(112,'Transfer Engine'!$C$2:$C$630,0)),"",INDEX('Compliance Database'!$K$2:$K$630,MATCH(112,'Transfer Engine'!$C$2:$C$630,0)))</f>
        <v/>
      </c>
      <c r="L121" s="8">
        <f>IF(ISNA(MATCH(112,'Transfer Engine'!$C$2:$C$630,0)),"",INDEX('Compliance Database'!$L$2:$L$630,MATCH(112,'Transfer Engine'!$C$2:$C$630,0)))</f>
        <v/>
      </c>
      <c r="M121" s="8">
        <f>IF(ISNA(MATCH(112,'Transfer Engine'!$C$2:$C$630,0)),"",INDEX('Compliance Database'!$M$2:$M$630,MATCH(112,'Transfer Engine'!$C$2:$C$630,0)))</f>
        <v/>
      </c>
      <c r="N121" s="8">
        <f>IF(ISNA(MATCH(112,'Transfer Engine'!$C$2:$C$630,0)),"",INDEX('Compliance Database'!$N$2:$N$630,MATCH(112,'Transfer Engine'!$C$2:$C$630,0)))</f>
        <v/>
      </c>
      <c r="O121" s="8">
        <f>IF(ISNA(MATCH(112,'Transfer Engine'!$C$2:$C$630,0)),"",INDEX('Compliance Database'!$O$2:$O$630,MATCH(112,'Transfer Engine'!$C$2:$C$630,0)))</f>
        <v/>
      </c>
    </row>
    <row r="122">
      <c r="A122">
        <f>IF(ISNA(MATCH(113,'Transfer Engine'!$C$2:$C$630,0)),"",INDEX('Compliance Database'!$A$2:$A$630,MATCH(113,'Transfer Engine'!$C$2:$C$630,0)))</f>
        <v/>
      </c>
      <c r="B122">
        <f>IF(ISNA(MATCH(113,'Transfer Engine'!$C$2:$C$630,0)),"",INDEX('Compliance Database'!$B$2:$B$630,MATCH(113,'Transfer Engine'!$C$2:$C$630,0)))</f>
        <v/>
      </c>
      <c r="C122">
        <f>IF(ISNA(MATCH(113,'Transfer Engine'!$C$2:$C$630,0)),"",INDEX('Compliance Database'!$C$2:$C$630,MATCH(113,'Transfer Engine'!$C$2:$C$630,0)))</f>
        <v/>
      </c>
      <c r="D122" s="8">
        <f>IF(ISNA(MATCH(113,'Transfer Engine'!$C$2:$C$630,0)),"",INDEX('Compliance Database'!$D$2:$D$630,MATCH(113,'Transfer Engine'!$C$2:$C$630,0)))</f>
        <v/>
      </c>
      <c r="E122">
        <f>IF(ISNA(MATCH(113,'Transfer Engine'!$C$2:$C$630,0)),"",INDEX('Compliance Database'!$E$2:$E$630,MATCH(113,'Transfer Engine'!$C$2:$C$630,0)))</f>
        <v/>
      </c>
      <c r="F122">
        <f>IF(ISNA(MATCH(113,'Transfer Engine'!$C$2:$C$630,0)),"",INDEX('Compliance Database'!$F$2:$F$630,MATCH(113,'Transfer Engine'!$C$2:$C$630,0)))</f>
        <v/>
      </c>
      <c r="G122">
        <f>IF(ISNA(MATCH(113,'Transfer Engine'!$C$2:$C$630,0)),"",INDEX('Compliance Database'!$G$2:$G$630,MATCH(113,'Transfer Engine'!$C$2:$C$630,0)))</f>
        <v/>
      </c>
      <c r="H122">
        <f>IF(ISNA(MATCH(113,'Transfer Engine'!$C$2:$C$630,0)),"",INDEX('Compliance Database'!$H$2:$H$630,MATCH(113,'Transfer Engine'!$C$2:$C$630,0)))</f>
        <v/>
      </c>
      <c r="I122" s="8">
        <f>IF(ISNA(MATCH(113,'Transfer Engine'!$C$2:$C$630,0)),"",INDEX('Compliance Database'!$I$2:$I$630,MATCH(113,'Transfer Engine'!$C$2:$C$630,0)))</f>
        <v/>
      </c>
      <c r="J122" s="8">
        <f>IF(ISNA(MATCH(113,'Transfer Engine'!$C$2:$C$630,0)),"",INDEX('Compliance Database'!$J$2:$J$630,MATCH(113,'Transfer Engine'!$C$2:$C$630,0)))</f>
        <v/>
      </c>
      <c r="K122">
        <f>IF(ISNA(MATCH(113,'Transfer Engine'!$C$2:$C$630,0)),"",INDEX('Compliance Database'!$K$2:$K$630,MATCH(113,'Transfer Engine'!$C$2:$C$630,0)))</f>
        <v/>
      </c>
      <c r="L122" s="8">
        <f>IF(ISNA(MATCH(113,'Transfer Engine'!$C$2:$C$630,0)),"",INDEX('Compliance Database'!$L$2:$L$630,MATCH(113,'Transfer Engine'!$C$2:$C$630,0)))</f>
        <v/>
      </c>
      <c r="M122" s="8">
        <f>IF(ISNA(MATCH(113,'Transfer Engine'!$C$2:$C$630,0)),"",INDEX('Compliance Database'!$M$2:$M$630,MATCH(113,'Transfer Engine'!$C$2:$C$630,0)))</f>
        <v/>
      </c>
      <c r="N122" s="8">
        <f>IF(ISNA(MATCH(113,'Transfer Engine'!$C$2:$C$630,0)),"",INDEX('Compliance Database'!$N$2:$N$630,MATCH(113,'Transfer Engine'!$C$2:$C$630,0)))</f>
        <v/>
      </c>
      <c r="O122" s="8">
        <f>IF(ISNA(MATCH(113,'Transfer Engine'!$C$2:$C$630,0)),"",INDEX('Compliance Database'!$O$2:$O$630,MATCH(113,'Transfer Engine'!$C$2:$C$630,0)))</f>
        <v/>
      </c>
    </row>
    <row r="123">
      <c r="A123">
        <f>IF(ISNA(MATCH(114,'Transfer Engine'!$C$2:$C$630,0)),"",INDEX('Compliance Database'!$A$2:$A$630,MATCH(114,'Transfer Engine'!$C$2:$C$630,0)))</f>
        <v/>
      </c>
      <c r="B123">
        <f>IF(ISNA(MATCH(114,'Transfer Engine'!$C$2:$C$630,0)),"",INDEX('Compliance Database'!$B$2:$B$630,MATCH(114,'Transfer Engine'!$C$2:$C$630,0)))</f>
        <v/>
      </c>
      <c r="C123">
        <f>IF(ISNA(MATCH(114,'Transfer Engine'!$C$2:$C$630,0)),"",INDEX('Compliance Database'!$C$2:$C$630,MATCH(114,'Transfer Engine'!$C$2:$C$630,0)))</f>
        <v/>
      </c>
      <c r="D123" s="8">
        <f>IF(ISNA(MATCH(114,'Transfer Engine'!$C$2:$C$630,0)),"",INDEX('Compliance Database'!$D$2:$D$630,MATCH(114,'Transfer Engine'!$C$2:$C$630,0)))</f>
        <v/>
      </c>
      <c r="E123">
        <f>IF(ISNA(MATCH(114,'Transfer Engine'!$C$2:$C$630,0)),"",INDEX('Compliance Database'!$E$2:$E$630,MATCH(114,'Transfer Engine'!$C$2:$C$630,0)))</f>
        <v/>
      </c>
      <c r="F123">
        <f>IF(ISNA(MATCH(114,'Transfer Engine'!$C$2:$C$630,0)),"",INDEX('Compliance Database'!$F$2:$F$630,MATCH(114,'Transfer Engine'!$C$2:$C$630,0)))</f>
        <v/>
      </c>
      <c r="G123">
        <f>IF(ISNA(MATCH(114,'Transfer Engine'!$C$2:$C$630,0)),"",INDEX('Compliance Database'!$G$2:$G$630,MATCH(114,'Transfer Engine'!$C$2:$C$630,0)))</f>
        <v/>
      </c>
      <c r="H123">
        <f>IF(ISNA(MATCH(114,'Transfer Engine'!$C$2:$C$630,0)),"",INDEX('Compliance Database'!$H$2:$H$630,MATCH(114,'Transfer Engine'!$C$2:$C$630,0)))</f>
        <v/>
      </c>
      <c r="I123" s="8">
        <f>IF(ISNA(MATCH(114,'Transfer Engine'!$C$2:$C$630,0)),"",INDEX('Compliance Database'!$I$2:$I$630,MATCH(114,'Transfer Engine'!$C$2:$C$630,0)))</f>
        <v/>
      </c>
      <c r="J123" s="8">
        <f>IF(ISNA(MATCH(114,'Transfer Engine'!$C$2:$C$630,0)),"",INDEX('Compliance Database'!$J$2:$J$630,MATCH(114,'Transfer Engine'!$C$2:$C$630,0)))</f>
        <v/>
      </c>
      <c r="K123">
        <f>IF(ISNA(MATCH(114,'Transfer Engine'!$C$2:$C$630,0)),"",INDEX('Compliance Database'!$K$2:$K$630,MATCH(114,'Transfer Engine'!$C$2:$C$630,0)))</f>
        <v/>
      </c>
      <c r="L123" s="8">
        <f>IF(ISNA(MATCH(114,'Transfer Engine'!$C$2:$C$630,0)),"",INDEX('Compliance Database'!$L$2:$L$630,MATCH(114,'Transfer Engine'!$C$2:$C$630,0)))</f>
        <v/>
      </c>
      <c r="M123" s="8">
        <f>IF(ISNA(MATCH(114,'Transfer Engine'!$C$2:$C$630,0)),"",INDEX('Compliance Database'!$M$2:$M$630,MATCH(114,'Transfer Engine'!$C$2:$C$630,0)))</f>
        <v/>
      </c>
      <c r="N123" s="8">
        <f>IF(ISNA(MATCH(114,'Transfer Engine'!$C$2:$C$630,0)),"",INDEX('Compliance Database'!$N$2:$N$630,MATCH(114,'Transfer Engine'!$C$2:$C$630,0)))</f>
        <v/>
      </c>
      <c r="O123" s="8">
        <f>IF(ISNA(MATCH(114,'Transfer Engine'!$C$2:$C$630,0)),"",INDEX('Compliance Database'!$O$2:$O$630,MATCH(114,'Transfer Engine'!$C$2:$C$630,0)))</f>
        <v/>
      </c>
    </row>
    <row r="124">
      <c r="A124">
        <f>IF(ISNA(MATCH(115,'Transfer Engine'!$C$2:$C$630,0)),"",INDEX('Compliance Database'!$A$2:$A$630,MATCH(115,'Transfer Engine'!$C$2:$C$630,0)))</f>
        <v/>
      </c>
      <c r="B124">
        <f>IF(ISNA(MATCH(115,'Transfer Engine'!$C$2:$C$630,0)),"",INDEX('Compliance Database'!$B$2:$B$630,MATCH(115,'Transfer Engine'!$C$2:$C$630,0)))</f>
        <v/>
      </c>
      <c r="C124">
        <f>IF(ISNA(MATCH(115,'Transfer Engine'!$C$2:$C$630,0)),"",INDEX('Compliance Database'!$C$2:$C$630,MATCH(115,'Transfer Engine'!$C$2:$C$630,0)))</f>
        <v/>
      </c>
      <c r="D124" s="8">
        <f>IF(ISNA(MATCH(115,'Transfer Engine'!$C$2:$C$630,0)),"",INDEX('Compliance Database'!$D$2:$D$630,MATCH(115,'Transfer Engine'!$C$2:$C$630,0)))</f>
        <v/>
      </c>
      <c r="E124">
        <f>IF(ISNA(MATCH(115,'Transfer Engine'!$C$2:$C$630,0)),"",INDEX('Compliance Database'!$E$2:$E$630,MATCH(115,'Transfer Engine'!$C$2:$C$630,0)))</f>
        <v/>
      </c>
      <c r="F124">
        <f>IF(ISNA(MATCH(115,'Transfer Engine'!$C$2:$C$630,0)),"",INDEX('Compliance Database'!$F$2:$F$630,MATCH(115,'Transfer Engine'!$C$2:$C$630,0)))</f>
        <v/>
      </c>
      <c r="G124">
        <f>IF(ISNA(MATCH(115,'Transfer Engine'!$C$2:$C$630,0)),"",INDEX('Compliance Database'!$G$2:$G$630,MATCH(115,'Transfer Engine'!$C$2:$C$630,0)))</f>
        <v/>
      </c>
      <c r="H124">
        <f>IF(ISNA(MATCH(115,'Transfer Engine'!$C$2:$C$630,0)),"",INDEX('Compliance Database'!$H$2:$H$630,MATCH(115,'Transfer Engine'!$C$2:$C$630,0)))</f>
        <v/>
      </c>
      <c r="I124" s="8">
        <f>IF(ISNA(MATCH(115,'Transfer Engine'!$C$2:$C$630,0)),"",INDEX('Compliance Database'!$I$2:$I$630,MATCH(115,'Transfer Engine'!$C$2:$C$630,0)))</f>
        <v/>
      </c>
      <c r="J124" s="8">
        <f>IF(ISNA(MATCH(115,'Transfer Engine'!$C$2:$C$630,0)),"",INDEX('Compliance Database'!$J$2:$J$630,MATCH(115,'Transfer Engine'!$C$2:$C$630,0)))</f>
        <v/>
      </c>
      <c r="K124">
        <f>IF(ISNA(MATCH(115,'Transfer Engine'!$C$2:$C$630,0)),"",INDEX('Compliance Database'!$K$2:$K$630,MATCH(115,'Transfer Engine'!$C$2:$C$630,0)))</f>
        <v/>
      </c>
      <c r="L124" s="8">
        <f>IF(ISNA(MATCH(115,'Transfer Engine'!$C$2:$C$630,0)),"",INDEX('Compliance Database'!$L$2:$L$630,MATCH(115,'Transfer Engine'!$C$2:$C$630,0)))</f>
        <v/>
      </c>
      <c r="M124" s="8">
        <f>IF(ISNA(MATCH(115,'Transfer Engine'!$C$2:$C$630,0)),"",INDEX('Compliance Database'!$M$2:$M$630,MATCH(115,'Transfer Engine'!$C$2:$C$630,0)))</f>
        <v/>
      </c>
      <c r="N124" s="8">
        <f>IF(ISNA(MATCH(115,'Transfer Engine'!$C$2:$C$630,0)),"",INDEX('Compliance Database'!$N$2:$N$630,MATCH(115,'Transfer Engine'!$C$2:$C$630,0)))</f>
        <v/>
      </c>
      <c r="O124" s="8">
        <f>IF(ISNA(MATCH(115,'Transfer Engine'!$C$2:$C$630,0)),"",INDEX('Compliance Database'!$O$2:$O$630,MATCH(115,'Transfer Engine'!$C$2:$C$630,0)))</f>
        <v/>
      </c>
    </row>
    <row r="125">
      <c r="A125">
        <f>IF(ISNA(MATCH(116,'Transfer Engine'!$C$2:$C$630,0)),"",INDEX('Compliance Database'!$A$2:$A$630,MATCH(116,'Transfer Engine'!$C$2:$C$630,0)))</f>
        <v/>
      </c>
      <c r="B125">
        <f>IF(ISNA(MATCH(116,'Transfer Engine'!$C$2:$C$630,0)),"",INDEX('Compliance Database'!$B$2:$B$630,MATCH(116,'Transfer Engine'!$C$2:$C$630,0)))</f>
        <v/>
      </c>
      <c r="C125">
        <f>IF(ISNA(MATCH(116,'Transfer Engine'!$C$2:$C$630,0)),"",INDEX('Compliance Database'!$C$2:$C$630,MATCH(116,'Transfer Engine'!$C$2:$C$630,0)))</f>
        <v/>
      </c>
      <c r="D125" s="8">
        <f>IF(ISNA(MATCH(116,'Transfer Engine'!$C$2:$C$630,0)),"",INDEX('Compliance Database'!$D$2:$D$630,MATCH(116,'Transfer Engine'!$C$2:$C$630,0)))</f>
        <v/>
      </c>
      <c r="E125">
        <f>IF(ISNA(MATCH(116,'Transfer Engine'!$C$2:$C$630,0)),"",INDEX('Compliance Database'!$E$2:$E$630,MATCH(116,'Transfer Engine'!$C$2:$C$630,0)))</f>
        <v/>
      </c>
      <c r="F125">
        <f>IF(ISNA(MATCH(116,'Transfer Engine'!$C$2:$C$630,0)),"",INDEX('Compliance Database'!$F$2:$F$630,MATCH(116,'Transfer Engine'!$C$2:$C$630,0)))</f>
        <v/>
      </c>
      <c r="G125">
        <f>IF(ISNA(MATCH(116,'Transfer Engine'!$C$2:$C$630,0)),"",INDEX('Compliance Database'!$G$2:$G$630,MATCH(116,'Transfer Engine'!$C$2:$C$630,0)))</f>
        <v/>
      </c>
      <c r="H125">
        <f>IF(ISNA(MATCH(116,'Transfer Engine'!$C$2:$C$630,0)),"",INDEX('Compliance Database'!$H$2:$H$630,MATCH(116,'Transfer Engine'!$C$2:$C$630,0)))</f>
        <v/>
      </c>
      <c r="I125" s="8">
        <f>IF(ISNA(MATCH(116,'Transfer Engine'!$C$2:$C$630,0)),"",INDEX('Compliance Database'!$I$2:$I$630,MATCH(116,'Transfer Engine'!$C$2:$C$630,0)))</f>
        <v/>
      </c>
      <c r="J125" s="8">
        <f>IF(ISNA(MATCH(116,'Transfer Engine'!$C$2:$C$630,0)),"",INDEX('Compliance Database'!$J$2:$J$630,MATCH(116,'Transfer Engine'!$C$2:$C$630,0)))</f>
        <v/>
      </c>
      <c r="K125">
        <f>IF(ISNA(MATCH(116,'Transfer Engine'!$C$2:$C$630,0)),"",INDEX('Compliance Database'!$K$2:$K$630,MATCH(116,'Transfer Engine'!$C$2:$C$630,0)))</f>
        <v/>
      </c>
      <c r="L125" s="8">
        <f>IF(ISNA(MATCH(116,'Transfer Engine'!$C$2:$C$630,0)),"",INDEX('Compliance Database'!$L$2:$L$630,MATCH(116,'Transfer Engine'!$C$2:$C$630,0)))</f>
        <v/>
      </c>
      <c r="M125" s="8">
        <f>IF(ISNA(MATCH(116,'Transfer Engine'!$C$2:$C$630,0)),"",INDEX('Compliance Database'!$M$2:$M$630,MATCH(116,'Transfer Engine'!$C$2:$C$630,0)))</f>
        <v/>
      </c>
      <c r="N125" s="8">
        <f>IF(ISNA(MATCH(116,'Transfer Engine'!$C$2:$C$630,0)),"",INDEX('Compliance Database'!$N$2:$N$630,MATCH(116,'Transfer Engine'!$C$2:$C$630,0)))</f>
        <v/>
      </c>
      <c r="O125" s="8">
        <f>IF(ISNA(MATCH(116,'Transfer Engine'!$C$2:$C$630,0)),"",INDEX('Compliance Database'!$O$2:$O$630,MATCH(116,'Transfer Engine'!$C$2:$C$630,0)))</f>
        <v/>
      </c>
    </row>
    <row r="126">
      <c r="A126">
        <f>IF(ISNA(MATCH(117,'Transfer Engine'!$C$2:$C$630,0)),"",INDEX('Compliance Database'!$A$2:$A$630,MATCH(117,'Transfer Engine'!$C$2:$C$630,0)))</f>
        <v/>
      </c>
      <c r="B126">
        <f>IF(ISNA(MATCH(117,'Transfer Engine'!$C$2:$C$630,0)),"",INDEX('Compliance Database'!$B$2:$B$630,MATCH(117,'Transfer Engine'!$C$2:$C$630,0)))</f>
        <v/>
      </c>
      <c r="C126">
        <f>IF(ISNA(MATCH(117,'Transfer Engine'!$C$2:$C$630,0)),"",INDEX('Compliance Database'!$C$2:$C$630,MATCH(117,'Transfer Engine'!$C$2:$C$630,0)))</f>
        <v/>
      </c>
      <c r="D126" s="8">
        <f>IF(ISNA(MATCH(117,'Transfer Engine'!$C$2:$C$630,0)),"",INDEX('Compliance Database'!$D$2:$D$630,MATCH(117,'Transfer Engine'!$C$2:$C$630,0)))</f>
        <v/>
      </c>
      <c r="E126">
        <f>IF(ISNA(MATCH(117,'Transfer Engine'!$C$2:$C$630,0)),"",INDEX('Compliance Database'!$E$2:$E$630,MATCH(117,'Transfer Engine'!$C$2:$C$630,0)))</f>
        <v/>
      </c>
      <c r="F126">
        <f>IF(ISNA(MATCH(117,'Transfer Engine'!$C$2:$C$630,0)),"",INDEX('Compliance Database'!$F$2:$F$630,MATCH(117,'Transfer Engine'!$C$2:$C$630,0)))</f>
        <v/>
      </c>
      <c r="G126">
        <f>IF(ISNA(MATCH(117,'Transfer Engine'!$C$2:$C$630,0)),"",INDEX('Compliance Database'!$G$2:$G$630,MATCH(117,'Transfer Engine'!$C$2:$C$630,0)))</f>
        <v/>
      </c>
      <c r="H126">
        <f>IF(ISNA(MATCH(117,'Transfer Engine'!$C$2:$C$630,0)),"",INDEX('Compliance Database'!$H$2:$H$630,MATCH(117,'Transfer Engine'!$C$2:$C$630,0)))</f>
        <v/>
      </c>
      <c r="I126" s="8">
        <f>IF(ISNA(MATCH(117,'Transfer Engine'!$C$2:$C$630,0)),"",INDEX('Compliance Database'!$I$2:$I$630,MATCH(117,'Transfer Engine'!$C$2:$C$630,0)))</f>
        <v/>
      </c>
      <c r="J126" s="8">
        <f>IF(ISNA(MATCH(117,'Transfer Engine'!$C$2:$C$630,0)),"",INDEX('Compliance Database'!$J$2:$J$630,MATCH(117,'Transfer Engine'!$C$2:$C$630,0)))</f>
        <v/>
      </c>
      <c r="K126">
        <f>IF(ISNA(MATCH(117,'Transfer Engine'!$C$2:$C$630,0)),"",INDEX('Compliance Database'!$K$2:$K$630,MATCH(117,'Transfer Engine'!$C$2:$C$630,0)))</f>
        <v/>
      </c>
      <c r="L126" s="8">
        <f>IF(ISNA(MATCH(117,'Transfer Engine'!$C$2:$C$630,0)),"",INDEX('Compliance Database'!$L$2:$L$630,MATCH(117,'Transfer Engine'!$C$2:$C$630,0)))</f>
        <v/>
      </c>
      <c r="M126" s="8">
        <f>IF(ISNA(MATCH(117,'Transfer Engine'!$C$2:$C$630,0)),"",INDEX('Compliance Database'!$M$2:$M$630,MATCH(117,'Transfer Engine'!$C$2:$C$630,0)))</f>
        <v/>
      </c>
      <c r="N126" s="8">
        <f>IF(ISNA(MATCH(117,'Transfer Engine'!$C$2:$C$630,0)),"",INDEX('Compliance Database'!$N$2:$N$630,MATCH(117,'Transfer Engine'!$C$2:$C$630,0)))</f>
        <v/>
      </c>
      <c r="O126" s="8">
        <f>IF(ISNA(MATCH(117,'Transfer Engine'!$C$2:$C$630,0)),"",INDEX('Compliance Database'!$O$2:$O$630,MATCH(117,'Transfer Engine'!$C$2:$C$630,0)))</f>
        <v/>
      </c>
    </row>
    <row r="127">
      <c r="A127">
        <f>IF(ISNA(MATCH(118,'Transfer Engine'!$C$2:$C$630,0)),"",INDEX('Compliance Database'!$A$2:$A$630,MATCH(118,'Transfer Engine'!$C$2:$C$630,0)))</f>
        <v/>
      </c>
      <c r="B127">
        <f>IF(ISNA(MATCH(118,'Transfer Engine'!$C$2:$C$630,0)),"",INDEX('Compliance Database'!$B$2:$B$630,MATCH(118,'Transfer Engine'!$C$2:$C$630,0)))</f>
        <v/>
      </c>
      <c r="C127">
        <f>IF(ISNA(MATCH(118,'Transfer Engine'!$C$2:$C$630,0)),"",INDEX('Compliance Database'!$C$2:$C$630,MATCH(118,'Transfer Engine'!$C$2:$C$630,0)))</f>
        <v/>
      </c>
      <c r="D127" s="8">
        <f>IF(ISNA(MATCH(118,'Transfer Engine'!$C$2:$C$630,0)),"",INDEX('Compliance Database'!$D$2:$D$630,MATCH(118,'Transfer Engine'!$C$2:$C$630,0)))</f>
        <v/>
      </c>
      <c r="E127">
        <f>IF(ISNA(MATCH(118,'Transfer Engine'!$C$2:$C$630,0)),"",INDEX('Compliance Database'!$E$2:$E$630,MATCH(118,'Transfer Engine'!$C$2:$C$630,0)))</f>
        <v/>
      </c>
      <c r="F127">
        <f>IF(ISNA(MATCH(118,'Transfer Engine'!$C$2:$C$630,0)),"",INDEX('Compliance Database'!$F$2:$F$630,MATCH(118,'Transfer Engine'!$C$2:$C$630,0)))</f>
        <v/>
      </c>
      <c r="G127">
        <f>IF(ISNA(MATCH(118,'Transfer Engine'!$C$2:$C$630,0)),"",INDEX('Compliance Database'!$G$2:$G$630,MATCH(118,'Transfer Engine'!$C$2:$C$630,0)))</f>
        <v/>
      </c>
      <c r="H127">
        <f>IF(ISNA(MATCH(118,'Transfer Engine'!$C$2:$C$630,0)),"",INDEX('Compliance Database'!$H$2:$H$630,MATCH(118,'Transfer Engine'!$C$2:$C$630,0)))</f>
        <v/>
      </c>
      <c r="I127" s="8">
        <f>IF(ISNA(MATCH(118,'Transfer Engine'!$C$2:$C$630,0)),"",INDEX('Compliance Database'!$I$2:$I$630,MATCH(118,'Transfer Engine'!$C$2:$C$630,0)))</f>
        <v/>
      </c>
      <c r="J127" s="8">
        <f>IF(ISNA(MATCH(118,'Transfer Engine'!$C$2:$C$630,0)),"",INDEX('Compliance Database'!$J$2:$J$630,MATCH(118,'Transfer Engine'!$C$2:$C$630,0)))</f>
        <v/>
      </c>
      <c r="K127">
        <f>IF(ISNA(MATCH(118,'Transfer Engine'!$C$2:$C$630,0)),"",INDEX('Compliance Database'!$K$2:$K$630,MATCH(118,'Transfer Engine'!$C$2:$C$630,0)))</f>
        <v/>
      </c>
      <c r="L127" s="8">
        <f>IF(ISNA(MATCH(118,'Transfer Engine'!$C$2:$C$630,0)),"",INDEX('Compliance Database'!$L$2:$L$630,MATCH(118,'Transfer Engine'!$C$2:$C$630,0)))</f>
        <v/>
      </c>
      <c r="M127" s="8">
        <f>IF(ISNA(MATCH(118,'Transfer Engine'!$C$2:$C$630,0)),"",INDEX('Compliance Database'!$M$2:$M$630,MATCH(118,'Transfer Engine'!$C$2:$C$630,0)))</f>
        <v/>
      </c>
      <c r="N127" s="8">
        <f>IF(ISNA(MATCH(118,'Transfer Engine'!$C$2:$C$630,0)),"",INDEX('Compliance Database'!$N$2:$N$630,MATCH(118,'Transfer Engine'!$C$2:$C$630,0)))</f>
        <v/>
      </c>
      <c r="O127" s="8">
        <f>IF(ISNA(MATCH(118,'Transfer Engine'!$C$2:$C$630,0)),"",INDEX('Compliance Database'!$O$2:$O$630,MATCH(118,'Transfer Engine'!$C$2:$C$630,0)))</f>
        <v/>
      </c>
    </row>
    <row r="128">
      <c r="A128">
        <f>IF(ISNA(MATCH(119,'Transfer Engine'!$C$2:$C$630,0)),"",INDEX('Compliance Database'!$A$2:$A$630,MATCH(119,'Transfer Engine'!$C$2:$C$630,0)))</f>
        <v/>
      </c>
      <c r="B128">
        <f>IF(ISNA(MATCH(119,'Transfer Engine'!$C$2:$C$630,0)),"",INDEX('Compliance Database'!$B$2:$B$630,MATCH(119,'Transfer Engine'!$C$2:$C$630,0)))</f>
        <v/>
      </c>
      <c r="C128">
        <f>IF(ISNA(MATCH(119,'Transfer Engine'!$C$2:$C$630,0)),"",INDEX('Compliance Database'!$C$2:$C$630,MATCH(119,'Transfer Engine'!$C$2:$C$630,0)))</f>
        <v/>
      </c>
      <c r="D128" s="8">
        <f>IF(ISNA(MATCH(119,'Transfer Engine'!$C$2:$C$630,0)),"",INDEX('Compliance Database'!$D$2:$D$630,MATCH(119,'Transfer Engine'!$C$2:$C$630,0)))</f>
        <v/>
      </c>
      <c r="E128">
        <f>IF(ISNA(MATCH(119,'Transfer Engine'!$C$2:$C$630,0)),"",INDEX('Compliance Database'!$E$2:$E$630,MATCH(119,'Transfer Engine'!$C$2:$C$630,0)))</f>
        <v/>
      </c>
      <c r="F128">
        <f>IF(ISNA(MATCH(119,'Transfer Engine'!$C$2:$C$630,0)),"",INDEX('Compliance Database'!$F$2:$F$630,MATCH(119,'Transfer Engine'!$C$2:$C$630,0)))</f>
        <v/>
      </c>
      <c r="G128">
        <f>IF(ISNA(MATCH(119,'Transfer Engine'!$C$2:$C$630,0)),"",INDEX('Compliance Database'!$G$2:$G$630,MATCH(119,'Transfer Engine'!$C$2:$C$630,0)))</f>
        <v/>
      </c>
      <c r="H128">
        <f>IF(ISNA(MATCH(119,'Transfer Engine'!$C$2:$C$630,0)),"",INDEX('Compliance Database'!$H$2:$H$630,MATCH(119,'Transfer Engine'!$C$2:$C$630,0)))</f>
        <v/>
      </c>
      <c r="I128" s="8">
        <f>IF(ISNA(MATCH(119,'Transfer Engine'!$C$2:$C$630,0)),"",INDEX('Compliance Database'!$I$2:$I$630,MATCH(119,'Transfer Engine'!$C$2:$C$630,0)))</f>
        <v/>
      </c>
      <c r="J128" s="8">
        <f>IF(ISNA(MATCH(119,'Transfer Engine'!$C$2:$C$630,0)),"",INDEX('Compliance Database'!$J$2:$J$630,MATCH(119,'Transfer Engine'!$C$2:$C$630,0)))</f>
        <v/>
      </c>
      <c r="K128">
        <f>IF(ISNA(MATCH(119,'Transfer Engine'!$C$2:$C$630,0)),"",INDEX('Compliance Database'!$K$2:$K$630,MATCH(119,'Transfer Engine'!$C$2:$C$630,0)))</f>
        <v/>
      </c>
      <c r="L128" s="8">
        <f>IF(ISNA(MATCH(119,'Transfer Engine'!$C$2:$C$630,0)),"",INDEX('Compliance Database'!$L$2:$L$630,MATCH(119,'Transfer Engine'!$C$2:$C$630,0)))</f>
        <v/>
      </c>
      <c r="M128" s="8">
        <f>IF(ISNA(MATCH(119,'Transfer Engine'!$C$2:$C$630,0)),"",INDEX('Compliance Database'!$M$2:$M$630,MATCH(119,'Transfer Engine'!$C$2:$C$630,0)))</f>
        <v/>
      </c>
      <c r="N128" s="8">
        <f>IF(ISNA(MATCH(119,'Transfer Engine'!$C$2:$C$630,0)),"",INDEX('Compliance Database'!$N$2:$N$630,MATCH(119,'Transfer Engine'!$C$2:$C$630,0)))</f>
        <v/>
      </c>
      <c r="O128" s="8">
        <f>IF(ISNA(MATCH(119,'Transfer Engine'!$C$2:$C$630,0)),"",INDEX('Compliance Database'!$O$2:$O$630,MATCH(119,'Transfer Engine'!$C$2:$C$630,0)))</f>
        <v/>
      </c>
    </row>
    <row r="129">
      <c r="A129">
        <f>IF(ISNA(MATCH(120,'Transfer Engine'!$C$2:$C$630,0)),"",INDEX('Compliance Database'!$A$2:$A$630,MATCH(120,'Transfer Engine'!$C$2:$C$630,0)))</f>
        <v/>
      </c>
      <c r="B129">
        <f>IF(ISNA(MATCH(120,'Transfer Engine'!$C$2:$C$630,0)),"",INDEX('Compliance Database'!$B$2:$B$630,MATCH(120,'Transfer Engine'!$C$2:$C$630,0)))</f>
        <v/>
      </c>
      <c r="C129">
        <f>IF(ISNA(MATCH(120,'Transfer Engine'!$C$2:$C$630,0)),"",INDEX('Compliance Database'!$C$2:$C$630,MATCH(120,'Transfer Engine'!$C$2:$C$630,0)))</f>
        <v/>
      </c>
      <c r="D129" s="8">
        <f>IF(ISNA(MATCH(120,'Transfer Engine'!$C$2:$C$630,0)),"",INDEX('Compliance Database'!$D$2:$D$630,MATCH(120,'Transfer Engine'!$C$2:$C$630,0)))</f>
        <v/>
      </c>
      <c r="E129">
        <f>IF(ISNA(MATCH(120,'Transfer Engine'!$C$2:$C$630,0)),"",INDEX('Compliance Database'!$E$2:$E$630,MATCH(120,'Transfer Engine'!$C$2:$C$630,0)))</f>
        <v/>
      </c>
      <c r="F129">
        <f>IF(ISNA(MATCH(120,'Transfer Engine'!$C$2:$C$630,0)),"",INDEX('Compliance Database'!$F$2:$F$630,MATCH(120,'Transfer Engine'!$C$2:$C$630,0)))</f>
        <v/>
      </c>
      <c r="G129">
        <f>IF(ISNA(MATCH(120,'Transfer Engine'!$C$2:$C$630,0)),"",INDEX('Compliance Database'!$G$2:$G$630,MATCH(120,'Transfer Engine'!$C$2:$C$630,0)))</f>
        <v/>
      </c>
      <c r="H129">
        <f>IF(ISNA(MATCH(120,'Transfer Engine'!$C$2:$C$630,0)),"",INDEX('Compliance Database'!$H$2:$H$630,MATCH(120,'Transfer Engine'!$C$2:$C$630,0)))</f>
        <v/>
      </c>
      <c r="I129" s="8">
        <f>IF(ISNA(MATCH(120,'Transfer Engine'!$C$2:$C$630,0)),"",INDEX('Compliance Database'!$I$2:$I$630,MATCH(120,'Transfer Engine'!$C$2:$C$630,0)))</f>
        <v/>
      </c>
      <c r="J129" s="8">
        <f>IF(ISNA(MATCH(120,'Transfer Engine'!$C$2:$C$630,0)),"",INDEX('Compliance Database'!$J$2:$J$630,MATCH(120,'Transfer Engine'!$C$2:$C$630,0)))</f>
        <v/>
      </c>
      <c r="K129">
        <f>IF(ISNA(MATCH(120,'Transfer Engine'!$C$2:$C$630,0)),"",INDEX('Compliance Database'!$K$2:$K$630,MATCH(120,'Transfer Engine'!$C$2:$C$630,0)))</f>
        <v/>
      </c>
      <c r="L129" s="8">
        <f>IF(ISNA(MATCH(120,'Transfer Engine'!$C$2:$C$630,0)),"",INDEX('Compliance Database'!$L$2:$L$630,MATCH(120,'Transfer Engine'!$C$2:$C$630,0)))</f>
        <v/>
      </c>
      <c r="M129" s="8">
        <f>IF(ISNA(MATCH(120,'Transfer Engine'!$C$2:$C$630,0)),"",INDEX('Compliance Database'!$M$2:$M$630,MATCH(120,'Transfer Engine'!$C$2:$C$630,0)))</f>
        <v/>
      </c>
      <c r="N129" s="8">
        <f>IF(ISNA(MATCH(120,'Transfer Engine'!$C$2:$C$630,0)),"",INDEX('Compliance Database'!$N$2:$N$630,MATCH(120,'Transfer Engine'!$C$2:$C$630,0)))</f>
        <v/>
      </c>
      <c r="O129" s="8">
        <f>IF(ISNA(MATCH(120,'Transfer Engine'!$C$2:$C$630,0)),"",INDEX('Compliance Database'!$O$2:$O$630,MATCH(120,'Transfer Engine'!$C$2:$C$630,0)))</f>
        <v/>
      </c>
    </row>
    <row r="130">
      <c r="A130">
        <f>IF(ISNA(MATCH(121,'Transfer Engine'!$C$2:$C$630,0)),"",INDEX('Compliance Database'!$A$2:$A$630,MATCH(121,'Transfer Engine'!$C$2:$C$630,0)))</f>
        <v/>
      </c>
      <c r="B130">
        <f>IF(ISNA(MATCH(121,'Transfer Engine'!$C$2:$C$630,0)),"",INDEX('Compliance Database'!$B$2:$B$630,MATCH(121,'Transfer Engine'!$C$2:$C$630,0)))</f>
        <v/>
      </c>
      <c r="C130">
        <f>IF(ISNA(MATCH(121,'Transfer Engine'!$C$2:$C$630,0)),"",INDEX('Compliance Database'!$C$2:$C$630,MATCH(121,'Transfer Engine'!$C$2:$C$630,0)))</f>
        <v/>
      </c>
      <c r="D130" s="8">
        <f>IF(ISNA(MATCH(121,'Transfer Engine'!$C$2:$C$630,0)),"",INDEX('Compliance Database'!$D$2:$D$630,MATCH(121,'Transfer Engine'!$C$2:$C$630,0)))</f>
        <v/>
      </c>
      <c r="E130">
        <f>IF(ISNA(MATCH(121,'Transfer Engine'!$C$2:$C$630,0)),"",INDEX('Compliance Database'!$E$2:$E$630,MATCH(121,'Transfer Engine'!$C$2:$C$630,0)))</f>
        <v/>
      </c>
      <c r="F130">
        <f>IF(ISNA(MATCH(121,'Transfer Engine'!$C$2:$C$630,0)),"",INDEX('Compliance Database'!$F$2:$F$630,MATCH(121,'Transfer Engine'!$C$2:$C$630,0)))</f>
        <v/>
      </c>
      <c r="G130">
        <f>IF(ISNA(MATCH(121,'Transfer Engine'!$C$2:$C$630,0)),"",INDEX('Compliance Database'!$G$2:$G$630,MATCH(121,'Transfer Engine'!$C$2:$C$630,0)))</f>
        <v/>
      </c>
      <c r="H130">
        <f>IF(ISNA(MATCH(121,'Transfer Engine'!$C$2:$C$630,0)),"",INDEX('Compliance Database'!$H$2:$H$630,MATCH(121,'Transfer Engine'!$C$2:$C$630,0)))</f>
        <v/>
      </c>
      <c r="I130" s="8">
        <f>IF(ISNA(MATCH(121,'Transfer Engine'!$C$2:$C$630,0)),"",INDEX('Compliance Database'!$I$2:$I$630,MATCH(121,'Transfer Engine'!$C$2:$C$630,0)))</f>
        <v/>
      </c>
      <c r="J130" s="8">
        <f>IF(ISNA(MATCH(121,'Transfer Engine'!$C$2:$C$630,0)),"",INDEX('Compliance Database'!$J$2:$J$630,MATCH(121,'Transfer Engine'!$C$2:$C$630,0)))</f>
        <v/>
      </c>
      <c r="K130">
        <f>IF(ISNA(MATCH(121,'Transfer Engine'!$C$2:$C$630,0)),"",INDEX('Compliance Database'!$K$2:$K$630,MATCH(121,'Transfer Engine'!$C$2:$C$630,0)))</f>
        <v/>
      </c>
      <c r="L130" s="8">
        <f>IF(ISNA(MATCH(121,'Transfer Engine'!$C$2:$C$630,0)),"",INDEX('Compliance Database'!$L$2:$L$630,MATCH(121,'Transfer Engine'!$C$2:$C$630,0)))</f>
        <v/>
      </c>
      <c r="M130" s="8">
        <f>IF(ISNA(MATCH(121,'Transfer Engine'!$C$2:$C$630,0)),"",INDEX('Compliance Database'!$M$2:$M$630,MATCH(121,'Transfer Engine'!$C$2:$C$630,0)))</f>
        <v/>
      </c>
      <c r="N130" s="8">
        <f>IF(ISNA(MATCH(121,'Transfer Engine'!$C$2:$C$630,0)),"",INDEX('Compliance Database'!$N$2:$N$630,MATCH(121,'Transfer Engine'!$C$2:$C$630,0)))</f>
        <v/>
      </c>
      <c r="O130" s="8">
        <f>IF(ISNA(MATCH(121,'Transfer Engine'!$C$2:$C$630,0)),"",INDEX('Compliance Database'!$O$2:$O$630,MATCH(121,'Transfer Engine'!$C$2:$C$630,0)))</f>
        <v/>
      </c>
    </row>
    <row r="131">
      <c r="A131">
        <f>IF(ISNA(MATCH(122,'Transfer Engine'!$C$2:$C$630,0)),"",INDEX('Compliance Database'!$A$2:$A$630,MATCH(122,'Transfer Engine'!$C$2:$C$630,0)))</f>
        <v/>
      </c>
      <c r="B131">
        <f>IF(ISNA(MATCH(122,'Transfer Engine'!$C$2:$C$630,0)),"",INDEX('Compliance Database'!$B$2:$B$630,MATCH(122,'Transfer Engine'!$C$2:$C$630,0)))</f>
        <v/>
      </c>
      <c r="C131">
        <f>IF(ISNA(MATCH(122,'Transfer Engine'!$C$2:$C$630,0)),"",INDEX('Compliance Database'!$C$2:$C$630,MATCH(122,'Transfer Engine'!$C$2:$C$630,0)))</f>
        <v/>
      </c>
      <c r="D131" s="8">
        <f>IF(ISNA(MATCH(122,'Transfer Engine'!$C$2:$C$630,0)),"",INDEX('Compliance Database'!$D$2:$D$630,MATCH(122,'Transfer Engine'!$C$2:$C$630,0)))</f>
        <v/>
      </c>
      <c r="E131">
        <f>IF(ISNA(MATCH(122,'Transfer Engine'!$C$2:$C$630,0)),"",INDEX('Compliance Database'!$E$2:$E$630,MATCH(122,'Transfer Engine'!$C$2:$C$630,0)))</f>
        <v/>
      </c>
      <c r="F131">
        <f>IF(ISNA(MATCH(122,'Transfer Engine'!$C$2:$C$630,0)),"",INDEX('Compliance Database'!$F$2:$F$630,MATCH(122,'Transfer Engine'!$C$2:$C$630,0)))</f>
        <v/>
      </c>
      <c r="G131">
        <f>IF(ISNA(MATCH(122,'Transfer Engine'!$C$2:$C$630,0)),"",INDEX('Compliance Database'!$G$2:$G$630,MATCH(122,'Transfer Engine'!$C$2:$C$630,0)))</f>
        <v/>
      </c>
      <c r="H131">
        <f>IF(ISNA(MATCH(122,'Transfer Engine'!$C$2:$C$630,0)),"",INDEX('Compliance Database'!$H$2:$H$630,MATCH(122,'Transfer Engine'!$C$2:$C$630,0)))</f>
        <v/>
      </c>
      <c r="I131" s="8">
        <f>IF(ISNA(MATCH(122,'Transfer Engine'!$C$2:$C$630,0)),"",INDEX('Compliance Database'!$I$2:$I$630,MATCH(122,'Transfer Engine'!$C$2:$C$630,0)))</f>
        <v/>
      </c>
      <c r="J131" s="8">
        <f>IF(ISNA(MATCH(122,'Transfer Engine'!$C$2:$C$630,0)),"",INDEX('Compliance Database'!$J$2:$J$630,MATCH(122,'Transfer Engine'!$C$2:$C$630,0)))</f>
        <v/>
      </c>
      <c r="K131">
        <f>IF(ISNA(MATCH(122,'Transfer Engine'!$C$2:$C$630,0)),"",INDEX('Compliance Database'!$K$2:$K$630,MATCH(122,'Transfer Engine'!$C$2:$C$630,0)))</f>
        <v/>
      </c>
      <c r="L131" s="8">
        <f>IF(ISNA(MATCH(122,'Transfer Engine'!$C$2:$C$630,0)),"",INDEX('Compliance Database'!$L$2:$L$630,MATCH(122,'Transfer Engine'!$C$2:$C$630,0)))</f>
        <v/>
      </c>
      <c r="M131" s="8">
        <f>IF(ISNA(MATCH(122,'Transfer Engine'!$C$2:$C$630,0)),"",INDEX('Compliance Database'!$M$2:$M$630,MATCH(122,'Transfer Engine'!$C$2:$C$630,0)))</f>
        <v/>
      </c>
      <c r="N131" s="8">
        <f>IF(ISNA(MATCH(122,'Transfer Engine'!$C$2:$C$630,0)),"",INDEX('Compliance Database'!$N$2:$N$630,MATCH(122,'Transfer Engine'!$C$2:$C$630,0)))</f>
        <v/>
      </c>
      <c r="O131" s="8">
        <f>IF(ISNA(MATCH(122,'Transfer Engine'!$C$2:$C$630,0)),"",INDEX('Compliance Database'!$O$2:$O$630,MATCH(122,'Transfer Engine'!$C$2:$C$630,0)))</f>
        <v/>
      </c>
    </row>
    <row r="132">
      <c r="A132">
        <f>IF(ISNA(MATCH(123,'Transfer Engine'!$C$2:$C$630,0)),"",INDEX('Compliance Database'!$A$2:$A$630,MATCH(123,'Transfer Engine'!$C$2:$C$630,0)))</f>
        <v/>
      </c>
      <c r="B132">
        <f>IF(ISNA(MATCH(123,'Transfer Engine'!$C$2:$C$630,0)),"",INDEX('Compliance Database'!$B$2:$B$630,MATCH(123,'Transfer Engine'!$C$2:$C$630,0)))</f>
        <v/>
      </c>
      <c r="C132">
        <f>IF(ISNA(MATCH(123,'Transfer Engine'!$C$2:$C$630,0)),"",INDEX('Compliance Database'!$C$2:$C$630,MATCH(123,'Transfer Engine'!$C$2:$C$630,0)))</f>
        <v/>
      </c>
      <c r="D132" s="8">
        <f>IF(ISNA(MATCH(123,'Transfer Engine'!$C$2:$C$630,0)),"",INDEX('Compliance Database'!$D$2:$D$630,MATCH(123,'Transfer Engine'!$C$2:$C$630,0)))</f>
        <v/>
      </c>
      <c r="E132">
        <f>IF(ISNA(MATCH(123,'Transfer Engine'!$C$2:$C$630,0)),"",INDEX('Compliance Database'!$E$2:$E$630,MATCH(123,'Transfer Engine'!$C$2:$C$630,0)))</f>
        <v/>
      </c>
      <c r="F132">
        <f>IF(ISNA(MATCH(123,'Transfer Engine'!$C$2:$C$630,0)),"",INDEX('Compliance Database'!$F$2:$F$630,MATCH(123,'Transfer Engine'!$C$2:$C$630,0)))</f>
        <v/>
      </c>
      <c r="G132">
        <f>IF(ISNA(MATCH(123,'Transfer Engine'!$C$2:$C$630,0)),"",INDEX('Compliance Database'!$G$2:$G$630,MATCH(123,'Transfer Engine'!$C$2:$C$630,0)))</f>
        <v/>
      </c>
      <c r="H132">
        <f>IF(ISNA(MATCH(123,'Transfer Engine'!$C$2:$C$630,0)),"",INDEX('Compliance Database'!$H$2:$H$630,MATCH(123,'Transfer Engine'!$C$2:$C$630,0)))</f>
        <v/>
      </c>
      <c r="I132" s="8">
        <f>IF(ISNA(MATCH(123,'Transfer Engine'!$C$2:$C$630,0)),"",INDEX('Compliance Database'!$I$2:$I$630,MATCH(123,'Transfer Engine'!$C$2:$C$630,0)))</f>
        <v/>
      </c>
      <c r="J132" s="8">
        <f>IF(ISNA(MATCH(123,'Transfer Engine'!$C$2:$C$630,0)),"",INDEX('Compliance Database'!$J$2:$J$630,MATCH(123,'Transfer Engine'!$C$2:$C$630,0)))</f>
        <v/>
      </c>
      <c r="K132">
        <f>IF(ISNA(MATCH(123,'Transfer Engine'!$C$2:$C$630,0)),"",INDEX('Compliance Database'!$K$2:$K$630,MATCH(123,'Transfer Engine'!$C$2:$C$630,0)))</f>
        <v/>
      </c>
      <c r="L132" s="8">
        <f>IF(ISNA(MATCH(123,'Transfer Engine'!$C$2:$C$630,0)),"",INDEX('Compliance Database'!$L$2:$L$630,MATCH(123,'Transfer Engine'!$C$2:$C$630,0)))</f>
        <v/>
      </c>
      <c r="M132" s="8">
        <f>IF(ISNA(MATCH(123,'Transfer Engine'!$C$2:$C$630,0)),"",INDEX('Compliance Database'!$M$2:$M$630,MATCH(123,'Transfer Engine'!$C$2:$C$630,0)))</f>
        <v/>
      </c>
      <c r="N132" s="8">
        <f>IF(ISNA(MATCH(123,'Transfer Engine'!$C$2:$C$630,0)),"",INDEX('Compliance Database'!$N$2:$N$630,MATCH(123,'Transfer Engine'!$C$2:$C$630,0)))</f>
        <v/>
      </c>
      <c r="O132" s="8">
        <f>IF(ISNA(MATCH(123,'Transfer Engine'!$C$2:$C$630,0)),"",INDEX('Compliance Database'!$O$2:$O$630,MATCH(123,'Transfer Engine'!$C$2:$C$630,0)))</f>
        <v/>
      </c>
    </row>
    <row r="133">
      <c r="A133">
        <f>IF(ISNA(MATCH(124,'Transfer Engine'!$C$2:$C$630,0)),"",INDEX('Compliance Database'!$A$2:$A$630,MATCH(124,'Transfer Engine'!$C$2:$C$630,0)))</f>
        <v/>
      </c>
      <c r="B133">
        <f>IF(ISNA(MATCH(124,'Transfer Engine'!$C$2:$C$630,0)),"",INDEX('Compliance Database'!$B$2:$B$630,MATCH(124,'Transfer Engine'!$C$2:$C$630,0)))</f>
        <v/>
      </c>
      <c r="C133">
        <f>IF(ISNA(MATCH(124,'Transfer Engine'!$C$2:$C$630,0)),"",INDEX('Compliance Database'!$C$2:$C$630,MATCH(124,'Transfer Engine'!$C$2:$C$630,0)))</f>
        <v/>
      </c>
      <c r="D133" s="8">
        <f>IF(ISNA(MATCH(124,'Transfer Engine'!$C$2:$C$630,0)),"",INDEX('Compliance Database'!$D$2:$D$630,MATCH(124,'Transfer Engine'!$C$2:$C$630,0)))</f>
        <v/>
      </c>
      <c r="E133">
        <f>IF(ISNA(MATCH(124,'Transfer Engine'!$C$2:$C$630,0)),"",INDEX('Compliance Database'!$E$2:$E$630,MATCH(124,'Transfer Engine'!$C$2:$C$630,0)))</f>
        <v/>
      </c>
      <c r="F133">
        <f>IF(ISNA(MATCH(124,'Transfer Engine'!$C$2:$C$630,0)),"",INDEX('Compliance Database'!$F$2:$F$630,MATCH(124,'Transfer Engine'!$C$2:$C$630,0)))</f>
        <v/>
      </c>
      <c r="G133">
        <f>IF(ISNA(MATCH(124,'Transfer Engine'!$C$2:$C$630,0)),"",INDEX('Compliance Database'!$G$2:$G$630,MATCH(124,'Transfer Engine'!$C$2:$C$630,0)))</f>
        <v/>
      </c>
      <c r="H133">
        <f>IF(ISNA(MATCH(124,'Transfer Engine'!$C$2:$C$630,0)),"",INDEX('Compliance Database'!$H$2:$H$630,MATCH(124,'Transfer Engine'!$C$2:$C$630,0)))</f>
        <v/>
      </c>
      <c r="I133" s="8">
        <f>IF(ISNA(MATCH(124,'Transfer Engine'!$C$2:$C$630,0)),"",INDEX('Compliance Database'!$I$2:$I$630,MATCH(124,'Transfer Engine'!$C$2:$C$630,0)))</f>
        <v/>
      </c>
      <c r="J133" s="8">
        <f>IF(ISNA(MATCH(124,'Transfer Engine'!$C$2:$C$630,0)),"",INDEX('Compliance Database'!$J$2:$J$630,MATCH(124,'Transfer Engine'!$C$2:$C$630,0)))</f>
        <v/>
      </c>
      <c r="K133">
        <f>IF(ISNA(MATCH(124,'Transfer Engine'!$C$2:$C$630,0)),"",INDEX('Compliance Database'!$K$2:$K$630,MATCH(124,'Transfer Engine'!$C$2:$C$630,0)))</f>
        <v/>
      </c>
      <c r="L133" s="8">
        <f>IF(ISNA(MATCH(124,'Transfer Engine'!$C$2:$C$630,0)),"",INDEX('Compliance Database'!$L$2:$L$630,MATCH(124,'Transfer Engine'!$C$2:$C$630,0)))</f>
        <v/>
      </c>
      <c r="M133" s="8">
        <f>IF(ISNA(MATCH(124,'Transfer Engine'!$C$2:$C$630,0)),"",INDEX('Compliance Database'!$M$2:$M$630,MATCH(124,'Transfer Engine'!$C$2:$C$630,0)))</f>
        <v/>
      </c>
      <c r="N133" s="8">
        <f>IF(ISNA(MATCH(124,'Transfer Engine'!$C$2:$C$630,0)),"",INDEX('Compliance Database'!$N$2:$N$630,MATCH(124,'Transfer Engine'!$C$2:$C$630,0)))</f>
        <v/>
      </c>
      <c r="O133" s="8">
        <f>IF(ISNA(MATCH(124,'Transfer Engine'!$C$2:$C$630,0)),"",INDEX('Compliance Database'!$O$2:$O$630,MATCH(124,'Transfer Engine'!$C$2:$C$630,0)))</f>
        <v/>
      </c>
    </row>
    <row r="134">
      <c r="A134">
        <f>IF(ISNA(MATCH(125,'Transfer Engine'!$C$2:$C$630,0)),"",INDEX('Compliance Database'!$A$2:$A$630,MATCH(125,'Transfer Engine'!$C$2:$C$630,0)))</f>
        <v/>
      </c>
      <c r="B134">
        <f>IF(ISNA(MATCH(125,'Transfer Engine'!$C$2:$C$630,0)),"",INDEX('Compliance Database'!$B$2:$B$630,MATCH(125,'Transfer Engine'!$C$2:$C$630,0)))</f>
        <v/>
      </c>
      <c r="C134">
        <f>IF(ISNA(MATCH(125,'Transfer Engine'!$C$2:$C$630,0)),"",INDEX('Compliance Database'!$C$2:$C$630,MATCH(125,'Transfer Engine'!$C$2:$C$630,0)))</f>
        <v/>
      </c>
      <c r="D134" s="8">
        <f>IF(ISNA(MATCH(125,'Transfer Engine'!$C$2:$C$630,0)),"",INDEX('Compliance Database'!$D$2:$D$630,MATCH(125,'Transfer Engine'!$C$2:$C$630,0)))</f>
        <v/>
      </c>
      <c r="E134">
        <f>IF(ISNA(MATCH(125,'Transfer Engine'!$C$2:$C$630,0)),"",INDEX('Compliance Database'!$E$2:$E$630,MATCH(125,'Transfer Engine'!$C$2:$C$630,0)))</f>
        <v/>
      </c>
      <c r="F134">
        <f>IF(ISNA(MATCH(125,'Transfer Engine'!$C$2:$C$630,0)),"",INDEX('Compliance Database'!$F$2:$F$630,MATCH(125,'Transfer Engine'!$C$2:$C$630,0)))</f>
        <v/>
      </c>
      <c r="G134">
        <f>IF(ISNA(MATCH(125,'Transfer Engine'!$C$2:$C$630,0)),"",INDEX('Compliance Database'!$G$2:$G$630,MATCH(125,'Transfer Engine'!$C$2:$C$630,0)))</f>
        <v/>
      </c>
      <c r="H134">
        <f>IF(ISNA(MATCH(125,'Transfer Engine'!$C$2:$C$630,0)),"",INDEX('Compliance Database'!$H$2:$H$630,MATCH(125,'Transfer Engine'!$C$2:$C$630,0)))</f>
        <v/>
      </c>
      <c r="I134" s="8">
        <f>IF(ISNA(MATCH(125,'Transfer Engine'!$C$2:$C$630,0)),"",INDEX('Compliance Database'!$I$2:$I$630,MATCH(125,'Transfer Engine'!$C$2:$C$630,0)))</f>
        <v/>
      </c>
      <c r="J134" s="8">
        <f>IF(ISNA(MATCH(125,'Transfer Engine'!$C$2:$C$630,0)),"",INDEX('Compliance Database'!$J$2:$J$630,MATCH(125,'Transfer Engine'!$C$2:$C$630,0)))</f>
        <v/>
      </c>
      <c r="K134">
        <f>IF(ISNA(MATCH(125,'Transfer Engine'!$C$2:$C$630,0)),"",INDEX('Compliance Database'!$K$2:$K$630,MATCH(125,'Transfer Engine'!$C$2:$C$630,0)))</f>
        <v/>
      </c>
      <c r="L134" s="8">
        <f>IF(ISNA(MATCH(125,'Transfer Engine'!$C$2:$C$630,0)),"",INDEX('Compliance Database'!$L$2:$L$630,MATCH(125,'Transfer Engine'!$C$2:$C$630,0)))</f>
        <v/>
      </c>
      <c r="M134" s="8">
        <f>IF(ISNA(MATCH(125,'Transfer Engine'!$C$2:$C$630,0)),"",INDEX('Compliance Database'!$M$2:$M$630,MATCH(125,'Transfer Engine'!$C$2:$C$630,0)))</f>
        <v/>
      </c>
      <c r="N134" s="8">
        <f>IF(ISNA(MATCH(125,'Transfer Engine'!$C$2:$C$630,0)),"",INDEX('Compliance Database'!$N$2:$N$630,MATCH(125,'Transfer Engine'!$C$2:$C$630,0)))</f>
        <v/>
      </c>
      <c r="O134" s="8">
        <f>IF(ISNA(MATCH(125,'Transfer Engine'!$C$2:$C$630,0)),"",INDEX('Compliance Database'!$O$2:$O$630,MATCH(125,'Transfer Engine'!$C$2:$C$630,0)))</f>
        <v/>
      </c>
    </row>
    <row r="135">
      <c r="A135">
        <f>IF(ISNA(MATCH(126,'Transfer Engine'!$C$2:$C$630,0)),"",INDEX('Compliance Database'!$A$2:$A$630,MATCH(126,'Transfer Engine'!$C$2:$C$630,0)))</f>
        <v/>
      </c>
      <c r="B135">
        <f>IF(ISNA(MATCH(126,'Transfer Engine'!$C$2:$C$630,0)),"",INDEX('Compliance Database'!$B$2:$B$630,MATCH(126,'Transfer Engine'!$C$2:$C$630,0)))</f>
        <v/>
      </c>
      <c r="C135">
        <f>IF(ISNA(MATCH(126,'Transfer Engine'!$C$2:$C$630,0)),"",INDEX('Compliance Database'!$C$2:$C$630,MATCH(126,'Transfer Engine'!$C$2:$C$630,0)))</f>
        <v/>
      </c>
      <c r="D135" s="8">
        <f>IF(ISNA(MATCH(126,'Transfer Engine'!$C$2:$C$630,0)),"",INDEX('Compliance Database'!$D$2:$D$630,MATCH(126,'Transfer Engine'!$C$2:$C$630,0)))</f>
        <v/>
      </c>
      <c r="E135">
        <f>IF(ISNA(MATCH(126,'Transfer Engine'!$C$2:$C$630,0)),"",INDEX('Compliance Database'!$E$2:$E$630,MATCH(126,'Transfer Engine'!$C$2:$C$630,0)))</f>
        <v/>
      </c>
      <c r="F135">
        <f>IF(ISNA(MATCH(126,'Transfer Engine'!$C$2:$C$630,0)),"",INDEX('Compliance Database'!$F$2:$F$630,MATCH(126,'Transfer Engine'!$C$2:$C$630,0)))</f>
        <v/>
      </c>
      <c r="G135">
        <f>IF(ISNA(MATCH(126,'Transfer Engine'!$C$2:$C$630,0)),"",INDEX('Compliance Database'!$G$2:$G$630,MATCH(126,'Transfer Engine'!$C$2:$C$630,0)))</f>
        <v/>
      </c>
      <c r="H135">
        <f>IF(ISNA(MATCH(126,'Transfer Engine'!$C$2:$C$630,0)),"",INDEX('Compliance Database'!$H$2:$H$630,MATCH(126,'Transfer Engine'!$C$2:$C$630,0)))</f>
        <v/>
      </c>
      <c r="I135" s="8">
        <f>IF(ISNA(MATCH(126,'Transfer Engine'!$C$2:$C$630,0)),"",INDEX('Compliance Database'!$I$2:$I$630,MATCH(126,'Transfer Engine'!$C$2:$C$630,0)))</f>
        <v/>
      </c>
      <c r="J135" s="8">
        <f>IF(ISNA(MATCH(126,'Transfer Engine'!$C$2:$C$630,0)),"",INDEX('Compliance Database'!$J$2:$J$630,MATCH(126,'Transfer Engine'!$C$2:$C$630,0)))</f>
        <v/>
      </c>
      <c r="K135">
        <f>IF(ISNA(MATCH(126,'Transfer Engine'!$C$2:$C$630,0)),"",INDEX('Compliance Database'!$K$2:$K$630,MATCH(126,'Transfer Engine'!$C$2:$C$630,0)))</f>
        <v/>
      </c>
      <c r="L135" s="8">
        <f>IF(ISNA(MATCH(126,'Transfer Engine'!$C$2:$C$630,0)),"",INDEX('Compliance Database'!$L$2:$L$630,MATCH(126,'Transfer Engine'!$C$2:$C$630,0)))</f>
        <v/>
      </c>
      <c r="M135" s="8">
        <f>IF(ISNA(MATCH(126,'Transfer Engine'!$C$2:$C$630,0)),"",INDEX('Compliance Database'!$M$2:$M$630,MATCH(126,'Transfer Engine'!$C$2:$C$630,0)))</f>
        <v/>
      </c>
      <c r="N135" s="8">
        <f>IF(ISNA(MATCH(126,'Transfer Engine'!$C$2:$C$630,0)),"",INDEX('Compliance Database'!$N$2:$N$630,MATCH(126,'Transfer Engine'!$C$2:$C$630,0)))</f>
        <v/>
      </c>
      <c r="O135" s="8">
        <f>IF(ISNA(MATCH(126,'Transfer Engine'!$C$2:$C$630,0)),"",INDEX('Compliance Database'!$O$2:$O$630,MATCH(126,'Transfer Engine'!$C$2:$C$630,0)))</f>
        <v/>
      </c>
    </row>
    <row r="136">
      <c r="A136">
        <f>IF(ISNA(MATCH(127,'Transfer Engine'!$C$2:$C$630,0)),"",INDEX('Compliance Database'!$A$2:$A$630,MATCH(127,'Transfer Engine'!$C$2:$C$630,0)))</f>
        <v/>
      </c>
      <c r="B136">
        <f>IF(ISNA(MATCH(127,'Transfer Engine'!$C$2:$C$630,0)),"",INDEX('Compliance Database'!$B$2:$B$630,MATCH(127,'Transfer Engine'!$C$2:$C$630,0)))</f>
        <v/>
      </c>
      <c r="C136">
        <f>IF(ISNA(MATCH(127,'Transfer Engine'!$C$2:$C$630,0)),"",INDEX('Compliance Database'!$C$2:$C$630,MATCH(127,'Transfer Engine'!$C$2:$C$630,0)))</f>
        <v/>
      </c>
      <c r="D136" s="8">
        <f>IF(ISNA(MATCH(127,'Transfer Engine'!$C$2:$C$630,0)),"",INDEX('Compliance Database'!$D$2:$D$630,MATCH(127,'Transfer Engine'!$C$2:$C$630,0)))</f>
        <v/>
      </c>
      <c r="E136">
        <f>IF(ISNA(MATCH(127,'Transfer Engine'!$C$2:$C$630,0)),"",INDEX('Compliance Database'!$E$2:$E$630,MATCH(127,'Transfer Engine'!$C$2:$C$630,0)))</f>
        <v/>
      </c>
      <c r="F136">
        <f>IF(ISNA(MATCH(127,'Transfer Engine'!$C$2:$C$630,0)),"",INDEX('Compliance Database'!$F$2:$F$630,MATCH(127,'Transfer Engine'!$C$2:$C$630,0)))</f>
        <v/>
      </c>
      <c r="G136">
        <f>IF(ISNA(MATCH(127,'Transfer Engine'!$C$2:$C$630,0)),"",INDEX('Compliance Database'!$G$2:$G$630,MATCH(127,'Transfer Engine'!$C$2:$C$630,0)))</f>
        <v/>
      </c>
      <c r="H136">
        <f>IF(ISNA(MATCH(127,'Transfer Engine'!$C$2:$C$630,0)),"",INDEX('Compliance Database'!$H$2:$H$630,MATCH(127,'Transfer Engine'!$C$2:$C$630,0)))</f>
        <v/>
      </c>
      <c r="I136" s="8">
        <f>IF(ISNA(MATCH(127,'Transfer Engine'!$C$2:$C$630,0)),"",INDEX('Compliance Database'!$I$2:$I$630,MATCH(127,'Transfer Engine'!$C$2:$C$630,0)))</f>
        <v/>
      </c>
      <c r="J136" s="8">
        <f>IF(ISNA(MATCH(127,'Transfer Engine'!$C$2:$C$630,0)),"",INDEX('Compliance Database'!$J$2:$J$630,MATCH(127,'Transfer Engine'!$C$2:$C$630,0)))</f>
        <v/>
      </c>
      <c r="K136">
        <f>IF(ISNA(MATCH(127,'Transfer Engine'!$C$2:$C$630,0)),"",INDEX('Compliance Database'!$K$2:$K$630,MATCH(127,'Transfer Engine'!$C$2:$C$630,0)))</f>
        <v/>
      </c>
      <c r="L136" s="8">
        <f>IF(ISNA(MATCH(127,'Transfer Engine'!$C$2:$C$630,0)),"",INDEX('Compliance Database'!$L$2:$L$630,MATCH(127,'Transfer Engine'!$C$2:$C$630,0)))</f>
        <v/>
      </c>
      <c r="M136" s="8">
        <f>IF(ISNA(MATCH(127,'Transfer Engine'!$C$2:$C$630,0)),"",INDEX('Compliance Database'!$M$2:$M$630,MATCH(127,'Transfer Engine'!$C$2:$C$630,0)))</f>
        <v/>
      </c>
      <c r="N136" s="8">
        <f>IF(ISNA(MATCH(127,'Transfer Engine'!$C$2:$C$630,0)),"",INDEX('Compliance Database'!$N$2:$N$630,MATCH(127,'Transfer Engine'!$C$2:$C$630,0)))</f>
        <v/>
      </c>
      <c r="O136" s="8">
        <f>IF(ISNA(MATCH(127,'Transfer Engine'!$C$2:$C$630,0)),"",INDEX('Compliance Database'!$O$2:$O$630,MATCH(127,'Transfer Engine'!$C$2:$C$630,0)))</f>
        <v/>
      </c>
    </row>
    <row r="137">
      <c r="A137">
        <f>IF(ISNA(MATCH(128,'Transfer Engine'!$C$2:$C$630,0)),"",INDEX('Compliance Database'!$A$2:$A$630,MATCH(128,'Transfer Engine'!$C$2:$C$630,0)))</f>
        <v/>
      </c>
      <c r="B137">
        <f>IF(ISNA(MATCH(128,'Transfer Engine'!$C$2:$C$630,0)),"",INDEX('Compliance Database'!$B$2:$B$630,MATCH(128,'Transfer Engine'!$C$2:$C$630,0)))</f>
        <v/>
      </c>
      <c r="C137">
        <f>IF(ISNA(MATCH(128,'Transfer Engine'!$C$2:$C$630,0)),"",INDEX('Compliance Database'!$C$2:$C$630,MATCH(128,'Transfer Engine'!$C$2:$C$630,0)))</f>
        <v/>
      </c>
      <c r="D137" s="8">
        <f>IF(ISNA(MATCH(128,'Transfer Engine'!$C$2:$C$630,0)),"",INDEX('Compliance Database'!$D$2:$D$630,MATCH(128,'Transfer Engine'!$C$2:$C$630,0)))</f>
        <v/>
      </c>
      <c r="E137">
        <f>IF(ISNA(MATCH(128,'Transfer Engine'!$C$2:$C$630,0)),"",INDEX('Compliance Database'!$E$2:$E$630,MATCH(128,'Transfer Engine'!$C$2:$C$630,0)))</f>
        <v/>
      </c>
      <c r="F137">
        <f>IF(ISNA(MATCH(128,'Transfer Engine'!$C$2:$C$630,0)),"",INDEX('Compliance Database'!$F$2:$F$630,MATCH(128,'Transfer Engine'!$C$2:$C$630,0)))</f>
        <v/>
      </c>
      <c r="G137">
        <f>IF(ISNA(MATCH(128,'Transfer Engine'!$C$2:$C$630,0)),"",INDEX('Compliance Database'!$G$2:$G$630,MATCH(128,'Transfer Engine'!$C$2:$C$630,0)))</f>
        <v/>
      </c>
      <c r="H137">
        <f>IF(ISNA(MATCH(128,'Transfer Engine'!$C$2:$C$630,0)),"",INDEX('Compliance Database'!$H$2:$H$630,MATCH(128,'Transfer Engine'!$C$2:$C$630,0)))</f>
        <v/>
      </c>
      <c r="I137" s="8">
        <f>IF(ISNA(MATCH(128,'Transfer Engine'!$C$2:$C$630,0)),"",INDEX('Compliance Database'!$I$2:$I$630,MATCH(128,'Transfer Engine'!$C$2:$C$630,0)))</f>
        <v/>
      </c>
      <c r="J137" s="8">
        <f>IF(ISNA(MATCH(128,'Transfer Engine'!$C$2:$C$630,0)),"",INDEX('Compliance Database'!$J$2:$J$630,MATCH(128,'Transfer Engine'!$C$2:$C$630,0)))</f>
        <v/>
      </c>
      <c r="K137">
        <f>IF(ISNA(MATCH(128,'Transfer Engine'!$C$2:$C$630,0)),"",INDEX('Compliance Database'!$K$2:$K$630,MATCH(128,'Transfer Engine'!$C$2:$C$630,0)))</f>
        <v/>
      </c>
      <c r="L137" s="8">
        <f>IF(ISNA(MATCH(128,'Transfer Engine'!$C$2:$C$630,0)),"",INDEX('Compliance Database'!$L$2:$L$630,MATCH(128,'Transfer Engine'!$C$2:$C$630,0)))</f>
        <v/>
      </c>
      <c r="M137" s="8">
        <f>IF(ISNA(MATCH(128,'Transfer Engine'!$C$2:$C$630,0)),"",INDEX('Compliance Database'!$M$2:$M$630,MATCH(128,'Transfer Engine'!$C$2:$C$630,0)))</f>
        <v/>
      </c>
      <c r="N137" s="8">
        <f>IF(ISNA(MATCH(128,'Transfer Engine'!$C$2:$C$630,0)),"",INDEX('Compliance Database'!$N$2:$N$630,MATCH(128,'Transfer Engine'!$C$2:$C$630,0)))</f>
        <v/>
      </c>
      <c r="O137" s="8">
        <f>IF(ISNA(MATCH(128,'Transfer Engine'!$C$2:$C$630,0)),"",INDEX('Compliance Database'!$O$2:$O$630,MATCH(128,'Transfer Engine'!$C$2:$C$630,0)))</f>
        <v/>
      </c>
    </row>
    <row r="138">
      <c r="A138">
        <f>IF(ISNA(MATCH(129,'Transfer Engine'!$C$2:$C$630,0)),"",INDEX('Compliance Database'!$A$2:$A$630,MATCH(129,'Transfer Engine'!$C$2:$C$630,0)))</f>
        <v/>
      </c>
      <c r="B138">
        <f>IF(ISNA(MATCH(129,'Transfer Engine'!$C$2:$C$630,0)),"",INDEX('Compliance Database'!$B$2:$B$630,MATCH(129,'Transfer Engine'!$C$2:$C$630,0)))</f>
        <v/>
      </c>
      <c r="C138">
        <f>IF(ISNA(MATCH(129,'Transfer Engine'!$C$2:$C$630,0)),"",INDEX('Compliance Database'!$C$2:$C$630,MATCH(129,'Transfer Engine'!$C$2:$C$630,0)))</f>
        <v/>
      </c>
      <c r="D138" s="8">
        <f>IF(ISNA(MATCH(129,'Transfer Engine'!$C$2:$C$630,0)),"",INDEX('Compliance Database'!$D$2:$D$630,MATCH(129,'Transfer Engine'!$C$2:$C$630,0)))</f>
        <v/>
      </c>
      <c r="E138">
        <f>IF(ISNA(MATCH(129,'Transfer Engine'!$C$2:$C$630,0)),"",INDEX('Compliance Database'!$E$2:$E$630,MATCH(129,'Transfer Engine'!$C$2:$C$630,0)))</f>
        <v/>
      </c>
      <c r="F138">
        <f>IF(ISNA(MATCH(129,'Transfer Engine'!$C$2:$C$630,0)),"",INDEX('Compliance Database'!$F$2:$F$630,MATCH(129,'Transfer Engine'!$C$2:$C$630,0)))</f>
        <v/>
      </c>
      <c r="G138">
        <f>IF(ISNA(MATCH(129,'Transfer Engine'!$C$2:$C$630,0)),"",INDEX('Compliance Database'!$G$2:$G$630,MATCH(129,'Transfer Engine'!$C$2:$C$630,0)))</f>
        <v/>
      </c>
      <c r="H138">
        <f>IF(ISNA(MATCH(129,'Transfer Engine'!$C$2:$C$630,0)),"",INDEX('Compliance Database'!$H$2:$H$630,MATCH(129,'Transfer Engine'!$C$2:$C$630,0)))</f>
        <v/>
      </c>
      <c r="I138" s="8">
        <f>IF(ISNA(MATCH(129,'Transfer Engine'!$C$2:$C$630,0)),"",INDEX('Compliance Database'!$I$2:$I$630,MATCH(129,'Transfer Engine'!$C$2:$C$630,0)))</f>
        <v/>
      </c>
      <c r="J138" s="8">
        <f>IF(ISNA(MATCH(129,'Transfer Engine'!$C$2:$C$630,0)),"",INDEX('Compliance Database'!$J$2:$J$630,MATCH(129,'Transfer Engine'!$C$2:$C$630,0)))</f>
        <v/>
      </c>
      <c r="K138">
        <f>IF(ISNA(MATCH(129,'Transfer Engine'!$C$2:$C$630,0)),"",INDEX('Compliance Database'!$K$2:$K$630,MATCH(129,'Transfer Engine'!$C$2:$C$630,0)))</f>
        <v/>
      </c>
      <c r="L138" s="8">
        <f>IF(ISNA(MATCH(129,'Transfer Engine'!$C$2:$C$630,0)),"",INDEX('Compliance Database'!$L$2:$L$630,MATCH(129,'Transfer Engine'!$C$2:$C$630,0)))</f>
        <v/>
      </c>
      <c r="M138" s="8">
        <f>IF(ISNA(MATCH(129,'Transfer Engine'!$C$2:$C$630,0)),"",INDEX('Compliance Database'!$M$2:$M$630,MATCH(129,'Transfer Engine'!$C$2:$C$630,0)))</f>
        <v/>
      </c>
      <c r="N138" s="8">
        <f>IF(ISNA(MATCH(129,'Transfer Engine'!$C$2:$C$630,0)),"",INDEX('Compliance Database'!$N$2:$N$630,MATCH(129,'Transfer Engine'!$C$2:$C$630,0)))</f>
        <v/>
      </c>
      <c r="O138" s="8">
        <f>IF(ISNA(MATCH(129,'Transfer Engine'!$C$2:$C$630,0)),"",INDEX('Compliance Database'!$O$2:$O$630,MATCH(129,'Transfer Engine'!$C$2:$C$630,0)))</f>
        <v/>
      </c>
    </row>
    <row r="139">
      <c r="A139">
        <f>IF(ISNA(MATCH(130,'Transfer Engine'!$C$2:$C$630,0)),"",INDEX('Compliance Database'!$A$2:$A$630,MATCH(130,'Transfer Engine'!$C$2:$C$630,0)))</f>
        <v/>
      </c>
      <c r="B139">
        <f>IF(ISNA(MATCH(130,'Transfer Engine'!$C$2:$C$630,0)),"",INDEX('Compliance Database'!$B$2:$B$630,MATCH(130,'Transfer Engine'!$C$2:$C$630,0)))</f>
        <v/>
      </c>
      <c r="C139">
        <f>IF(ISNA(MATCH(130,'Transfer Engine'!$C$2:$C$630,0)),"",INDEX('Compliance Database'!$C$2:$C$630,MATCH(130,'Transfer Engine'!$C$2:$C$630,0)))</f>
        <v/>
      </c>
      <c r="D139" s="8">
        <f>IF(ISNA(MATCH(130,'Transfer Engine'!$C$2:$C$630,0)),"",INDEX('Compliance Database'!$D$2:$D$630,MATCH(130,'Transfer Engine'!$C$2:$C$630,0)))</f>
        <v/>
      </c>
      <c r="E139">
        <f>IF(ISNA(MATCH(130,'Transfer Engine'!$C$2:$C$630,0)),"",INDEX('Compliance Database'!$E$2:$E$630,MATCH(130,'Transfer Engine'!$C$2:$C$630,0)))</f>
        <v/>
      </c>
      <c r="F139">
        <f>IF(ISNA(MATCH(130,'Transfer Engine'!$C$2:$C$630,0)),"",INDEX('Compliance Database'!$F$2:$F$630,MATCH(130,'Transfer Engine'!$C$2:$C$630,0)))</f>
        <v/>
      </c>
      <c r="G139">
        <f>IF(ISNA(MATCH(130,'Transfer Engine'!$C$2:$C$630,0)),"",INDEX('Compliance Database'!$G$2:$G$630,MATCH(130,'Transfer Engine'!$C$2:$C$630,0)))</f>
        <v/>
      </c>
      <c r="H139">
        <f>IF(ISNA(MATCH(130,'Transfer Engine'!$C$2:$C$630,0)),"",INDEX('Compliance Database'!$H$2:$H$630,MATCH(130,'Transfer Engine'!$C$2:$C$630,0)))</f>
        <v/>
      </c>
      <c r="I139" s="8">
        <f>IF(ISNA(MATCH(130,'Transfer Engine'!$C$2:$C$630,0)),"",INDEX('Compliance Database'!$I$2:$I$630,MATCH(130,'Transfer Engine'!$C$2:$C$630,0)))</f>
        <v/>
      </c>
      <c r="J139" s="8">
        <f>IF(ISNA(MATCH(130,'Transfer Engine'!$C$2:$C$630,0)),"",INDEX('Compliance Database'!$J$2:$J$630,MATCH(130,'Transfer Engine'!$C$2:$C$630,0)))</f>
        <v/>
      </c>
      <c r="K139">
        <f>IF(ISNA(MATCH(130,'Transfer Engine'!$C$2:$C$630,0)),"",INDEX('Compliance Database'!$K$2:$K$630,MATCH(130,'Transfer Engine'!$C$2:$C$630,0)))</f>
        <v/>
      </c>
      <c r="L139" s="8">
        <f>IF(ISNA(MATCH(130,'Transfer Engine'!$C$2:$C$630,0)),"",INDEX('Compliance Database'!$L$2:$L$630,MATCH(130,'Transfer Engine'!$C$2:$C$630,0)))</f>
        <v/>
      </c>
      <c r="M139" s="8">
        <f>IF(ISNA(MATCH(130,'Transfer Engine'!$C$2:$C$630,0)),"",INDEX('Compliance Database'!$M$2:$M$630,MATCH(130,'Transfer Engine'!$C$2:$C$630,0)))</f>
        <v/>
      </c>
      <c r="N139" s="8">
        <f>IF(ISNA(MATCH(130,'Transfer Engine'!$C$2:$C$630,0)),"",INDEX('Compliance Database'!$N$2:$N$630,MATCH(130,'Transfer Engine'!$C$2:$C$630,0)))</f>
        <v/>
      </c>
      <c r="O139" s="8">
        <f>IF(ISNA(MATCH(130,'Transfer Engine'!$C$2:$C$630,0)),"",INDEX('Compliance Database'!$O$2:$O$630,MATCH(130,'Transfer Engine'!$C$2:$C$630,0)))</f>
        <v/>
      </c>
    </row>
    <row r="140">
      <c r="A140">
        <f>IF(ISNA(MATCH(131,'Transfer Engine'!$C$2:$C$630,0)),"",INDEX('Compliance Database'!$A$2:$A$630,MATCH(131,'Transfer Engine'!$C$2:$C$630,0)))</f>
        <v/>
      </c>
      <c r="B140">
        <f>IF(ISNA(MATCH(131,'Transfer Engine'!$C$2:$C$630,0)),"",INDEX('Compliance Database'!$B$2:$B$630,MATCH(131,'Transfer Engine'!$C$2:$C$630,0)))</f>
        <v/>
      </c>
      <c r="C140">
        <f>IF(ISNA(MATCH(131,'Transfer Engine'!$C$2:$C$630,0)),"",INDEX('Compliance Database'!$C$2:$C$630,MATCH(131,'Transfer Engine'!$C$2:$C$630,0)))</f>
        <v/>
      </c>
      <c r="D140" s="8">
        <f>IF(ISNA(MATCH(131,'Transfer Engine'!$C$2:$C$630,0)),"",INDEX('Compliance Database'!$D$2:$D$630,MATCH(131,'Transfer Engine'!$C$2:$C$630,0)))</f>
        <v/>
      </c>
      <c r="E140">
        <f>IF(ISNA(MATCH(131,'Transfer Engine'!$C$2:$C$630,0)),"",INDEX('Compliance Database'!$E$2:$E$630,MATCH(131,'Transfer Engine'!$C$2:$C$630,0)))</f>
        <v/>
      </c>
      <c r="F140">
        <f>IF(ISNA(MATCH(131,'Transfer Engine'!$C$2:$C$630,0)),"",INDEX('Compliance Database'!$F$2:$F$630,MATCH(131,'Transfer Engine'!$C$2:$C$630,0)))</f>
        <v/>
      </c>
      <c r="G140">
        <f>IF(ISNA(MATCH(131,'Transfer Engine'!$C$2:$C$630,0)),"",INDEX('Compliance Database'!$G$2:$G$630,MATCH(131,'Transfer Engine'!$C$2:$C$630,0)))</f>
        <v/>
      </c>
      <c r="H140">
        <f>IF(ISNA(MATCH(131,'Transfer Engine'!$C$2:$C$630,0)),"",INDEX('Compliance Database'!$H$2:$H$630,MATCH(131,'Transfer Engine'!$C$2:$C$630,0)))</f>
        <v/>
      </c>
      <c r="I140" s="8">
        <f>IF(ISNA(MATCH(131,'Transfer Engine'!$C$2:$C$630,0)),"",INDEX('Compliance Database'!$I$2:$I$630,MATCH(131,'Transfer Engine'!$C$2:$C$630,0)))</f>
        <v/>
      </c>
      <c r="J140" s="8">
        <f>IF(ISNA(MATCH(131,'Transfer Engine'!$C$2:$C$630,0)),"",INDEX('Compliance Database'!$J$2:$J$630,MATCH(131,'Transfer Engine'!$C$2:$C$630,0)))</f>
        <v/>
      </c>
      <c r="K140">
        <f>IF(ISNA(MATCH(131,'Transfer Engine'!$C$2:$C$630,0)),"",INDEX('Compliance Database'!$K$2:$K$630,MATCH(131,'Transfer Engine'!$C$2:$C$630,0)))</f>
        <v/>
      </c>
      <c r="L140" s="8">
        <f>IF(ISNA(MATCH(131,'Transfer Engine'!$C$2:$C$630,0)),"",INDEX('Compliance Database'!$L$2:$L$630,MATCH(131,'Transfer Engine'!$C$2:$C$630,0)))</f>
        <v/>
      </c>
      <c r="M140" s="8">
        <f>IF(ISNA(MATCH(131,'Transfer Engine'!$C$2:$C$630,0)),"",INDEX('Compliance Database'!$M$2:$M$630,MATCH(131,'Transfer Engine'!$C$2:$C$630,0)))</f>
        <v/>
      </c>
      <c r="N140" s="8">
        <f>IF(ISNA(MATCH(131,'Transfer Engine'!$C$2:$C$630,0)),"",INDEX('Compliance Database'!$N$2:$N$630,MATCH(131,'Transfer Engine'!$C$2:$C$630,0)))</f>
        <v/>
      </c>
      <c r="O140" s="8">
        <f>IF(ISNA(MATCH(131,'Transfer Engine'!$C$2:$C$630,0)),"",INDEX('Compliance Database'!$O$2:$O$630,MATCH(131,'Transfer Engine'!$C$2:$C$630,0)))</f>
        <v/>
      </c>
    </row>
    <row r="141">
      <c r="A141">
        <f>IF(ISNA(MATCH(132,'Transfer Engine'!$C$2:$C$630,0)),"",INDEX('Compliance Database'!$A$2:$A$630,MATCH(132,'Transfer Engine'!$C$2:$C$630,0)))</f>
        <v/>
      </c>
      <c r="B141">
        <f>IF(ISNA(MATCH(132,'Transfer Engine'!$C$2:$C$630,0)),"",INDEX('Compliance Database'!$B$2:$B$630,MATCH(132,'Transfer Engine'!$C$2:$C$630,0)))</f>
        <v/>
      </c>
      <c r="C141">
        <f>IF(ISNA(MATCH(132,'Transfer Engine'!$C$2:$C$630,0)),"",INDEX('Compliance Database'!$C$2:$C$630,MATCH(132,'Transfer Engine'!$C$2:$C$630,0)))</f>
        <v/>
      </c>
      <c r="D141" s="8">
        <f>IF(ISNA(MATCH(132,'Transfer Engine'!$C$2:$C$630,0)),"",INDEX('Compliance Database'!$D$2:$D$630,MATCH(132,'Transfer Engine'!$C$2:$C$630,0)))</f>
        <v/>
      </c>
      <c r="E141">
        <f>IF(ISNA(MATCH(132,'Transfer Engine'!$C$2:$C$630,0)),"",INDEX('Compliance Database'!$E$2:$E$630,MATCH(132,'Transfer Engine'!$C$2:$C$630,0)))</f>
        <v/>
      </c>
      <c r="F141">
        <f>IF(ISNA(MATCH(132,'Transfer Engine'!$C$2:$C$630,0)),"",INDEX('Compliance Database'!$F$2:$F$630,MATCH(132,'Transfer Engine'!$C$2:$C$630,0)))</f>
        <v/>
      </c>
      <c r="G141">
        <f>IF(ISNA(MATCH(132,'Transfer Engine'!$C$2:$C$630,0)),"",INDEX('Compliance Database'!$G$2:$G$630,MATCH(132,'Transfer Engine'!$C$2:$C$630,0)))</f>
        <v/>
      </c>
      <c r="H141">
        <f>IF(ISNA(MATCH(132,'Transfer Engine'!$C$2:$C$630,0)),"",INDEX('Compliance Database'!$H$2:$H$630,MATCH(132,'Transfer Engine'!$C$2:$C$630,0)))</f>
        <v/>
      </c>
      <c r="I141" s="8">
        <f>IF(ISNA(MATCH(132,'Transfer Engine'!$C$2:$C$630,0)),"",INDEX('Compliance Database'!$I$2:$I$630,MATCH(132,'Transfer Engine'!$C$2:$C$630,0)))</f>
        <v/>
      </c>
      <c r="J141" s="8">
        <f>IF(ISNA(MATCH(132,'Transfer Engine'!$C$2:$C$630,0)),"",INDEX('Compliance Database'!$J$2:$J$630,MATCH(132,'Transfer Engine'!$C$2:$C$630,0)))</f>
        <v/>
      </c>
      <c r="K141">
        <f>IF(ISNA(MATCH(132,'Transfer Engine'!$C$2:$C$630,0)),"",INDEX('Compliance Database'!$K$2:$K$630,MATCH(132,'Transfer Engine'!$C$2:$C$630,0)))</f>
        <v/>
      </c>
      <c r="L141" s="8">
        <f>IF(ISNA(MATCH(132,'Transfer Engine'!$C$2:$C$630,0)),"",INDEX('Compliance Database'!$L$2:$L$630,MATCH(132,'Transfer Engine'!$C$2:$C$630,0)))</f>
        <v/>
      </c>
      <c r="M141" s="8">
        <f>IF(ISNA(MATCH(132,'Transfer Engine'!$C$2:$C$630,0)),"",INDEX('Compliance Database'!$M$2:$M$630,MATCH(132,'Transfer Engine'!$C$2:$C$630,0)))</f>
        <v/>
      </c>
      <c r="N141" s="8">
        <f>IF(ISNA(MATCH(132,'Transfer Engine'!$C$2:$C$630,0)),"",INDEX('Compliance Database'!$N$2:$N$630,MATCH(132,'Transfer Engine'!$C$2:$C$630,0)))</f>
        <v/>
      </c>
      <c r="O141" s="8">
        <f>IF(ISNA(MATCH(132,'Transfer Engine'!$C$2:$C$630,0)),"",INDEX('Compliance Database'!$O$2:$O$630,MATCH(132,'Transfer Engine'!$C$2:$C$630,0)))</f>
        <v/>
      </c>
    </row>
    <row r="142">
      <c r="A142">
        <f>IF(ISNA(MATCH(133,'Transfer Engine'!$C$2:$C$630,0)),"",INDEX('Compliance Database'!$A$2:$A$630,MATCH(133,'Transfer Engine'!$C$2:$C$630,0)))</f>
        <v/>
      </c>
      <c r="B142">
        <f>IF(ISNA(MATCH(133,'Transfer Engine'!$C$2:$C$630,0)),"",INDEX('Compliance Database'!$B$2:$B$630,MATCH(133,'Transfer Engine'!$C$2:$C$630,0)))</f>
        <v/>
      </c>
      <c r="C142">
        <f>IF(ISNA(MATCH(133,'Transfer Engine'!$C$2:$C$630,0)),"",INDEX('Compliance Database'!$C$2:$C$630,MATCH(133,'Transfer Engine'!$C$2:$C$630,0)))</f>
        <v/>
      </c>
      <c r="D142" s="8">
        <f>IF(ISNA(MATCH(133,'Transfer Engine'!$C$2:$C$630,0)),"",INDEX('Compliance Database'!$D$2:$D$630,MATCH(133,'Transfer Engine'!$C$2:$C$630,0)))</f>
        <v/>
      </c>
      <c r="E142">
        <f>IF(ISNA(MATCH(133,'Transfer Engine'!$C$2:$C$630,0)),"",INDEX('Compliance Database'!$E$2:$E$630,MATCH(133,'Transfer Engine'!$C$2:$C$630,0)))</f>
        <v/>
      </c>
      <c r="F142">
        <f>IF(ISNA(MATCH(133,'Transfer Engine'!$C$2:$C$630,0)),"",INDEX('Compliance Database'!$F$2:$F$630,MATCH(133,'Transfer Engine'!$C$2:$C$630,0)))</f>
        <v/>
      </c>
      <c r="G142">
        <f>IF(ISNA(MATCH(133,'Transfer Engine'!$C$2:$C$630,0)),"",INDEX('Compliance Database'!$G$2:$G$630,MATCH(133,'Transfer Engine'!$C$2:$C$630,0)))</f>
        <v/>
      </c>
      <c r="H142">
        <f>IF(ISNA(MATCH(133,'Transfer Engine'!$C$2:$C$630,0)),"",INDEX('Compliance Database'!$H$2:$H$630,MATCH(133,'Transfer Engine'!$C$2:$C$630,0)))</f>
        <v/>
      </c>
      <c r="I142" s="8">
        <f>IF(ISNA(MATCH(133,'Transfer Engine'!$C$2:$C$630,0)),"",INDEX('Compliance Database'!$I$2:$I$630,MATCH(133,'Transfer Engine'!$C$2:$C$630,0)))</f>
        <v/>
      </c>
      <c r="J142" s="8">
        <f>IF(ISNA(MATCH(133,'Transfer Engine'!$C$2:$C$630,0)),"",INDEX('Compliance Database'!$J$2:$J$630,MATCH(133,'Transfer Engine'!$C$2:$C$630,0)))</f>
        <v/>
      </c>
      <c r="K142">
        <f>IF(ISNA(MATCH(133,'Transfer Engine'!$C$2:$C$630,0)),"",INDEX('Compliance Database'!$K$2:$K$630,MATCH(133,'Transfer Engine'!$C$2:$C$630,0)))</f>
        <v/>
      </c>
      <c r="L142" s="8">
        <f>IF(ISNA(MATCH(133,'Transfer Engine'!$C$2:$C$630,0)),"",INDEX('Compliance Database'!$L$2:$L$630,MATCH(133,'Transfer Engine'!$C$2:$C$630,0)))</f>
        <v/>
      </c>
      <c r="M142" s="8">
        <f>IF(ISNA(MATCH(133,'Transfer Engine'!$C$2:$C$630,0)),"",INDEX('Compliance Database'!$M$2:$M$630,MATCH(133,'Transfer Engine'!$C$2:$C$630,0)))</f>
        <v/>
      </c>
      <c r="N142" s="8">
        <f>IF(ISNA(MATCH(133,'Transfer Engine'!$C$2:$C$630,0)),"",INDEX('Compliance Database'!$N$2:$N$630,MATCH(133,'Transfer Engine'!$C$2:$C$630,0)))</f>
        <v/>
      </c>
      <c r="O142" s="8">
        <f>IF(ISNA(MATCH(133,'Transfer Engine'!$C$2:$C$630,0)),"",INDEX('Compliance Database'!$O$2:$O$630,MATCH(133,'Transfer Engine'!$C$2:$C$630,0)))</f>
        <v/>
      </c>
    </row>
    <row r="143">
      <c r="A143">
        <f>IF(ISNA(MATCH(134,'Transfer Engine'!$C$2:$C$630,0)),"",INDEX('Compliance Database'!$A$2:$A$630,MATCH(134,'Transfer Engine'!$C$2:$C$630,0)))</f>
        <v/>
      </c>
      <c r="B143">
        <f>IF(ISNA(MATCH(134,'Transfer Engine'!$C$2:$C$630,0)),"",INDEX('Compliance Database'!$B$2:$B$630,MATCH(134,'Transfer Engine'!$C$2:$C$630,0)))</f>
        <v/>
      </c>
      <c r="C143">
        <f>IF(ISNA(MATCH(134,'Transfer Engine'!$C$2:$C$630,0)),"",INDEX('Compliance Database'!$C$2:$C$630,MATCH(134,'Transfer Engine'!$C$2:$C$630,0)))</f>
        <v/>
      </c>
      <c r="D143" s="8">
        <f>IF(ISNA(MATCH(134,'Transfer Engine'!$C$2:$C$630,0)),"",INDEX('Compliance Database'!$D$2:$D$630,MATCH(134,'Transfer Engine'!$C$2:$C$630,0)))</f>
        <v/>
      </c>
      <c r="E143">
        <f>IF(ISNA(MATCH(134,'Transfer Engine'!$C$2:$C$630,0)),"",INDEX('Compliance Database'!$E$2:$E$630,MATCH(134,'Transfer Engine'!$C$2:$C$630,0)))</f>
        <v/>
      </c>
      <c r="F143">
        <f>IF(ISNA(MATCH(134,'Transfer Engine'!$C$2:$C$630,0)),"",INDEX('Compliance Database'!$F$2:$F$630,MATCH(134,'Transfer Engine'!$C$2:$C$630,0)))</f>
        <v/>
      </c>
      <c r="G143">
        <f>IF(ISNA(MATCH(134,'Transfer Engine'!$C$2:$C$630,0)),"",INDEX('Compliance Database'!$G$2:$G$630,MATCH(134,'Transfer Engine'!$C$2:$C$630,0)))</f>
        <v/>
      </c>
      <c r="H143">
        <f>IF(ISNA(MATCH(134,'Transfer Engine'!$C$2:$C$630,0)),"",INDEX('Compliance Database'!$H$2:$H$630,MATCH(134,'Transfer Engine'!$C$2:$C$630,0)))</f>
        <v/>
      </c>
      <c r="I143" s="8">
        <f>IF(ISNA(MATCH(134,'Transfer Engine'!$C$2:$C$630,0)),"",INDEX('Compliance Database'!$I$2:$I$630,MATCH(134,'Transfer Engine'!$C$2:$C$630,0)))</f>
        <v/>
      </c>
      <c r="J143" s="8">
        <f>IF(ISNA(MATCH(134,'Transfer Engine'!$C$2:$C$630,0)),"",INDEX('Compliance Database'!$J$2:$J$630,MATCH(134,'Transfer Engine'!$C$2:$C$630,0)))</f>
        <v/>
      </c>
      <c r="K143">
        <f>IF(ISNA(MATCH(134,'Transfer Engine'!$C$2:$C$630,0)),"",INDEX('Compliance Database'!$K$2:$K$630,MATCH(134,'Transfer Engine'!$C$2:$C$630,0)))</f>
        <v/>
      </c>
      <c r="L143" s="8">
        <f>IF(ISNA(MATCH(134,'Transfer Engine'!$C$2:$C$630,0)),"",INDEX('Compliance Database'!$L$2:$L$630,MATCH(134,'Transfer Engine'!$C$2:$C$630,0)))</f>
        <v/>
      </c>
      <c r="M143" s="8">
        <f>IF(ISNA(MATCH(134,'Transfer Engine'!$C$2:$C$630,0)),"",INDEX('Compliance Database'!$M$2:$M$630,MATCH(134,'Transfer Engine'!$C$2:$C$630,0)))</f>
        <v/>
      </c>
      <c r="N143" s="8">
        <f>IF(ISNA(MATCH(134,'Transfer Engine'!$C$2:$C$630,0)),"",INDEX('Compliance Database'!$N$2:$N$630,MATCH(134,'Transfer Engine'!$C$2:$C$630,0)))</f>
        <v/>
      </c>
      <c r="O143" s="8">
        <f>IF(ISNA(MATCH(134,'Transfer Engine'!$C$2:$C$630,0)),"",INDEX('Compliance Database'!$O$2:$O$630,MATCH(134,'Transfer Engine'!$C$2:$C$630,0)))</f>
        <v/>
      </c>
    </row>
    <row r="144">
      <c r="A144">
        <f>IF(ISNA(MATCH(135,'Transfer Engine'!$C$2:$C$630,0)),"",INDEX('Compliance Database'!$A$2:$A$630,MATCH(135,'Transfer Engine'!$C$2:$C$630,0)))</f>
        <v/>
      </c>
      <c r="B144">
        <f>IF(ISNA(MATCH(135,'Transfer Engine'!$C$2:$C$630,0)),"",INDEX('Compliance Database'!$B$2:$B$630,MATCH(135,'Transfer Engine'!$C$2:$C$630,0)))</f>
        <v/>
      </c>
      <c r="C144">
        <f>IF(ISNA(MATCH(135,'Transfer Engine'!$C$2:$C$630,0)),"",INDEX('Compliance Database'!$C$2:$C$630,MATCH(135,'Transfer Engine'!$C$2:$C$630,0)))</f>
        <v/>
      </c>
      <c r="D144" s="8">
        <f>IF(ISNA(MATCH(135,'Transfer Engine'!$C$2:$C$630,0)),"",INDEX('Compliance Database'!$D$2:$D$630,MATCH(135,'Transfer Engine'!$C$2:$C$630,0)))</f>
        <v/>
      </c>
      <c r="E144">
        <f>IF(ISNA(MATCH(135,'Transfer Engine'!$C$2:$C$630,0)),"",INDEX('Compliance Database'!$E$2:$E$630,MATCH(135,'Transfer Engine'!$C$2:$C$630,0)))</f>
        <v/>
      </c>
      <c r="F144">
        <f>IF(ISNA(MATCH(135,'Transfer Engine'!$C$2:$C$630,0)),"",INDEX('Compliance Database'!$F$2:$F$630,MATCH(135,'Transfer Engine'!$C$2:$C$630,0)))</f>
        <v/>
      </c>
      <c r="G144">
        <f>IF(ISNA(MATCH(135,'Transfer Engine'!$C$2:$C$630,0)),"",INDEX('Compliance Database'!$G$2:$G$630,MATCH(135,'Transfer Engine'!$C$2:$C$630,0)))</f>
        <v/>
      </c>
      <c r="H144">
        <f>IF(ISNA(MATCH(135,'Transfer Engine'!$C$2:$C$630,0)),"",INDEX('Compliance Database'!$H$2:$H$630,MATCH(135,'Transfer Engine'!$C$2:$C$630,0)))</f>
        <v/>
      </c>
      <c r="I144" s="8">
        <f>IF(ISNA(MATCH(135,'Transfer Engine'!$C$2:$C$630,0)),"",INDEX('Compliance Database'!$I$2:$I$630,MATCH(135,'Transfer Engine'!$C$2:$C$630,0)))</f>
        <v/>
      </c>
      <c r="J144" s="8">
        <f>IF(ISNA(MATCH(135,'Transfer Engine'!$C$2:$C$630,0)),"",INDEX('Compliance Database'!$J$2:$J$630,MATCH(135,'Transfer Engine'!$C$2:$C$630,0)))</f>
        <v/>
      </c>
      <c r="K144">
        <f>IF(ISNA(MATCH(135,'Transfer Engine'!$C$2:$C$630,0)),"",INDEX('Compliance Database'!$K$2:$K$630,MATCH(135,'Transfer Engine'!$C$2:$C$630,0)))</f>
        <v/>
      </c>
      <c r="L144" s="8">
        <f>IF(ISNA(MATCH(135,'Transfer Engine'!$C$2:$C$630,0)),"",INDEX('Compliance Database'!$L$2:$L$630,MATCH(135,'Transfer Engine'!$C$2:$C$630,0)))</f>
        <v/>
      </c>
      <c r="M144" s="8">
        <f>IF(ISNA(MATCH(135,'Transfer Engine'!$C$2:$C$630,0)),"",INDEX('Compliance Database'!$M$2:$M$630,MATCH(135,'Transfer Engine'!$C$2:$C$630,0)))</f>
        <v/>
      </c>
      <c r="N144" s="8">
        <f>IF(ISNA(MATCH(135,'Transfer Engine'!$C$2:$C$630,0)),"",INDEX('Compliance Database'!$N$2:$N$630,MATCH(135,'Transfer Engine'!$C$2:$C$630,0)))</f>
        <v/>
      </c>
      <c r="O144" s="8">
        <f>IF(ISNA(MATCH(135,'Transfer Engine'!$C$2:$C$630,0)),"",INDEX('Compliance Database'!$O$2:$O$630,MATCH(135,'Transfer Engine'!$C$2:$C$630,0)))</f>
        <v/>
      </c>
    </row>
    <row r="145">
      <c r="A145">
        <f>IF(ISNA(MATCH(136,'Transfer Engine'!$C$2:$C$630,0)),"",INDEX('Compliance Database'!$A$2:$A$630,MATCH(136,'Transfer Engine'!$C$2:$C$630,0)))</f>
        <v/>
      </c>
      <c r="B145">
        <f>IF(ISNA(MATCH(136,'Transfer Engine'!$C$2:$C$630,0)),"",INDEX('Compliance Database'!$B$2:$B$630,MATCH(136,'Transfer Engine'!$C$2:$C$630,0)))</f>
        <v/>
      </c>
      <c r="C145">
        <f>IF(ISNA(MATCH(136,'Transfer Engine'!$C$2:$C$630,0)),"",INDEX('Compliance Database'!$C$2:$C$630,MATCH(136,'Transfer Engine'!$C$2:$C$630,0)))</f>
        <v/>
      </c>
      <c r="D145" s="8">
        <f>IF(ISNA(MATCH(136,'Transfer Engine'!$C$2:$C$630,0)),"",INDEX('Compliance Database'!$D$2:$D$630,MATCH(136,'Transfer Engine'!$C$2:$C$630,0)))</f>
        <v/>
      </c>
      <c r="E145">
        <f>IF(ISNA(MATCH(136,'Transfer Engine'!$C$2:$C$630,0)),"",INDEX('Compliance Database'!$E$2:$E$630,MATCH(136,'Transfer Engine'!$C$2:$C$630,0)))</f>
        <v/>
      </c>
      <c r="F145">
        <f>IF(ISNA(MATCH(136,'Transfer Engine'!$C$2:$C$630,0)),"",INDEX('Compliance Database'!$F$2:$F$630,MATCH(136,'Transfer Engine'!$C$2:$C$630,0)))</f>
        <v/>
      </c>
      <c r="G145">
        <f>IF(ISNA(MATCH(136,'Transfer Engine'!$C$2:$C$630,0)),"",INDEX('Compliance Database'!$G$2:$G$630,MATCH(136,'Transfer Engine'!$C$2:$C$630,0)))</f>
        <v/>
      </c>
      <c r="H145">
        <f>IF(ISNA(MATCH(136,'Transfer Engine'!$C$2:$C$630,0)),"",INDEX('Compliance Database'!$H$2:$H$630,MATCH(136,'Transfer Engine'!$C$2:$C$630,0)))</f>
        <v/>
      </c>
      <c r="I145" s="8">
        <f>IF(ISNA(MATCH(136,'Transfer Engine'!$C$2:$C$630,0)),"",INDEX('Compliance Database'!$I$2:$I$630,MATCH(136,'Transfer Engine'!$C$2:$C$630,0)))</f>
        <v/>
      </c>
      <c r="J145" s="8">
        <f>IF(ISNA(MATCH(136,'Transfer Engine'!$C$2:$C$630,0)),"",INDEX('Compliance Database'!$J$2:$J$630,MATCH(136,'Transfer Engine'!$C$2:$C$630,0)))</f>
        <v/>
      </c>
      <c r="K145">
        <f>IF(ISNA(MATCH(136,'Transfer Engine'!$C$2:$C$630,0)),"",INDEX('Compliance Database'!$K$2:$K$630,MATCH(136,'Transfer Engine'!$C$2:$C$630,0)))</f>
        <v/>
      </c>
      <c r="L145" s="8">
        <f>IF(ISNA(MATCH(136,'Transfer Engine'!$C$2:$C$630,0)),"",INDEX('Compliance Database'!$L$2:$L$630,MATCH(136,'Transfer Engine'!$C$2:$C$630,0)))</f>
        <v/>
      </c>
      <c r="M145" s="8">
        <f>IF(ISNA(MATCH(136,'Transfer Engine'!$C$2:$C$630,0)),"",INDEX('Compliance Database'!$M$2:$M$630,MATCH(136,'Transfer Engine'!$C$2:$C$630,0)))</f>
        <v/>
      </c>
      <c r="N145" s="8">
        <f>IF(ISNA(MATCH(136,'Transfer Engine'!$C$2:$C$630,0)),"",INDEX('Compliance Database'!$N$2:$N$630,MATCH(136,'Transfer Engine'!$C$2:$C$630,0)))</f>
        <v/>
      </c>
      <c r="O145" s="8">
        <f>IF(ISNA(MATCH(136,'Transfer Engine'!$C$2:$C$630,0)),"",INDEX('Compliance Database'!$O$2:$O$630,MATCH(136,'Transfer Engine'!$C$2:$C$630,0)))</f>
        <v/>
      </c>
    </row>
    <row r="146">
      <c r="A146">
        <f>IF(ISNA(MATCH(137,'Transfer Engine'!$C$2:$C$630,0)),"",INDEX('Compliance Database'!$A$2:$A$630,MATCH(137,'Transfer Engine'!$C$2:$C$630,0)))</f>
        <v/>
      </c>
      <c r="B146">
        <f>IF(ISNA(MATCH(137,'Transfer Engine'!$C$2:$C$630,0)),"",INDEX('Compliance Database'!$B$2:$B$630,MATCH(137,'Transfer Engine'!$C$2:$C$630,0)))</f>
        <v/>
      </c>
      <c r="C146">
        <f>IF(ISNA(MATCH(137,'Transfer Engine'!$C$2:$C$630,0)),"",INDEX('Compliance Database'!$C$2:$C$630,MATCH(137,'Transfer Engine'!$C$2:$C$630,0)))</f>
        <v/>
      </c>
      <c r="D146" s="8">
        <f>IF(ISNA(MATCH(137,'Transfer Engine'!$C$2:$C$630,0)),"",INDEX('Compliance Database'!$D$2:$D$630,MATCH(137,'Transfer Engine'!$C$2:$C$630,0)))</f>
        <v/>
      </c>
      <c r="E146">
        <f>IF(ISNA(MATCH(137,'Transfer Engine'!$C$2:$C$630,0)),"",INDEX('Compliance Database'!$E$2:$E$630,MATCH(137,'Transfer Engine'!$C$2:$C$630,0)))</f>
        <v/>
      </c>
      <c r="F146">
        <f>IF(ISNA(MATCH(137,'Transfer Engine'!$C$2:$C$630,0)),"",INDEX('Compliance Database'!$F$2:$F$630,MATCH(137,'Transfer Engine'!$C$2:$C$630,0)))</f>
        <v/>
      </c>
      <c r="G146">
        <f>IF(ISNA(MATCH(137,'Transfer Engine'!$C$2:$C$630,0)),"",INDEX('Compliance Database'!$G$2:$G$630,MATCH(137,'Transfer Engine'!$C$2:$C$630,0)))</f>
        <v/>
      </c>
      <c r="H146">
        <f>IF(ISNA(MATCH(137,'Transfer Engine'!$C$2:$C$630,0)),"",INDEX('Compliance Database'!$H$2:$H$630,MATCH(137,'Transfer Engine'!$C$2:$C$630,0)))</f>
        <v/>
      </c>
      <c r="I146" s="8">
        <f>IF(ISNA(MATCH(137,'Transfer Engine'!$C$2:$C$630,0)),"",INDEX('Compliance Database'!$I$2:$I$630,MATCH(137,'Transfer Engine'!$C$2:$C$630,0)))</f>
        <v/>
      </c>
      <c r="J146" s="8">
        <f>IF(ISNA(MATCH(137,'Transfer Engine'!$C$2:$C$630,0)),"",INDEX('Compliance Database'!$J$2:$J$630,MATCH(137,'Transfer Engine'!$C$2:$C$630,0)))</f>
        <v/>
      </c>
      <c r="K146">
        <f>IF(ISNA(MATCH(137,'Transfer Engine'!$C$2:$C$630,0)),"",INDEX('Compliance Database'!$K$2:$K$630,MATCH(137,'Transfer Engine'!$C$2:$C$630,0)))</f>
        <v/>
      </c>
      <c r="L146" s="8">
        <f>IF(ISNA(MATCH(137,'Transfer Engine'!$C$2:$C$630,0)),"",INDEX('Compliance Database'!$L$2:$L$630,MATCH(137,'Transfer Engine'!$C$2:$C$630,0)))</f>
        <v/>
      </c>
      <c r="M146" s="8">
        <f>IF(ISNA(MATCH(137,'Transfer Engine'!$C$2:$C$630,0)),"",INDEX('Compliance Database'!$M$2:$M$630,MATCH(137,'Transfer Engine'!$C$2:$C$630,0)))</f>
        <v/>
      </c>
      <c r="N146" s="8">
        <f>IF(ISNA(MATCH(137,'Transfer Engine'!$C$2:$C$630,0)),"",INDEX('Compliance Database'!$N$2:$N$630,MATCH(137,'Transfer Engine'!$C$2:$C$630,0)))</f>
        <v/>
      </c>
      <c r="O146" s="8">
        <f>IF(ISNA(MATCH(137,'Transfer Engine'!$C$2:$C$630,0)),"",INDEX('Compliance Database'!$O$2:$O$630,MATCH(137,'Transfer Engine'!$C$2:$C$630,0)))</f>
        <v/>
      </c>
    </row>
    <row r="147">
      <c r="A147">
        <f>IF(ISNA(MATCH(138,'Transfer Engine'!$C$2:$C$630,0)),"",INDEX('Compliance Database'!$A$2:$A$630,MATCH(138,'Transfer Engine'!$C$2:$C$630,0)))</f>
        <v/>
      </c>
      <c r="B147">
        <f>IF(ISNA(MATCH(138,'Transfer Engine'!$C$2:$C$630,0)),"",INDEX('Compliance Database'!$B$2:$B$630,MATCH(138,'Transfer Engine'!$C$2:$C$630,0)))</f>
        <v/>
      </c>
      <c r="C147">
        <f>IF(ISNA(MATCH(138,'Transfer Engine'!$C$2:$C$630,0)),"",INDEX('Compliance Database'!$C$2:$C$630,MATCH(138,'Transfer Engine'!$C$2:$C$630,0)))</f>
        <v/>
      </c>
      <c r="D147" s="8">
        <f>IF(ISNA(MATCH(138,'Transfer Engine'!$C$2:$C$630,0)),"",INDEX('Compliance Database'!$D$2:$D$630,MATCH(138,'Transfer Engine'!$C$2:$C$630,0)))</f>
        <v/>
      </c>
      <c r="E147">
        <f>IF(ISNA(MATCH(138,'Transfer Engine'!$C$2:$C$630,0)),"",INDEX('Compliance Database'!$E$2:$E$630,MATCH(138,'Transfer Engine'!$C$2:$C$630,0)))</f>
        <v/>
      </c>
      <c r="F147">
        <f>IF(ISNA(MATCH(138,'Transfer Engine'!$C$2:$C$630,0)),"",INDEX('Compliance Database'!$F$2:$F$630,MATCH(138,'Transfer Engine'!$C$2:$C$630,0)))</f>
        <v/>
      </c>
      <c r="G147">
        <f>IF(ISNA(MATCH(138,'Transfer Engine'!$C$2:$C$630,0)),"",INDEX('Compliance Database'!$G$2:$G$630,MATCH(138,'Transfer Engine'!$C$2:$C$630,0)))</f>
        <v/>
      </c>
      <c r="H147">
        <f>IF(ISNA(MATCH(138,'Transfer Engine'!$C$2:$C$630,0)),"",INDEX('Compliance Database'!$H$2:$H$630,MATCH(138,'Transfer Engine'!$C$2:$C$630,0)))</f>
        <v/>
      </c>
      <c r="I147" s="8">
        <f>IF(ISNA(MATCH(138,'Transfer Engine'!$C$2:$C$630,0)),"",INDEX('Compliance Database'!$I$2:$I$630,MATCH(138,'Transfer Engine'!$C$2:$C$630,0)))</f>
        <v/>
      </c>
      <c r="J147" s="8">
        <f>IF(ISNA(MATCH(138,'Transfer Engine'!$C$2:$C$630,0)),"",INDEX('Compliance Database'!$J$2:$J$630,MATCH(138,'Transfer Engine'!$C$2:$C$630,0)))</f>
        <v/>
      </c>
      <c r="K147">
        <f>IF(ISNA(MATCH(138,'Transfer Engine'!$C$2:$C$630,0)),"",INDEX('Compliance Database'!$K$2:$K$630,MATCH(138,'Transfer Engine'!$C$2:$C$630,0)))</f>
        <v/>
      </c>
      <c r="L147" s="8">
        <f>IF(ISNA(MATCH(138,'Transfer Engine'!$C$2:$C$630,0)),"",INDEX('Compliance Database'!$L$2:$L$630,MATCH(138,'Transfer Engine'!$C$2:$C$630,0)))</f>
        <v/>
      </c>
      <c r="M147" s="8">
        <f>IF(ISNA(MATCH(138,'Transfer Engine'!$C$2:$C$630,0)),"",INDEX('Compliance Database'!$M$2:$M$630,MATCH(138,'Transfer Engine'!$C$2:$C$630,0)))</f>
        <v/>
      </c>
      <c r="N147" s="8">
        <f>IF(ISNA(MATCH(138,'Transfer Engine'!$C$2:$C$630,0)),"",INDEX('Compliance Database'!$N$2:$N$630,MATCH(138,'Transfer Engine'!$C$2:$C$630,0)))</f>
        <v/>
      </c>
      <c r="O147" s="8">
        <f>IF(ISNA(MATCH(138,'Transfer Engine'!$C$2:$C$630,0)),"",INDEX('Compliance Database'!$O$2:$O$630,MATCH(138,'Transfer Engine'!$C$2:$C$630,0)))</f>
        <v/>
      </c>
    </row>
    <row r="148">
      <c r="A148">
        <f>IF(ISNA(MATCH(139,'Transfer Engine'!$C$2:$C$630,0)),"",INDEX('Compliance Database'!$A$2:$A$630,MATCH(139,'Transfer Engine'!$C$2:$C$630,0)))</f>
        <v/>
      </c>
      <c r="B148">
        <f>IF(ISNA(MATCH(139,'Transfer Engine'!$C$2:$C$630,0)),"",INDEX('Compliance Database'!$B$2:$B$630,MATCH(139,'Transfer Engine'!$C$2:$C$630,0)))</f>
        <v/>
      </c>
      <c r="C148">
        <f>IF(ISNA(MATCH(139,'Transfer Engine'!$C$2:$C$630,0)),"",INDEX('Compliance Database'!$C$2:$C$630,MATCH(139,'Transfer Engine'!$C$2:$C$630,0)))</f>
        <v/>
      </c>
      <c r="D148" s="8">
        <f>IF(ISNA(MATCH(139,'Transfer Engine'!$C$2:$C$630,0)),"",INDEX('Compliance Database'!$D$2:$D$630,MATCH(139,'Transfer Engine'!$C$2:$C$630,0)))</f>
        <v/>
      </c>
      <c r="E148">
        <f>IF(ISNA(MATCH(139,'Transfer Engine'!$C$2:$C$630,0)),"",INDEX('Compliance Database'!$E$2:$E$630,MATCH(139,'Transfer Engine'!$C$2:$C$630,0)))</f>
        <v/>
      </c>
      <c r="F148">
        <f>IF(ISNA(MATCH(139,'Transfer Engine'!$C$2:$C$630,0)),"",INDEX('Compliance Database'!$F$2:$F$630,MATCH(139,'Transfer Engine'!$C$2:$C$630,0)))</f>
        <v/>
      </c>
      <c r="G148">
        <f>IF(ISNA(MATCH(139,'Transfer Engine'!$C$2:$C$630,0)),"",INDEX('Compliance Database'!$G$2:$G$630,MATCH(139,'Transfer Engine'!$C$2:$C$630,0)))</f>
        <v/>
      </c>
      <c r="H148">
        <f>IF(ISNA(MATCH(139,'Transfer Engine'!$C$2:$C$630,0)),"",INDEX('Compliance Database'!$H$2:$H$630,MATCH(139,'Transfer Engine'!$C$2:$C$630,0)))</f>
        <v/>
      </c>
      <c r="I148" s="8">
        <f>IF(ISNA(MATCH(139,'Transfer Engine'!$C$2:$C$630,0)),"",INDEX('Compliance Database'!$I$2:$I$630,MATCH(139,'Transfer Engine'!$C$2:$C$630,0)))</f>
        <v/>
      </c>
      <c r="J148" s="8">
        <f>IF(ISNA(MATCH(139,'Transfer Engine'!$C$2:$C$630,0)),"",INDEX('Compliance Database'!$J$2:$J$630,MATCH(139,'Transfer Engine'!$C$2:$C$630,0)))</f>
        <v/>
      </c>
      <c r="K148">
        <f>IF(ISNA(MATCH(139,'Transfer Engine'!$C$2:$C$630,0)),"",INDEX('Compliance Database'!$K$2:$K$630,MATCH(139,'Transfer Engine'!$C$2:$C$630,0)))</f>
        <v/>
      </c>
      <c r="L148" s="8">
        <f>IF(ISNA(MATCH(139,'Transfer Engine'!$C$2:$C$630,0)),"",INDEX('Compliance Database'!$L$2:$L$630,MATCH(139,'Transfer Engine'!$C$2:$C$630,0)))</f>
        <v/>
      </c>
      <c r="M148" s="8">
        <f>IF(ISNA(MATCH(139,'Transfer Engine'!$C$2:$C$630,0)),"",INDEX('Compliance Database'!$M$2:$M$630,MATCH(139,'Transfer Engine'!$C$2:$C$630,0)))</f>
        <v/>
      </c>
      <c r="N148" s="8">
        <f>IF(ISNA(MATCH(139,'Transfer Engine'!$C$2:$C$630,0)),"",INDEX('Compliance Database'!$N$2:$N$630,MATCH(139,'Transfer Engine'!$C$2:$C$630,0)))</f>
        <v/>
      </c>
      <c r="O148" s="8">
        <f>IF(ISNA(MATCH(139,'Transfer Engine'!$C$2:$C$630,0)),"",INDEX('Compliance Database'!$O$2:$O$630,MATCH(139,'Transfer Engine'!$C$2:$C$630,0)))</f>
        <v/>
      </c>
    </row>
    <row r="149">
      <c r="A149">
        <f>IF(ISNA(MATCH(140,'Transfer Engine'!$C$2:$C$630,0)),"",INDEX('Compliance Database'!$A$2:$A$630,MATCH(140,'Transfer Engine'!$C$2:$C$630,0)))</f>
        <v/>
      </c>
      <c r="B149">
        <f>IF(ISNA(MATCH(140,'Transfer Engine'!$C$2:$C$630,0)),"",INDEX('Compliance Database'!$B$2:$B$630,MATCH(140,'Transfer Engine'!$C$2:$C$630,0)))</f>
        <v/>
      </c>
      <c r="C149">
        <f>IF(ISNA(MATCH(140,'Transfer Engine'!$C$2:$C$630,0)),"",INDEX('Compliance Database'!$C$2:$C$630,MATCH(140,'Transfer Engine'!$C$2:$C$630,0)))</f>
        <v/>
      </c>
      <c r="D149" s="8">
        <f>IF(ISNA(MATCH(140,'Transfer Engine'!$C$2:$C$630,0)),"",INDEX('Compliance Database'!$D$2:$D$630,MATCH(140,'Transfer Engine'!$C$2:$C$630,0)))</f>
        <v/>
      </c>
      <c r="E149">
        <f>IF(ISNA(MATCH(140,'Transfer Engine'!$C$2:$C$630,0)),"",INDEX('Compliance Database'!$E$2:$E$630,MATCH(140,'Transfer Engine'!$C$2:$C$630,0)))</f>
        <v/>
      </c>
      <c r="F149">
        <f>IF(ISNA(MATCH(140,'Transfer Engine'!$C$2:$C$630,0)),"",INDEX('Compliance Database'!$F$2:$F$630,MATCH(140,'Transfer Engine'!$C$2:$C$630,0)))</f>
        <v/>
      </c>
      <c r="G149">
        <f>IF(ISNA(MATCH(140,'Transfer Engine'!$C$2:$C$630,0)),"",INDEX('Compliance Database'!$G$2:$G$630,MATCH(140,'Transfer Engine'!$C$2:$C$630,0)))</f>
        <v/>
      </c>
      <c r="H149">
        <f>IF(ISNA(MATCH(140,'Transfer Engine'!$C$2:$C$630,0)),"",INDEX('Compliance Database'!$H$2:$H$630,MATCH(140,'Transfer Engine'!$C$2:$C$630,0)))</f>
        <v/>
      </c>
      <c r="I149" s="8">
        <f>IF(ISNA(MATCH(140,'Transfer Engine'!$C$2:$C$630,0)),"",INDEX('Compliance Database'!$I$2:$I$630,MATCH(140,'Transfer Engine'!$C$2:$C$630,0)))</f>
        <v/>
      </c>
      <c r="J149" s="8">
        <f>IF(ISNA(MATCH(140,'Transfer Engine'!$C$2:$C$630,0)),"",INDEX('Compliance Database'!$J$2:$J$630,MATCH(140,'Transfer Engine'!$C$2:$C$630,0)))</f>
        <v/>
      </c>
      <c r="K149">
        <f>IF(ISNA(MATCH(140,'Transfer Engine'!$C$2:$C$630,0)),"",INDEX('Compliance Database'!$K$2:$K$630,MATCH(140,'Transfer Engine'!$C$2:$C$630,0)))</f>
        <v/>
      </c>
      <c r="L149" s="8">
        <f>IF(ISNA(MATCH(140,'Transfer Engine'!$C$2:$C$630,0)),"",INDEX('Compliance Database'!$L$2:$L$630,MATCH(140,'Transfer Engine'!$C$2:$C$630,0)))</f>
        <v/>
      </c>
      <c r="M149" s="8">
        <f>IF(ISNA(MATCH(140,'Transfer Engine'!$C$2:$C$630,0)),"",INDEX('Compliance Database'!$M$2:$M$630,MATCH(140,'Transfer Engine'!$C$2:$C$630,0)))</f>
        <v/>
      </c>
      <c r="N149" s="8">
        <f>IF(ISNA(MATCH(140,'Transfer Engine'!$C$2:$C$630,0)),"",INDEX('Compliance Database'!$N$2:$N$630,MATCH(140,'Transfer Engine'!$C$2:$C$630,0)))</f>
        <v/>
      </c>
      <c r="O149" s="8">
        <f>IF(ISNA(MATCH(140,'Transfer Engine'!$C$2:$C$630,0)),"",INDEX('Compliance Database'!$O$2:$O$630,MATCH(140,'Transfer Engine'!$C$2:$C$630,0)))</f>
        <v/>
      </c>
    </row>
    <row r="150">
      <c r="A150">
        <f>IF(ISNA(MATCH(141,'Transfer Engine'!$C$2:$C$630,0)),"",INDEX('Compliance Database'!$A$2:$A$630,MATCH(141,'Transfer Engine'!$C$2:$C$630,0)))</f>
        <v/>
      </c>
      <c r="B150">
        <f>IF(ISNA(MATCH(141,'Transfer Engine'!$C$2:$C$630,0)),"",INDEX('Compliance Database'!$B$2:$B$630,MATCH(141,'Transfer Engine'!$C$2:$C$630,0)))</f>
        <v/>
      </c>
      <c r="C150">
        <f>IF(ISNA(MATCH(141,'Transfer Engine'!$C$2:$C$630,0)),"",INDEX('Compliance Database'!$C$2:$C$630,MATCH(141,'Transfer Engine'!$C$2:$C$630,0)))</f>
        <v/>
      </c>
      <c r="D150" s="8">
        <f>IF(ISNA(MATCH(141,'Transfer Engine'!$C$2:$C$630,0)),"",INDEX('Compliance Database'!$D$2:$D$630,MATCH(141,'Transfer Engine'!$C$2:$C$630,0)))</f>
        <v/>
      </c>
      <c r="E150">
        <f>IF(ISNA(MATCH(141,'Transfer Engine'!$C$2:$C$630,0)),"",INDEX('Compliance Database'!$E$2:$E$630,MATCH(141,'Transfer Engine'!$C$2:$C$630,0)))</f>
        <v/>
      </c>
      <c r="F150">
        <f>IF(ISNA(MATCH(141,'Transfer Engine'!$C$2:$C$630,0)),"",INDEX('Compliance Database'!$F$2:$F$630,MATCH(141,'Transfer Engine'!$C$2:$C$630,0)))</f>
        <v/>
      </c>
      <c r="G150">
        <f>IF(ISNA(MATCH(141,'Transfer Engine'!$C$2:$C$630,0)),"",INDEX('Compliance Database'!$G$2:$G$630,MATCH(141,'Transfer Engine'!$C$2:$C$630,0)))</f>
        <v/>
      </c>
      <c r="H150">
        <f>IF(ISNA(MATCH(141,'Transfer Engine'!$C$2:$C$630,0)),"",INDEX('Compliance Database'!$H$2:$H$630,MATCH(141,'Transfer Engine'!$C$2:$C$630,0)))</f>
        <v/>
      </c>
      <c r="I150" s="8">
        <f>IF(ISNA(MATCH(141,'Transfer Engine'!$C$2:$C$630,0)),"",INDEX('Compliance Database'!$I$2:$I$630,MATCH(141,'Transfer Engine'!$C$2:$C$630,0)))</f>
        <v/>
      </c>
      <c r="J150" s="8">
        <f>IF(ISNA(MATCH(141,'Transfer Engine'!$C$2:$C$630,0)),"",INDEX('Compliance Database'!$J$2:$J$630,MATCH(141,'Transfer Engine'!$C$2:$C$630,0)))</f>
        <v/>
      </c>
      <c r="K150">
        <f>IF(ISNA(MATCH(141,'Transfer Engine'!$C$2:$C$630,0)),"",INDEX('Compliance Database'!$K$2:$K$630,MATCH(141,'Transfer Engine'!$C$2:$C$630,0)))</f>
        <v/>
      </c>
      <c r="L150" s="8">
        <f>IF(ISNA(MATCH(141,'Transfer Engine'!$C$2:$C$630,0)),"",INDEX('Compliance Database'!$L$2:$L$630,MATCH(141,'Transfer Engine'!$C$2:$C$630,0)))</f>
        <v/>
      </c>
      <c r="M150" s="8">
        <f>IF(ISNA(MATCH(141,'Transfer Engine'!$C$2:$C$630,0)),"",INDEX('Compliance Database'!$M$2:$M$630,MATCH(141,'Transfer Engine'!$C$2:$C$630,0)))</f>
        <v/>
      </c>
      <c r="N150" s="8">
        <f>IF(ISNA(MATCH(141,'Transfer Engine'!$C$2:$C$630,0)),"",INDEX('Compliance Database'!$N$2:$N$630,MATCH(141,'Transfer Engine'!$C$2:$C$630,0)))</f>
        <v/>
      </c>
      <c r="O150" s="8">
        <f>IF(ISNA(MATCH(141,'Transfer Engine'!$C$2:$C$630,0)),"",INDEX('Compliance Database'!$O$2:$O$630,MATCH(141,'Transfer Engine'!$C$2:$C$630,0)))</f>
        <v/>
      </c>
    </row>
    <row r="151">
      <c r="A151">
        <f>IF(ISNA(MATCH(142,'Transfer Engine'!$C$2:$C$630,0)),"",INDEX('Compliance Database'!$A$2:$A$630,MATCH(142,'Transfer Engine'!$C$2:$C$630,0)))</f>
        <v/>
      </c>
      <c r="B151">
        <f>IF(ISNA(MATCH(142,'Transfer Engine'!$C$2:$C$630,0)),"",INDEX('Compliance Database'!$B$2:$B$630,MATCH(142,'Transfer Engine'!$C$2:$C$630,0)))</f>
        <v/>
      </c>
      <c r="C151">
        <f>IF(ISNA(MATCH(142,'Transfer Engine'!$C$2:$C$630,0)),"",INDEX('Compliance Database'!$C$2:$C$630,MATCH(142,'Transfer Engine'!$C$2:$C$630,0)))</f>
        <v/>
      </c>
      <c r="D151" s="8">
        <f>IF(ISNA(MATCH(142,'Transfer Engine'!$C$2:$C$630,0)),"",INDEX('Compliance Database'!$D$2:$D$630,MATCH(142,'Transfer Engine'!$C$2:$C$630,0)))</f>
        <v/>
      </c>
      <c r="E151">
        <f>IF(ISNA(MATCH(142,'Transfer Engine'!$C$2:$C$630,0)),"",INDEX('Compliance Database'!$E$2:$E$630,MATCH(142,'Transfer Engine'!$C$2:$C$630,0)))</f>
        <v/>
      </c>
      <c r="F151">
        <f>IF(ISNA(MATCH(142,'Transfer Engine'!$C$2:$C$630,0)),"",INDEX('Compliance Database'!$F$2:$F$630,MATCH(142,'Transfer Engine'!$C$2:$C$630,0)))</f>
        <v/>
      </c>
      <c r="G151">
        <f>IF(ISNA(MATCH(142,'Transfer Engine'!$C$2:$C$630,0)),"",INDEX('Compliance Database'!$G$2:$G$630,MATCH(142,'Transfer Engine'!$C$2:$C$630,0)))</f>
        <v/>
      </c>
      <c r="H151">
        <f>IF(ISNA(MATCH(142,'Transfer Engine'!$C$2:$C$630,0)),"",INDEX('Compliance Database'!$H$2:$H$630,MATCH(142,'Transfer Engine'!$C$2:$C$630,0)))</f>
        <v/>
      </c>
      <c r="I151" s="8">
        <f>IF(ISNA(MATCH(142,'Transfer Engine'!$C$2:$C$630,0)),"",INDEX('Compliance Database'!$I$2:$I$630,MATCH(142,'Transfer Engine'!$C$2:$C$630,0)))</f>
        <v/>
      </c>
      <c r="J151" s="8">
        <f>IF(ISNA(MATCH(142,'Transfer Engine'!$C$2:$C$630,0)),"",INDEX('Compliance Database'!$J$2:$J$630,MATCH(142,'Transfer Engine'!$C$2:$C$630,0)))</f>
        <v/>
      </c>
      <c r="K151">
        <f>IF(ISNA(MATCH(142,'Transfer Engine'!$C$2:$C$630,0)),"",INDEX('Compliance Database'!$K$2:$K$630,MATCH(142,'Transfer Engine'!$C$2:$C$630,0)))</f>
        <v/>
      </c>
      <c r="L151" s="8">
        <f>IF(ISNA(MATCH(142,'Transfer Engine'!$C$2:$C$630,0)),"",INDEX('Compliance Database'!$L$2:$L$630,MATCH(142,'Transfer Engine'!$C$2:$C$630,0)))</f>
        <v/>
      </c>
      <c r="M151" s="8">
        <f>IF(ISNA(MATCH(142,'Transfer Engine'!$C$2:$C$630,0)),"",INDEX('Compliance Database'!$M$2:$M$630,MATCH(142,'Transfer Engine'!$C$2:$C$630,0)))</f>
        <v/>
      </c>
      <c r="N151" s="8">
        <f>IF(ISNA(MATCH(142,'Transfer Engine'!$C$2:$C$630,0)),"",INDEX('Compliance Database'!$N$2:$N$630,MATCH(142,'Transfer Engine'!$C$2:$C$630,0)))</f>
        <v/>
      </c>
      <c r="O151" s="8">
        <f>IF(ISNA(MATCH(142,'Transfer Engine'!$C$2:$C$630,0)),"",INDEX('Compliance Database'!$O$2:$O$630,MATCH(142,'Transfer Engine'!$C$2:$C$630,0)))</f>
        <v/>
      </c>
    </row>
    <row r="152">
      <c r="A152">
        <f>IF(ISNA(MATCH(143,'Transfer Engine'!$C$2:$C$630,0)),"",INDEX('Compliance Database'!$A$2:$A$630,MATCH(143,'Transfer Engine'!$C$2:$C$630,0)))</f>
        <v/>
      </c>
      <c r="B152">
        <f>IF(ISNA(MATCH(143,'Transfer Engine'!$C$2:$C$630,0)),"",INDEX('Compliance Database'!$B$2:$B$630,MATCH(143,'Transfer Engine'!$C$2:$C$630,0)))</f>
        <v/>
      </c>
      <c r="C152">
        <f>IF(ISNA(MATCH(143,'Transfer Engine'!$C$2:$C$630,0)),"",INDEX('Compliance Database'!$C$2:$C$630,MATCH(143,'Transfer Engine'!$C$2:$C$630,0)))</f>
        <v/>
      </c>
      <c r="D152" s="8">
        <f>IF(ISNA(MATCH(143,'Transfer Engine'!$C$2:$C$630,0)),"",INDEX('Compliance Database'!$D$2:$D$630,MATCH(143,'Transfer Engine'!$C$2:$C$630,0)))</f>
        <v/>
      </c>
      <c r="E152">
        <f>IF(ISNA(MATCH(143,'Transfer Engine'!$C$2:$C$630,0)),"",INDEX('Compliance Database'!$E$2:$E$630,MATCH(143,'Transfer Engine'!$C$2:$C$630,0)))</f>
        <v/>
      </c>
      <c r="F152">
        <f>IF(ISNA(MATCH(143,'Transfer Engine'!$C$2:$C$630,0)),"",INDEX('Compliance Database'!$F$2:$F$630,MATCH(143,'Transfer Engine'!$C$2:$C$630,0)))</f>
        <v/>
      </c>
      <c r="G152">
        <f>IF(ISNA(MATCH(143,'Transfer Engine'!$C$2:$C$630,0)),"",INDEX('Compliance Database'!$G$2:$G$630,MATCH(143,'Transfer Engine'!$C$2:$C$630,0)))</f>
        <v/>
      </c>
      <c r="H152">
        <f>IF(ISNA(MATCH(143,'Transfer Engine'!$C$2:$C$630,0)),"",INDEX('Compliance Database'!$H$2:$H$630,MATCH(143,'Transfer Engine'!$C$2:$C$630,0)))</f>
        <v/>
      </c>
      <c r="I152" s="8">
        <f>IF(ISNA(MATCH(143,'Transfer Engine'!$C$2:$C$630,0)),"",INDEX('Compliance Database'!$I$2:$I$630,MATCH(143,'Transfer Engine'!$C$2:$C$630,0)))</f>
        <v/>
      </c>
      <c r="J152" s="8">
        <f>IF(ISNA(MATCH(143,'Transfer Engine'!$C$2:$C$630,0)),"",INDEX('Compliance Database'!$J$2:$J$630,MATCH(143,'Transfer Engine'!$C$2:$C$630,0)))</f>
        <v/>
      </c>
      <c r="K152">
        <f>IF(ISNA(MATCH(143,'Transfer Engine'!$C$2:$C$630,0)),"",INDEX('Compliance Database'!$K$2:$K$630,MATCH(143,'Transfer Engine'!$C$2:$C$630,0)))</f>
        <v/>
      </c>
      <c r="L152" s="8">
        <f>IF(ISNA(MATCH(143,'Transfer Engine'!$C$2:$C$630,0)),"",INDEX('Compliance Database'!$L$2:$L$630,MATCH(143,'Transfer Engine'!$C$2:$C$630,0)))</f>
        <v/>
      </c>
      <c r="M152" s="8">
        <f>IF(ISNA(MATCH(143,'Transfer Engine'!$C$2:$C$630,0)),"",INDEX('Compliance Database'!$M$2:$M$630,MATCH(143,'Transfer Engine'!$C$2:$C$630,0)))</f>
        <v/>
      </c>
      <c r="N152" s="8">
        <f>IF(ISNA(MATCH(143,'Transfer Engine'!$C$2:$C$630,0)),"",INDEX('Compliance Database'!$N$2:$N$630,MATCH(143,'Transfer Engine'!$C$2:$C$630,0)))</f>
        <v/>
      </c>
      <c r="O152" s="8">
        <f>IF(ISNA(MATCH(143,'Transfer Engine'!$C$2:$C$630,0)),"",INDEX('Compliance Database'!$O$2:$O$630,MATCH(143,'Transfer Engine'!$C$2:$C$630,0)))</f>
        <v/>
      </c>
    </row>
    <row r="153">
      <c r="A153">
        <f>IF(ISNA(MATCH(144,'Transfer Engine'!$C$2:$C$630,0)),"",INDEX('Compliance Database'!$A$2:$A$630,MATCH(144,'Transfer Engine'!$C$2:$C$630,0)))</f>
        <v/>
      </c>
      <c r="B153">
        <f>IF(ISNA(MATCH(144,'Transfer Engine'!$C$2:$C$630,0)),"",INDEX('Compliance Database'!$B$2:$B$630,MATCH(144,'Transfer Engine'!$C$2:$C$630,0)))</f>
        <v/>
      </c>
      <c r="C153">
        <f>IF(ISNA(MATCH(144,'Transfer Engine'!$C$2:$C$630,0)),"",INDEX('Compliance Database'!$C$2:$C$630,MATCH(144,'Transfer Engine'!$C$2:$C$630,0)))</f>
        <v/>
      </c>
      <c r="D153" s="8">
        <f>IF(ISNA(MATCH(144,'Transfer Engine'!$C$2:$C$630,0)),"",INDEX('Compliance Database'!$D$2:$D$630,MATCH(144,'Transfer Engine'!$C$2:$C$630,0)))</f>
        <v/>
      </c>
      <c r="E153">
        <f>IF(ISNA(MATCH(144,'Transfer Engine'!$C$2:$C$630,0)),"",INDEX('Compliance Database'!$E$2:$E$630,MATCH(144,'Transfer Engine'!$C$2:$C$630,0)))</f>
        <v/>
      </c>
      <c r="F153">
        <f>IF(ISNA(MATCH(144,'Transfer Engine'!$C$2:$C$630,0)),"",INDEX('Compliance Database'!$F$2:$F$630,MATCH(144,'Transfer Engine'!$C$2:$C$630,0)))</f>
        <v/>
      </c>
      <c r="G153">
        <f>IF(ISNA(MATCH(144,'Transfer Engine'!$C$2:$C$630,0)),"",INDEX('Compliance Database'!$G$2:$G$630,MATCH(144,'Transfer Engine'!$C$2:$C$630,0)))</f>
        <v/>
      </c>
      <c r="H153">
        <f>IF(ISNA(MATCH(144,'Transfer Engine'!$C$2:$C$630,0)),"",INDEX('Compliance Database'!$H$2:$H$630,MATCH(144,'Transfer Engine'!$C$2:$C$630,0)))</f>
        <v/>
      </c>
      <c r="I153" s="8">
        <f>IF(ISNA(MATCH(144,'Transfer Engine'!$C$2:$C$630,0)),"",INDEX('Compliance Database'!$I$2:$I$630,MATCH(144,'Transfer Engine'!$C$2:$C$630,0)))</f>
        <v/>
      </c>
      <c r="J153" s="8">
        <f>IF(ISNA(MATCH(144,'Transfer Engine'!$C$2:$C$630,0)),"",INDEX('Compliance Database'!$J$2:$J$630,MATCH(144,'Transfer Engine'!$C$2:$C$630,0)))</f>
        <v/>
      </c>
      <c r="K153">
        <f>IF(ISNA(MATCH(144,'Transfer Engine'!$C$2:$C$630,0)),"",INDEX('Compliance Database'!$K$2:$K$630,MATCH(144,'Transfer Engine'!$C$2:$C$630,0)))</f>
        <v/>
      </c>
      <c r="L153" s="8">
        <f>IF(ISNA(MATCH(144,'Transfer Engine'!$C$2:$C$630,0)),"",INDEX('Compliance Database'!$L$2:$L$630,MATCH(144,'Transfer Engine'!$C$2:$C$630,0)))</f>
        <v/>
      </c>
      <c r="M153" s="8">
        <f>IF(ISNA(MATCH(144,'Transfer Engine'!$C$2:$C$630,0)),"",INDEX('Compliance Database'!$M$2:$M$630,MATCH(144,'Transfer Engine'!$C$2:$C$630,0)))</f>
        <v/>
      </c>
      <c r="N153" s="8">
        <f>IF(ISNA(MATCH(144,'Transfer Engine'!$C$2:$C$630,0)),"",INDEX('Compliance Database'!$N$2:$N$630,MATCH(144,'Transfer Engine'!$C$2:$C$630,0)))</f>
        <v/>
      </c>
      <c r="O153" s="8">
        <f>IF(ISNA(MATCH(144,'Transfer Engine'!$C$2:$C$630,0)),"",INDEX('Compliance Database'!$O$2:$O$630,MATCH(144,'Transfer Engine'!$C$2:$C$630,0)))</f>
        <v/>
      </c>
    </row>
    <row r="154">
      <c r="A154">
        <f>IF(ISNA(MATCH(145,'Transfer Engine'!$C$2:$C$630,0)),"",INDEX('Compliance Database'!$A$2:$A$630,MATCH(145,'Transfer Engine'!$C$2:$C$630,0)))</f>
        <v/>
      </c>
      <c r="B154">
        <f>IF(ISNA(MATCH(145,'Transfer Engine'!$C$2:$C$630,0)),"",INDEX('Compliance Database'!$B$2:$B$630,MATCH(145,'Transfer Engine'!$C$2:$C$630,0)))</f>
        <v/>
      </c>
      <c r="C154">
        <f>IF(ISNA(MATCH(145,'Transfer Engine'!$C$2:$C$630,0)),"",INDEX('Compliance Database'!$C$2:$C$630,MATCH(145,'Transfer Engine'!$C$2:$C$630,0)))</f>
        <v/>
      </c>
      <c r="D154" s="8">
        <f>IF(ISNA(MATCH(145,'Transfer Engine'!$C$2:$C$630,0)),"",INDEX('Compliance Database'!$D$2:$D$630,MATCH(145,'Transfer Engine'!$C$2:$C$630,0)))</f>
        <v/>
      </c>
      <c r="E154">
        <f>IF(ISNA(MATCH(145,'Transfer Engine'!$C$2:$C$630,0)),"",INDEX('Compliance Database'!$E$2:$E$630,MATCH(145,'Transfer Engine'!$C$2:$C$630,0)))</f>
        <v/>
      </c>
      <c r="F154">
        <f>IF(ISNA(MATCH(145,'Transfer Engine'!$C$2:$C$630,0)),"",INDEX('Compliance Database'!$F$2:$F$630,MATCH(145,'Transfer Engine'!$C$2:$C$630,0)))</f>
        <v/>
      </c>
      <c r="G154">
        <f>IF(ISNA(MATCH(145,'Transfer Engine'!$C$2:$C$630,0)),"",INDEX('Compliance Database'!$G$2:$G$630,MATCH(145,'Transfer Engine'!$C$2:$C$630,0)))</f>
        <v/>
      </c>
      <c r="H154">
        <f>IF(ISNA(MATCH(145,'Transfer Engine'!$C$2:$C$630,0)),"",INDEX('Compliance Database'!$H$2:$H$630,MATCH(145,'Transfer Engine'!$C$2:$C$630,0)))</f>
        <v/>
      </c>
      <c r="I154" s="8">
        <f>IF(ISNA(MATCH(145,'Transfer Engine'!$C$2:$C$630,0)),"",INDEX('Compliance Database'!$I$2:$I$630,MATCH(145,'Transfer Engine'!$C$2:$C$630,0)))</f>
        <v/>
      </c>
      <c r="J154" s="8">
        <f>IF(ISNA(MATCH(145,'Transfer Engine'!$C$2:$C$630,0)),"",INDEX('Compliance Database'!$J$2:$J$630,MATCH(145,'Transfer Engine'!$C$2:$C$630,0)))</f>
        <v/>
      </c>
      <c r="K154">
        <f>IF(ISNA(MATCH(145,'Transfer Engine'!$C$2:$C$630,0)),"",INDEX('Compliance Database'!$K$2:$K$630,MATCH(145,'Transfer Engine'!$C$2:$C$630,0)))</f>
        <v/>
      </c>
      <c r="L154" s="8">
        <f>IF(ISNA(MATCH(145,'Transfer Engine'!$C$2:$C$630,0)),"",INDEX('Compliance Database'!$L$2:$L$630,MATCH(145,'Transfer Engine'!$C$2:$C$630,0)))</f>
        <v/>
      </c>
      <c r="M154" s="8">
        <f>IF(ISNA(MATCH(145,'Transfer Engine'!$C$2:$C$630,0)),"",INDEX('Compliance Database'!$M$2:$M$630,MATCH(145,'Transfer Engine'!$C$2:$C$630,0)))</f>
        <v/>
      </c>
      <c r="N154" s="8">
        <f>IF(ISNA(MATCH(145,'Transfer Engine'!$C$2:$C$630,0)),"",INDEX('Compliance Database'!$N$2:$N$630,MATCH(145,'Transfer Engine'!$C$2:$C$630,0)))</f>
        <v/>
      </c>
      <c r="O154" s="8">
        <f>IF(ISNA(MATCH(145,'Transfer Engine'!$C$2:$C$630,0)),"",INDEX('Compliance Database'!$O$2:$O$630,MATCH(145,'Transfer Engine'!$C$2:$C$630,0)))</f>
        <v/>
      </c>
    </row>
    <row r="155">
      <c r="A155">
        <f>IF(ISNA(MATCH(146,'Transfer Engine'!$C$2:$C$630,0)),"",INDEX('Compliance Database'!$A$2:$A$630,MATCH(146,'Transfer Engine'!$C$2:$C$630,0)))</f>
        <v/>
      </c>
      <c r="B155">
        <f>IF(ISNA(MATCH(146,'Transfer Engine'!$C$2:$C$630,0)),"",INDEX('Compliance Database'!$B$2:$B$630,MATCH(146,'Transfer Engine'!$C$2:$C$630,0)))</f>
        <v/>
      </c>
      <c r="C155">
        <f>IF(ISNA(MATCH(146,'Transfer Engine'!$C$2:$C$630,0)),"",INDEX('Compliance Database'!$C$2:$C$630,MATCH(146,'Transfer Engine'!$C$2:$C$630,0)))</f>
        <v/>
      </c>
      <c r="D155" s="8">
        <f>IF(ISNA(MATCH(146,'Transfer Engine'!$C$2:$C$630,0)),"",INDEX('Compliance Database'!$D$2:$D$630,MATCH(146,'Transfer Engine'!$C$2:$C$630,0)))</f>
        <v/>
      </c>
      <c r="E155">
        <f>IF(ISNA(MATCH(146,'Transfer Engine'!$C$2:$C$630,0)),"",INDEX('Compliance Database'!$E$2:$E$630,MATCH(146,'Transfer Engine'!$C$2:$C$630,0)))</f>
        <v/>
      </c>
      <c r="F155">
        <f>IF(ISNA(MATCH(146,'Transfer Engine'!$C$2:$C$630,0)),"",INDEX('Compliance Database'!$F$2:$F$630,MATCH(146,'Transfer Engine'!$C$2:$C$630,0)))</f>
        <v/>
      </c>
      <c r="G155">
        <f>IF(ISNA(MATCH(146,'Transfer Engine'!$C$2:$C$630,0)),"",INDEX('Compliance Database'!$G$2:$G$630,MATCH(146,'Transfer Engine'!$C$2:$C$630,0)))</f>
        <v/>
      </c>
      <c r="H155">
        <f>IF(ISNA(MATCH(146,'Transfer Engine'!$C$2:$C$630,0)),"",INDEX('Compliance Database'!$H$2:$H$630,MATCH(146,'Transfer Engine'!$C$2:$C$630,0)))</f>
        <v/>
      </c>
      <c r="I155" s="8">
        <f>IF(ISNA(MATCH(146,'Transfer Engine'!$C$2:$C$630,0)),"",INDEX('Compliance Database'!$I$2:$I$630,MATCH(146,'Transfer Engine'!$C$2:$C$630,0)))</f>
        <v/>
      </c>
      <c r="J155" s="8">
        <f>IF(ISNA(MATCH(146,'Transfer Engine'!$C$2:$C$630,0)),"",INDEX('Compliance Database'!$J$2:$J$630,MATCH(146,'Transfer Engine'!$C$2:$C$630,0)))</f>
        <v/>
      </c>
      <c r="K155">
        <f>IF(ISNA(MATCH(146,'Transfer Engine'!$C$2:$C$630,0)),"",INDEX('Compliance Database'!$K$2:$K$630,MATCH(146,'Transfer Engine'!$C$2:$C$630,0)))</f>
        <v/>
      </c>
      <c r="L155" s="8">
        <f>IF(ISNA(MATCH(146,'Transfer Engine'!$C$2:$C$630,0)),"",INDEX('Compliance Database'!$L$2:$L$630,MATCH(146,'Transfer Engine'!$C$2:$C$630,0)))</f>
        <v/>
      </c>
      <c r="M155" s="8">
        <f>IF(ISNA(MATCH(146,'Transfer Engine'!$C$2:$C$630,0)),"",INDEX('Compliance Database'!$M$2:$M$630,MATCH(146,'Transfer Engine'!$C$2:$C$630,0)))</f>
        <v/>
      </c>
      <c r="N155" s="8">
        <f>IF(ISNA(MATCH(146,'Transfer Engine'!$C$2:$C$630,0)),"",INDEX('Compliance Database'!$N$2:$N$630,MATCH(146,'Transfer Engine'!$C$2:$C$630,0)))</f>
        <v/>
      </c>
      <c r="O155" s="8">
        <f>IF(ISNA(MATCH(146,'Transfer Engine'!$C$2:$C$630,0)),"",INDEX('Compliance Database'!$O$2:$O$630,MATCH(146,'Transfer Engine'!$C$2:$C$630,0)))</f>
        <v/>
      </c>
    </row>
    <row r="156">
      <c r="A156">
        <f>IF(ISNA(MATCH(147,'Transfer Engine'!$C$2:$C$630,0)),"",INDEX('Compliance Database'!$A$2:$A$630,MATCH(147,'Transfer Engine'!$C$2:$C$630,0)))</f>
        <v/>
      </c>
      <c r="B156">
        <f>IF(ISNA(MATCH(147,'Transfer Engine'!$C$2:$C$630,0)),"",INDEX('Compliance Database'!$B$2:$B$630,MATCH(147,'Transfer Engine'!$C$2:$C$630,0)))</f>
        <v/>
      </c>
      <c r="C156">
        <f>IF(ISNA(MATCH(147,'Transfer Engine'!$C$2:$C$630,0)),"",INDEX('Compliance Database'!$C$2:$C$630,MATCH(147,'Transfer Engine'!$C$2:$C$630,0)))</f>
        <v/>
      </c>
      <c r="D156" s="8">
        <f>IF(ISNA(MATCH(147,'Transfer Engine'!$C$2:$C$630,0)),"",INDEX('Compliance Database'!$D$2:$D$630,MATCH(147,'Transfer Engine'!$C$2:$C$630,0)))</f>
        <v/>
      </c>
      <c r="E156">
        <f>IF(ISNA(MATCH(147,'Transfer Engine'!$C$2:$C$630,0)),"",INDEX('Compliance Database'!$E$2:$E$630,MATCH(147,'Transfer Engine'!$C$2:$C$630,0)))</f>
        <v/>
      </c>
      <c r="F156">
        <f>IF(ISNA(MATCH(147,'Transfer Engine'!$C$2:$C$630,0)),"",INDEX('Compliance Database'!$F$2:$F$630,MATCH(147,'Transfer Engine'!$C$2:$C$630,0)))</f>
        <v/>
      </c>
      <c r="G156">
        <f>IF(ISNA(MATCH(147,'Transfer Engine'!$C$2:$C$630,0)),"",INDEX('Compliance Database'!$G$2:$G$630,MATCH(147,'Transfer Engine'!$C$2:$C$630,0)))</f>
        <v/>
      </c>
      <c r="H156">
        <f>IF(ISNA(MATCH(147,'Transfer Engine'!$C$2:$C$630,0)),"",INDEX('Compliance Database'!$H$2:$H$630,MATCH(147,'Transfer Engine'!$C$2:$C$630,0)))</f>
        <v/>
      </c>
      <c r="I156" s="8">
        <f>IF(ISNA(MATCH(147,'Transfer Engine'!$C$2:$C$630,0)),"",INDEX('Compliance Database'!$I$2:$I$630,MATCH(147,'Transfer Engine'!$C$2:$C$630,0)))</f>
        <v/>
      </c>
      <c r="J156" s="8">
        <f>IF(ISNA(MATCH(147,'Transfer Engine'!$C$2:$C$630,0)),"",INDEX('Compliance Database'!$J$2:$J$630,MATCH(147,'Transfer Engine'!$C$2:$C$630,0)))</f>
        <v/>
      </c>
      <c r="K156">
        <f>IF(ISNA(MATCH(147,'Transfer Engine'!$C$2:$C$630,0)),"",INDEX('Compliance Database'!$K$2:$K$630,MATCH(147,'Transfer Engine'!$C$2:$C$630,0)))</f>
        <v/>
      </c>
      <c r="L156" s="8">
        <f>IF(ISNA(MATCH(147,'Transfer Engine'!$C$2:$C$630,0)),"",INDEX('Compliance Database'!$L$2:$L$630,MATCH(147,'Transfer Engine'!$C$2:$C$630,0)))</f>
        <v/>
      </c>
      <c r="M156" s="8">
        <f>IF(ISNA(MATCH(147,'Transfer Engine'!$C$2:$C$630,0)),"",INDEX('Compliance Database'!$M$2:$M$630,MATCH(147,'Transfer Engine'!$C$2:$C$630,0)))</f>
        <v/>
      </c>
      <c r="N156" s="8">
        <f>IF(ISNA(MATCH(147,'Transfer Engine'!$C$2:$C$630,0)),"",INDEX('Compliance Database'!$N$2:$N$630,MATCH(147,'Transfer Engine'!$C$2:$C$630,0)))</f>
        <v/>
      </c>
      <c r="O156" s="8">
        <f>IF(ISNA(MATCH(147,'Transfer Engine'!$C$2:$C$630,0)),"",INDEX('Compliance Database'!$O$2:$O$630,MATCH(147,'Transfer Engine'!$C$2:$C$630,0)))</f>
        <v/>
      </c>
    </row>
    <row r="157">
      <c r="A157">
        <f>IF(ISNA(MATCH(148,'Transfer Engine'!$C$2:$C$630,0)),"",INDEX('Compliance Database'!$A$2:$A$630,MATCH(148,'Transfer Engine'!$C$2:$C$630,0)))</f>
        <v/>
      </c>
      <c r="B157">
        <f>IF(ISNA(MATCH(148,'Transfer Engine'!$C$2:$C$630,0)),"",INDEX('Compliance Database'!$B$2:$B$630,MATCH(148,'Transfer Engine'!$C$2:$C$630,0)))</f>
        <v/>
      </c>
      <c r="C157">
        <f>IF(ISNA(MATCH(148,'Transfer Engine'!$C$2:$C$630,0)),"",INDEX('Compliance Database'!$C$2:$C$630,MATCH(148,'Transfer Engine'!$C$2:$C$630,0)))</f>
        <v/>
      </c>
      <c r="D157" s="8">
        <f>IF(ISNA(MATCH(148,'Transfer Engine'!$C$2:$C$630,0)),"",INDEX('Compliance Database'!$D$2:$D$630,MATCH(148,'Transfer Engine'!$C$2:$C$630,0)))</f>
        <v/>
      </c>
      <c r="E157">
        <f>IF(ISNA(MATCH(148,'Transfer Engine'!$C$2:$C$630,0)),"",INDEX('Compliance Database'!$E$2:$E$630,MATCH(148,'Transfer Engine'!$C$2:$C$630,0)))</f>
        <v/>
      </c>
      <c r="F157">
        <f>IF(ISNA(MATCH(148,'Transfer Engine'!$C$2:$C$630,0)),"",INDEX('Compliance Database'!$F$2:$F$630,MATCH(148,'Transfer Engine'!$C$2:$C$630,0)))</f>
        <v/>
      </c>
      <c r="G157">
        <f>IF(ISNA(MATCH(148,'Transfer Engine'!$C$2:$C$630,0)),"",INDEX('Compliance Database'!$G$2:$G$630,MATCH(148,'Transfer Engine'!$C$2:$C$630,0)))</f>
        <v/>
      </c>
      <c r="H157">
        <f>IF(ISNA(MATCH(148,'Transfer Engine'!$C$2:$C$630,0)),"",INDEX('Compliance Database'!$H$2:$H$630,MATCH(148,'Transfer Engine'!$C$2:$C$630,0)))</f>
        <v/>
      </c>
      <c r="I157" s="8">
        <f>IF(ISNA(MATCH(148,'Transfer Engine'!$C$2:$C$630,0)),"",INDEX('Compliance Database'!$I$2:$I$630,MATCH(148,'Transfer Engine'!$C$2:$C$630,0)))</f>
        <v/>
      </c>
      <c r="J157" s="8">
        <f>IF(ISNA(MATCH(148,'Transfer Engine'!$C$2:$C$630,0)),"",INDEX('Compliance Database'!$J$2:$J$630,MATCH(148,'Transfer Engine'!$C$2:$C$630,0)))</f>
        <v/>
      </c>
      <c r="K157">
        <f>IF(ISNA(MATCH(148,'Transfer Engine'!$C$2:$C$630,0)),"",INDEX('Compliance Database'!$K$2:$K$630,MATCH(148,'Transfer Engine'!$C$2:$C$630,0)))</f>
        <v/>
      </c>
      <c r="L157" s="8">
        <f>IF(ISNA(MATCH(148,'Transfer Engine'!$C$2:$C$630,0)),"",INDEX('Compliance Database'!$L$2:$L$630,MATCH(148,'Transfer Engine'!$C$2:$C$630,0)))</f>
        <v/>
      </c>
      <c r="M157" s="8">
        <f>IF(ISNA(MATCH(148,'Transfer Engine'!$C$2:$C$630,0)),"",INDEX('Compliance Database'!$M$2:$M$630,MATCH(148,'Transfer Engine'!$C$2:$C$630,0)))</f>
        <v/>
      </c>
      <c r="N157" s="8">
        <f>IF(ISNA(MATCH(148,'Transfer Engine'!$C$2:$C$630,0)),"",INDEX('Compliance Database'!$N$2:$N$630,MATCH(148,'Transfer Engine'!$C$2:$C$630,0)))</f>
        <v/>
      </c>
      <c r="O157" s="8">
        <f>IF(ISNA(MATCH(148,'Transfer Engine'!$C$2:$C$630,0)),"",INDEX('Compliance Database'!$O$2:$O$630,MATCH(148,'Transfer Engine'!$C$2:$C$630,0)))</f>
        <v/>
      </c>
    </row>
    <row r="158">
      <c r="A158">
        <f>IF(ISNA(MATCH(149,'Transfer Engine'!$C$2:$C$630,0)),"",INDEX('Compliance Database'!$A$2:$A$630,MATCH(149,'Transfer Engine'!$C$2:$C$630,0)))</f>
        <v/>
      </c>
      <c r="B158">
        <f>IF(ISNA(MATCH(149,'Transfer Engine'!$C$2:$C$630,0)),"",INDEX('Compliance Database'!$B$2:$B$630,MATCH(149,'Transfer Engine'!$C$2:$C$630,0)))</f>
        <v/>
      </c>
      <c r="C158">
        <f>IF(ISNA(MATCH(149,'Transfer Engine'!$C$2:$C$630,0)),"",INDEX('Compliance Database'!$C$2:$C$630,MATCH(149,'Transfer Engine'!$C$2:$C$630,0)))</f>
        <v/>
      </c>
      <c r="D158" s="8">
        <f>IF(ISNA(MATCH(149,'Transfer Engine'!$C$2:$C$630,0)),"",INDEX('Compliance Database'!$D$2:$D$630,MATCH(149,'Transfer Engine'!$C$2:$C$630,0)))</f>
        <v/>
      </c>
      <c r="E158">
        <f>IF(ISNA(MATCH(149,'Transfer Engine'!$C$2:$C$630,0)),"",INDEX('Compliance Database'!$E$2:$E$630,MATCH(149,'Transfer Engine'!$C$2:$C$630,0)))</f>
        <v/>
      </c>
      <c r="F158">
        <f>IF(ISNA(MATCH(149,'Transfer Engine'!$C$2:$C$630,0)),"",INDEX('Compliance Database'!$F$2:$F$630,MATCH(149,'Transfer Engine'!$C$2:$C$630,0)))</f>
        <v/>
      </c>
      <c r="G158">
        <f>IF(ISNA(MATCH(149,'Transfer Engine'!$C$2:$C$630,0)),"",INDEX('Compliance Database'!$G$2:$G$630,MATCH(149,'Transfer Engine'!$C$2:$C$630,0)))</f>
        <v/>
      </c>
      <c r="H158">
        <f>IF(ISNA(MATCH(149,'Transfer Engine'!$C$2:$C$630,0)),"",INDEX('Compliance Database'!$H$2:$H$630,MATCH(149,'Transfer Engine'!$C$2:$C$630,0)))</f>
        <v/>
      </c>
      <c r="I158" s="8">
        <f>IF(ISNA(MATCH(149,'Transfer Engine'!$C$2:$C$630,0)),"",INDEX('Compliance Database'!$I$2:$I$630,MATCH(149,'Transfer Engine'!$C$2:$C$630,0)))</f>
        <v/>
      </c>
      <c r="J158" s="8">
        <f>IF(ISNA(MATCH(149,'Transfer Engine'!$C$2:$C$630,0)),"",INDEX('Compliance Database'!$J$2:$J$630,MATCH(149,'Transfer Engine'!$C$2:$C$630,0)))</f>
        <v/>
      </c>
      <c r="K158">
        <f>IF(ISNA(MATCH(149,'Transfer Engine'!$C$2:$C$630,0)),"",INDEX('Compliance Database'!$K$2:$K$630,MATCH(149,'Transfer Engine'!$C$2:$C$630,0)))</f>
        <v/>
      </c>
      <c r="L158" s="8">
        <f>IF(ISNA(MATCH(149,'Transfer Engine'!$C$2:$C$630,0)),"",INDEX('Compliance Database'!$L$2:$L$630,MATCH(149,'Transfer Engine'!$C$2:$C$630,0)))</f>
        <v/>
      </c>
      <c r="M158" s="8">
        <f>IF(ISNA(MATCH(149,'Transfer Engine'!$C$2:$C$630,0)),"",INDEX('Compliance Database'!$M$2:$M$630,MATCH(149,'Transfer Engine'!$C$2:$C$630,0)))</f>
        <v/>
      </c>
      <c r="N158" s="8">
        <f>IF(ISNA(MATCH(149,'Transfer Engine'!$C$2:$C$630,0)),"",INDEX('Compliance Database'!$N$2:$N$630,MATCH(149,'Transfer Engine'!$C$2:$C$630,0)))</f>
        <v/>
      </c>
      <c r="O158" s="8">
        <f>IF(ISNA(MATCH(149,'Transfer Engine'!$C$2:$C$630,0)),"",INDEX('Compliance Database'!$O$2:$O$630,MATCH(149,'Transfer Engine'!$C$2:$C$630,0)))</f>
        <v/>
      </c>
    </row>
    <row r="159">
      <c r="A159">
        <f>IF(ISNA(MATCH(150,'Transfer Engine'!$C$2:$C$630,0)),"",INDEX('Compliance Database'!$A$2:$A$630,MATCH(150,'Transfer Engine'!$C$2:$C$630,0)))</f>
        <v/>
      </c>
      <c r="B159">
        <f>IF(ISNA(MATCH(150,'Transfer Engine'!$C$2:$C$630,0)),"",INDEX('Compliance Database'!$B$2:$B$630,MATCH(150,'Transfer Engine'!$C$2:$C$630,0)))</f>
        <v/>
      </c>
      <c r="C159">
        <f>IF(ISNA(MATCH(150,'Transfer Engine'!$C$2:$C$630,0)),"",INDEX('Compliance Database'!$C$2:$C$630,MATCH(150,'Transfer Engine'!$C$2:$C$630,0)))</f>
        <v/>
      </c>
      <c r="D159" s="8">
        <f>IF(ISNA(MATCH(150,'Transfer Engine'!$C$2:$C$630,0)),"",INDEX('Compliance Database'!$D$2:$D$630,MATCH(150,'Transfer Engine'!$C$2:$C$630,0)))</f>
        <v/>
      </c>
      <c r="E159">
        <f>IF(ISNA(MATCH(150,'Transfer Engine'!$C$2:$C$630,0)),"",INDEX('Compliance Database'!$E$2:$E$630,MATCH(150,'Transfer Engine'!$C$2:$C$630,0)))</f>
        <v/>
      </c>
      <c r="F159">
        <f>IF(ISNA(MATCH(150,'Transfer Engine'!$C$2:$C$630,0)),"",INDEX('Compliance Database'!$F$2:$F$630,MATCH(150,'Transfer Engine'!$C$2:$C$630,0)))</f>
        <v/>
      </c>
      <c r="G159">
        <f>IF(ISNA(MATCH(150,'Transfer Engine'!$C$2:$C$630,0)),"",INDEX('Compliance Database'!$G$2:$G$630,MATCH(150,'Transfer Engine'!$C$2:$C$630,0)))</f>
        <v/>
      </c>
      <c r="H159">
        <f>IF(ISNA(MATCH(150,'Transfer Engine'!$C$2:$C$630,0)),"",INDEX('Compliance Database'!$H$2:$H$630,MATCH(150,'Transfer Engine'!$C$2:$C$630,0)))</f>
        <v/>
      </c>
      <c r="I159" s="8">
        <f>IF(ISNA(MATCH(150,'Transfer Engine'!$C$2:$C$630,0)),"",INDEX('Compliance Database'!$I$2:$I$630,MATCH(150,'Transfer Engine'!$C$2:$C$630,0)))</f>
        <v/>
      </c>
      <c r="J159" s="8">
        <f>IF(ISNA(MATCH(150,'Transfer Engine'!$C$2:$C$630,0)),"",INDEX('Compliance Database'!$J$2:$J$630,MATCH(150,'Transfer Engine'!$C$2:$C$630,0)))</f>
        <v/>
      </c>
      <c r="K159">
        <f>IF(ISNA(MATCH(150,'Transfer Engine'!$C$2:$C$630,0)),"",INDEX('Compliance Database'!$K$2:$K$630,MATCH(150,'Transfer Engine'!$C$2:$C$630,0)))</f>
        <v/>
      </c>
      <c r="L159" s="8">
        <f>IF(ISNA(MATCH(150,'Transfer Engine'!$C$2:$C$630,0)),"",INDEX('Compliance Database'!$L$2:$L$630,MATCH(150,'Transfer Engine'!$C$2:$C$630,0)))</f>
        <v/>
      </c>
      <c r="M159" s="8">
        <f>IF(ISNA(MATCH(150,'Transfer Engine'!$C$2:$C$630,0)),"",INDEX('Compliance Database'!$M$2:$M$630,MATCH(150,'Transfer Engine'!$C$2:$C$630,0)))</f>
        <v/>
      </c>
      <c r="N159" s="8">
        <f>IF(ISNA(MATCH(150,'Transfer Engine'!$C$2:$C$630,0)),"",INDEX('Compliance Database'!$N$2:$N$630,MATCH(150,'Transfer Engine'!$C$2:$C$630,0)))</f>
        <v/>
      </c>
      <c r="O159" s="8">
        <f>IF(ISNA(MATCH(150,'Transfer Engine'!$C$2:$C$630,0)),"",INDEX('Compliance Database'!$O$2:$O$630,MATCH(150,'Transfer Engine'!$C$2:$C$630,0)))</f>
        <v/>
      </c>
    </row>
    <row r="160">
      <c r="A160">
        <f>IF(ISNA(MATCH(151,'Transfer Engine'!$C$2:$C$630,0)),"",INDEX('Compliance Database'!$A$2:$A$630,MATCH(151,'Transfer Engine'!$C$2:$C$630,0)))</f>
        <v/>
      </c>
      <c r="B160">
        <f>IF(ISNA(MATCH(151,'Transfer Engine'!$C$2:$C$630,0)),"",INDEX('Compliance Database'!$B$2:$B$630,MATCH(151,'Transfer Engine'!$C$2:$C$630,0)))</f>
        <v/>
      </c>
      <c r="C160">
        <f>IF(ISNA(MATCH(151,'Transfer Engine'!$C$2:$C$630,0)),"",INDEX('Compliance Database'!$C$2:$C$630,MATCH(151,'Transfer Engine'!$C$2:$C$630,0)))</f>
        <v/>
      </c>
      <c r="D160" s="8">
        <f>IF(ISNA(MATCH(151,'Transfer Engine'!$C$2:$C$630,0)),"",INDEX('Compliance Database'!$D$2:$D$630,MATCH(151,'Transfer Engine'!$C$2:$C$630,0)))</f>
        <v/>
      </c>
      <c r="E160">
        <f>IF(ISNA(MATCH(151,'Transfer Engine'!$C$2:$C$630,0)),"",INDEX('Compliance Database'!$E$2:$E$630,MATCH(151,'Transfer Engine'!$C$2:$C$630,0)))</f>
        <v/>
      </c>
      <c r="F160">
        <f>IF(ISNA(MATCH(151,'Transfer Engine'!$C$2:$C$630,0)),"",INDEX('Compliance Database'!$F$2:$F$630,MATCH(151,'Transfer Engine'!$C$2:$C$630,0)))</f>
        <v/>
      </c>
      <c r="G160">
        <f>IF(ISNA(MATCH(151,'Transfer Engine'!$C$2:$C$630,0)),"",INDEX('Compliance Database'!$G$2:$G$630,MATCH(151,'Transfer Engine'!$C$2:$C$630,0)))</f>
        <v/>
      </c>
      <c r="H160">
        <f>IF(ISNA(MATCH(151,'Transfer Engine'!$C$2:$C$630,0)),"",INDEX('Compliance Database'!$H$2:$H$630,MATCH(151,'Transfer Engine'!$C$2:$C$630,0)))</f>
        <v/>
      </c>
      <c r="I160" s="8">
        <f>IF(ISNA(MATCH(151,'Transfer Engine'!$C$2:$C$630,0)),"",INDEX('Compliance Database'!$I$2:$I$630,MATCH(151,'Transfer Engine'!$C$2:$C$630,0)))</f>
        <v/>
      </c>
      <c r="J160" s="8">
        <f>IF(ISNA(MATCH(151,'Transfer Engine'!$C$2:$C$630,0)),"",INDEX('Compliance Database'!$J$2:$J$630,MATCH(151,'Transfer Engine'!$C$2:$C$630,0)))</f>
        <v/>
      </c>
      <c r="K160">
        <f>IF(ISNA(MATCH(151,'Transfer Engine'!$C$2:$C$630,0)),"",INDEX('Compliance Database'!$K$2:$K$630,MATCH(151,'Transfer Engine'!$C$2:$C$630,0)))</f>
        <v/>
      </c>
      <c r="L160" s="8">
        <f>IF(ISNA(MATCH(151,'Transfer Engine'!$C$2:$C$630,0)),"",INDEX('Compliance Database'!$L$2:$L$630,MATCH(151,'Transfer Engine'!$C$2:$C$630,0)))</f>
        <v/>
      </c>
      <c r="M160" s="8">
        <f>IF(ISNA(MATCH(151,'Transfer Engine'!$C$2:$C$630,0)),"",INDEX('Compliance Database'!$M$2:$M$630,MATCH(151,'Transfer Engine'!$C$2:$C$630,0)))</f>
        <v/>
      </c>
      <c r="N160" s="8">
        <f>IF(ISNA(MATCH(151,'Transfer Engine'!$C$2:$C$630,0)),"",INDEX('Compliance Database'!$N$2:$N$630,MATCH(151,'Transfer Engine'!$C$2:$C$630,0)))</f>
        <v/>
      </c>
      <c r="O160" s="8">
        <f>IF(ISNA(MATCH(151,'Transfer Engine'!$C$2:$C$630,0)),"",INDEX('Compliance Database'!$O$2:$O$630,MATCH(151,'Transfer Engine'!$C$2:$C$630,0)))</f>
        <v/>
      </c>
    </row>
    <row r="161">
      <c r="A161">
        <f>IF(ISNA(MATCH(152,'Transfer Engine'!$C$2:$C$630,0)),"",INDEX('Compliance Database'!$A$2:$A$630,MATCH(152,'Transfer Engine'!$C$2:$C$630,0)))</f>
        <v/>
      </c>
      <c r="B161">
        <f>IF(ISNA(MATCH(152,'Transfer Engine'!$C$2:$C$630,0)),"",INDEX('Compliance Database'!$B$2:$B$630,MATCH(152,'Transfer Engine'!$C$2:$C$630,0)))</f>
        <v/>
      </c>
      <c r="C161">
        <f>IF(ISNA(MATCH(152,'Transfer Engine'!$C$2:$C$630,0)),"",INDEX('Compliance Database'!$C$2:$C$630,MATCH(152,'Transfer Engine'!$C$2:$C$630,0)))</f>
        <v/>
      </c>
      <c r="D161" s="8">
        <f>IF(ISNA(MATCH(152,'Transfer Engine'!$C$2:$C$630,0)),"",INDEX('Compliance Database'!$D$2:$D$630,MATCH(152,'Transfer Engine'!$C$2:$C$630,0)))</f>
        <v/>
      </c>
      <c r="E161">
        <f>IF(ISNA(MATCH(152,'Transfer Engine'!$C$2:$C$630,0)),"",INDEX('Compliance Database'!$E$2:$E$630,MATCH(152,'Transfer Engine'!$C$2:$C$630,0)))</f>
        <v/>
      </c>
      <c r="F161">
        <f>IF(ISNA(MATCH(152,'Transfer Engine'!$C$2:$C$630,0)),"",INDEX('Compliance Database'!$F$2:$F$630,MATCH(152,'Transfer Engine'!$C$2:$C$630,0)))</f>
        <v/>
      </c>
      <c r="G161">
        <f>IF(ISNA(MATCH(152,'Transfer Engine'!$C$2:$C$630,0)),"",INDEX('Compliance Database'!$G$2:$G$630,MATCH(152,'Transfer Engine'!$C$2:$C$630,0)))</f>
        <v/>
      </c>
      <c r="H161">
        <f>IF(ISNA(MATCH(152,'Transfer Engine'!$C$2:$C$630,0)),"",INDEX('Compliance Database'!$H$2:$H$630,MATCH(152,'Transfer Engine'!$C$2:$C$630,0)))</f>
        <v/>
      </c>
      <c r="I161" s="8">
        <f>IF(ISNA(MATCH(152,'Transfer Engine'!$C$2:$C$630,0)),"",INDEX('Compliance Database'!$I$2:$I$630,MATCH(152,'Transfer Engine'!$C$2:$C$630,0)))</f>
        <v/>
      </c>
      <c r="J161" s="8">
        <f>IF(ISNA(MATCH(152,'Transfer Engine'!$C$2:$C$630,0)),"",INDEX('Compliance Database'!$J$2:$J$630,MATCH(152,'Transfer Engine'!$C$2:$C$630,0)))</f>
        <v/>
      </c>
      <c r="K161">
        <f>IF(ISNA(MATCH(152,'Transfer Engine'!$C$2:$C$630,0)),"",INDEX('Compliance Database'!$K$2:$K$630,MATCH(152,'Transfer Engine'!$C$2:$C$630,0)))</f>
        <v/>
      </c>
      <c r="L161" s="8">
        <f>IF(ISNA(MATCH(152,'Transfer Engine'!$C$2:$C$630,0)),"",INDEX('Compliance Database'!$L$2:$L$630,MATCH(152,'Transfer Engine'!$C$2:$C$630,0)))</f>
        <v/>
      </c>
      <c r="M161" s="8">
        <f>IF(ISNA(MATCH(152,'Transfer Engine'!$C$2:$C$630,0)),"",INDEX('Compliance Database'!$M$2:$M$630,MATCH(152,'Transfer Engine'!$C$2:$C$630,0)))</f>
        <v/>
      </c>
      <c r="N161" s="8">
        <f>IF(ISNA(MATCH(152,'Transfer Engine'!$C$2:$C$630,0)),"",INDEX('Compliance Database'!$N$2:$N$630,MATCH(152,'Transfer Engine'!$C$2:$C$630,0)))</f>
        <v/>
      </c>
      <c r="O161" s="8">
        <f>IF(ISNA(MATCH(152,'Transfer Engine'!$C$2:$C$630,0)),"",INDEX('Compliance Database'!$O$2:$O$630,MATCH(152,'Transfer Engine'!$C$2:$C$630,0)))</f>
        <v/>
      </c>
    </row>
    <row r="162">
      <c r="A162">
        <f>IF(ISNA(MATCH(153,'Transfer Engine'!$C$2:$C$630,0)),"",INDEX('Compliance Database'!$A$2:$A$630,MATCH(153,'Transfer Engine'!$C$2:$C$630,0)))</f>
        <v/>
      </c>
      <c r="B162">
        <f>IF(ISNA(MATCH(153,'Transfer Engine'!$C$2:$C$630,0)),"",INDEX('Compliance Database'!$B$2:$B$630,MATCH(153,'Transfer Engine'!$C$2:$C$630,0)))</f>
        <v/>
      </c>
      <c r="C162">
        <f>IF(ISNA(MATCH(153,'Transfer Engine'!$C$2:$C$630,0)),"",INDEX('Compliance Database'!$C$2:$C$630,MATCH(153,'Transfer Engine'!$C$2:$C$630,0)))</f>
        <v/>
      </c>
      <c r="D162" s="8">
        <f>IF(ISNA(MATCH(153,'Transfer Engine'!$C$2:$C$630,0)),"",INDEX('Compliance Database'!$D$2:$D$630,MATCH(153,'Transfer Engine'!$C$2:$C$630,0)))</f>
        <v/>
      </c>
      <c r="E162">
        <f>IF(ISNA(MATCH(153,'Transfer Engine'!$C$2:$C$630,0)),"",INDEX('Compliance Database'!$E$2:$E$630,MATCH(153,'Transfer Engine'!$C$2:$C$630,0)))</f>
        <v/>
      </c>
      <c r="F162">
        <f>IF(ISNA(MATCH(153,'Transfer Engine'!$C$2:$C$630,0)),"",INDEX('Compliance Database'!$F$2:$F$630,MATCH(153,'Transfer Engine'!$C$2:$C$630,0)))</f>
        <v/>
      </c>
      <c r="G162">
        <f>IF(ISNA(MATCH(153,'Transfer Engine'!$C$2:$C$630,0)),"",INDEX('Compliance Database'!$G$2:$G$630,MATCH(153,'Transfer Engine'!$C$2:$C$630,0)))</f>
        <v/>
      </c>
      <c r="H162">
        <f>IF(ISNA(MATCH(153,'Transfer Engine'!$C$2:$C$630,0)),"",INDEX('Compliance Database'!$H$2:$H$630,MATCH(153,'Transfer Engine'!$C$2:$C$630,0)))</f>
        <v/>
      </c>
      <c r="I162" s="8">
        <f>IF(ISNA(MATCH(153,'Transfer Engine'!$C$2:$C$630,0)),"",INDEX('Compliance Database'!$I$2:$I$630,MATCH(153,'Transfer Engine'!$C$2:$C$630,0)))</f>
        <v/>
      </c>
      <c r="J162" s="8">
        <f>IF(ISNA(MATCH(153,'Transfer Engine'!$C$2:$C$630,0)),"",INDEX('Compliance Database'!$J$2:$J$630,MATCH(153,'Transfer Engine'!$C$2:$C$630,0)))</f>
        <v/>
      </c>
      <c r="K162">
        <f>IF(ISNA(MATCH(153,'Transfer Engine'!$C$2:$C$630,0)),"",INDEX('Compliance Database'!$K$2:$K$630,MATCH(153,'Transfer Engine'!$C$2:$C$630,0)))</f>
        <v/>
      </c>
      <c r="L162" s="8">
        <f>IF(ISNA(MATCH(153,'Transfer Engine'!$C$2:$C$630,0)),"",INDEX('Compliance Database'!$L$2:$L$630,MATCH(153,'Transfer Engine'!$C$2:$C$630,0)))</f>
        <v/>
      </c>
      <c r="M162" s="8">
        <f>IF(ISNA(MATCH(153,'Transfer Engine'!$C$2:$C$630,0)),"",INDEX('Compliance Database'!$M$2:$M$630,MATCH(153,'Transfer Engine'!$C$2:$C$630,0)))</f>
        <v/>
      </c>
      <c r="N162" s="8">
        <f>IF(ISNA(MATCH(153,'Transfer Engine'!$C$2:$C$630,0)),"",INDEX('Compliance Database'!$N$2:$N$630,MATCH(153,'Transfer Engine'!$C$2:$C$630,0)))</f>
        <v/>
      </c>
      <c r="O162" s="8">
        <f>IF(ISNA(MATCH(153,'Transfer Engine'!$C$2:$C$630,0)),"",INDEX('Compliance Database'!$O$2:$O$630,MATCH(153,'Transfer Engine'!$C$2:$C$630,0)))</f>
        <v/>
      </c>
    </row>
    <row r="163">
      <c r="A163">
        <f>IF(ISNA(MATCH(154,'Transfer Engine'!$C$2:$C$630,0)),"",INDEX('Compliance Database'!$A$2:$A$630,MATCH(154,'Transfer Engine'!$C$2:$C$630,0)))</f>
        <v/>
      </c>
      <c r="B163">
        <f>IF(ISNA(MATCH(154,'Transfer Engine'!$C$2:$C$630,0)),"",INDEX('Compliance Database'!$B$2:$B$630,MATCH(154,'Transfer Engine'!$C$2:$C$630,0)))</f>
        <v/>
      </c>
      <c r="C163">
        <f>IF(ISNA(MATCH(154,'Transfer Engine'!$C$2:$C$630,0)),"",INDEX('Compliance Database'!$C$2:$C$630,MATCH(154,'Transfer Engine'!$C$2:$C$630,0)))</f>
        <v/>
      </c>
      <c r="D163" s="8">
        <f>IF(ISNA(MATCH(154,'Transfer Engine'!$C$2:$C$630,0)),"",INDEX('Compliance Database'!$D$2:$D$630,MATCH(154,'Transfer Engine'!$C$2:$C$630,0)))</f>
        <v/>
      </c>
      <c r="E163">
        <f>IF(ISNA(MATCH(154,'Transfer Engine'!$C$2:$C$630,0)),"",INDEX('Compliance Database'!$E$2:$E$630,MATCH(154,'Transfer Engine'!$C$2:$C$630,0)))</f>
        <v/>
      </c>
      <c r="F163">
        <f>IF(ISNA(MATCH(154,'Transfer Engine'!$C$2:$C$630,0)),"",INDEX('Compliance Database'!$F$2:$F$630,MATCH(154,'Transfer Engine'!$C$2:$C$630,0)))</f>
        <v/>
      </c>
      <c r="G163">
        <f>IF(ISNA(MATCH(154,'Transfer Engine'!$C$2:$C$630,0)),"",INDEX('Compliance Database'!$G$2:$G$630,MATCH(154,'Transfer Engine'!$C$2:$C$630,0)))</f>
        <v/>
      </c>
      <c r="H163">
        <f>IF(ISNA(MATCH(154,'Transfer Engine'!$C$2:$C$630,0)),"",INDEX('Compliance Database'!$H$2:$H$630,MATCH(154,'Transfer Engine'!$C$2:$C$630,0)))</f>
        <v/>
      </c>
      <c r="I163" s="8">
        <f>IF(ISNA(MATCH(154,'Transfer Engine'!$C$2:$C$630,0)),"",INDEX('Compliance Database'!$I$2:$I$630,MATCH(154,'Transfer Engine'!$C$2:$C$630,0)))</f>
        <v/>
      </c>
      <c r="J163" s="8">
        <f>IF(ISNA(MATCH(154,'Transfer Engine'!$C$2:$C$630,0)),"",INDEX('Compliance Database'!$J$2:$J$630,MATCH(154,'Transfer Engine'!$C$2:$C$630,0)))</f>
        <v/>
      </c>
      <c r="K163">
        <f>IF(ISNA(MATCH(154,'Transfer Engine'!$C$2:$C$630,0)),"",INDEX('Compliance Database'!$K$2:$K$630,MATCH(154,'Transfer Engine'!$C$2:$C$630,0)))</f>
        <v/>
      </c>
      <c r="L163" s="8">
        <f>IF(ISNA(MATCH(154,'Transfer Engine'!$C$2:$C$630,0)),"",INDEX('Compliance Database'!$L$2:$L$630,MATCH(154,'Transfer Engine'!$C$2:$C$630,0)))</f>
        <v/>
      </c>
      <c r="M163" s="8">
        <f>IF(ISNA(MATCH(154,'Transfer Engine'!$C$2:$C$630,0)),"",INDEX('Compliance Database'!$M$2:$M$630,MATCH(154,'Transfer Engine'!$C$2:$C$630,0)))</f>
        <v/>
      </c>
      <c r="N163" s="8">
        <f>IF(ISNA(MATCH(154,'Transfer Engine'!$C$2:$C$630,0)),"",INDEX('Compliance Database'!$N$2:$N$630,MATCH(154,'Transfer Engine'!$C$2:$C$630,0)))</f>
        <v/>
      </c>
      <c r="O163" s="8">
        <f>IF(ISNA(MATCH(154,'Transfer Engine'!$C$2:$C$630,0)),"",INDEX('Compliance Database'!$O$2:$O$630,MATCH(154,'Transfer Engine'!$C$2:$C$630,0)))</f>
        <v/>
      </c>
    </row>
    <row r="164">
      <c r="A164">
        <f>IF(ISNA(MATCH(155,'Transfer Engine'!$C$2:$C$630,0)),"",INDEX('Compliance Database'!$A$2:$A$630,MATCH(155,'Transfer Engine'!$C$2:$C$630,0)))</f>
        <v/>
      </c>
      <c r="B164">
        <f>IF(ISNA(MATCH(155,'Transfer Engine'!$C$2:$C$630,0)),"",INDEX('Compliance Database'!$B$2:$B$630,MATCH(155,'Transfer Engine'!$C$2:$C$630,0)))</f>
        <v/>
      </c>
      <c r="C164">
        <f>IF(ISNA(MATCH(155,'Transfer Engine'!$C$2:$C$630,0)),"",INDEX('Compliance Database'!$C$2:$C$630,MATCH(155,'Transfer Engine'!$C$2:$C$630,0)))</f>
        <v/>
      </c>
      <c r="D164" s="8">
        <f>IF(ISNA(MATCH(155,'Transfer Engine'!$C$2:$C$630,0)),"",INDEX('Compliance Database'!$D$2:$D$630,MATCH(155,'Transfer Engine'!$C$2:$C$630,0)))</f>
        <v/>
      </c>
      <c r="E164">
        <f>IF(ISNA(MATCH(155,'Transfer Engine'!$C$2:$C$630,0)),"",INDEX('Compliance Database'!$E$2:$E$630,MATCH(155,'Transfer Engine'!$C$2:$C$630,0)))</f>
        <v/>
      </c>
      <c r="F164">
        <f>IF(ISNA(MATCH(155,'Transfer Engine'!$C$2:$C$630,0)),"",INDEX('Compliance Database'!$F$2:$F$630,MATCH(155,'Transfer Engine'!$C$2:$C$630,0)))</f>
        <v/>
      </c>
      <c r="G164">
        <f>IF(ISNA(MATCH(155,'Transfer Engine'!$C$2:$C$630,0)),"",INDEX('Compliance Database'!$G$2:$G$630,MATCH(155,'Transfer Engine'!$C$2:$C$630,0)))</f>
        <v/>
      </c>
      <c r="H164">
        <f>IF(ISNA(MATCH(155,'Transfer Engine'!$C$2:$C$630,0)),"",INDEX('Compliance Database'!$H$2:$H$630,MATCH(155,'Transfer Engine'!$C$2:$C$630,0)))</f>
        <v/>
      </c>
      <c r="I164" s="8">
        <f>IF(ISNA(MATCH(155,'Transfer Engine'!$C$2:$C$630,0)),"",INDEX('Compliance Database'!$I$2:$I$630,MATCH(155,'Transfer Engine'!$C$2:$C$630,0)))</f>
        <v/>
      </c>
      <c r="J164" s="8">
        <f>IF(ISNA(MATCH(155,'Transfer Engine'!$C$2:$C$630,0)),"",INDEX('Compliance Database'!$J$2:$J$630,MATCH(155,'Transfer Engine'!$C$2:$C$630,0)))</f>
        <v/>
      </c>
      <c r="K164">
        <f>IF(ISNA(MATCH(155,'Transfer Engine'!$C$2:$C$630,0)),"",INDEX('Compliance Database'!$K$2:$K$630,MATCH(155,'Transfer Engine'!$C$2:$C$630,0)))</f>
        <v/>
      </c>
      <c r="L164" s="8">
        <f>IF(ISNA(MATCH(155,'Transfer Engine'!$C$2:$C$630,0)),"",INDEX('Compliance Database'!$L$2:$L$630,MATCH(155,'Transfer Engine'!$C$2:$C$630,0)))</f>
        <v/>
      </c>
      <c r="M164" s="8">
        <f>IF(ISNA(MATCH(155,'Transfer Engine'!$C$2:$C$630,0)),"",INDEX('Compliance Database'!$M$2:$M$630,MATCH(155,'Transfer Engine'!$C$2:$C$630,0)))</f>
        <v/>
      </c>
      <c r="N164" s="8">
        <f>IF(ISNA(MATCH(155,'Transfer Engine'!$C$2:$C$630,0)),"",INDEX('Compliance Database'!$N$2:$N$630,MATCH(155,'Transfer Engine'!$C$2:$C$630,0)))</f>
        <v/>
      </c>
      <c r="O164" s="8">
        <f>IF(ISNA(MATCH(155,'Transfer Engine'!$C$2:$C$630,0)),"",INDEX('Compliance Database'!$O$2:$O$630,MATCH(155,'Transfer Engine'!$C$2:$C$630,0)))</f>
        <v/>
      </c>
    </row>
    <row r="165">
      <c r="A165">
        <f>IF(ISNA(MATCH(156,'Transfer Engine'!$C$2:$C$630,0)),"",INDEX('Compliance Database'!$A$2:$A$630,MATCH(156,'Transfer Engine'!$C$2:$C$630,0)))</f>
        <v/>
      </c>
      <c r="B165">
        <f>IF(ISNA(MATCH(156,'Transfer Engine'!$C$2:$C$630,0)),"",INDEX('Compliance Database'!$B$2:$B$630,MATCH(156,'Transfer Engine'!$C$2:$C$630,0)))</f>
        <v/>
      </c>
      <c r="C165">
        <f>IF(ISNA(MATCH(156,'Transfer Engine'!$C$2:$C$630,0)),"",INDEX('Compliance Database'!$C$2:$C$630,MATCH(156,'Transfer Engine'!$C$2:$C$630,0)))</f>
        <v/>
      </c>
      <c r="D165" s="8">
        <f>IF(ISNA(MATCH(156,'Transfer Engine'!$C$2:$C$630,0)),"",INDEX('Compliance Database'!$D$2:$D$630,MATCH(156,'Transfer Engine'!$C$2:$C$630,0)))</f>
        <v/>
      </c>
      <c r="E165">
        <f>IF(ISNA(MATCH(156,'Transfer Engine'!$C$2:$C$630,0)),"",INDEX('Compliance Database'!$E$2:$E$630,MATCH(156,'Transfer Engine'!$C$2:$C$630,0)))</f>
        <v/>
      </c>
      <c r="F165">
        <f>IF(ISNA(MATCH(156,'Transfer Engine'!$C$2:$C$630,0)),"",INDEX('Compliance Database'!$F$2:$F$630,MATCH(156,'Transfer Engine'!$C$2:$C$630,0)))</f>
        <v/>
      </c>
      <c r="G165">
        <f>IF(ISNA(MATCH(156,'Transfer Engine'!$C$2:$C$630,0)),"",INDEX('Compliance Database'!$G$2:$G$630,MATCH(156,'Transfer Engine'!$C$2:$C$630,0)))</f>
        <v/>
      </c>
      <c r="H165">
        <f>IF(ISNA(MATCH(156,'Transfer Engine'!$C$2:$C$630,0)),"",INDEX('Compliance Database'!$H$2:$H$630,MATCH(156,'Transfer Engine'!$C$2:$C$630,0)))</f>
        <v/>
      </c>
      <c r="I165" s="8">
        <f>IF(ISNA(MATCH(156,'Transfer Engine'!$C$2:$C$630,0)),"",INDEX('Compliance Database'!$I$2:$I$630,MATCH(156,'Transfer Engine'!$C$2:$C$630,0)))</f>
        <v/>
      </c>
      <c r="J165" s="8">
        <f>IF(ISNA(MATCH(156,'Transfer Engine'!$C$2:$C$630,0)),"",INDEX('Compliance Database'!$J$2:$J$630,MATCH(156,'Transfer Engine'!$C$2:$C$630,0)))</f>
        <v/>
      </c>
      <c r="K165">
        <f>IF(ISNA(MATCH(156,'Transfer Engine'!$C$2:$C$630,0)),"",INDEX('Compliance Database'!$K$2:$K$630,MATCH(156,'Transfer Engine'!$C$2:$C$630,0)))</f>
        <v/>
      </c>
      <c r="L165" s="8">
        <f>IF(ISNA(MATCH(156,'Transfer Engine'!$C$2:$C$630,0)),"",INDEX('Compliance Database'!$L$2:$L$630,MATCH(156,'Transfer Engine'!$C$2:$C$630,0)))</f>
        <v/>
      </c>
      <c r="M165" s="8">
        <f>IF(ISNA(MATCH(156,'Transfer Engine'!$C$2:$C$630,0)),"",INDEX('Compliance Database'!$M$2:$M$630,MATCH(156,'Transfer Engine'!$C$2:$C$630,0)))</f>
        <v/>
      </c>
      <c r="N165" s="8">
        <f>IF(ISNA(MATCH(156,'Transfer Engine'!$C$2:$C$630,0)),"",INDEX('Compliance Database'!$N$2:$N$630,MATCH(156,'Transfer Engine'!$C$2:$C$630,0)))</f>
        <v/>
      </c>
      <c r="O165" s="8">
        <f>IF(ISNA(MATCH(156,'Transfer Engine'!$C$2:$C$630,0)),"",INDEX('Compliance Database'!$O$2:$O$630,MATCH(156,'Transfer Engine'!$C$2:$C$630,0)))</f>
        <v/>
      </c>
    </row>
    <row r="166">
      <c r="A166">
        <f>IF(ISNA(MATCH(157,'Transfer Engine'!$C$2:$C$630,0)),"",INDEX('Compliance Database'!$A$2:$A$630,MATCH(157,'Transfer Engine'!$C$2:$C$630,0)))</f>
        <v/>
      </c>
      <c r="B166">
        <f>IF(ISNA(MATCH(157,'Transfer Engine'!$C$2:$C$630,0)),"",INDEX('Compliance Database'!$B$2:$B$630,MATCH(157,'Transfer Engine'!$C$2:$C$630,0)))</f>
        <v/>
      </c>
      <c r="C166">
        <f>IF(ISNA(MATCH(157,'Transfer Engine'!$C$2:$C$630,0)),"",INDEX('Compliance Database'!$C$2:$C$630,MATCH(157,'Transfer Engine'!$C$2:$C$630,0)))</f>
        <v/>
      </c>
      <c r="D166" s="8">
        <f>IF(ISNA(MATCH(157,'Transfer Engine'!$C$2:$C$630,0)),"",INDEX('Compliance Database'!$D$2:$D$630,MATCH(157,'Transfer Engine'!$C$2:$C$630,0)))</f>
        <v/>
      </c>
      <c r="E166">
        <f>IF(ISNA(MATCH(157,'Transfer Engine'!$C$2:$C$630,0)),"",INDEX('Compliance Database'!$E$2:$E$630,MATCH(157,'Transfer Engine'!$C$2:$C$630,0)))</f>
        <v/>
      </c>
      <c r="F166">
        <f>IF(ISNA(MATCH(157,'Transfer Engine'!$C$2:$C$630,0)),"",INDEX('Compliance Database'!$F$2:$F$630,MATCH(157,'Transfer Engine'!$C$2:$C$630,0)))</f>
        <v/>
      </c>
      <c r="G166">
        <f>IF(ISNA(MATCH(157,'Transfer Engine'!$C$2:$C$630,0)),"",INDEX('Compliance Database'!$G$2:$G$630,MATCH(157,'Transfer Engine'!$C$2:$C$630,0)))</f>
        <v/>
      </c>
      <c r="H166">
        <f>IF(ISNA(MATCH(157,'Transfer Engine'!$C$2:$C$630,0)),"",INDEX('Compliance Database'!$H$2:$H$630,MATCH(157,'Transfer Engine'!$C$2:$C$630,0)))</f>
        <v/>
      </c>
      <c r="I166" s="8">
        <f>IF(ISNA(MATCH(157,'Transfer Engine'!$C$2:$C$630,0)),"",INDEX('Compliance Database'!$I$2:$I$630,MATCH(157,'Transfer Engine'!$C$2:$C$630,0)))</f>
        <v/>
      </c>
      <c r="J166" s="8">
        <f>IF(ISNA(MATCH(157,'Transfer Engine'!$C$2:$C$630,0)),"",INDEX('Compliance Database'!$J$2:$J$630,MATCH(157,'Transfer Engine'!$C$2:$C$630,0)))</f>
        <v/>
      </c>
      <c r="K166">
        <f>IF(ISNA(MATCH(157,'Transfer Engine'!$C$2:$C$630,0)),"",INDEX('Compliance Database'!$K$2:$K$630,MATCH(157,'Transfer Engine'!$C$2:$C$630,0)))</f>
        <v/>
      </c>
      <c r="L166" s="8">
        <f>IF(ISNA(MATCH(157,'Transfer Engine'!$C$2:$C$630,0)),"",INDEX('Compliance Database'!$L$2:$L$630,MATCH(157,'Transfer Engine'!$C$2:$C$630,0)))</f>
        <v/>
      </c>
      <c r="M166" s="8">
        <f>IF(ISNA(MATCH(157,'Transfer Engine'!$C$2:$C$630,0)),"",INDEX('Compliance Database'!$M$2:$M$630,MATCH(157,'Transfer Engine'!$C$2:$C$630,0)))</f>
        <v/>
      </c>
      <c r="N166" s="8">
        <f>IF(ISNA(MATCH(157,'Transfer Engine'!$C$2:$C$630,0)),"",INDEX('Compliance Database'!$N$2:$N$630,MATCH(157,'Transfer Engine'!$C$2:$C$630,0)))</f>
        <v/>
      </c>
      <c r="O166" s="8">
        <f>IF(ISNA(MATCH(157,'Transfer Engine'!$C$2:$C$630,0)),"",INDEX('Compliance Database'!$O$2:$O$630,MATCH(157,'Transfer Engine'!$C$2:$C$630,0)))</f>
        <v/>
      </c>
    </row>
    <row r="167">
      <c r="A167">
        <f>IF(ISNA(MATCH(158,'Transfer Engine'!$C$2:$C$630,0)),"",INDEX('Compliance Database'!$A$2:$A$630,MATCH(158,'Transfer Engine'!$C$2:$C$630,0)))</f>
        <v/>
      </c>
      <c r="B167">
        <f>IF(ISNA(MATCH(158,'Transfer Engine'!$C$2:$C$630,0)),"",INDEX('Compliance Database'!$B$2:$B$630,MATCH(158,'Transfer Engine'!$C$2:$C$630,0)))</f>
        <v/>
      </c>
      <c r="C167">
        <f>IF(ISNA(MATCH(158,'Transfer Engine'!$C$2:$C$630,0)),"",INDEX('Compliance Database'!$C$2:$C$630,MATCH(158,'Transfer Engine'!$C$2:$C$630,0)))</f>
        <v/>
      </c>
      <c r="D167" s="8">
        <f>IF(ISNA(MATCH(158,'Transfer Engine'!$C$2:$C$630,0)),"",INDEX('Compliance Database'!$D$2:$D$630,MATCH(158,'Transfer Engine'!$C$2:$C$630,0)))</f>
        <v/>
      </c>
      <c r="E167">
        <f>IF(ISNA(MATCH(158,'Transfer Engine'!$C$2:$C$630,0)),"",INDEX('Compliance Database'!$E$2:$E$630,MATCH(158,'Transfer Engine'!$C$2:$C$630,0)))</f>
        <v/>
      </c>
      <c r="F167">
        <f>IF(ISNA(MATCH(158,'Transfer Engine'!$C$2:$C$630,0)),"",INDEX('Compliance Database'!$F$2:$F$630,MATCH(158,'Transfer Engine'!$C$2:$C$630,0)))</f>
        <v/>
      </c>
      <c r="G167">
        <f>IF(ISNA(MATCH(158,'Transfer Engine'!$C$2:$C$630,0)),"",INDEX('Compliance Database'!$G$2:$G$630,MATCH(158,'Transfer Engine'!$C$2:$C$630,0)))</f>
        <v/>
      </c>
      <c r="H167">
        <f>IF(ISNA(MATCH(158,'Transfer Engine'!$C$2:$C$630,0)),"",INDEX('Compliance Database'!$H$2:$H$630,MATCH(158,'Transfer Engine'!$C$2:$C$630,0)))</f>
        <v/>
      </c>
      <c r="I167" s="8">
        <f>IF(ISNA(MATCH(158,'Transfer Engine'!$C$2:$C$630,0)),"",INDEX('Compliance Database'!$I$2:$I$630,MATCH(158,'Transfer Engine'!$C$2:$C$630,0)))</f>
        <v/>
      </c>
      <c r="J167" s="8">
        <f>IF(ISNA(MATCH(158,'Transfer Engine'!$C$2:$C$630,0)),"",INDEX('Compliance Database'!$J$2:$J$630,MATCH(158,'Transfer Engine'!$C$2:$C$630,0)))</f>
        <v/>
      </c>
      <c r="K167">
        <f>IF(ISNA(MATCH(158,'Transfer Engine'!$C$2:$C$630,0)),"",INDEX('Compliance Database'!$K$2:$K$630,MATCH(158,'Transfer Engine'!$C$2:$C$630,0)))</f>
        <v/>
      </c>
      <c r="L167" s="8">
        <f>IF(ISNA(MATCH(158,'Transfer Engine'!$C$2:$C$630,0)),"",INDEX('Compliance Database'!$L$2:$L$630,MATCH(158,'Transfer Engine'!$C$2:$C$630,0)))</f>
        <v/>
      </c>
      <c r="M167" s="8">
        <f>IF(ISNA(MATCH(158,'Transfer Engine'!$C$2:$C$630,0)),"",INDEX('Compliance Database'!$M$2:$M$630,MATCH(158,'Transfer Engine'!$C$2:$C$630,0)))</f>
        <v/>
      </c>
      <c r="N167" s="8">
        <f>IF(ISNA(MATCH(158,'Transfer Engine'!$C$2:$C$630,0)),"",INDEX('Compliance Database'!$N$2:$N$630,MATCH(158,'Transfer Engine'!$C$2:$C$630,0)))</f>
        <v/>
      </c>
      <c r="O167" s="8">
        <f>IF(ISNA(MATCH(158,'Transfer Engine'!$C$2:$C$630,0)),"",INDEX('Compliance Database'!$O$2:$O$630,MATCH(158,'Transfer Engine'!$C$2:$C$630,0)))</f>
        <v/>
      </c>
    </row>
    <row r="168">
      <c r="A168">
        <f>IF(ISNA(MATCH(159,'Transfer Engine'!$C$2:$C$630,0)),"",INDEX('Compliance Database'!$A$2:$A$630,MATCH(159,'Transfer Engine'!$C$2:$C$630,0)))</f>
        <v/>
      </c>
      <c r="B168">
        <f>IF(ISNA(MATCH(159,'Transfer Engine'!$C$2:$C$630,0)),"",INDEX('Compliance Database'!$B$2:$B$630,MATCH(159,'Transfer Engine'!$C$2:$C$630,0)))</f>
        <v/>
      </c>
      <c r="C168">
        <f>IF(ISNA(MATCH(159,'Transfer Engine'!$C$2:$C$630,0)),"",INDEX('Compliance Database'!$C$2:$C$630,MATCH(159,'Transfer Engine'!$C$2:$C$630,0)))</f>
        <v/>
      </c>
      <c r="D168" s="8">
        <f>IF(ISNA(MATCH(159,'Transfer Engine'!$C$2:$C$630,0)),"",INDEX('Compliance Database'!$D$2:$D$630,MATCH(159,'Transfer Engine'!$C$2:$C$630,0)))</f>
        <v/>
      </c>
      <c r="E168">
        <f>IF(ISNA(MATCH(159,'Transfer Engine'!$C$2:$C$630,0)),"",INDEX('Compliance Database'!$E$2:$E$630,MATCH(159,'Transfer Engine'!$C$2:$C$630,0)))</f>
        <v/>
      </c>
      <c r="F168">
        <f>IF(ISNA(MATCH(159,'Transfer Engine'!$C$2:$C$630,0)),"",INDEX('Compliance Database'!$F$2:$F$630,MATCH(159,'Transfer Engine'!$C$2:$C$630,0)))</f>
        <v/>
      </c>
      <c r="G168">
        <f>IF(ISNA(MATCH(159,'Transfer Engine'!$C$2:$C$630,0)),"",INDEX('Compliance Database'!$G$2:$G$630,MATCH(159,'Transfer Engine'!$C$2:$C$630,0)))</f>
        <v/>
      </c>
      <c r="H168">
        <f>IF(ISNA(MATCH(159,'Transfer Engine'!$C$2:$C$630,0)),"",INDEX('Compliance Database'!$H$2:$H$630,MATCH(159,'Transfer Engine'!$C$2:$C$630,0)))</f>
        <v/>
      </c>
      <c r="I168" s="8">
        <f>IF(ISNA(MATCH(159,'Transfer Engine'!$C$2:$C$630,0)),"",INDEX('Compliance Database'!$I$2:$I$630,MATCH(159,'Transfer Engine'!$C$2:$C$630,0)))</f>
        <v/>
      </c>
      <c r="J168" s="8">
        <f>IF(ISNA(MATCH(159,'Transfer Engine'!$C$2:$C$630,0)),"",INDEX('Compliance Database'!$J$2:$J$630,MATCH(159,'Transfer Engine'!$C$2:$C$630,0)))</f>
        <v/>
      </c>
      <c r="K168">
        <f>IF(ISNA(MATCH(159,'Transfer Engine'!$C$2:$C$630,0)),"",INDEX('Compliance Database'!$K$2:$K$630,MATCH(159,'Transfer Engine'!$C$2:$C$630,0)))</f>
        <v/>
      </c>
      <c r="L168" s="8">
        <f>IF(ISNA(MATCH(159,'Transfer Engine'!$C$2:$C$630,0)),"",INDEX('Compliance Database'!$L$2:$L$630,MATCH(159,'Transfer Engine'!$C$2:$C$630,0)))</f>
        <v/>
      </c>
      <c r="M168" s="8">
        <f>IF(ISNA(MATCH(159,'Transfer Engine'!$C$2:$C$630,0)),"",INDEX('Compliance Database'!$M$2:$M$630,MATCH(159,'Transfer Engine'!$C$2:$C$630,0)))</f>
        <v/>
      </c>
      <c r="N168" s="8">
        <f>IF(ISNA(MATCH(159,'Transfer Engine'!$C$2:$C$630,0)),"",INDEX('Compliance Database'!$N$2:$N$630,MATCH(159,'Transfer Engine'!$C$2:$C$630,0)))</f>
        <v/>
      </c>
      <c r="O168" s="8">
        <f>IF(ISNA(MATCH(159,'Transfer Engine'!$C$2:$C$630,0)),"",INDEX('Compliance Database'!$O$2:$O$630,MATCH(159,'Transfer Engine'!$C$2:$C$630,0)))</f>
        <v/>
      </c>
    </row>
    <row r="169">
      <c r="A169">
        <f>IF(ISNA(MATCH(160,'Transfer Engine'!$C$2:$C$630,0)),"",INDEX('Compliance Database'!$A$2:$A$630,MATCH(160,'Transfer Engine'!$C$2:$C$630,0)))</f>
        <v/>
      </c>
      <c r="B169">
        <f>IF(ISNA(MATCH(160,'Transfer Engine'!$C$2:$C$630,0)),"",INDEX('Compliance Database'!$B$2:$B$630,MATCH(160,'Transfer Engine'!$C$2:$C$630,0)))</f>
        <v/>
      </c>
      <c r="C169">
        <f>IF(ISNA(MATCH(160,'Transfer Engine'!$C$2:$C$630,0)),"",INDEX('Compliance Database'!$C$2:$C$630,MATCH(160,'Transfer Engine'!$C$2:$C$630,0)))</f>
        <v/>
      </c>
      <c r="D169" s="8">
        <f>IF(ISNA(MATCH(160,'Transfer Engine'!$C$2:$C$630,0)),"",INDEX('Compliance Database'!$D$2:$D$630,MATCH(160,'Transfer Engine'!$C$2:$C$630,0)))</f>
        <v/>
      </c>
      <c r="E169">
        <f>IF(ISNA(MATCH(160,'Transfer Engine'!$C$2:$C$630,0)),"",INDEX('Compliance Database'!$E$2:$E$630,MATCH(160,'Transfer Engine'!$C$2:$C$630,0)))</f>
        <v/>
      </c>
      <c r="F169">
        <f>IF(ISNA(MATCH(160,'Transfer Engine'!$C$2:$C$630,0)),"",INDEX('Compliance Database'!$F$2:$F$630,MATCH(160,'Transfer Engine'!$C$2:$C$630,0)))</f>
        <v/>
      </c>
      <c r="G169">
        <f>IF(ISNA(MATCH(160,'Transfer Engine'!$C$2:$C$630,0)),"",INDEX('Compliance Database'!$G$2:$G$630,MATCH(160,'Transfer Engine'!$C$2:$C$630,0)))</f>
        <v/>
      </c>
      <c r="H169">
        <f>IF(ISNA(MATCH(160,'Transfer Engine'!$C$2:$C$630,0)),"",INDEX('Compliance Database'!$H$2:$H$630,MATCH(160,'Transfer Engine'!$C$2:$C$630,0)))</f>
        <v/>
      </c>
      <c r="I169" s="8">
        <f>IF(ISNA(MATCH(160,'Transfer Engine'!$C$2:$C$630,0)),"",INDEX('Compliance Database'!$I$2:$I$630,MATCH(160,'Transfer Engine'!$C$2:$C$630,0)))</f>
        <v/>
      </c>
      <c r="J169" s="8">
        <f>IF(ISNA(MATCH(160,'Transfer Engine'!$C$2:$C$630,0)),"",INDEX('Compliance Database'!$J$2:$J$630,MATCH(160,'Transfer Engine'!$C$2:$C$630,0)))</f>
        <v/>
      </c>
      <c r="K169">
        <f>IF(ISNA(MATCH(160,'Transfer Engine'!$C$2:$C$630,0)),"",INDEX('Compliance Database'!$K$2:$K$630,MATCH(160,'Transfer Engine'!$C$2:$C$630,0)))</f>
        <v/>
      </c>
      <c r="L169" s="8">
        <f>IF(ISNA(MATCH(160,'Transfer Engine'!$C$2:$C$630,0)),"",INDEX('Compliance Database'!$L$2:$L$630,MATCH(160,'Transfer Engine'!$C$2:$C$630,0)))</f>
        <v/>
      </c>
      <c r="M169" s="8">
        <f>IF(ISNA(MATCH(160,'Transfer Engine'!$C$2:$C$630,0)),"",INDEX('Compliance Database'!$M$2:$M$630,MATCH(160,'Transfer Engine'!$C$2:$C$630,0)))</f>
        <v/>
      </c>
      <c r="N169" s="8">
        <f>IF(ISNA(MATCH(160,'Transfer Engine'!$C$2:$C$630,0)),"",INDEX('Compliance Database'!$N$2:$N$630,MATCH(160,'Transfer Engine'!$C$2:$C$630,0)))</f>
        <v/>
      </c>
      <c r="O169" s="8">
        <f>IF(ISNA(MATCH(160,'Transfer Engine'!$C$2:$C$630,0)),"",INDEX('Compliance Database'!$O$2:$O$630,MATCH(160,'Transfer Engine'!$C$2:$C$630,0)))</f>
        <v/>
      </c>
    </row>
    <row r="170">
      <c r="A170">
        <f>IF(ISNA(MATCH(161,'Transfer Engine'!$C$2:$C$630,0)),"",INDEX('Compliance Database'!$A$2:$A$630,MATCH(161,'Transfer Engine'!$C$2:$C$630,0)))</f>
        <v/>
      </c>
      <c r="B170">
        <f>IF(ISNA(MATCH(161,'Transfer Engine'!$C$2:$C$630,0)),"",INDEX('Compliance Database'!$B$2:$B$630,MATCH(161,'Transfer Engine'!$C$2:$C$630,0)))</f>
        <v/>
      </c>
      <c r="C170">
        <f>IF(ISNA(MATCH(161,'Transfer Engine'!$C$2:$C$630,0)),"",INDEX('Compliance Database'!$C$2:$C$630,MATCH(161,'Transfer Engine'!$C$2:$C$630,0)))</f>
        <v/>
      </c>
      <c r="D170" s="8">
        <f>IF(ISNA(MATCH(161,'Transfer Engine'!$C$2:$C$630,0)),"",INDEX('Compliance Database'!$D$2:$D$630,MATCH(161,'Transfer Engine'!$C$2:$C$630,0)))</f>
        <v/>
      </c>
      <c r="E170">
        <f>IF(ISNA(MATCH(161,'Transfer Engine'!$C$2:$C$630,0)),"",INDEX('Compliance Database'!$E$2:$E$630,MATCH(161,'Transfer Engine'!$C$2:$C$630,0)))</f>
        <v/>
      </c>
      <c r="F170">
        <f>IF(ISNA(MATCH(161,'Transfer Engine'!$C$2:$C$630,0)),"",INDEX('Compliance Database'!$F$2:$F$630,MATCH(161,'Transfer Engine'!$C$2:$C$630,0)))</f>
        <v/>
      </c>
      <c r="G170">
        <f>IF(ISNA(MATCH(161,'Transfer Engine'!$C$2:$C$630,0)),"",INDEX('Compliance Database'!$G$2:$G$630,MATCH(161,'Transfer Engine'!$C$2:$C$630,0)))</f>
        <v/>
      </c>
      <c r="H170">
        <f>IF(ISNA(MATCH(161,'Transfer Engine'!$C$2:$C$630,0)),"",INDEX('Compliance Database'!$H$2:$H$630,MATCH(161,'Transfer Engine'!$C$2:$C$630,0)))</f>
        <v/>
      </c>
      <c r="I170" s="8">
        <f>IF(ISNA(MATCH(161,'Transfer Engine'!$C$2:$C$630,0)),"",INDEX('Compliance Database'!$I$2:$I$630,MATCH(161,'Transfer Engine'!$C$2:$C$630,0)))</f>
        <v/>
      </c>
      <c r="J170" s="8">
        <f>IF(ISNA(MATCH(161,'Transfer Engine'!$C$2:$C$630,0)),"",INDEX('Compliance Database'!$J$2:$J$630,MATCH(161,'Transfer Engine'!$C$2:$C$630,0)))</f>
        <v/>
      </c>
      <c r="K170">
        <f>IF(ISNA(MATCH(161,'Transfer Engine'!$C$2:$C$630,0)),"",INDEX('Compliance Database'!$K$2:$K$630,MATCH(161,'Transfer Engine'!$C$2:$C$630,0)))</f>
        <v/>
      </c>
      <c r="L170" s="8">
        <f>IF(ISNA(MATCH(161,'Transfer Engine'!$C$2:$C$630,0)),"",INDEX('Compliance Database'!$L$2:$L$630,MATCH(161,'Transfer Engine'!$C$2:$C$630,0)))</f>
        <v/>
      </c>
      <c r="M170" s="8">
        <f>IF(ISNA(MATCH(161,'Transfer Engine'!$C$2:$C$630,0)),"",INDEX('Compliance Database'!$M$2:$M$630,MATCH(161,'Transfer Engine'!$C$2:$C$630,0)))</f>
        <v/>
      </c>
      <c r="N170" s="8">
        <f>IF(ISNA(MATCH(161,'Transfer Engine'!$C$2:$C$630,0)),"",INDEX('Compliance Database'!$N$2:$N$630,MATCH(161,'Transfer Engine'!$C$2:$C$630,0)))</f>
        <v/>
      </c>
      <c r="O170" s="8">
        <f>IF(ISNA(MATCH(161,'Transfer Engine'!$C$2:$C$630,0)),"",INDEX('Compliance Database'!$O$2:$O$630,MATCH(161,'Transfer Engine'!$C$2:$C$630,0)))</f>
        <v/>
      </c>
    </row>
    <row r="171">
      <c r="A171">
        <f>IF(ISNA(MATCH(162,'Transfer Engine'!$C$2:$C$630,0)),"",INDEX('Compliance Database'!$A$2:$A$630,MATCH(162,'Transfer Engine'!$C$2:$C$630,0)))</f>
        <v/>
      </c>
      <c r="B171">
        <f>IF(ISNA(MATCH(162,'Transfer Engine'!$C$2:$C$630,0)),"",INDEX('Compliance Database'!$B$2:$B$630,MATCH(162,'Transfer Engine'!$C$2:$C$630,0)))</f>
        <v/>
      </c>
      <c r="C171">
        <f>IF(ISNA(MATCH(162,'Transfer Engine'!$C$2:$C$630,0)),"",INDEX('Compliance Database'!$C$2:$C$630,MATCH(162,'Transfer Engine'!$C$2:$C$630,0)))</f>
        <v/>
      </c>
      <c r="D171" s="8">
        <f>IF(ISNA(MATCH(162,'Transfer Engine'!$C$2:$C$630,0)),"",INDEX('Compliance Database'!$D$2:$D$630,MATCH(162,'Transfer Engine'!$C$2:$C$630,0)))</f>
        <v/>
      </c>
      <c r="E171">
        <f>IF(ISNA(MATCH(162,'Transfer Engine'!$C$2:$C$630,0)),"",INDEX('Compliance Database'!$E$2:$E$630,MATCH(162,'Transfer Engine'!$C$2:$C$630,0)))</f>
        <v/>
      </c>
      <c r="F171">
        <f>IF(ISNA(MATCH(162,'Transfer Engine'!$C$2:$C$630,0)),"",INDEX('Compliance Database'!$F$2:$F$630,MATCH(162,'Transfer Engine'!$C$2:$C$630,0)))</f>
        <v/>
      </c>
      <c r="G171">
        <f>IF(ISNA(MATCH(162,'Transfer Engine'!$C$2:$C$630,0)),"",INDEX('Compliance Database'!$G$2:$G$630,MATCH(162,'Transfer Engine'!$C$2:$C$630,0)))</f>
        <v/>
      </c>
      <c r="H171">
        <f>IF(ISNA(MATCH(162,'Transfer Engine'!$C$2:$C$630,0)),"",INDEX('Compliance Database'!$H$2:$H$630,MATCH(162,'Transfer Engine'!$C$2:$C$630,0)))</f>
        <v/>
      </c>
      <c r="I171" s="8">
        <f>IF(ISNA(MATCH(162,'Transfer Engine'!$C$2:$C$630,0)),"",INDEX('Compliance Database'!$I$2:$I$630,MATCH(162,'Transfer Engine'!$C$2:$C$630,0)))</f>
        <v/>
      </c>
      <c r="J171" s="8">
        <f>IF(ISNA(MATCH(162,'Transfer Engine'!$C$2:$C$630,0)),"",INDEX('Compliance Database'!$J$2:$J$630,MATCH(162,'Transfer Engine'!$C$2:$C$630,0)))</f>
        <v/>
      </c>
      <c r="K171">
        <f>IF(ISNA(MATCH(162,'Transfer Engine'!$C$2:$C$630,0)),"",INDEX('Compliance Database'!$K$2:$K$630,MATCH(162,'Transfer Engine'!$C$2:$C$630,0)))</f>
        <v/>
      </c>
      <c r="L171" s="8">
        <f>IF(ISNA(MATCH(162,'Transfer Engine'!$C$2:$C$630,0)),"",INDEX('Compliance Database'!$L$2:$L$630,MATCH(162,'Transfer Engine'!$C$2:$C$630,0)))</f>
        <v/>
      </c>
      <c r="M171" s="8">
        <f>IF(ISNA(MATCH(162,'Transfer Engine'!$C$2:$C$630,0)),"",INDEX('Compliance Database'!$M$2:$M$630,MATCH(162,'Transfer Engine'!$C$2:$C$630,0)))</f>
        <v/>
      </c>
      <c r="N171" s="8">
        <f>IF(ISNA(MATCH(162,'Transfer Engine'!$C$2:$C$630,0)),"",INDEX('Compliance Database'!$N$2:$N$630,MATCH(162,'Transfer Engine'!$C$2:$C$630,0)))</f>
        <v/>
      </c>
      <c r="O171" s="8">
        <f>IF(ISNA(MATCH(162,'Transfer Engine'!$C$2:$C$630,0)),"",INDEX('Compliance Database'!$O$2:$O$630,MATCH(162,'Transfer Engine'!$C$2:$C$630,0)))</f>
        <v/>
      </c>
    </row>
    <row r="172">
      <c r="A172">
        <f>IF(ISNA(MATCH(163,'Transfer Engine'!$C$2:$C$630,0)),"",INDEX('Compliance Database'!$A$2:$A$630,MATCH(163,'Transfer Engine'!$C$2:$C$630,0)))</f>
        <v/>
      </c>
      <c r="B172">
        <f>IF(ISNA(MATCH(163,'Transfer Engine'!$C$2:$C$630,0)),"",INDEX('Compliance Database'!$B$2:$B$630,MATCH(163,'Transfer Engine'!$C$2:$C$630,0)))</f>
        <v/>
      </c>
      <c r="C172">
        <f>IF(ISNA(MATCH(163,'Transfer Engine'!$C$2:$C$630,0)),"",INDEX('Compliance Database'!$C$2:$C$630,MATCH(163,'Transfer Engine'!$C$2:$C$630,0)))</f>
        <v/>
      </c>
      <c r="D172" s="8">
        <f>IF(ISNA(MATCH(163,'Transfer Engine'!$C$2:$C$630,0)),"",INDEX('Compliance Database'!$D$2:$D$630,MATCH(163,'Transfer Engine'!$C$2:$C$630,0)))</f>
        <v/>
      </c>
      <c r="E172">
        <f>IF(ISNA(MATCH(163,'Transfer Engine'!$C$2:$C$630,0)),"",INDEX('Compliance Database'!$E$2:$E$630,MATCH(163,'Transfer Engine'!$C$2:$C$630,0)))</f>
        <v/>
      </c>
      <c r="F172">
        <f>IF(ISNA(MATCH(163,'Transfer Engine'!$C$2:$C$630,0)),"",INDEX('Compliance Database'!$F$2:$F$630,MATCH(163,'Transfer Engine'!$C$2:$C$630,0)))</f>
        <v/>
      </c>
      <c r="G172">
        <f>IF(ISNA(MATCH(163,'Transfer Engine'!$C$2:$C$630,0)),"",INDEX('Compliance Database'!$G$2:$G$630,MATCH(163,'Transfer Engine'!$C$2:$C$630,0)))</f>
        <v/>
      </c>
      <c r="H172">
        <f>IF(ISNA(MATCH(163,'Transfer Engine'!$C$2:$C$630,0)),"",INDEX('Compliance Database'!$H$2:$H$630,MATCH(163,'Transfer Engine'!$C$2:$C$630,0)))</f>
        <v/>
      </c>
      <c r="I172" s="8">
        <f>IF(ISNA(MATCH(163,'Transfer Engine'!$C$2:$C$630,0)),"",INDEX('Compliance Database'!$I$2:$I$630,MATCH(163,'Transfer Engine'!$C$2:$C$630,0)))</f>
        <v/>
      </c>
      <c r="J172" s="8">
        <f>IF(ISNA(MATCH(163,'Transfer Engine'!$C$2:$C$630,0)),"",INDEX('Compliance Database'!$J$2:$J$630,MATCH(163,'Transfer Engine'!$C$2:$C$630,0)))</f>
        <v/>
      </c>
      <c r="K172">
        <f>IF(ISNA(MATCH(163,'Transfer Engine'!$C$2:$C$630,0)),"",INDEX('Compliance Database'!$K$2:$K$630,MATCH(163,'Transfer Engine'!$C$2:$C$630,0)))</f>
        <v/>
      </c>
      <c r="L172" s="8">
        <f>IF(ISNA(MATCH(163,'Transfer Engine'!$C$2:$C$630,0)),"",INDEX('Compliance Database'!$L$2:$L$630,MATCH(163,'Transfer Engine'!$C$2:$C$630,0)))</f>
        <v/>
      </c>
      <c r="M172" s="8">
        <f>IF(ISNA(MATCH(163,'Transfer Engine'!$C$2:$C$630,0)),"",INDEX('Compliance Database'!$M$2:$M$630,MATCH(163,'Transfer Engine'!$C$2:$C$630,0)))</f>
        <v/>
      </c>
      <c r="N172" s="8">
        <f>IF(ISNA(MATCH(163,'Transfer Engine'!$C$2:$C$630,0)),"",INDEX('Compliance Database'!$N$2:$N$630,MATCH(163,'Transfer Engine'!$C$2:$C$630,0)))</f>
        <v/>
      </c>
      <c r="O172" s="8">
        <f>IF(ISNA(MATCH(163,'Transfer Engine'!$C$2:$C$630,0)),"",INDEX('Compliance Database'!$O$2:$O$630,MATCH(163,'Transfer Engine'!$C$2:$C$630,0)))</f>
        <v/>
      </c>
    </row>
    <row r="173">
      <c r="A173">
        <f>IF(ISNA(MATCH(164,'Transfer Engine'!$C$2:$C$630,0)),"",INDEX('Compliance Database'!$A$2:$A$630,MATCH(164,'Transfer Engine'!$C$2:$C$630,0)))</f>
        <v/>
      </c>
      <c r="B173">
        <f>IF(ISNA(MATCH(164,'Transfer Engine'!$C$2:$C$630,0)),"",INDEX('Compliance Database'!$B$2:$B$630,MATCH(164,'Transfer Engine'!$C$2:$C$630,0)))</f>
        <v/>
      </c>
      <c r="C173">
        <f>IF(ISNA(MATCH(164,'Transfer Engine'!$C$2:$C$630,0)),"",INDEX('Compliance Database'!$C$2:$C$630,MATCH(164,'Transfer Engine'!$C$2:$C$630,0)))</f>
        <v/>
      </c>
      <c r="D173" s="8">
        <f>IF(ISNA(MATCH(164,'Transfer Engine'!$C$2:$C$630,0)),"",INDEX('Compliance Database'!$D$2:$D$630,MATCH(164,'Transfer Engine'!$C$2:$C$630,0)))</f>
        <v/>
      </c>
      <c r="E173">
        <f>IF(ISNA(MATCH(164,'Transfer Engine'!$C$2:$C$630,0)),"",INDEX('Compliance Database'!$E$2:$E$630,MATCH(164,'Transfer Engine'!$C$2:$C$630,0)))</f>
        <v/>
      </c>
      <c r="F173">
        <f>IF(ISNA(MATCH(164,'Transfer Engine'!$C$2:$C$630,0)),"",INDEX('Compliance Database'!$F$2:$F$630,MATCH(164,'Transfer Engine'!$C$2:$C$630,0)))</f>
        <v/>
      </c>
      <c r="G173">
        <f>IF(ISNA(MATCH(164,'Transfer Engine'!$C$2:$C$630,0)),"",INDEX('Compliance Database'!$G$2:$G$630,MATCH(164,'Transfer Engine'!$C$2:$C$630,0)))</f>
        <v/>
      </c>
      <c r="H173">
        <f>IF(ISNA(MATCH(164,'Transfer Engine'!$C$2:$C$630,0)),"",INDEX('Compliance Database'!$H$2:$H$630,MATCH(164,'Transfer Engine'!$C$2:$C$630,0)))</f>
        <v/>
      </c>
      <c r="I173" s="8">
        <f>IF(ISNA(MATCH(164,'Transfer Engine'!$C$2:$C$630,0)),"",INDEX('Compliance Database'!$I$2:$I$630,MATCH(164,'Transfer Engine'!$C$2:$C$630,0)))</f>
        <v/>
      </c>
      <c r="J173" s="8">
        <f>IF(ISNA(MATCH(164,'Transfer Engine'!$C$2:$C$630,0)),"",INDEX('Compliance Database'!$J$2:$J$630,MATCH(164,'Transfer Engine'!$C$2:$C$630,0)))</f>
        <v/>
      </c>
      <c r="K173">
        <f>IF(ISNA(MATCH(164,'Transfer Engine'!$C$2:$C$630,0)),"",INDEX('Compliance Database'!$K$2:$K$630,MATCH(164,'Transfer Engine'!$C$2:$C$630,0)))</f>
        <v/>
      </c>
      <c r="L173" s="8">
        <f>IF(ISNA(MATCH(164,'Transfer Engine'!$C$2:$C$630,0)),"",INDEX('Compliance Database'!$L$2:$L$630,MATCH(164,'Transfer Engine'!$C$2:$C$630,0)))</f>
        <v/>
      </c>
      <c r="M173" s="8">
        <f>IF(ISNA(MATCH(164,'Transfer Engine'!$C$2:$C$630,0)),"",INDEX('Compliance Database'!$M$2:$M$630,MATCH(164,'Transfer Engine'!$C$2:$C$630,0)))</f>
        <v/>
      </c>
      <c r="N173" s="8">
        <f>IF(ISNA(MATCH(164,'Transfer Engine'!$C$2:$C$630,0)),"",INDEX('Compliance Database'!$N$2:$N$630,MATCH(164,'Transfer Engine'!$C$2:$C$630,0)))</f>
        <v/>
      </c>
      <c r="O173" s="8">
        <f>IF(ISNA(MATCH(164,'Transfer Engine'!$C$2:$C$630,0)),"",INDEX('Compliance Database'!$O$2:$O$630,MATCH(164,'Transfer Engine'!$C$2:$C$630,0)))</f>
        <v/>
      </c>
    </row>
    <row r="174">
      <c r="A174">
        <f>IF(ISNA(MATCH(165,'Transfer Engine'!$C$2:$C$630,0)),"",INDEX('Compliance Database'!$A$2:$A$630,MATCH(165,'Transfer Engine'!$C$2:$C$630,0)))</f>
        <v/>
      </c>
      <c r="B174">
        <f>IF(ISNA(MATCH(165,'Transfer Engine'!$C$2:$C$630,0)),"",INDEX('Compliance Database'!$B$2:$B$630,MATCH(165,'Transfer Engine'!$C$2:$C$630,0)))</f>
        <v/>
      </c>
      <c r="C174">
        <f>IF(ISNA(MATCH(165,'Transfer Engine'!$C$2:$C$630,0)),"",INDEX('Compliance Database'!$C$2:$C$630,MATCH(165,'Transfer Engine'!$C$2:$C$630,0)))</f>
        <v/>
      </c>
      <c r="D174" s="8">
        <f>IF(ISNA(MATCH(165,'Transfer Engine'!$C$2:$C$630,0)),"",INDEX('Compliance Database'!$D$2:$D$630,MATCH(165,'Transfer Engine'!$C$2:$C$630,0)))</f>
        <v/>
      </c>
      <c r="E174">
        <f>IF(ISNA(MATCH(165,'Transfer Engine'!$C$2:$C$630,0)),"",INDEX('Compliance Database'!$E$2:$E$630,MATCH(165,'Transfer Engine'!$C$2:$C$630,0)))</f>
        <v/>
      </c>
      <c r="F174">
        <f>IF(ISNA(MATCH(165,'Transfer Engine'!$C$2:$C$630,0)),"",INDEX('Compliance Database'!$F$2:$F$630,MATCH(165,'Transfer Engine'!$C$2:$C$630,0)))</f>
        <v/>
      </c>
      <c r="G174">
        <f>IF(ISNA(MATCH(165,'Transfer Engine'!$C$2:$C$630,0)),"",INDEX('Compliance Database'!$G$2:$G$630,MATCH(165,'Transfer Engine'!$C$2:$C$630,0)))</f>
        <v/>
      </c>
      <c r="H174">
        <f>IF(ISNA(MATCH(165,'Transfer Engine'!$C$2:$C$630,0)),"",INDEX('Compliance Database'!$H$2:$H$630,MATCH(165,'Transfer Engine'!$C$2:$C$630,0)))</f>
        <v/>
      </c>
      <c r="I174" s="8">
        <f>IF(ISNA(MATCH(165,'Transfer Engine'!$C$2:$C$630,0)),"",INDEX('Compliance Database'!$I$2:$I$630,MATCH(165,'Transfer Engine'!$C$2:$C$630,0)))</f>
        <v/>
      </c>
      <c r="J174" s="8">
        <f>IF(ISNA(MATCH(165,'Transfer Engine'!$C$2:$C$630,0)),"",INDEX('Compliance Database'!$J$2:$J$630,MATCH(165,'Transfer Engine'!$C$2:$C$630,0)))</f>
        <v/>
      </c>
      <c r="K174">
        <f>IF(ISNA(MATCH(165,'Transfer Engine'!$C$2:$C$630,0)),"",INDEX('Compliance Database'!$K$2:$K$630,MATCH(165,'Transfer Engine'!$C$2:$C$630,0)))</f>
        <v/>
      </c>
      <c r="L174" s="8">
        <f>IF(ISNA(MATCH(165,'Transfer Engine'!$C$2:$C$630,0)),"",INDEX('Compliance Database'!$L$2:$L$630,MATCH(165,'Transfer Engine'!$C$2:$C$630,0)))</f>
        <v/>
      </c>
      <c r="M174" s="8">
        <f>IF(ISNA(MATCH(165,'Transfer Engine'!$C$2:$C$630,0)),"",INDEX('Compliance Database'!$M$2:$M$630,MATCH(165,'Transfer Engine'!$C$2:$C$630,0)))</f>
        <v/>
      </c>
      <c r="N174" s="8">
        <f>IF(ISNA(MATCH(165,'Transfer Engine'!$C$2:$C$630,0)),"",INDEX('Compliance Database'!$N$2:$N$630,MATCH(165,'Transfer Engine'!$C$2:$C$630,0)))</f>
        <v/>
      </c>
      <c r="O174" s="8">
        <f>IF(ISNA(MATCH(165,'Transfer Engine'!$C$2:$C$630,0)),"",INDEX('Compliance Database'!$O$2:$O$630,MATCH(165,'Transfer Engine'!$C$2:$C$630,0)))</f>
        <v/>
      </c>
    </row>
    <row r="175">
      <c r="A175">
        <f>IF(ISNA(MATCH(166,'Transfer Engine'!$C$2:$C$630,0)),"",INDEX('Compliance Database'!$A$2:$A$630,MATCH(166,'Transfer Engine'!$C$2:$C$630,0)))</f>
        <v/>
      </c>
      <c r="B175">
        <f>IF(ISNA(MATCH(166,'Transfer Engine'!$C$2:$C$630,0)),"",INDEX('Compliance Database'!$B$2:$B$630,MATCH(166,'Transfer Engine'!$C$2:$C$630,0)))</f>
        <v/>
      </c>
      <c r="C175">
        <f>IF(ISNA(MATCH(166,'Transfer Engine'!$C$2:$C$630,0)),"",INDEX('Compliance Database'!$C$2:$C$630,MATCH(166,'Transfer Engine'!$C$2:$C$630,0)))</f>
        <v/>
      </c>
      <c r="D175" s="8">
        <f>IF(ISNA(MATCH(166,'Transfer Engine'!$C$2:$C$630,0)),"",INDEX('Compliance Database'!$D$2:$D$630,MATCH(166,'Transfer Engine'!$C$2:$C$630,0)))</f>
        <v/>
      </c>
      <c r="E175">
        <f>IF(ISNA(MATCH(166,'Transfer Engine'!$C$2:$C$630,0)),"",INDEX('Compliance Database'!$E$2:$E$630,MATCH(166,'Transfer Engine'!$C$2:$C$630,0)))</f>
        <v/>
      </c>
      <c r="F175">
        <f>IF(ISNA(MATCH(166,'Transfer Engine'!$C$2:$C$630,0)),"",INDEX('Compliance Database'!$F$2:$F$630,MATCH(166,'Transfer Engine'!$C$2:$C$630,0)))</f>
        <v/>
      </c>
      <c r="G175">
        <f>IF(ISNA(MATCH(166,'Transfer Engine'!$C$2:$C$630,0)),"",INDEX('Compliance Database'!$G$2:$G$630,MATCH(166,'Transfer Engine'!$C$2:$C$630,0)))</f>
        <v/>
      </c>
      <c r="H175">
        <f>IF(ISNA(MATCH(166,'Transfer Engine'!$C$2:$C$630,0)),"",INDEX('Compliance Database'!$H$2:$H$630,MATCH(166,'Transfer Engine'!$C$2:$C$630,0)))</f>
        <v/>
      </c>
      <c r="I175" s="8">
        <f>IF(ISNA(MATCH(166,'Transfer Engine'!$C$2:$C$630,0)),"",INDEX('Compliance Database'!$I$2:$I$630,MATCH(166,'Transfer Engine'!$C$2:$C$630,0)))</f>
        <v/>
      </c>
      <c r="J175" s="8">
        <f>IF(ISNA(MATCH(166,'Transfer Engine'!$C$2:$C$630,0)),"",INDEX('Compliance Database'!$J$2:$J$630,MATCH(166,'Transfer Engine'!$C$2:$C$630,0)))</f>
        <v/>
      </c>
      <c r="K175">
        <f>IF(ISNA(MATCH(166,'Transfer Engine'!$C$2:$C$630,0)),"",INDEX('Compliance Database'!$K$2:$K$630,MATCH(166,'Transfer Engine'!$C$2:$C$630,0)))</f>
        <v/>
      </c>
      <c r="L175" s="8">
        <f>IF(ISNA(MATCH(166,'Transfer Engine'!$C$2:$C$630,0)),"",INDEX('Compliance Database'!$L$2:$L$630,MATCH(166,'Transfer Engine'!$C$2:$C$630,0)))</f>
        <v/>
      </c>
      <c r="M175" s="8">
        <f>IF(ISNA(MATCH(166,'Transfer Engine'!$C$2:$C$630,0)),"",INDEX('Compliance Database'!$M$2:$M$630,MATCH(166,'Transfer Engine'!$C$2:$C$630,0)))</f>
        <v/>
      </c>
      <c r="N175" s="8">
        <f>IF(ISNA(MATCH(166,'Transfer Engine'!$C$2:$C$630,0)),"",INDEX('Compliance Database'!$N$2:$N$630,MATCH(166,'Transfer Engine'!$C$2:$C$630,0)))</f>
        <v/>
      </c>
      <c r="O175" s="8">
        <f>IF(ISNA(MATCH(166,'Transfer Engine'!$C$2:$C$630,0)),"",INDEX('Compliance Database'!$O$2:$O$630,MATCH(166,'Transfer Engine'!$C$2:$C$630,0)))</f>
        <v/>
      </c>
    </row>
    <row r="176">
      <c r="A176">
        <f>IF(ISNA(MATCH(167,'Transfer Engine'!$C$2:$C$630,0)),"",INDEX('Compliance Database'!$A$2:$A$630,MATCH(167,'Transfer Engine'!$C$2:$C$630,0)))</f>
        <v/>
      </c>
      <c r="B176">
        <f>IF(ISNA(MATCH(167,'Transfer Engine'!$C$2:$C$630,0)),"",INDEX('Compliance Database'!$B$2:$B$630,MATCH(167,'Transfer Engine'!$C$2:$C$630,0)))</f>
        <v/>
      </c>
      <c r="C176">
        <f>IF(ISNA(MATCH(167,'Transfer Engine'!$C$2:$C$630,0)),"",INDEX('Compliance Database'!$C$2:$C$630,MATCH(167,'Transfer Engine'!$C$2:$C$630,0)))</f>
        <v/>
      </c>
      <c r="D176" s="8">
        <f>IF(ISNA(MATCH(167,'Transfer Engine'!$C$2:$C$630,0)),"",INDEX('Compliance Database'!$D$2:$D$630,MATCH(167,'Transfer Engine'!$C$2:$C$630,0)))</f>
        <v/>
      </c>
      <c r="E176">
        <f>IF(ISNA(MATCH(167,'Transfer Engine'!$C$2:$C$630,0)),"",INDEX('Compliance Database'!$E$2:$E$630,MATCH(167,'Transfer Engine'!$C$2:$C$630,0)))</f>
        <v/>
      </c>
      <c r="F176">
        <f>IF(ISNA(MATCH(167,'Transfer Engine'!$C$2:$C$630,0)),"",INDEX('Compliance Database'!$F$2:$F$630,MATCH(167,'Transfer Engine'!$C$2:$C$630,0)))</f>
        <v/>
      </c>
      <c r="G176">
        <f>IF(ISNA(MATCH(167,'Transfer Engine'!$C$2:$C$630,0)),"",INDEX('Compliance Database'!$G$2:$G$630,MATCH(167,'Transfer Engine'!$C$2:$C$630,0)))</f>
        <v/>
      </c>
      <c r="H176">
        <f>IF(ISNA(MATCH(167,'Transfer Engine'!$C$2:$C$630,0)),"",INDEX('Compliance Database'!$H$2:$H$630,MATCH(167,'Transfer Engine'!$C$2:$C$630,0)))</f>
        <v/>
      </c>
      <c r="I176" s="8">
        <f>IF(ISNA(MATCH(167,'Transfer Engine'!$C$2:$C$630,0)),"",INDEX('Compliance Database'!$I$2:$I$630,MATCH(167,'Transfer Engine'!$C$2:$C$630,0)))</f>
        <v/>
      </c>
      <c r="J176" s="8">
        <f>IF(ISNA(MATCH(167,'Transfer Engine'!$C$2:$C$630,0)),"",INDEX('Compliance Database'!$J$2:$J$630,MATCH(167,'Transfer Engine'!$C$2:$C$630,0)))</f>
        <v/>
      </c>
      <c r="K176">
        <f>IF(ISNA(MATCH(167,'Transfer Engine'!$C$2:$C$630,0)),"",INDEX('Compliance Database'!$K$2:$K$630,MATCH(167,'Transfer Engine'!$C$2:$C$630,0)))</f>
        <v/>
      </c>
      <c r="L176" s="8">
        <f>IF(ISNA(MATCH(167,'Transfer Engine'!$C$2:$C$630,0)),"",INDEX('Compliance Database'!$L$2:$L$630,MATCH(167,'Transfer Engine'!$C$2:$C$630,0)))</f>
        <v/>
      </c>
      <c r="M176" s="8">
        <f>IF(ISNA(MATCH(167,'Transfer Engine'!$C$2:$C$630,0)),"",INDEX('Compliance Database'!$M$2:$M$630,MATCH(167,'Transfer Engine'!$C$2:$C$630,0)))</f>
        <v/>
      </c>
      <c r="N176" s="8">
        <f>IF(ISNA(MATCH(167,'Transfer Engine'!$C$2:$C$630,0)),"",INDEX('Compliance Database'!$N$2:$N$630,MATCH(167,'Transfer Engine'!$C$2:$C$630,0)))</f>
        <v/>
      </c>
      <c r="O176" s="8">
        <f>IF(ISNA(MATCH(167,'Transfer Engine'!$C$2:$C$630,0)),"",INDEX('Compliance Database'!$O$2:$O$630,MATCH(167,'Transfer Engine'!$C$2:$C$630,0)))</f>
        <v/>
      </c>
    </row>
    <row r="177">
      <c r="A177">
        <f>IF(ISNA(MATCH(168,'Transfer Engine'!$C$2:$C$630,0)),"",INDEX('Compliance Database'!$A$2:$A$630,MATCH(168,'Transfer Engine'!$C$2:$C$630,0)))</f>
        <v/>
      </c>
      <c r="B177">
        <f>IF(ISNA(MATCH(168,'Transfer Engine'!$C$2:$C$630,0)),"",INDEX('Compliance Database'!$B$2:$B$630,MATCH(168,'Transfer Engine'!$C$2:$C$630,0)))</f>
        <v/>
      </c>
      <c r="C177">
        <f>IF(ISNA(MATCH(168,'Transfer Engine'!$C$2:$C$630,0)),"",INDEX('Compliance Database'!$C$2:$C$630,MATCH(168,'Transfer Engine'!$C$2:$C$630,0)))</f>
        <v/>
      </c>
      <c r="D177" s="8">
        <f>IF(ISNA(MATCH(168,'Transfer Engine'!$C$2:$C$630,0)),"",INDEX('Compliance Database'!$D$2:$D$630,MATCH(168,'Transfer Engine'!$C$2:$C$630,0)))</f>
        <v/>
      </c>
      <c r="E177">
        <f>IF(ISNA(MATCH(168,'Transfer Engine'!$C$2:$C$630,0)),"",INDEX('Compliance Database'!$E$2:$E$630,MATCH(168,'Transfer Engine'!$C$2:$C$630,0)))</f>
        <v/>
      </c>
      <c r="F177">
        <f>IF(ISNA(MATCH(168,'Transfer Engine'!$C$2:$C$630,0)),"",INDEX('Compliance Database'!$F$2:$F$630,MATCH(168,'Transfer Engine'!$C$2:$C$630,0)))</f>
        <v/>
      </c>
      <c r="G177">
        <f>IF(ISNA(MATCH(168,'Transfer Engine'!$C$2:$C$630,0)),"",INDEX('Compliance Database'!$G$2:$G$630,MATCH(168,'Transfer Engine'!$C$2:$C$630,0)))</f>
        <v/>
      </c>
      <c r="H177">
        <f>IF(ISNA(MATCH(168,'Transfer Engine'!$C$2:$C$630,0)),"",INDEX('Compliance Database'!$H$2:$H$630,MATCH(168,'Transfer Engine'!$C$2:$C$630,0)))</f>
        <v/>
      </c>
      <c r="I177" s="8">
        <f>IF(ISNA(MATCH(168,'Transfer Engine'!$C$2:$C$630,0)),"",INDEX('Compliance Database'!$I$2:$I$630,MATCH(168,'Transfer Engine'!$C$2:$C$630,0)))</f>
        <v/>
      </c>
      <c r="J177" s="8">
        <f>IF(ISNA(MATCH(168,'Transfer Engine'!$C$2:$C$630,0)),"",INDEX('Compliance Database'!$J$2:$J$630,MATCH(168,'Transfer Engine'!$C$2:$C$630,0)))</f>
        <v/>
      </c>
      <c r="K177">
        <f>IF(ISNA(MATCH(168,'Transfer Engine'!$C$2:$C$630,0)),"",INDEX('Compliance Database'!$K$2:$K$630,MATCH(168,'Transfer Engine'!$C$2:$C$630,0)))</f>
        <v/>
      </c>
      <c r="L177" s="8">
        <f>IF(ISNA(MATCH(168,'Transfer Engine'!$C$2:$C$630,0)),"",INDEX('Compliance Database'!$L$2:$L$630,MATCH(168,'Transfer Engine'!$C$2:$C$630,0)))</f>
        <v/>
      </c>
      <c r="M177" s="8">
        <f>IF(ISNA(MATCH(168,'Transfer Engine'!$C$2:$C$630,0)),"",INDEX('Compliance Database'!$M$2:$M$630,MATCH(168,'Transfer Engine'!$C$2:$C$630,0)))</f>
        <v/>
      </c>
      <c r="N177" s="8">
        <f>IF(ISNA(MATCH(168,'Transfer Engine'!$C$2:$C$630,0)),"",INDEX('Compliance Database'!$N$2:$N$630,MATCH(168,'Transfer Engine'!$C$2:$C$630,0)))</f>
        <v/>
      </c>
      <c r="O177" s="8">
        <f>IF(ISNA(MATCH(168,'Transfer Engine'!$C$2:$C$630,0)),"",INDEX('Compliance Database'!$O$2:$O$630,MATCH(168,'Transfer Engine'!$C$2:$C$630,0)))</f>
        <v/>
      </c>
    </row>
    <row r="178">
      <c r="A178">
        <f>IF(ISNA(MATCH(169,'Transfer Engine'!$C$2:$C$630,0)),"",INDEX('Compliance Database'!$A$2:$A$630,MATCH(169,'Transfer Engine'!$C$2:$C$630,0)))</f>
        <v/>
      </c>
      <c r="B178">
        <f>IF(ISNA(MATCH(169,'Transfer Engine'!$C$2:$C$630,0)),"",INDEX('Compliance Database'!$B$2:$B$630,MATCH(169,'Transfer Engine'!$C$2:$C$630,0)))</f>
        <v/>
      </c>
      <c r="C178">
        <f>IF(ISNA(MATCH(169,'Transfer Engine'!$C$2:$C$630,0)),"",INDEX('Compliance Database'!$C$2:$C$630,MATCH(169,'Transfer Engine'!$C$2:$C$630,0)))</f>
        <v/>
      </c>
      <c r="D178" s="8">
        <f>IF(ISNA(MATCH(169,'Transfer Engine'!$C$2:$C$630,0)),"",INDEX('Compliance Database'!$D$2:$D$630,MATCH(169,'Transfer Engine'!$C$2:$C$630,0)))</f>
        <v/>
      </c>
      <c r="E178">
        <f>IF(ISNA(MATCH(169,'Transfer Engine'!$C$2:$C$630,0)),"",INDEX('Compliance Database'!$E$2:$E$630,MATCH(169,'Transfer Engine'!$C$2:$C$630,0)))</f>
        <v/>
      </c>
      <c r="F178">
        <f>IF(ISNA(MATCH(169,'Transfer Engine'!$C$2:$C$630,0)),"",INDEX('Compliance Database'!$F$2:$F$630,MATCH(169,'Transfer Engine'!$C$2:$C$630,0)))</f>
        <v/>
      </c>
      <c r="G178">
        <f>IF(ISNA(MATCH(169,'Transfer Engine'!$C$2:$C$630,0)),"",INDEX('Compliance Database'!$G$2:$G$630,MATCH(169,'Transfer Engine'!$C$2:$C$630,0)))</f>
        <v/>
      </c>
      <c r="H178">
        <f>IF(ISNA(MATCH(169,'Transfer Engine'!$C$2:$C$630,0)),"",INDEX('Compliance Database'!$H$2:$H$630,MATCH(169,'Transfer Engine'!$C$2:$C$630,0)))</f>
        <v/>
      </c>
      <c r="I178" s="8">
        <f>IF(ISNA(MATCH(169,'Transfer Engine'!$C$2:$C$630,0)),"",INDEX('Compliance Database'!$I$2:$I$630,MATCH(169,'Transfer Engine'!$C$2:$C$630,0)))</f>
        <v/>
      </c>
      <c r="J178" s="8">
        <f>IF(ISNA(MATCH(169,'Transfer Engine'!$C$2:$C$630,0)),"",INDEX('Compliance Database'!$J$2:$J$630,MATCH(169,'Transfer Engine'!$C$2:$C$630,0)))</f>
        <v/>
      </c>
      <c r="K178">
        <f>IF(ISNA(MATCH(169,'Transfer Engine'!$C$2:$C$630,0)),"",INDEX('Compliance Database'!$K$2:$K$630,MATCH(169,'Transfer Engine'!$C$2:$C$630,0)))</f>
        <v/>
      </c>
      <c r="L178" s="8">
        <f>IF(ISNA(MATCH(169,'Transfer Engine'!$C$2:$C$630,0)),"",INDEX('Compliance Database'!$L$2:$L$630,MATCH(169,'Transfer Engine'!$C$2:$C$630,0)))</f>
        <v/>
      </c>
      <c r="M178" s="8">
        <f>IF(ISNA(MATCH(169,'Transfer Engine'!$C$2:$C$630,0)),"",INDEX('Compliance Database'!$M$2:$M$630,MATCH(169,'Transfer Engine'!$C$2:$C$630,0)))</f>
        <v/>
      </c>
      <c r="N178" s="8">
        <f>IF(ISNA(MATCH(169,'Transfer Engine'!$C$2:$C$630,0)),"",INDEX('Compliance Database'!$N$2:$N$630,MATCH(169,'Transfer Engine'!$C$2:$C$630,0)))</f>
        <v/>
      </c>
      <c r="O178" s="8">
        <f>IF(ISNA(MATCH(169,'Transfer Engine'!$C$2:$C$630,0)),"",INDEX('Compliance Database'!$O$2:$O$630,MATCH(169,'Transfer Engine'!$C$2:$C$630,0)))</f>
        <v/>
      </c>
    </row>
    <row r="179">
      <c r="A179">
        <f>IF(ISNA(MATCH(170,'Transfer Engine'!$C$2:$C$630,0)),"",INDEX('Compliance Database'!$A$2:$A$630,MATCH(170,'Transfer Engine'!$C$2:$C$630,0)))</f>
        <v/>
      </c>
      <c r="B179">
        <f>IF(ISNA(MATCH(170,'Transfer Engine'!$C$2:$C$630,0)),"",INDEX('Compliance Database'!$B$2:$B$630,MATCH(170,'Transfer Engine'!$C$2:$C$630,0)))</f>
        <v/>
      </c>
      <c r="C179">
        <f>IF(ISNA(MATCH(170,'Transfer Engine'!$C$2:$C$630,0)),"",INDEX('Compliance Database'!$C$2:$C$630,MATCH(170,'Transfer Engine'!$C$2:$C$630,0)))</f>
        <v/>
      </c>
      <c r="D179" s="8">
        <f>IF(ISNA(MATCH(170,'Transfer Engine'!$C$2:$C$630,0)),"",INDEX('Compliance Database'!$D$2:$D$630,MATCH(170,'Transfer Engine'!$C$2:$C$630,0)))</f>
        <v/>
      </c>
      <c r="E179">
        <f>IF(ISNA(MATCH(170,'Transfer Engine'!$C$2:$C$630,0)),"",INDEX('Compliance Database'!$E$2:$E$630,MATCH(170,'Transfer Engine'!$C$2:$C$630,0)))</f>
        <v/>
      </c>
      <c r="F179">
        <f>IF(ISNA(MATCH(170,'Transfer Engine'!$C$2:$C$630,0)),"",INDEX('Compliance Database'!$F$2:$F$630,MATCH(170,'Transfer Engine'!$C$2:$C$630,0)))</f>
        <v/>
      </c>
      <c r="G179">
        <f>IF(ISNA(MATCH(170,'Transfer Engine'!$C$2:$C$630,0)),"",INDEX('Compliance Database'!$G$2:$G$630,MATCH(170,'Transfer Engine'!$C$2:$C$630,0)))</f>
        <v/>
      </c>
      <c r="H179">
        <f>IF(ISNA(MATCH(170,'Transfer Engine'!$C$2:$C$630,0)),"",INDEX('Compliance Database'!$H$2:$H$630,MATCH(170,'Transfer Engine'!$C$2:$C$630,0)))</f>
        <v/>
      </c>
      <c r="I179" s="8">
        <f>IF(ISNA(MATCH(170,'Transfer Engine'!$C$2:$C$630,0)),"",INDEX('Compliance Database'!$I$2:$I$630,MATCH(170,'Transfer Engine'!$C$2:$C$630,0)))</f>
        <v/>
      </c>
      <c r="J179" s="8">
        <f>IF(ISNA(MATCH(170,'Transfer Engine'!$C$2:$C$630,0)),"",INDEX('Compliance Database'!$J$2:$J$630,MATCH(170,'Transfer Engine'!$C$2:$C$630,0)))</f>
        <v/>
      </c>
      <c r="K179">
        <f>IF(ISNA(MATCH(170,'Transfer Engine'!$C$2:$C$630,0)),"",INDEX('Compliance Database'!$K$2:$K$630,MATCH(170,'Transfer Engine'!$C$2:$C$630,0)))</f>
        <v/>
      </c>
      <c r="L179" s="8">
        <f>IF(ISNA(MATCH(170,'Transfer Engine'!$C$2:$C$630,0)),"",INDEX('Compliance Database'!$L$2:$L$630,MATCH(170,'Transfer Engine'!$C$2:$C$630,0)))</f>
        <v/>
      </c>
      <c r="M179" s="8">
        <f>IF(ISNA(MATCH(170,'Transfer Engine'!$C$2:$C$630,0)),"",INDEX('Compliance Database'!$M$2:$M$630,MATCH(170,'Transfer Engine'!$C$2:$C$630,0)))</f>
        <v/>
      </c>
      <c r="N179" s="8">
        <f>IF(ISNA(MATCH(170,'Transfer Engine'!$C$2:$C$630,0)),"",INDEX('Compliance Database'!$N$2:$N$630,MATCH(170,'Transfer Engine'!$C$2:$C$630,0)))</f>
        <v/>
      </c>
      <c r="O179" s="8">
        <f>IF(ISNA(MATCH(170,'Transfer Engine'!$C$2:$C$630,0)),"",INDEX('Compliance Database'!$O$2:$O$630,MATCH(170,'Transfer Engine'!$C$2:$C$630,0)))</f>
        <v/>
      </c>
    </row>
    <row r="180">
      <c r="A180">
        <f>IF(ISNA(MATCH(171,'Transfer Engine'!$C$2:$C$630,0)),"",INDEX('Compliance Database'!$A$2:$A$630,MATCH(171,'Transfer Engine'!$C$2:$C$630,0)))</f>
        <v/>
      </c>
      <c r="B180">
        <f>IF(ISNA(MATCH(171,'Transfer Engine'!$C$2:$C$630,0)),"",INDEX('Compliance Database'!$B$2:$B$630,MATCH(171,'Transfer Engine'!$C$2:$C$630,0)))</f>
        <v/>
      </c>
      <c r="C180">
        <f>IF(ISNA(MATCH(171,'Transfer Engine'!$C$2:$C$630,0)),"",INDEX('Compliance Database'!$C$2:$C$630,MATCH(171,'Transfer Engine'!$C$2:$C$630,0)))</f>
        <v/>
      </c>
      <c r="D180" s="8">
        <f>IF(ISNA(MATCH(171,'Transfer Engine'!$C$2:$C$630,0)),"",INDEX('Compliance Database'!$D$2:$D$630,MATCH(171,'Transfer Engine'!$C$2:$C$630,0)))</f>
        <v/>
      </c>
      <c r="E180">
        <f>IF(ISNA(MATCH(171,'Transfer Engine'!$C$2:$C$630,0)),"",INDEX('Compliance Database'!$E$2:$E$630,MATCH(171,'Transfer Engine'!$C$2:$C$630,0)))</f>
        <v/>
      </c>
      <c r="F180">
        <f>IF(ISNA(MATCH(171,'Transfer Engine'!$C$2:$C$630,0)),"",INDEX('Compliance Database'!$F$2:$F$630,MATCH(171,'Transfer Engine'!$C$2:$C$630,0)))</f>
        <v/>
      </c>
      <c r="G180">
        <f>IF(ISNA(MATCH(171,'Transfer Engine'!$C$2:$C$630,0)),"",INDEX('Compliance Database'!$G$2:$G$630,MATCH(171,'Transfer Engine'!$C$2:$C$630,0)))</f>
        <v/>
      </c>
      <c r="H180">
        <f>IF(ISNA(MATCH(171,'Transfer Engine'!$C$2:$C$630,0)),"",INDEX('Compliance Database'!$H$2:$H$630,MATCH(171,'Transfer Engine'!$C$2:$C$630,0)))</f>
        <v/>
      </c>
      <c r="I180" s="8">
        <f>IF(ISNA(MATCH(171,'Transfer Engine'!$C$2:$C$630,0)),"",INDEX('Compliance Database'!$I$2:$I$630,MATCH(171,'Transfer Engine'!$C$2:$C$630,0)))</f>
        <v/>
      </c>
      <c r="J180" s="8">
        <f>IF(ISNA(MATCH(171,'Transfer Engine'!$C$2:$C$630,0)),"",INDEX('Compliance Database'!$J$2:$J$630,MATCH(171,'Transfer Engine'!$C$2:$C$630,0)))</f>
        <v/>
      </c>
      <c r="K180">
        <f>IF(ISNA(MATCH(171,'Transfer Engine'!$C$2:$C$630,0)),"",INDEX('Compliance Database'!$K$2:$K$630,MATCH(171,'Transfer Engine'!$C$2:$C$630,0)))</f>
        <v/>
      </c>
      <c r="L180" s="8">
        <f>IF(ISNA(MATCH(171,'Transfer Engine'!$C$2:$C$630,0)),"",INDEX('Compliance Database'!$L$2:$L$630,MATCH(171,'Transfer Engine'!$C$2:$C$630,0)))</f>
        <v/>
      </c>
      <c r="M180" s="8">
        <f>IF(ISNA(MATCH(171,'Transfer Engine'!$C$2:$C$630,0)),"",INDEX('Compliance Database'!$M$2:$M$630,MATCH(171,'Transfer Engine'!$C$2:$C$630,0)))</f>
        <v/>
      </c>
      <c r="N180" s="8">
        <f>IF(ISNA(MATCH(171,'Transfer Engine'!$C$2:$C$630,0)),"",INDEX('Compliance Database'!$N$2:$N$630,MATCH(171,'Transfer Engine'!$C$2:$C$630,0)))</f>
        <v/>
      </c>
      <c r="O180" s="8">
        <f>IF(ISNA(MATCH(171,'Transfer Engine'!$C$2:$C$630,0)),"",INDEX('Compliance Database'!$O$2:$O$630,MATCH(171,'Transfer Engine'!$C$2:$C$630,0)))</f>
        <v/>
      </c>
    </row>
    <row r="181">
      <c r="A181">
        <f>IF(ISNA(MATCH(172,'Transfer Engine'!$C$2:$C$630,0)),"",INDEX('Compliance Database'!$A$2:$A$630,MATCH(172,'Transfer Engine'!$C$2:$C$630,0)))</f>
        <v/>
      </c>
      <c r="B181">
        <f>IF(ISNA(MATCH(172,'Transfer Engine'!$C$2:$C$630,0)),"",INDEX('Compliance Database'!$B$2:$B$630,MATCH(172,'Transfer Engine'!$C$2:$C$630,0)))</f>
        <v/>
      </c>
      <c r="C181">
        <f>IF(ISNA(MATCH(172,'Transfer Engine'!$C$2:$C$630,0)),"",INDEX('Compliance Database'!$C$2:$C$630,MATCH(172,'Transfer Engine'!$C$2:$C$630,0)))</f>
        <v/>
      </c>
      <c r="D181" s="8">
        <f>IF(ISNA(MATCH(172,'Transfer Engine'!$C$2:$C$630,0)),"",INDEX('Compliance Database'!$D$2:$D$630,MATCH(172,'Transfer Engine'!$C$2:$C$630,0)))</f>
        <v/>
      </c>
      <c r="E181">
        <f>IF(ISNA(MATCH(172,'Transfer Engine'!$C$2:$C$630,0)),"",INDEX('Compliance Database'!$E$2:$E$630,MATCH(172,'Transfer Engine'!$C$2:$C$630,0)))</f>
        <v/>
      </c>
      <c r="F181">
        <f>IF(ISNA(MATCH(172,'Transfer Engine'!$C$2:$C$630,0)),"",INDEX('Compliance Database'!$F$2:$F$630,MATCH(172,'Transfer Engine'!$C$2:$C$630,0)))</f>
        <v/>
      </c>
      <c r="G181">
        <f>IF(ISNA(MATCH(172,'Transfer Engine'!$C$2:$C$630,0)),"",INDEX('Compliance Database'!$G$2:$G$630,MATCH(172,'Transfer Engine'!$C$2:$C$630,0)))</f>
        <v/>
      </c>
      <c r="H181">
        <f>IF(ISNA(MATCH(172,'Transfer Engine'!$C$2:$C$630,0)),"",INDEX('Compliance Database'!$H$2:$H$630,MATCH(172,'Transfer Engine'!$C$2:$C$630,0)))</f>
        <v/>
      </c>
      <c r="I181" s="8">
        <f>IF(ISNA(MATCH(172,'Transfer Engine'!$C$2:$C$630,0)),"",INDEX('Compliance Database'!$I$2:$I$630,MATCH(172,'Transfer Engine'!$C$2:$C$630,0)))</f>
        <v/>
      </c>
      <c r="J181" s="8">
        <f>IF(ISNA(MATCH(172,'Transfer Engine'!$C$2:$C$630,0)),"",INDEX('Compliance Database'!$J$2:$J$630,MATCH(172,'Transfer Engine'!$C$2:$C$630,0)))</f>
        <v/>
      </c>
      <c r="K181">
        <f>IF(ISNA(MATCH(172,'Transfer Engine'!$C$2:$C$630,0)),"",INDEX('Compliance Database'!$K$2:$K$630,MATCH(172,'Transfer Engine'!$C$2:$C$630,0)))</f>
        <v/>
      </c>
      <c r="L181" s="8">
        <f>IF(ISNA(MATCH(172,'Transfer Engine'!$C$2:$C$630,0)),"",INDEX('Compliance Database'!$L$2:$L$630,MATCH(172,'Transfer Engine'!$C$2:$C$630,0)))</f>
        <v/>
      </c>
      <c r="M181" s="8">
        <f>IF(ISNA(MATCH(172,'Transfer Engine'!$C$2:$C$630,0)),"",INDEX('Compliance Database'!$M$2:$M$630,MATCH(172,'Transfer Engine'!$C$2:$C$630,0)))</f>
        <v/>
      </c>
      <c r="N181" s="8">
        <f>IF(ISNA(MATCH(172,'Transfer Engine'!$C$2:$C$630,0)),"",INDEX('Compliance Database'!$N$2:$N$630,MATCH(172,'Transfer Engine'!$C$2:$C$630,0)))</f>
        <v/>
      </c>
      <c r="O181" s="8">
        <f>IF(ISNA(MATCH(172,'Transfer Engine'!$C$2:$C$630,0)),"",INDEX('Compliance Database'!$O$2:$O$630,MATCH(172,'Transfer Engine'!$C$2:$C$630,0)))</f>
        <v/>
      </c>
    </row>
    <row r="182">
      <c r="A182">
        <f>IF(ISNA(MATCH(173,'Transfer Engine'!$C$2:$C$630,0)),"",INDEX('Compliance Database'!$A$2:$A$630,MATCH(173,'Transfer Engine'!$C$2:$C$630,0)))</f>
        <v/>
      </c>
      <c r="B182">
        <f>IF(ISNA(MATCH(173,'Transfer Engine'!$C$2:$C$630,0)),"",INDEX('Compliance Database'!$B$2:$B$630,MATCH(173,'Transfer Engine'!$C$2:$C$630,0)))</f>
        <v/>
      </c>
      <c r="C182">
        <f>IF(ISNA(MATCH(173,'Transfer Engine'!$C$2:$C$630,0)),"",INDEX('Compliance Database'!$C$2:$C$630,MATCH(173,'Transfer Engine'!$C$2:$C$630,0)))</f>
        <v/>
      </c>
      <c r="D182" s="8">
        <f>IF(ISNA(MATCH(173,'Transfer Engine'!$C$2:$C$630,0)),"",INDEX('Compliance Database'!$D$2:$D$630,MATCH(173,'Transfer Engine'!$C$2:$C$630,0)))</f>
        <v/>
      </c>
      <c r="E182">
        <f>IF(ISNA(MATCH(173,'Transfer Engine'!$C$2:$C$630,0)),"",INDEX('Compliance Database'!$E$2:$E$630,MATCH(173,'Transfer Engine'!$C$2:$C$630,0)))</f>
        <v/>
      </c>
      <c r="F182">
        <f>IF(ISNA(MATCH(173,'Transfer Engine'!$C$2:$C$630,0)),"",INDEX('Compliance Database'!$F$2:$F$630,MATCH(173,'Transfer Engine'!$C$2:$C$630,0)))</f>
        <v/>
      </c>
      <c r="G182">
        <f>IF(ISNA(MATCH(173,'Transfer Engine'!$C$2:$C$630,0)),"",INDEX('Compliance Database'!$G$2:$G$630,MATCH(173,'Transfer Engine'!$C$2:$C$630,0)))</f>
        <v/>
      </c>
      <c r="H182">
        <f>IF(ISNA(MATCH(173,'Transfer Engine'!$C$2:$C$630,0)),"",INDEX('Compliance Database'!$H$2:$H$630,MATCH(173,'Transfer Engine'!$C$2:$C$630,0)))</f>
        <v/>
      </c>
      <c r="I182" s="8">
        <f>IF(ISNA(MATCH(173,'Transfer Engine'!$C$2:$C$630,0)),"",INDEX('Compliance Database'!$I$2:$I$630,MATCH(173,'Transfer Engine'!$C$2:$C$630,0)))</f>
        <v/>
      </c>
      <c r="J182" s="8">
        <f>IF(ISNA(MATCH(173,'Transfer Engine'!$C$2:$C$630,0)),"",INDEX('Compliance Database'!$J$2:$J$630,MATCH(173,'Transfer Engine'!$C$2:$C$630,0)))</f>
        <v/>
      </c>
      <c r="K182">
        <f>IF(ISNA(MATCH(173,'Transfer Engine'!$C$2:$C$630,0)),"",INDEX('Compliance Database'!$K$2:$K$630,MATCH(173,'Transfer Engine'!$C$2:$C$630,0)))</f>
        <v/>
      </c>
      <c r="L182" s="8">
        <f>IF(ISNA(MATCH(173,'Transfer Engine'!$C$2:$C$630,0)),"",INDEX('Compliance Database'!$L$2:$L$630,MATCH(173,'Transfer Engine'!$C$2:$C$630,0)))</f>
        <v/>
      </c>
      <c r="M182" s="8">
        <f>IF(ISNA(MATCH(173,'Transfer Engine'!$C$2:$C$630,0)),"",INDEX('Compliance Database'!$M$2:$M$630,MATCH(173,'Transfer Engine'!$C$2:$C$630,0)))</f>
        <v/>
      </c>
      <c r="N182" s="8">
        <f>IF(ISNA(MATCH(173,'Transfer Engine'!$C$2:$C$630,0)),"",INDEX('Compliance Database'!$N$2:$N$630,MATCH(173,'Transfer Engine'!$C$2:$C$630,0)))</f>
        <v/>
      </c>
      <c r="O182" s="8">
        <f>IF(ISNA(MATCH(173,'Transfer Engine'!$C$2:$C$630,0)),"",INDEX('Compliance Database'!$O$2:$O$630,MATCH(173,'Transfer Engine'!$C$2:$C$630,0)))</f>
        <v/>
      </c>
    </row>
    <row r="183">
      <c r="A183">
        <f>IF(ISNA(MATCH(174,'Transfer Engine'!$C$2:$C$630,0)),"",INDEX('Compliance Database'!$A$2:$A$630,MATCH(174,'Transfer Engine'!$C$2:$C$630,0)))</f>
        <v/>
      </c>
      <c r="B183">
        <f>IF(ISNA(MATCH(174,'Transfer Engine'!$C$2:$C$630,0)),"",INDEX('Compliance Database'!$B$2:$B$630,MATCH(174,'Transfer Engine'!$C$2:$C$630,0)))</f>
        <v/>
      </c>
      <c r="C183">
        <f>IF(ISNA(MATCH(174,'Transfer Engine'!$C$2:$C$630,0)),"",INDEX('Compliance Database'!$C$2:$C$630,MATCH(174,'Transfer Engine'!$C$2:$C$630,0)))</f>
        <v/>
      </c>
      <c r="D183" s="8">
        <f>IF(ISNA(MATCH(174,'Transfer Engine'!$C$2:$C$630,0)),"",INDEX('Compliance Database'!$D$2:$D$630,MATCH(174,'Transfer Engine'!$C$2:$C$630,0)))</f>
        <v/>
      </c>
      <c r="E183">
        <f>IF(ISNA(MATCH(174,'Transfer Engine'!$C$2:$C$630,0)),"",INDEX('Compliance Database'!$E$2:$E$630,MATCH(174,'Transfer Engine'!$C$2:$C$630,0)))</f>
        <v/>
      </c>
      <c r="F183">
        <f>IF(ISNA(MATCH(174,'Transfer Engine'!$C$2:$C$630,0)),"",INDEX('Compliance Database'!$F$2:$F$630,MATCH(174,'Transfer Engine'!$C$2:$C$630,0)))</f>
        <v/>
      </c>
      <c r="G183">
        <f>IF(ISNA(MATCH(174,'Transfer Engine'!$C$2:$C$630,0)),"",INDEX('Compliance Database'!$G$2:$G$630,MATCH(174,'Transfer Engine'!$C$2:$C$630,0)))</f>
        <v/>
      </c>
      <c r="H183">
        <f>IF(ISNA(MATCH(174,'Transfer Engine'!$C$2:$C$630,0)),"",INDEX('Compliance Database'!$H$2:$H$630,MATCH(174,'Transfer Engine'!$C$2:$C$630,0)))</f>
        <v/>
      </c>
      <c r="I183" s="8">
        <f>IF(ISNA(MATCH(174,'Transfer Engine'!$C$2:$C$630,0)),"",INDEX('Compliance Database'!$I$2:$I$630,MATCH(174,'Transfer Engine'!$C$2:$C$630,0)))</f>
        <v/>
      </c>
      <c r="J183" s="8">
        <f>IF(ISNA(MATCH(174,'Transfer Engine'!$C$2:$C$630,0)),"",INDEX('Compliance Database'!$J$2:$J$630,MATCH(174,'Transfer Engine'!$C$2:$C$630,0)))</f>
        <v/>
      </c>
      <c r="K183">
        <f>IF(ISNA(MATCH(174,'Transfer Engine'!$C$2:$C$630,0)),"",INDEX('Compliance Database'!$K$2:$K$630,MATCH(174,'Transfer Engine'!$C$2:$C$630,0)))</f>
        <v/>
      </c>
      <c r="L183" s="8">
        <f>IF(ISNA(MATCH(174,'Transfer Engine'!$C$2:$C$630,0)),"",INDEX('Compliance Database'!$L$2:$L$630,MATCH(174,'Transfer Engine'!$C$2:$C$630,0)))</f>
        <v/>
      </c>
      <c r="M183" s="8">
        <f>IF(ISNA(MATCH(174,'Transfer Engine'!$C$2:$C$630,0)),"",INDEX('Compliance Database'!$M$2:$M$630,MATCH(174,'Transfer Engine'!$C$2:$C$630,0)))</f>
        <v/>
      </c>
      <c r="N183" s="8">
        <f>IF(ISNA(MATCH(174,'Transfer Engine'!$C$2:$C$630,0)),"",INDEX('Compliance Database'!$N$2:$N$630,MATCH(174,'Transfer Engine'!$C$2:$C$630,0)))</f>
        <v/>
      </c>
      <c r="O183" s="8">
        <f>IF(ISNA(MATCH(174,'Transfer Engine'!$C$2:$C$630,0)),"",INDEX('Compliance Database'!$O$2:$O$630,MATCH(174,'Transfer Engine'!$C$2:$C$630,0)))</f>
        <v/>
      </c>
    </row>
    <row r="184">
      <c r="A184">
        <f>IF(ISNA(MATCH(175,'Transfer Engine'!$C$2:$C$630,0)),"",INDEX('Compliance Database'!$A$2:$A$630,MATCH(175,'Transfer Engine'!$C$2:$C$630,0)))</f>
        <v/>
      </c>
      <c r="B184">
        <f>IF(ISNA(MATCH(175,'Transfer Engine'!$C$2:$C$630,0)),"",INDEX('Compliance Database'!$B$2:$B$630,MATCH(175,'Transfer Engine'!$C$2:$C$630,0)))</f>
        <v/>
      </c>
      <c r="C184">
        <f>IF(ISNA(MATCH(175,'Transfer Engine'!$C$2:$C$630,0)),"",INDEX('Compliance Database'!$C$2:$C$630,MATCH(175,'Transfer Engine'!$C$2:$C$630,0)))</f>
        <v/>
      </c>
      <c r="D184" s="8">
        <f>IF(ISNA(MATCH(175,'Transfer Engine'!$C$2:$C$630,0)),"",INDEX('Compliance Database'!$D$2:$D$630,MATCH(175,'Transfer Engine'!$C$2:$C$630,0)))</f>
        <v/>
      </c>
      <c r="E184">
        <f>IF(ISNA(MATCH(175,'Transfer Engine'!$C$2:$C$630,0)),"",INDEX('Compliance Database'!$E$2:$E$630,MATCH(175,'Transfer Engine'!$C$2:$C$630,0)))</f>
        <v/>
      </c>
      <c r="F184">
        <f>IF(ISNA(MATCH(175,'Transfer Engine'!$C$2:$C$630,0)),"",INDEX('Compliance Database'!$F$2:$F$630,MATCH(175,'Transfer Engine'!$C$2:$C$630,0)))</f>
        <v/>
      </c>
      <c r="G184">
        <f>IF(ISNA(MATCH(175,'Transfer Engine'!$C$2:$C$630,0)),"",INDEX('Compliance Database'!$G$2:$G$630,MATCH(175,'Transfer Engine'!$C$2:$C$630,0)))</f>
        <v/>
      </c>
      <c r="H184">
        <f>IF(ISNA(MATCH(175,'Transfer Engine'!$C$2:$C$630,0)),"",INDEX('Compliance Database'!$H$2:$H$630,MATCH(175,'Transfer Engine'!$C$2:$C$630,0)))</f>
        <v/>
      </c>
      <c r="I184" s="8">
        <f>IF(ISNA(MATCH(175,'Transfer Engine'!$C$2:$C$630,0)),"",INDEX('Compliance Database'!$I$2:$I$630,MATCH(175,'Transfer Engine'!$C$2:$C$630,0)))</f>
        <v/>
      </c>
      <c r="J184" s="8">
        <f>IF(ISNA(MATCH(175,'Transfer Engine'!$C$2:$C$630,0)),"",INDEX('Compliance Database'!$J$2:$J$630,MATCH(175,'Transfer Engine'!$C$2:$C$630,0)))</f>
        <v/>
      </c>
      <c r="K184">
        <f>IF(ISNA(MATCH(175,'Transfer Engine'!$C$2:$C$630,0)),"",INDEX('Compliance Database'!$K$2:$K$630,MATCH(175,'Transfer Engine'!$C$2:$C$630,0)))</f>
        <v/>
      </c>
      <c r="L184" s="8">
        <f>IF(ISNA(MATCH(175,'Transfer Engine'!$C$2:$C$630,0)),"",INDEX('Compliance Database'!$L$2:$L$630,MATCH(175,'Transfer Engine'!$C$2:$C$630,0)))</f>
        <v/>
      </c>
      <c r="M184" s="8">
        <f>IF(ISNA(MATCH(175,'Transfer Engine'!$C$2:$C$630,0)),"",INDEX('Compliance Database'!$M$2:$M$630,MATCH(175,'Transfer Engine'!$C$2:$C$630,0)))</f>
        <v/>
      </c>
      <c r="N184" s="8">
        <f>IF(ISNA(MATCH(175,'Transfer Engine'!$C$2:$C$630,0)),"",INDEX('Compliance Database'!$N$2:$N$630,MATCH(175,'Transfer Engine'!$C$2:$C$630,0)))</f>
        <v/>
      </c>
      <c r="O184" s="8">
        <f>IF(ISNA(MATCH(175,'Transfer Engine'!$C$2:$C$630,0)),"",INDEX('Compliance Database'!$O$2:$O$630,MATCH(175,'Transfer Engine'!$C$2:$C$630,0)))</f>
        <v/>
      </c>
    </row>
    <row r="185">
      <c r="A185">
        <f>IF(ISNA(MATCH(176,'Transfer Engine'!$C$2:$C$630,0)),"",INDEX('Compliance Database'!$A$2:$A$630,MATCH(176,'Transfer Engine'!$C$2:$C$630,0)))</f>
        <v/>
      </c>
      <c r="B185">
        <f>IF(ISNA(MATCH(176,'Transfer Engine'!$C$2:$C$630,0)),"",INDEX('Compliance Database'!$B$2:$B$630,MATCH(176,'Transfer Engine'!$C$2:$C$630,0)))</f>
        <v/>
      </c>
      <c r="C185">
        <f>IF(ISNA(MATCH(176,'Transfer Engine'!$C$2:$C$630,0)),"",INDEX('Compliance Database'!$C$2:$C$630,MATCH(176,'Transfer Engine'!$C$2:$C$630,0)))</f>
        <v/>
      </c>
      <c r="D185" s="8">
        <f>IF(ISNA(MATCH(176,'Transfer Engine'!$C$2:$C$630,0)),"",INDEX('Compliance Database'!$D$2:$D$630,MATCH(176,'Transfer Engine'!$C$2:$C$630,0)))</f>
        <v/>
      </c>
      <c r="E185">
        <f>IF(ISNA(MATCH(176,'Transfer Engine'!$C$2:$C$630,0)),"",INDEX('Compliance Database'!$E$2:$E$630,MATCH(176,'Transfer Engine'!$C$2:$C$630,0)))</f>
        <v/>
      </c>
      <c r="F185">
        <f>IF(ISNA(MATCH(176,'Transfer Engine'!$C$2:$C$630,0)),"",INDEX('Compliance Database'!$F$2:$F$630,MATCH(176,'Transfer Engine'!$C$2:$C$630,0)))</f>
        <v/>
      </c>
      <c r="G185">
        <f>IF(ISNA(MATCH(176,'Transfer Engine'!$C$2:$C$630,0)),"",INDEX('Compliance Database'!$G$2:$G$630,MATCH(176,'Transfer Engine'!$C$2:$C$630,0)))</f>
        <v/>
      </c>
      <c r="H185">
        <f>IF(ISNA(MATCH(176,'Transfer Engine'!$C$2:$C$630,0)),"",INDEX('Compliance Database'!$H$2:$H$630,MATCH(176,'Transfer Engine'!$C$2:$C$630,0)))</f>
        <v/>
      </c>
      <c r="I185" s="8">
        <f>IF(ISNA(MATCH(176,'Transfer Engine'!$C$2:$C$630,0)),"",INDEX('Compliance Database'!$I$2:$I$630,MATCH(176,'Transfer Engine'!$C$2:$C$630,0)))</f>
        <v/>
      </c>
      <c r="J185" s="8">
        <f>IF(ISNA(MATCH(176,'Transfer Engine'!$C$2:$C$630,0)),"",INDEX('Compliance Database'!$J$2:$J$630,MATCH(176,'Transfer Engine'!$C$2:$C$630,0)))</f>
        <v/>
      </c>
      <c r="K185">
        <f>IF(ISNA(MATCH(176,'Transfer Engine'!$C$2:$C$630,0)),"",INDEX('Compliance Database'!$K$2:$K$630,MATCH(176,'Transfer Engine'!$C$2:$C$630,0)))</f>
        <v/>
      </c>
      <c r="L185" s="8">
        <f>IF(ISNA(MATCH(176,'Transfer Engine'!$C$2:$C$630,0)),"",INDEX('Compliance Database'!$L$2:$L$630,MATCH(176,'Transfer Engine'!$C$2:$C$630,0)))</f>
        <v/>
      </c>
      <c r="M185" s="8">
        <f>IF(ISNA(MATCH(176,'Transfer Engine'!$C$2:$C$630,0)),"",INDEX('Compliance Database'!$M$2:$M$630,MATCH(176,'Transfer Engine'!$C$2:$C$630,0)))</f>
        <v/>
      </c>
      <c r="N185" s="8">
        <f>IF(ISNA(MATCH(176,'Transfer Engine'!$C$2:$C$630,0)),"",INDEX('Compliance Database'!$N$2:$N$630,MATCH(176,'Transfer Engine'!$C$2:$C$630,0)))</f>
        <v/>
      </c>
      <c r="O185" s="8">
        <f>IF(ISNA(MATCH(176,'Transfer Engine'!$C$2:$C$630,0)),"",INDEX('Compliance Database'!$O$2:$O$630,MATCH(176,'Transfer Engine'!$C$2:$C$630,0)))</f>
        <v/>
      </c>
    </row>
    <row r="186">
      <c r="A186">
        <f>IF(ISNA(MATCH(177,'Transfer Engine'!$C$2:$C$630,0)),"",INDEX('Compliance Database'!$A$2:$A$630,MATCH(177,'Transfer Engine'!$C$2:$C$630,0)))</f>
        <v/>
      </c>
      <c r="B186">
        <f>IF(ISNA(MATCH(177,'Transfer Engine'!$C$2:$C$630,0)),"",INDEX('Compliance Database'!$B$2:$B$630,MATCH(177,'Transfer Engine'!$C$2:$C$630,0)))</f>
        <v/>
      </c>
      <c r="C186">
        <f>IF(ISNA(MATCH(177,'Transfer Engine'!$C$2:$C$630,0)),"",INDEX('Compliance Database'!$C$2:$C$630,MATCH(177,'Transfer Engine'!$C$2:$C$630,0)))</f>
        <v/>
      </c>
      <c r="D186" s="8">
        <f>IF(ISNA(MATCH(177,'Transfer Engine'!$C$2:$C$630,0)),"",INDEX('Compliance Database'!$D$2:$D$630,MATCH(177,'Transfer Engine'!$C$2:$C$630,0)))</f>
        <v/>
      </c>
      <c r="E186">
        <f>IF(ISNA(MATCH(177,'Transfer Engine'!$C$2:$C$630,0)),"",INDEX('Compliance Database'!$E$2:$E$630,MATCH(177,'Transfer Engine'!$C$2:$C$630,0)))</f>
        <v/>
      </c>
      <c r="F186">
        <f>IF(ISNA(MATCH(177,'Transfer Engine'!$C$2:$C$630,0)),"",INDEX('Compliance Database'!$F$2:$F$630,MATCH(177,'Transfer Engine'!$C$2:$C$630,0)))</f>
        <v/>
      </c>
      <c r="G186">
        <f>IF(ISNA(MATCH(177,'Transfer Engine'!$C$2:$C$630,0)),"",INDEX('Compliance Database'!$G$2:$G$630,MATCH(177,'Transfer Engine'!$C$2:$C$630,0)))</f>
        <v/>
      </c>
      <c r="H186">
        <f>IF(ISNA(MATCH(177,'Transfer Engine'!$C$2:$C$630,0)),"",INDEX('Compliance Database'!$H$2:$H$630,MATCH(177,'Transfer Engine'!$C$2:$C$630,0)))</f>
        <v/>
      </c>
      <c r="I186" s="8">
        <f>IF(ISNA(MATCH(177,'Transfer Engine'!$C$2:$C$630,0)),"",INDEX('Compliance Database'!$I$2:$I$630,MATCH(177,'Transfer Engine'!$C$2:$C$630,0)))</f>
        <v/>
      </c>
      <c r="J186" s="8">
        <f>IF(ISNA(MATCH(177,'Transfer Engine'!$C$2:$C$630,0)),"",INDEX('Compliance Database'!$J$2:$J$630,MATCH(177,'Transfer Engine'!$C$2:$C$630,0)))</f>
        <v/>
      </c>
      <c r="K186">
        <f>IF(ISNA(MATCH(177,'Transfer Engine'!$C$2:$C$630,0)),"",INDEX('Compliance Database'!$K$2:$K$630,MATCH(177,'Transfer Engine'!$C$2:$C$630,0)))</f>
        <v/>
      </c>
      <c r="L186" s="8">
        <f>IF(ISNA(MATCH(177,'Transfer Engine'!$C$2:$C$630,0)),"",INDEX('Compliance Database'!$L$2:$L$630,MATCH(177,'Transfer Engine'!$C$2:$C$630,0)))</f>
        <v/>
      </c>
      <c r="M186" s="8">
        <f>IF(ISNA(MATCH(177,'Transfer Engine'!$C$2:$C$630,0)),"",INDEX('Compliance Database'!$M$2:$M$630,MATCH(177,'Transfer Engine'!$C$2:$C$630,0)))</f>
        <v/>
      </c>
      <c r="N186" s="8">
        <f>IF(ISNA(MATCH(177,'Transfer Engine'!$C$2:$C$630,0)),"",INDEX('Compliance Database'!$N$2:$N$630,MATCH(177,'Transfer Engine'!$C$2:$C$630,0)))</f>
        <v/>
      </c>
      <c r="O186" s="8">
        <f>IF(ISNA(MATCH(177,'Transfer Engine'!$C$2:$C$630,0)),"",INDEX('Compliance Database'!$O$2:$O$630,MATCH(177,'Transfer Engine'!$C$2:$C$630,0)))</f>
        <v/>
      </c>
    </row>
    <row r="187">
      <c r="A187">
        <f>IF(ISNA(MATCH(178,'Transfer Engine'!$C$2:$C$630,0)),"",INDEX('Compliance Database'!$A$2:$A$630,MATCH(178,'Transfer Engine'!$C$2:$C$630,0)))</f>
        <v/>
      </c>
      <c r="B187">
        <f>IF(ISNA(MATCH(178,'Transfer Engine'!$C$2:$C$630,0)),"",INDEX('Compliance Database'!$B$2:$B$630,MATCH(178,'Transfer Engine'!$C$2:$C$630,0)))</f>
        <v/>
      </c>
      <c r="C187">
        <f>IF(ISNA(MATCH(178,'Transfer Engine'!$C$2:$C$630,0)),"",INDEX('Compliance Database'!$C$2:$C$630,MATCH(178,'Transfer Engine'!$C$2:$C$630,0)))</f>
        <v/>
      </c>
      <c r="D187" s="8">
        <f>IF(ISNA(MATCH(178,'Transfer Engine'!$C$2:$C$630,0)),"",INDEX('Compliance Database'!$D$2:$D$630,MATCH(178,'Transfer Engine'!$C$2:$C$630,0)))</f>
        <v/>
      </c>
      <c r="E187">
        <f>IF(ISNA(MATCH(178,'Transfer Engine'!$C$2:$C$630,0)),"",INDEX('Compliance Database'!$E$2:$E$630,MATCH(178,'Transfer Engine'!$C$2:$C$630,0)))</f>
        <v/>
      </c>
      <c r="F187">
        <f>IF(ISNA(MATCH(178,'Transfer Engine'!$C$2:$C$630,0)),"",INDEX('Compliance Database'!$F$2:$F$630,MATCH(178,'Transfer Engine'!$C$2:$C$630,0)))</f>
        <v/>
      </c>
      <c r="G187">
        <f>IF(ISNA(MATCH(178,'Transfer Engine'!$C$2:$C$630,0)),"",INDEX('Compliance Database'!$G$2:$G$630,MATCH(178,'Transfer Engine'!$C$2:$C$630,0)))</f>
        <v/>
      </c>
      <c r="H187">
        <f>IF(ISNA(MATCH(178,'Transfer Engine'!$C$2:$C$630,0)),"",INDEX('Compliance Database'!$H$2:$H$630,MATCH(178,'Transfer Engine'!$C$2:$C$630,0)))</f>
        <v/>
      </c>
      <c r="I187" s="8">
        <f>IF(ISNA(MATCH(178,'Transfer Engine'!$C$2:$C$630,0)),"",INDEX('Compliance Database'!$I$2:$I$630,MATCH(178,'Transfer Engine'!$C$2:$C$630,0)))</f>
        <v/>
      </c>
      <c r="J187" s="8">
        <f>IF(ISNA(MATCH(178,'Transfer Engine'!$C$2:$C$630,0)),"",INDEX('Compliance Database'!$J$2:$J$630,MATCH(178,'Transfer Engine'!$C$2:$C$630,0)))</f>
        <v/>
      </c>
      <c r="K187">
        <f>IF(ISNA(MATCH(178,'Transfer Engine'!$C$2:$C$630,0)),"",INDEX('Compliance Database'!$K$2:$K$630,MATCH(178,'Transfer Engine'!$C$2:$C$630,0)))</f>
        <v/>
      </c>
      <c r="L187" s="8">
        <f>IF(ISNA(MATCH(178,'Transfer Engine'!$C$2:$C$630,0)),"",INDEX('Compliance Database'!$L$2:$L$630,MATCH(178,'Transfer Engine'!$C$2:$C$630,0)))</f>
        <v/>
      </c>
      <c r="M187" s="8">
        <f>IF(ISNA(MATCH(178,'Transfer Engine'!$C$2:$C$630,0)),"",INDEX('Compliance Database'!$M$2:$M$630,MATCH(178,'Transfer Engine'!$C$2:$C$630,0)))</f>
        <v/>
      </c>
      <c r="N187" s="8">
        <f>IF(ISNA(MATCH(178,'Transfer Engine'!$C$2:$C$630,0)),"",INDEX('Compliance Database'!$N$2:$N$630,MATCH(178,'Transfer Engine'!$C$2:$C$630,0)))</f>
        <v/>
      </c>
      <c r="O187" s="8">
        <f>IF(ISNA(MATCH(178,'Transfer Engine'!$C$2:$C$630,0)),"",INDEX('Compliance Database'!$O$2:$O$630,MATCH(178,'Transfer Engine'!$C$2:$C$630,0)))</f>
        <v/>
      </c>
    </row>
    <row r="188">
      <c r="A188">
        <f>IF(ISNA(MATCH(179,'Transfer Engine'!$C$2:$C$630,0)),"",INDEX('Compliance Database'!$A$2:$A$630,MATCH(179,'Transfer Engine'!$C$2:$C$630,0)))</f>
        <v/>
      </c>
      <c r="B188">
        <f>IF(ISNA(MATCH(179,'Transfer Engine'!$C$2:$C$630,0)),"",INDEX('Compliance Database'!$B$2:$B$630,MATCH(179,'Transfer Engine'!$C$2:$C$630,0)))</f>
        <v/>
      </c>
      <c r="C188">
        <f>IF(ISNA(MATCH(179,'Transfer Engine'!$C$2:$C$630,0)),"",INDEX('Compliance Database'!$C$2:$C$630,MATCH(179,'Transfer Engine'!$C$2:$C$630,0)))</f>
        <v/>
      </c>
      <c r="D188" s="8">
        <f>IF(ISNA(MATCH(179,'Transfer Engine'!$C$2:$C$630,0)),"",INDEX('Compliance Database'!$D$2:$D$630,MATCH(179,'Transfer Engine'!$C$2:$C$630,0)))</f>
        <v/>
      </c>
      <c r="E188">
        <f>IF(ISNA(MATCH(179,'Transfer Engine'!$C$2:$C$630,0)),"",INDEX('Compliance Database'!$E$2:$E$630,MATCH(179,'Transfer Engine'!$C$2:$C$630,0)))</f>
        <v/>
      </c>
      <c r="F188">
        <f>IF(ISNA(MATCH(179,'Transfer Engine'!$C$2:$C$630,0)),"",INDEX('Compliance Database'!$F$2:$F$630,MATCH(179,'Transfer Engine'!$C$2:$C$630,0)))</f>
        <v/>
      </c>
      <c r="G188">
        <f>IF(ISNA(MATCH(179,'Transfer Engine'!$C$2:$C$630,0)),"",INDEX('Compliance Database'!$G$2:$G$630,MATCH(179,'Transfer Engine'!$C$2:$C$630,0)))</f>
        <v/>
      </c>
      <c r="H188">
        <f>IF(ISNA(MATCH(179,'Transfer Engine'!$C$2:$C$630,0)),"",INDEX('Compliance Database'!$H$2:$H$630,MATCH(179,'Transfer Engine'!$C$2:$C$630,0)))</f>
        <v/>
      </c>
      <c r="I188" s="8">
        <f>IF(ISNA(MATCH(179,'Transfer Engine'!$C$2:$C$630,0)),"",INDEX('Compliance Database'!$I$2:$I$630,MATCH(179,'Transfer Engine'!$C$2:$C$630,0)))</f>
        <v/>
      </c>
      <c r="J188" s="8">
        <f>IF(ISNA(MATCH(179,'Transfer Engine'!$C$2:$C$630,0)),"",INDEX('Compliance Database'!$J$2:$J$630,MATCH(179,'Transfer Engine'!$C$2:$C$630,0)))</f>
        <v/>
      </c>
      <c r="K188">
        <f>IF(ISNA(MATCH(179,'Transfer Engine'!$C$2:$C$630,0)),"",INDEX('Compliance Database'!$K$2:$K$630,MATCH(179,'Transfer Engine'!$C$2:$C$630,0)))</f>
        <v/>
      </c>
      <c r="L188" s="8">
        <f>IF(ISNA(MATCH(179,'Transfer Engine'!$C$2:$C$630,0)),"",INDEX('Compliance Database'!$L$2:$L$630,MATCH(179,'Transfer Engine'!$C$2:$C$630,0)))</f>
        <v/>
      </c>
      <c r="M188" s="8">
        <f>IF(ISNA(MATCH(179,'Transfer Engine'!$C$2:$C$630,0)),"",INDEX('Compliance Database'!$M$2:$M$630,MATCH(179,'Transfer Engine'!$C$2:$C$630,0)))</f>
        <v/>
      </c>
      <c r="N188" s="8">
        <f>IF(ISNA(MATCH(179,'Transfer Engine'!$C$2:$C$630,0)),"",INDEX('Compliance Database'!$N$2:$N$630,MATCH(179,'Transfer Engine'!$C$2:$C$630,0)))</f>
        <v/>
      </c>
      <c r="O188" s="8">
        <f>IF(ISNA(MATCH(179,'Transfer Engine'!$C$2:$C$630,0)),"",INDEX('Compliance Database'!$O$2:$O$630,MATCH(179,'Transfer Engine'!$C$2:$C$630,0)))</f>
        <v/>
      </c>
    </row>
    <row r="189">
      <c r="A189">
        <f>IF(ISNA(MATCH(180,'Transfer Engine'!$C$2:$C$630,0)),"",INDEX('Compliance Database'!$A$2:$A$630,MATCH(180,'Transfer Engine'!$C$2:$C$630,0)))</f>
        <v/>
      </c>
      <c r="B189">
        <f>IF(ISNA(MATCH(180,'Transfer Engine'!$C$2:$C$630,0)),"",INDEX('Compliance Database'!$B$2:$B$630,MATCH(180,'Transfer Engine'!$C$2:$C$630,0)))</f>
        <v/>
      </c>
      <c r="C189">
        <f>IF(ISNA(MATCH(180,'Transfer Engine'!$C$2:$C$630,0)),"",INDEX('Compliance Database'!$C$2:$C$630,MATCH(180,'Transfer Engine'!$C$2:$C$630,0)))</f>
        <v/>
      </c>
      <c r="D189" s="8">
        <f>IF(ISNA(MATCH(180,'Transfer Engine'!$C$2:$C$630,0)),"",INDEX('Compliance Database'!$D$2:$D$630,MATCH(180,'Transfer Engine'!$C$2:$C$630,0)))</f>
        <v/>
      </c>
      <c r="E189">
        <f>IF(ISNA(MATCH(180,'Transfer Engine'!$C$2:$C$630,0)),"",INDEX('Compliance Database'!$E$2:$E$630,MATCH(180,'Transfer Engine'!$C$2:$C$630,0)))</f>
        <v/>
      </c>
      <c r="F189">
        <f>IF(ISNA(MATCH(180,'Transfer Engine'!$C$2:$C$630,0)),"",INDEX('Compliance Database'!$F$2:$F$630,MATCH(180,'Transfer Engine'!$C$2:$C$630,0)))</f>
        <v/>
      </c>
      <c r="G189">
        <f>IF(ISNA(MATCH(180,'Transfer Engine'!$C$2:$C$630,0)),"",INDEX('Compliance Database'!$G$2:$G$630,MATCH(180,'Transfer Engine'!$C$2:$C$630,0)))</f>
        <v/>
      </c>
      <c r="H189">
        <f>IF(ISNA(MATCH(180,'Transfer Engine'!$C$2:$C$630,0)),"",INDEX('Compliance Database'!$H$2:$H$630,MATCH(180,'Transfer Engine'!$C$2:$C$630,0)))</f>
        <v/>
      </c>
      <c r="I189" s="8">
        <f>IF(ISNA(MATCH(180,'Transfer Engine'!$C$2:$C$630,0)),"",INDEX('Compliance Database'!$I$2:$I$630,MATCH(180,'Transfer Engine'!$C$2:$C$630,0)))</f>
        <v/>
      </c>
      <c r="J189" s="8">
        <f>IF(ISNA(MATCH(180,'Transfer Engine'!$C$2:$C$630,0)),"",INDEX('Compliance Database'!$J$2:$J$630,MATCH(180,'Transfer Engine'!$C$2:$C$630,0)))</f>
        <v/>
      </c>
      <c r="K189">
        <f>IF(ISNA(MATCH(180,'Transfer Engine'!$C$2:$C$630,0)),"",INDEX('Compliance Database'!$K$2:$K$630,MATCH(180,'Transfer Engine'!$C$2:$C$630,0)))</f>
        <v/>
      </c>
      <c r="L189" s="8">
        <f>IF(ISNA(MATCH(180,'Transfer Engine'!$C$2:$C$630,0)),"",INDEX('Compliance Database'!$L$2:$L$630,MATCH(180,'Transfer Engine'!$C$2:$C$630,0)))</f>
        <v/>
      </c>
      <c r="M189" s="8">
        <f>IF(ISNA(MATCH(180,'Transfer Engine'!$C$2:$C$630,0)),"",INDEX('Compliance Database'!$M$2:$M$630,MATCH(180,'Transfer Engine'!$C$2:$C$630,0)))</f>
        <v/>
      </c>
      <c r="N189" s="8">
        <f>IF(ISNA(MATCH(180,'Transfer Engine'!$C$2:$C$630,0)),"",INDEX('Compliance Database'!$N$2:$N$630,MATCH(180,'Transfer Engine'!$C$2:$C$630,0)))</f>
        <v/>
      </c>
      <c r="O189" s="8">
        <f>IF(ISNA(MATCH(180,'Transfer Engine'!$C$2:$C$630,0)),"",INDEX('Compliance Database'!$O$2:$O$630,MATCH(180,'Transfer Engine'!$C$2:$C$630,0)))</f>
        <v/>
      </c>
    </row>
    <row r="190">
      <c r="A190">
        <f>IF(ISNA(MATCH(181,'Transfer Engine'!$C$2:$C$630,0)),"",INDEX('Compliance Database'!$A$2:$A$630,MATCH(181,'Transfer Engine'!$C$2:$C$630,0)))</f>
        <v/>
      </c>
      <c r="B190">
        <f>IF(ISNA(MATCH(181,'Transfer Engine'!$C$2:$C$630,0)),"",INDEX('Compliance Database'!$B$2:$B$630,MATCH(181,'Transfer Engine'!$C$2:$C$630,0)))</f>
        <v/>
      </c>
      <c r="C190">
        <f>IF(ISNA(MATCH(181,'Transfer Engine'!$C$2:$C$630,0)),"",INDEX('Compliance Database'!$C$2:$C$630,MATCH(181,'Transfer Engine'!$C$2:$C$630,0)))</f>
        <v/>
      </c>
      <c r="D190" s="8">
        <f>IF(ISNA(MATCH(181,'Transfer Engine'!$C$2:$C$630,0)),"",INDEX('Compliance Database'!$D$2:$D$630,MATCH(181,'Transfer Engine'!$C$2:$C$630,0)))</f>
        <v/>
      </c>
      <c r="E190">
        <f>IF(ISNA(MATCH(181,'Transfer Engine'!$C$2:$C$630,0)),"",INDEX('Compliance Database'!$E$2:$E$630,MATCH(181,'Transfer Engine'!$C$2:$C$630,0)))</f>
        <v/>
      </c>
      <c r="F190">
        <f>IF(ISNA(MATCH(181,'Transfer Engine'!$C$2:$C$630,0)),"",INDEX('Compliance Database'!$F$2:$F$630,MATCH(181,'Transfer Engine'!$C$2:$C$630,0)))</f>
        <v/>
      </c>
      <c r="G190">
        <f>IF(ISNA(MATCH(181,'Transfer Engine'!$C$2:$C$630,0)),"",INDEX('Compliance Database'!$G$2:$G$630,MATCH(181,'Transfer Engine'!$C$2:$C$630,0)))</f>
        <v/>
      </c>
      <c r="H190">
        <f>IF(ISNA(MATCH(181,'Transfer Engine'!$C$2:$C$630,0)),"",INDEX('Compliance Database'!$H$2:$H$630,MATCH(181,'Transfer Engine'!$C$2:$C$630,0)))</f>
        <v/>
      </c>
      <c r="I190" s="8">
        <f>IF(ISNA(MATCH(181,'Transfer Engine'!$C$2:$C$630,0)),"",INDEX('Compliance Database'!$I$2:$I$630,MATCH(181,'Transfer Engine'!$C$2:$C$630,0)))</f>
        <v/>
      </c>
      <c r="J190" s="8">
        <f>IF(ISNA(MATCH(181,'Transfer Engine'!$C$2:$C$630,0)),"",INDEX('Compliance Database'!$J$2:$J$630,MATCH(181,'Transfer Engine'!$C$2:$C$630,0)))</f>
        <v/>
      </c>
      <c r="K190">
        <f>IF(ISNA(MATCH(181,'Transfer Engine'!$C$2:$C$630,0)),"",INDEX('Compliance Database'!$K$2:$K$630,MATCH(181,'Transfer Engine'!$C$2:$C$630,0)))</f>
        <v/>
      </c>
      <c r="L190" s="8">
        <f>IF(ISNA(MATCH(181,'Transfer Engine'!$C$2:$C$630,0)),"",INDEX('Compliance Database'!$L$2:$L$630,MATCH(181,'Transfer Engine'!$C$2:$C$630,0)))</f>
        <v/>
      </c>
      <c r="M190" s="8">
        <f>IF(ISNA(MATCH(181,'Transfer Engine'!$C$2:$C$630,0)),"",INDEX('Compliance Database'!$M$2:$M$630,MATCH(181,'Transfer Engine'!$C$2:$C$630,0)))</f>
        <v/>
      </c>
      <c r="N190" s="8">
        <f>IF(ISNA(MATCH(181,'Transfer Engine'!$C$2:$C$630,0)),"",INDEX('Compliance Database'!$N$2:$N$630,MATCH(181,'Transfer Engine'!$C$2:$C$630,0)))</f>
        <v/>
      </c>
      <c r="O190" s="8">
        <f>IF(ISNA(MATCH(181,'Transfer Engine'!$C$2:$C$630,0)),"",INDEX('Compliance Database'!$O$2:$O$630,MATCH(181,'Transfer Engine'!$C$2:$C$630,0)))</f>
        <v/>
      </c>
    </row>
    <row r="191">
      <c r="A191">
        <f>IF(ISNA(MATCH(182,'Transfer Engine'!$C$2:$C$630,0)),"",INDEX('Compliance Database'!$A$2:$A$630,MATCH(182,'Transfer Engine'!$C$2:$C$630,0)))</f>
        <v/>
      </c>
      <c r="B191">
        <f>IF(ISNA(MATCH(182,'Transfer Engine'!$C$2:$C$630,0)),"",INDEX('Compliance Database'!$B$2:$B$630,MATCH(182,'Transfer Engine'!$C$2:$C$630,0)))</f>
        <v/>
      </c>
      <c r="C191">
        <f>IF(ISNA(MATCH(182,'Transfer Engine'!$C$2:$C$630,0)),"",INDEX('Compliance Database'!$C$2:$C$630,MATCH(182,'Transfer Engine'!$C$2:$C$630,0)))</f>
        <v/>
      </c>
      <c r="D191" s="8">
        <f>IF(ISNA(MATCH(182,'Transfer Engine'!$C$2:$C$630,0)),"",INDEX('Compliance Database'!$D$2:$D$630,MATCH(182,'Transfer Engine'!$C$2:$C$630,0)))</f>
        <v/>
      </c>
      <c r="E191">
        <f>IF(ISNA(MATCH(182,'Transfer Engine'!$C$2:$C$630,0)),"",INDEX('Compliance Database'!$E$2:$E$630,MATCH(182,'Transfer Engine'!$C$2:$C$630,0)))</f>
        <v/>
      </c>
      <c r="F191">
        <f>IF(ISNA(MATCH(182,'Transfer Engine'!$C$2:$C$630,0)),"",INDEX('Compliance Database'!$F$2:$F$630,MATCH(182,'Transfer Engine'!$C$2:$C$630,0)))</f>
        <v/>
      </c>
      <c r="G191">
        <f>IF(ISNA(MATCH(182,'Transfer Engine'!$C$2:$C$630,0)),"",INDEX('Compliance Database'!$G$2:$G$630,MATCH(182,'Transfer Engine'!$C$2:$C$630,0)))</f>
        <v/>
      </c>
      <c r="H191">
        <f>IF(ISNA(MATCH(182,'Transfer Engine'!$C$2:$C$630,0)),"",INDEX('Compliance Database'!$H$2:$H$630,MATCH(182,'Transfer Engine'!$C$2:$C$630,0)))</f>
        <v/>
      </c>
      <c r="I191" s="8">
        <f>IF(ISNA(MATCH(182,'Transfer Engine'!$C$2:$C$630,0)),"",INDEX('Compliance Database'!$I$2:$I$630,MATCH(182,'Transfer Engine'!$C$2:$C$630,0)))</f>
        <v/>
      </c>
      <c r="J191" s="8">
        <f>IF(ISNA(MATCH(182,'Transfer Engine'!$C$2:$C$630,0)),"",INDEX('Compliance Database'!$J$2:$J$630,MATCH(182,'Transfer Engine'!$C$2:$C$630,0)))</f>
        <v/>
      </c>
      <c r="K191">
        <f>IF(ISNA(MATCH(182,'Transfer Engine'!$C$2:$C$630,0)),"",INDEX('Compliance Database'!$K$2:$K$630,MATCH(182,'Transfer Engine'!$C$2:$C$630,0)))</f>
        <v/>
      </c>
      <c r="L191" s="8">
        <f>IF(ISNA(MATCH(182,'Transfer Engine'!$C$2:$C$630,0)),"",INDEX('Compliance Database'!$L$2:$L$630,MATCH(182,'Transfer Engine'!$C$2:$C$630,0)))</f>
        <v/>
      </c>
      <c r="M191" s="8">
        <f>IF(ISNA(MATCH(182,'Transfer Engine'!$C$2:$C$630,0)),"",INDEX('Compliance Database'!$M$2:$M$630,MATCH(182,'Transfer Engine'!$C$2:$C$630,0)))</f>
        <v/>
      </c>
      <c r="N191" s="8">
        <f>IF(ISNA(MATCH(182,'Transfer Engine'!$C$2:$C$630,0)),"",INDEX('Compliance Database'!$N$2:$N$630,MATCH(182,'Transfer Engine'!$C$2:$C$630,0)))</f>
        <v/>
      </c>
      <c r="O191" s="8">
        <f>IF(ISNA(MATCH(182,'Transfer Engine'!$C$2:$C$630,0)),"",INDEX('Compliance Database'!$O$2:$O$630,MATCH(182,'Transfer Engine'!$C$2:$C$630,0)))</f>
        <v/>
      </c>
    </row>
    <row r="192">
      <c r="A192">
        <f>IF(ISNA(MATCH(183,'Transfer Engine'!$C$2:$C$630,0)),"",INDEX('Compliance Database'!$A$2:$A$630,MATCH(183,'Transfer Engine'!$C$2:$C$630,0)))</f>
        <v/>
      </c>
      <c r="B192">
        <f>IF(ISNA(MATCH(183,'Transfer Engine'!$C$2:$C$630,0)),"",INDEX('Compliance Database'!$B$2:$B$630,MATCH(183,'Transfer Engine'!$C$2:$C$630,0)))</f>
        <v/>
      </c>
      <c r="C192">
        <f>IF(ISNA(MATCH(183,'Transfer Engine'!$C$2:$C$630,0)),"",INDEX('Compliance Database'!$C$2:$C$630,MATCH(183,'Transfer Engine'!$C$2:$C$630,0)))</f>
        <v/>
      </c>
      <c r="D192" s="8">
        <f>IF(ISNA(MATCH(183,'Transfer Engine'!$C$2:$C$630,0)),"",INDEX('Compliance Database'!$D$2:$D$630,MATCH(183,'Transfer Engine'!$C$2:$C$630,0)))</f>
        <v/>
      </c>
      <c r="E192">
        <f>IF(ISNA(MATCH(183,'Transfer Engine'!$C$2:$C$630,0)),"",INDEX('Compliance Database'!$E$2:$E$630,MATCH(183,'Transfer Engine'!$C$2:$C$630,0)))</f>
        <v/>
      </c>
      <c r="F192">
        <f>IF(ISNA(MATCH(183,'Transfer Engine'!$C$2:$C$630,0)),"",INDEX('Compliance Database'!$F$2:$F$630,MATCH(183,'Transfer Engine'!$C$2:$C$630,0)))</f>
        <v/>
      </c>
      <c r="G192">
        <f>IF(ISNA(MATCH(183,'Transfer Engine'!$C$2:$C$630,0)),"",INDEX('Compliance Database'!$G$2:$G$630,MATCH(183,'Transfer Engine'!$C$2:$C$630,0)))</f>
        <v/>
      </c>
      <c r="H192">
        <f>IF(ISNA(MATCH(183,'Transfer Engine'!$C$2:$C$630,0)),"",INDEX('Compliance Database'!$H$2:$H$630,MATCH(183,'Transfer Engine'!$C$2:$C$630,0)))</f>
        <v/>
      </c>
      <c r="I192" s="8">
        <f>IF(ISNA(MATCH(183,'Transfer Engine'!$C$2:$C$630,0)),"",INDEX('Compliance Database'!$I$2:$I$630,MATCH(183,'Transfer Engine'!$C$2:$C$630,0)))</f>
        <v/>
      </c>
      <c r="J192" s="8">
        <f>IF(ISNA(MATCH(183,'Transfer Engine'!$C$2:$C$630,0)),"",INDEX('Compliance Database'!$J$2:$J$630,MATCH(183,'Transfer Engine'!$C$2:$C$630,0)))</f>
        <v/>
      </c>
      <c r="K192">
        <f>IF(ISNA(MATCH(183,'Transfer Engine'!$C$2:$C$630,0)),"",INDEX('Compliance Database'!$K$2:$K$630,MATCH(183,'Transfer Engine'!$C$2:$C$630,0)))</f>
        <v/>
      </c>
      <c r="L192" s="8">
        <f>IF(ISNA(MATCH(183,'Transfer Engine'!$C$2:$C$630,0)),"",INDEX('Compliance Database'!$L$2:$L$630,MATCH(183,'Transfer Engine'!$C$2:$C$630,0)))</f>
        <v/>
      </c>
      <c r="M192" s="8">
        <f>IF(ISNA(MATCH(183,'Transfer Engine'!$C$2:$C$630,0)),"",INDEX('Compliance Database'!$M$2:$M$630,MATCH(183,'Transfer Engine'!$C$2:$C$630,0)))</f>
        <v/>
      </c>
      <c r="N192" s="8">
        <f>IF(ISNA(MATCH(183,'Transfer Engine'!$C$2:$C$630,0)),"",INDEX('Compliance Database'!$N$2:$N$630,MATCH(183,'Transfer Engine'!$C$2:$C$630,0)))</f>
        <v/>
      </c>
      <c r="O192" s="8">
        <f>IF(ISNA(MATCH(183,'Transfer Engine'!$C$2:$C$630,0)),"",INDEX('Compliance Database'!$O$2:$O$630,MATCH(183,'Transfer Engine'!$C$2:$C$630,0)))</f>
        <v/>
      </c>
    </row>
    <row r="193">
      <c r="A193">
        <f>IF(ISNA(MATCH(184,'Transfer Engine'!$C$2:$C$630,0)),"",INDEX('Compliance Database'!$A$2:$A$630,MATCH(184,'Transfer Engine'!$C$2:$C$630,0)))</f>
        <v/>
      </c>
      <c r="B193">
        <f>IF(ISNA(MATCH(184,'Transfer Engine'!$C$2:$C$630,0)),"",INDEX('Compliance Database'!$B$2:$B$630,MATCH(184,'Transfer Engine'!$C$2:$C$630,0)))</f>
        <v/>
      </c>
      <c r="C193">
        <f>IF(ISNA(MATCH(184,'Transfer Engine'!$C$2:$C$630,0)),"",INDEX('Compliance Database'!$C$2:$C$630,MATCH(184,'Transfer Engine'!$C$2:$C$630,0)))</f>
        <v/>
      </c>
      <c r="D193" s="8">
        <f>IF(ISNA(MATCH(184,'Transfer Engine'!$C$2:$C$630,0)),"",INDEX('Compliance Database'!$D$2:$D$630,MATCH(184,'Transfer Engine'!$C$2:$C$630,0)))</f>
        <v/>
      </c>
      <c r="E193">
        <f>IF(ISNA(MATCH(184,'Transfer Engine'!$C$2:$C$630,0)),"",INDEX('Compliance Database'!$E$2:$E$630,MATCH(184,'Transfer Engine'!$C$2:$C$630,0)))</f>
        <v/>
      </c>
      <c r="F193">
        <f>IF(ISNA(MATCH(184,'Transfer Engine'!$C$2:$C$630,0)),"",INDEX('Compliance Database'!$F$2:$F$630,MATCH(184,'Transfer Engine'!$C$2:$C$630,0)))</f>
        <v/>
      </c>
      <c r="G193">
        <f>IF(ISNA(MATCH(184,'Transfer Engine'!$C$2:$C$630,0)),"",INDEX('Compliance Database'!$G$2:$G$630,MATCH(184,'Transfer Engine'!$C$2:$C$630,0)))</f>
        <v/>
      </c>
      <c r="H193">
        <f>IF(ISNA(MATCH(184,'Transfer Engine'!$C$2:$C$630,0)),"",INDEX('Compliance Database'!$H$2:$H$630,MATCH(184,'Transfer Engine'!$C$2:$C$630,0)))</f>
        <v/>
      </c>
      <c r="I193" s="8">
        <f>IF(ISNA(MATCH(184,'Transfer Engine'!$C$2:$C$630,0)),"",INDEX('Compliance Database'!$I$2:$I$630,MATCH(184,'Transfer Engine'!$C$2:$C$630,0)))</f>
        <v/>
      </c>
      <c r="J193" s="8">
        <f>IF(ISNA(MATCH(184,'Transfer Engine'!$C$2:$C$630,0)),"",INDEX('Compliance Database'!$J$2:$J$630,MATCH(184,'Transfer Engine'!$C$2:$C$630,0)))</f>
        <v/>
      </c>
      <c r="K193">
        <f>IF(ISNA(MATCH(184,'Transfer Engine'!$C$2:$C$630,0)),"",INDEX('Compliance Database'!$K$2:$K$630,MATCH(184,'Transfer Engine'!$C$2:$C$630,0)))</f>
        <v/>
      </c>
      <c r="L193" s="8">
        <f>IF(ISNA(MATCH(184,'Transfer Engine'!$C$2:$C$630,0)),"",INDEX('Compliance Database'!$L$2:$L$630,MATCH(184,'Transfer Engine'!$C$2:$C$630,0)))</f>
        <v/>
      </c>
      <c r="M193" s="8">
        <f>IF(ISNA(MATCH(184,'Transfer Engine'!$C$2:$C$630,0)),"",INDEX('Compliance Database'!$M$2:$M$630,MATCH(184,'Transfer Engine'!$C$2:$C$630,0)))</f>
        <v/>
      </c>
      <c r="N193" s="8">
        <f>IF(ISNA(MATCH(184,'Transfer Engine'!$C$2:$C$630,0)),"",INDEX('Compliance Database'!$N$2:$N$630,MATCH(184,'Transfer Engine'!$C$2:$C$630,0)))</f>
        <v/>
      </c>
      <c r="O193" s="8">
        <f>IF(ISNA(MATCH(184,'Transfer Engine'!$C$2:$C$630,0)),"",INDEX('Compliance Database'!$O$2:$O$630,MATCH(184,'Transfer Engine'!$C$2:$C$630,0)))</f>
        <v/>
      </c>
    </row>
    <row r="194">
      <c r="A194">
        <f>IF(ISNA(MATCH(185,'Transfer Engine'!$C$2:$C$630,0)),"",INDEX('Compliance Database'!$A$2:$A$630,MATCH(185,'Transfer Engine'!$C$2:$C$630,0)))</f>
        <v/>
      </c>
      <c r="B194">
        <f>IF(ISNA(MATCH(185,'Transfer Engine'!$C$2:$C$630,0)),"",INDEX('Compliance Database'!$B$2:$B$630,MATCH(185,'Transfer Engine'!$C$2:$C$630,0)))</f>
        <v/>
      </c>
      <c r="C194">
        <f>IF(ISNA(MATCH(185,'Transfer Engine'!$C$2:$C$630,0)),"",INDEX('Compliance Database'!$C$2:$C$630,MATCH(185,'Transfer Engine'!$C$2:$C$630,0)))</f>
        <v/>
      </c>
      <c r="D194" s="8">
        <f>IF(ISNA(MATCH(185,'Transfer Engine'!$C$2:$C$630,0)),"",INDEX('Compliance Database'!$D$2:$D$630,MATCH(185,'Transfer Engine'!$C$2:$C$630,0)))</f>
        <v/>
      </c>
      <c r="E194">
        <f>IF(ISNA(MATCH(185,'Transfer Engine'!$C$2:$C$630,0)),"",INDEX('Compliance Database'!$E$2:$E$630,MATCH(185,'Transfer Engine'!$C$2:$C$630,0)))</f>
        <v/>
      </c>
      <c r="F194">
        <f>IF(ISNA(MATCH(185,'Transfer Engine'!$C$2:$C$630,0)),"",INDEX('Compliance Database'!$F$2:$F$630,MATCH(185,'Transfer Engine'!$C$2:$C$630,0)))</f>
        <v/>
      </c>
      <c r="G194">
        <f>IF(ISNA(MATCH(185,'Transfer Engine'!$C$2:$C$630,0)),"",INDEX('Compliance Database'!$G$2:$G$630,MATCH(185,'Transfer Engine'!$C$2:$C$630,0)))</f>
        <v/>
      </c>
      <c r="H194">
        <f>IF(ISNA(MATCH(185,'Transfer Engine'!$C$2:$C$630,0)),"",INDEX('Compliance Database'!$H$2:$H$630,MATCH(185,'Transfer Engine'!$C$2:$C$630,0)))</f>
        <v/>
      </c>
      <c r="I194" s="8">
        <f>IF(ISNA(MATCH(185,'Transfer Engine'!$C$2:$C$630,0)),"",INDEX('Compliance Database'!$I$2:$I$630,MATCH(185,'Transfer Engine'!$C$2:$C$630,0)))</f>
        <v/>
      </c>
      <c r="J194" s="8">
        <f>IF(ISNA(MATCH(185,'Transfer Engine'!$C$2:$C$630,0)),"",INDEX('Compliance Database'!$J$2:$J$630,MATCH(185,'Transfer Engine'!$C$2:$C$630,0)))</f>
        <v/>
      </c>
      <c r="K194">
        <f>IF(ISNA(MATCH(185,'Transfer Engine'!$C$2:$C$630,0)),"",INDEX('Compliance Database'!$K$2:$K$630,MATCH(185,'Transfer Engine'!$C$2:$C$630,0)))</f>
        <v/>
      </c>
      <c r="L194" s="8">
        <f>IF(ISNA(MATCH(185,'Transfer Engine'!$C$2:$C$630,0)),"",INDEX('Compliance Database'!$L$2:$L$630,MATCH(185,'Transfer Engine'!$C$2:$C$630,0)))</f>
        <v/>
      </c>
      <c r="M194" s="8">
        <f>IF(ISNA(MATCH(185,'Transfer Engine'!$C$2:$C$630,0)),"",INDEX('Compliance Database'!$M$2:$M$630,MATCH(185,'Transfer Engine'!$C$2:$C$630,0)))</f>
        <v/>
      </c>
      <c r="N194" s="8">
        <f>IF(ISNA(MATCH(185,'Transfer Engine'!$C$2:$C$630,0)),"",INDEX('Compliance Database'!$N$2:$N$630,MATCH(185,'Transfer Engine'!$C$2:$C$630,0)))</f>
        <v/>
      </c>
      <c r="O194" s="8">
        <f>IF(ISNA(MATCH(185,'Transfer Engine'!$C$2:$C$630,0)),"",INDEX('Compliance Database'!$O$2:$O$630,MATCH(185,'Transfer Engine'!$C$2:$C$630,0)))</f>
        <v/>
      </c>
    </row>
    <row r="195">
      <c r="A195">
        <f>IF(ISNA(MATCH(186,'Transfer Engine'!$C$2:$C$630,0)),"",INDEX('Compliance Database'!$A$2:$A$630,MATCH(186,'Transfer Engine'!$C$2:$C$630,0)))</f>
        <v/>
      </c>
      <c r="B195">
        <f>IF(ISNA(MATCH(186,'Transfer Engine'!$C$2:$C$630,0)),"",INDEX('Compliance Database'!$B$2:$B$630,MATCH(186,'Transfer Engine'!$C$2:$C$630,0)))</f>
        <v/>
      </c>
      <c r="C195">
        <f>IF(ISNA(MATCH(186,'Transfer Engine'!$C$2:$C$630,0)),"",INDEX('Compliance Database'!$C$2:$C$630,MATCH(186,'Transfer Engine'!$C$2:$C$630,0)))</f>
        <v/>
      </c>
      <c r="D195" s="8">
        <f>IF(ISNA(MATCH(186,'Transfer Engine'!$C$2:$C$630,0)),"",INDEX('Compliance Database'!$D$2:$D$630,MATCH(186,'Transfer Engine'!$C$2:$C$630,0)))</f>
        <v/>
      </c>
      <c r="E195">
        <f>IF(ISNA(MATCH(186,'Transfer Engine'!$C$2:$C$630,0)),"",INDEX('Compliance Database'!$E$2:$E$630,MATCH(186,'Transfer Engine'!$C$2:$C$630,0)))</f>
        <v/>
      </c>
      <c r="F195">
        <f>IF(ISNA(MATCH(186,'Transfer Engine'!$C$2:$C$630,0)),"",INDEX('Compliance Database'!$F$2:$F$630,MATCH(186,'Transfer Engine'!$C$2:$C$630,0)))</f>
        <v/>
      </c>
      <c r="G195">
        <f>IF(ISNA(MATCH(186,'Transfer Engine'!$C$2:$C$630,0)),"",INDEX('Compliance Database'!$G$2:$G$630,MATCH(186,'Transfer Engine'!$C$2:$C$630,0)))</f>
        <v/>
      </c>
      <c r="H195">
        <f>IF(ISNA(MATCH(186,'Transfer Engine'!$C$2:$C$630,0)),"",INDEX('Compliance Database'!$H$2:$H$630,MATCH(186,'Transfer Engine'!$C$2:$C$630,0)))</f>
        <v/>
      </c>
      <c r="I195" s="8">
        <f>IF(ISNA(MATCH(186,'Transfer Engine'!$C$2:$C$630,0)),"",INDEX('Compliance Database'!$I$2:$I$630,MATCH(186,'Transfer Engine'!$C$2:$C$630,0)))</f>
        <v/>
      </c>
      <c r="J195" s="8">
        <f>IF(ISNA(MATCH(186,'Transfer Engine'!$C$2:$C$630,0)),"",INDEX('Compliance Database'!$J$2:$J$630,MATCH(186,'Transfer Engine'!$C$2:$C$630,0)))</f>
        <v/>
      </c>
      <c r="K195">
        <f>IF(ISNA(MATCH(186,'Transfer Engine'!$C$2:$C$630,0)),"",INDEX('Compliance Database'!$K$2:$K$630,MATCH(186,'Transfer Engine'!$C$2:$C$630,0)))</f>
        <v/>
      </c>
      <c r="L195" s="8">
        <f>IF(ISNA(MATCH(186,'Transfer Engine'!$C$2:$C$630,0)),"",INDEX('Compliance Database'!$L$2:$L$630,MATCH(186,'Transfer Engine'!$C$2:$C$630,0)))</f>
        <v/>
      </c>
      <c r="M195" s="8">
        <f>IF(ISNA(MATCH(186,'Transfer Engine'!$C$2:$C$630,0)),"",INDEX('Compliance Database'!$M$2:$M$630,MATCH(186,'Transfer Engine'!$C$2:$C$630,0)))</f>
        <v/>
      </c>
      <c r="N195" s="8">
        <f>IF(ISNA(MATCH(186,'Transfer Engine'!$C$2:$C$630,0)),"",INDEX('Compliance Database'!$N$2:$N$630,MATCH(186,'Transfer Engine'!$C$2:$C$630,0)))</f>
        <v/>
      </c>
      <c r="O195" s="8">
        <f>IF(ISNA(MATCH(186,'Transfer Engine'!$C$2:$C$630,0)),"",INDEX('Compliance Database'!$O$2:$O$630,MATCH(186,'Transfer Engine'!$C$2:$C$630,0)))</f>
        <v/>
      </c>
    </row>
    <row r="196">
      <c r="A196">
        <f>IF(ISNA(MATCH(187,'Transfer Engine'!$C$2:$C$630,0)),"",INDEX('Compliance Database'!$A$2:$A$630,MATCH(187,'Transfer Engine'!$C$2:$C$630,0)))</f>
        <v/>
      </c>
      <c r="B196">
        <f>IF(ISNA(MATCH(187,'Transfer Engine'!$C$2:$C$630,0)),"",INDEX('Compliance Database'!$B$2:$B$630,MATCH(187,'Transfer Engine'!$C$2:$C$630,0)))</f>
        <v/>
      </c>
      <c r="C196">
        <f>IF(ISNA(MATCH(187,'Transfer Engine'!$C$2:$C$630,0)),"",INDEX('Compliance Database'!$C$2:$C$630,MATCH(187,'Transfer Engine'!$C$2:$C$630,0)))</f>
        <v/>
      </c>
      <c r="D196" s="8">
        <f>IF(ISNA(MATCH(187,'Transfer Engine'!$C$2:$C$630,0)),"",INDEX('Compliance Database'!$D$2:$D$630,MATCH(187,'Transfer Engine'!$C$2:$C$630,0)))</f>
        <v/>
      </c>
      <c r="E196">
        <f>IF(ISNA(MATCH(187,'Transfer Engine'!$C$2:$C$630,0)),"",INDEX('Compliance Database'!$E$2:$E$630,MATCH(187,'Transfer Engine'!$C$2:$C$630,0)))</f>
        <v/>
      </c>
      <c r="F196">
        <f>IF(ISNA(MATCH(187,'Transfer Engine'!$C$2:$C$630,0)),"",INDEX('Compliance Database'!$F$2:$F$630,MATCH(187,'Transfer Engine'!$C$2:$C$630,0)))</f>
        <v/>
      </c>
      <c r="G196">
        <f>IF(ISNA(MATCH(187,'Transfer Engine'!$C$2:$C$630,0)),"",INDEX('Compliance Database'!$G$2:$G$630,MATCH(187,'Transfer Engine'!$C$2:$C$630,0)))</f>
        <v/>
      </c>
      <c r="H196">
        <f>IF(ISNA(MATCH(187,'Transfer Engine'!$C$2:$C$630,0)),"",INDEX('Compliance Database'!$H$2:$H$630,MATCH(187,'Transfer Engine'!$C$2:$C$630,0)))</f>
        <v/>
      </c>
      <c r="I196" s="8">
        <f>IF(ISNA(MATCH(187,'Transfer Engine'!$C$2:$C$630,0)),"",INDEX('Compliance Database'!$I$2:$I$630,MATCH(187,'Transfer Engine'!$C$2:$C$630,0)))</f>
        <v/>
      </c>
      <c r="J196" s="8">
        <f>IF(ISNA(MATCH(187,'Transfer Engine'!$C$2:$C$630,0)),"",INDEX('Compliance Database'!$J$2:$J$630,MATCH(187,'Transfer Engine'!$C$2:$C$630,0)))</f>
        <v/>
      </c>
      <c r="K196">
        <f>IF(ISNA(MATCH(187,'Transfer Engine'!$C$2:$C$630,0)),"",INDEX('Compliance Database'!$K$2:$K$630,MATCH(187,'Transfer Engine'!$C$2:$C$630,0)))</f>
        <v/>
      </c>
      <c r="L196" s="8">
        <f>IF(ISNA(MATCH(187,'Transfer Engine'!$C$2:$C$630,0)),"",INDEX('Compliance Database'!$L$2:$L$630,MATCH(187,'Transfer Engine'!$C$2:$C$630,0)))</f>
        <v/>
      </c>
      <c r="M196" s="8">
        <f>IF(ISNA(MATCH(187,'Transfer Engine'!$C$2:$C$630,0)),"",INDEX('Compliance Database'!$M$2:$M$630,MATCH(187,'Transfer Engine'!$C$2:$C$630,0)))</f>
        <v/>
      </c>
      <c r="N196" s="8">
        <f>IF(ISNA(MATCH(187,'Transfer Engine'!$C$2:$C$630,0)),"",INDEX('Compliance Database'!$N$2:$N$630,MATCH(187,'Transfer Engine'!$C$2:$C$630,0)))</f>
        <v/>
      </c>
      <c r="O196" s="8">
        <f>IF(ISNA(MATCH(187,'Transfer Engine'!$C$2:$C$630,0)),"",INDEX('Compliance Database'!$O$2:$O$630,MATCH(187,'Transfer Engine'!$C$2:$C$630,0)))</f>
        <v/>
      </c>
    </row>
    <row r="197">
      <c r="A197">
        <f>IF(ISNA(MATCH(188,'Transfer Engine'!$C$2:$C$630,0)),"",INDEX('Compliance Database'!$A$2:$A$630,MATCH(188,'Transfer Engine'!$C$2:$C$630,0)))</f>
        <v/>
      </c>
      <c r="B197">
        <f>IF(ISNA(MATCH(188,'Transfer Engine'!$C$2:$C$630,0)),"",INDEX('Compliance Database'!$B$2:$B$630,MATCH(188,'Transfer Engine'!$C$2:$C$630,0)))</f>
        <v/>
      </c>
      <c r="C197">
        <f>IF(ISNA(MATCH(188,'Transfer Engine'!$C$2:$C$630,0)),"",INDEX('Compliance Database'!$C$2:$C$630,MATCH(188,'Transfer Engine'!$C$2:$C$630,0)))</f>
        <v/>
      </c>
      <c r="D197" s="8">
        <f>IF(ISNA(MATCH(188,'Transfer Engine'!$C$2:$C$630,0)),"",INDEX('Compliance Database'!$D$2:$D$630,MATCH(188,'Transfer Engine'!$C$2:$C$630,0)))</f>
        <v/>
      </c>
      <c r="E197">
        <f>IF(ISNA(MATCH(188,'Transfer Engine'!$C$2:$C$630,0)),"",INDEX('Compliance Database'!$E$2:$E$630,MATCH(188,'Transfer Engine'!$C$2:$C$630,0)))</f>
        <v/>
      </c>
      <c r="F197">
        <f>IF(ISNA(MATCH(188,'Transfer Engine'!$C$2:$C$630,0)),"",INDEX('Compliance Database'!$F$2:$F$630,MATCH(188,'Transfer Engine'!$C$2:$C$630,0)))</f>
        <v/>
      </c>
      <c r="G197">
        <f>IF(ISNA(MATCH(188,'Transfer Engine'!$C$2:$C$630,0)),"",INDEX('Compliance Database'!$G$2:$G$630,MATCH(188,'Transfer Engine'!$C$2:$C$630,0)))</f>
        <v/>
      </c>
      <c r="H197">
        <f>IF(ISNA(MATCH(188,'Transfer Engine'!$C$2:$C$630,0)),"",INDEX('Compliance Database'!$H$2:$H$630,MATCH(188,'Transfer Engine'!$C$2:$C$630,0)))</f>
        <v/>
      </c>
      <c r="I197" s="8">
        <f>IF(ISNA(MATCH(188,'Transfer Engine'!$C$2:$C$630,0)),"",INDEX('Compliance Database'!$I$2:$I$630,MATCH(188,'Transfer Engine'!$C$2:$C$630,0)))</f>
        <v/>
      </c>
      <c r="J197" s="8">
        <f>IF(ISNA(MATCH(188,'Transfer Engine'!$C$2:$C$630,0)),"",INDEX('Compliance Database'!$J$2:$J$630,MATCH(188,'Transfer Engine'!$C$2:$C$630,0)))</f>
        <v/>
      </c>
      <c r="K197">
        <f>IF(ISNA(MATCH(188,'Transfer Engine'!$C$2:$C$630,0)),"",INDEX('Compliance Database'!$K$2:$K$630,MATCH(188,'Transfer Engine'!$C$2:$C$630,0)))</f>
        <v/>
      </c>
      <c r="L197" s="8">
        <f>IF(ISNA(MATCH(188,'Transfer Engine'!$C$2:$C$630,0)),"",INDEX('Compliance Database'!$L$2:$L$630,MATCH(188,'Transfer Engine'!$C$2:$C$630,0)))</f>
        <v/>
      </c>
      <c r="M197" s="8">
        <f>IF(ISNA(MATCH(188,'Transfer Engine'!$C$2:$C$630,0)),"",INDEX('Compliance Database'!$M$2:$M$630,MATCH(188,'Transfer Engine'!$C$2:$C$630,0)))</f>
        <v/>
      </c>
      <c r="N197" s="8">
        <f>IF(ISNA(MATCH(188,'Transfer Engine'!$C$2:$C$630,0)),"",INDEX('Compliance Database'!$N$2:$N$630,MATCH(188,'Transfer Engine'!$C$2:$C$630,0)))</f>
        <v/>
      </c>
      <c r="O197" s="8">
        <f>IF(ISNA(MATCH(188,'Transfer Engine'!$C$2:$C$630,0)),"",INDEX('Compliance Database'!$O$2:$O$630,MATCH(188,'Transfer Engine'!$C$2:$C$630,0)))</f>
        <v/>
      </c>
    </row>
    <row r="198">
      <c r="A198">
        <f>IF(ISNA(MATCH(189,'Transfer Engine'!$C$2:$C$630,0)),"",INDEX('Compliance Database'!$A$2:$A$630,MATCH(189,'Transfer Engine'!$C$2:$C$630,0)))</f>
        <v/>
      </c>
      <c r="B198">
        <f>IF(ISNA(MATCH(189,'Transfer Engine'!$C$2:$C$630,0)),"",INDEX('Compliance Database'!$B$2:$B$630,MATCH(189,'Transfer Engine'!$C$2:$C$630,0)))</f>
        <v/>
      </c>
      <c r="C198">
        <f>IF(ISNA(MATCH(189,'Transfer Engine'!$C$2:$C$630,0)),"",INDEX('Compliance Database'!$C$2:$C$630,MATCH(189,'Transfer Engine'!$C$2:$C$630,0)))</f>
        <v/>
      </c>
      <c r="D198" s="8">
        <f>IF(ISNA(MATCH(189,'Transfer Engine'!$C$2:$C$630,0)),"",INDEX('Compliance Database'!$D$2:$D$630,MATCH(189,'Transfer Engine'!$C$2:$C$630,0)))</f>
        <v/>
      </c>
      <c r="E198">
        <f>IF(ISNA(MATCH(189,'Transfer Engine'!$C$2:$C$630,0)),"",INDEX('Compliance Database'!$E$2:$E$630,MATCH(189,'Transfer Engine'!$C$2:$C$630,0)))</f>
        <v/>
      </c>
      <c r="F198">
        <f>IF(ISNA(MATCH(189,'Transfer Engine'!$C$2:$C$630,0)),"",INDEX('Compliance Database'!$F$2:$F$630,MATCH(189,'Transfer Engine'!$C$2:$C$630,0)))</f>
        <v/>
      </c>
      <c r="G198">
        <f>IF(ISNA(MATCH(189,'Transfer Engine'!$C$2:$C$630,0)),"",INDEX('Compliance Database'!$G$2:$G$630,MATCH(189,'Transfer Engine'!$C$2:$C$630,0)))</f>
        <v/>
      </c>
      <c r="H198">
        <f>IF(ISNA(MATCH(189,'Transfer Engine'!$C$2:$C$630,0)),"",INDEX('Compliance Database'!$H$2:$H$630,MATCH(189,'Transfer Engine'!$C$2:$C$630,0)))</f>
        <v/>
      </c>
      <c r="I198" s="8">
        <f>IF(ISNA(MATCH(189,'Transfer Engine'!$C$2:$C$630,0)),"",INDEX('Compliance Database'!$I$2:$I$630,MATCH(189,'Transfer Engine'!$C$2:$C$630,0)))</f>
        <v/>
      </c>
      <c r="J198" s="8">
        <f>IF(ISNA(MATCH(189,'Transfer Engine'!$C$2:$C$630,0)),"",INDEX('Compliance Database'!$J$2:$J$630,MATCH(189,'Transfer Engine'!$C$2:$C$630,0)))</f>
        <v/>
      </c>
      <c r="K198">
        <f>IF(ISNA(MATCH(189,'Transfer Engine'!$C$2:$C$630,0)),"",INDEX('Compliance Database'!$K$2:$K$630,MATCH(189,'Transfer Engine'!$C$2:$C$630,0)))</f>
        <v/>
      </c>
      <c r="L198" s="8">
        <f>IF(ISNA(MATCH(189,'Transfer Engine'!$C$2:$C$630,0)),"",INDEX('Compliance Database'!$L$2:$L$630,MATCH(189,'Transfer Engine'!$C$2:$C$630,0)))</f>
        <v/>
      </c>
      <c r="M198" s="8">
        <f>IF(ISNA(MATCH(189,'Transfer Engine'!$C$2:$C$630,0)),"",INDEX('Compliance Database'!$M$2:$M$630,MATCH(189,'Transfer Engine'!$C$2:$C$630,0)))</f>
        <v/>
      </c>
      <c r="N198" s="8">
        <f>IF(ISNA(MATCH(189,'Transfer Engine'!$C$2:$C$630,0)),"",INDEX('Compliance Database'!$N$2:$N$630,MATCH(189,'Transfer Engine'!$C$2:$C$630,0)))</f>
        <v/>
      </c>
      <c r="O198" s="8">
        <f>IF(ISNA(MATCH(189,'Transfer Engine'!$C$2:$C$630,0)),"",INDEX('Compliance Database'!$O$2:$O$630,MATCH(189,'Transfer Engine'!$C$2:$C$630,0)))</f>
        <v/>
      </c>
    </row>
    <row r="199">
      <c r="A199">
        <f>IF(ISNA(MATCH(190,'Transfer Engine'!$C$2:$C$630,0)),"",INDEX('Compliance Database'!$A$2:$A$630,MATCH(190,'Transfer Engine'!$C$2:$C$630,0)))</f>
        <v/>
      </c>
      <c r="B199">
        <f>IF(ISNA(MATCH(190,'Transfer Engine'!$C$2:$C$630,0)),"",INDEX('Compliance Database'!$B$2:$B$630,MATCH(190,'Transfer Engine'!$C$2:$C$630,0)))</f>
        <v/>
      </c>
      <c r="C199">
        <f>IF(ISNA(MATCH(190,'Transfer Engine'!$C$2:$C$630,0)),"",INDEX('Compliance Database'!$C$2:$C$630,MATCH(190,'Transfer Engine'!$C$2:$C$630,0)))</f>
        <v/>
      </c>
      <c r="D199" s="8">
        <f>IF(ISNA(MATCH(190,'Transfer Engine'!$C$2:$C$630,0)),"",INDEX('Compliance Database'!$D$2:$D$630,MATCH(190,'Transfer Engine'!$C$2:$C$630,0)))</f>
        <v/>
      </c>
      <c r="E199">
        <f>IF(ISNA(MATCH(190,'Transfer Engine'!$C$2:$C$630,0)),"",INDEX('Compliance Database'!$E$2:$E$630,MATCH(190,'Transfer Engine'!$C$2:$C$630,0)))</f>
        <v/>
      </c>
      <c r="F199">
        <f>IF(ISNA(MATCH(190,'Transfer Engine'!$C$2:$C$630,0)),"",INDEX('Compliance Database'!$F$2:$F$630,MATCH(190,'Transfer Engine'!$C$2:$C$630,0)))</f>
        <v/>
      </c>
      <c r="G199">
        <f>IF(ISNA(MATCH(190,'Transfer Engine'!$C$2:$C$630,0)),"",INDEX('Compliance Database'!$G$2:$G$630,MATCH(190,'Transfer Engine'!$C$2:$C$630,0)))</f>
        <v/>
      </c>
      <c r="H199">
        <f>IF(ISNA(MATCH(190,'Transfer Engine'!$C$2:$C$630,0)),"",INDEX('Compliance Database'!$H$2:$H$630,MATCH(190,'Transfer Engine'!$C$2:$C$630,0)))</f>
        <v/>
      </c>
      <c r="I199" s="8">
        <f>IF(ISNA(MATCH(190,'Transfer Engine'!$C$2:$C$630,0)),"",INDEX('Compliance Database'!$I$2:$I$630,MATCH(190,'Transfer Engine'!$C$2:$C$630,0)))</f>
        <v/>
      </c>
      <c r="J199" s="8">
        <f>IF(ISNA(MATCH(190,'Transfer Engine'!$C$2:$C$630,0)),"",INDEX('Compliance Database'!$J$2:$J$630,MATCH(190,'Transfer Engine'!$C$2:$C$630,0)))</f>
        <v/>
      </c>
      <c r="K199">
        <f>IF(ISNA(MATCH(190,'Transfer Engine'!$C$2:$C$630,0)),"",INDEX('Compliance Database'!$K$2:$K$630,MATCH(190,'Transfer Engine'!$C$2:$C$630,0)))</f>
        <v/>
      </c>
      <c r="L199" s="8">
        <f>IF(ISNA(MATCH(190,'Transfer Engine'!$C$2:$C$630,0)),"",INDEX('Compliance Database'!$L$2:$L$630,MATCH(190,'Transfer Engine'!$C$2:$C$630,0)))</f>
        <v/>
      </c>
      <c r="M199" s="8">
        <f>IF(ISNA(MATCH(190,'Transfer Engine'!$C$2:$C$630,0)),"",INDEX('Compliance Database'!$M$2:$M$630,MATCH(190,'Transfer Engine'!$C$2:$C$630,0)))</f>
        <v/>
      </c>
      <c r="N199" s="8">
        <f>IF(ISNA(MATCH(190,'Transfer Engine'!$C$2:$C$630,0)),"",INDEX('Compliance Database'!$N$2:$N$630,MATCH(190,'Transfer Engine'!$C$2:$C$630,0)))</f>
        <v/>
      </c>
      <c r="O199" s="8">
        <f>IF(ISNA(MATCH(190,'Transfer Engine'!$C$2:$C$630,0)),"",INDEX('Compliance Database'!$O$2:$O$630,MATCH(190,'Transfer Engine'!$C$2:$C$630,0)))</f>
        <v/>
      </c>
    </row>
    <row r="200">
      <c r="A200">
        <f>IF(ISNA(MATCH(191,'Transfer Engine'!$C$2:$C$630,0)),"",INDEX('Compliance Database'!$A$2:$A$630,MATCH(191,'Transfer Engine'!$C$2:$C$630,0)))</f>
        <v/>
      </c>
      <c r="B200">
        <f>IF(ISNA(MATCH(191,'Transfer Engine'!$C$2:$C$630,0)),"",INDEX('Compliance Database'!$B$2:$B$630,MATCH(191,'Transfer Engine'!$C$2:$C$630,0)))</f>
        <v/>
      </c>
      <c r="C200">
        <f>IF(ISNA(MATCH(191,'Transfer Engine'!$C$2:$C$630,0)),"",INDEX('Compliance Database'!$C$2:$C$630,MATCH(191,'Transfer Engine'!$C$2:$C$630,0)))</f>
        <v/>
      </c>
      <c r="D200" s="8">
        <f>IF(ISNA(MATCH(191,'Transfer Engine'!$C$2:$C$630,0)),"",INDEX('Compliance Database'!$D$2:$D$630,MATCH(191,'Transfer Engine'!$C$2:$C$630,0)))</f>
        <v/>
      </c>
      <c r="E200">
        <f>IF(ISNA(MATCH(191,'Transfer Engine'!$C$2:$C$630,0)),"",INDEX('Compliance Database'!$E$2:$E$630,MATCH(191,'Transfer Engine'!$C$2:$C$630,0)))</f>
        <v/>
      </c>
      <c r="F200">
        <f>IF(ISNA(MATCH(191,'Transfer Engine'!$C$2:$C$630,0)),"",INDEX('Compliance Database'!$F$2:$F$630,MATCH(191,'Transfer Engine'!$C$2:$C$630,0)))</f>
        <v/>
      </c>
      <c r="G200">
        <f>IF(ISNA(MATCH(191,'Transfer Engine'!$C$2:$C$630,0)),"",INDEX('Compliance Database'!$G$2:$G$630,MATCH(191,'Transfer Engine'!$C$2:$C$630,0)))</f>
        <v/>
      </c>
      <c r="H200">
        <f>IF(ISNA(MATCH(191,'Transfer Engine'!$C$2:$C$630,0)),"",INDEX('Compliance Database'!$H$2:$H$630,MATCH(191,'Transfer Engine'!$C$2:$C$630,0)))</f>
        <v/>
      </c>
      <c r="I200" s="8">
        <f>IF(ISNA(MATCH(191,'Transfer Engine'!$C$2:$C$630,0)),"",INDEX('Compliance Database'!$I$2:$I$630,MATCH(191,'Transfer Engine'!$C$2:$C$630,0)))</f>
        <v/>
      </c>
      <c r="J200" s="8">
        <f>IF(ISNA(MATCH(191,'Transfer Engine'!$C$2:$C$630,0)),"",INDEX('Compliance Database'!$J$2:$J$630,MATCH(191,'Transfer Engine'!$C$2:$C$630,0)))</f>
        <v/>
      </c>
      <c r="K200">
        <f>IF(ISNA(MATCH(191,'Transfer Engine'!$C$2:$C$630,0)),"",INDEX('Compliance Database'!$K$2:$K$630,MATCH(191,'Transfer Engine'!$C$2:$C$630,0)))</f>
        <v/>
      </c>
      <c r="L200" s="8">
        <f>IF(ISNA(MATCH(191,'Transfer Engine'!$C$2:$C$630,0)),"",INDEX('Compliance Database'!$L$2:$L$630,MATCH(191,'Transfer Engine'!$C$2:$C$630,0)))</f>
        <v/>
      </c>
      <c r="M200" s="8">
        <f>IF(ISNA(MATCH(191,'Transfer Engine'!$C$2:$C$630,0)),"",INDEX('Compliance Database'!$M$2:$M$630,MATCH(191,'Transfer Engine'!$C$2:$C$630,0)))</f>
        <v/>
      </c>
      <c r="N200" s="8">
        <f>IF(ISNA(MATCH(191,'Transfer Engine'!$C$2:$C$630,0)),"",INDEX('Compliance Database'!$N$2:$N$630,MATCH(191,'Transfer Engine'!$C$2:$C$630,0)))</f>
        <v/>
      </c>
      <c r="O200" s="8">
        <f>IF(ISNA(MATCH(191,'Transfer Engine'!$C$2:$C$630,0)),"",INDEX('Compliance Database'!$O$2:$O$630,MATCH(191,'Transfer Engine'!$C$2:$C$630,0)))</f>
        <v/>
      </c>
    </row>
    <row r="201">
      <c r="A201">
        <f>IF(ISNA(MATCH(192,'Transfer Engine'!$C$2:$C$630,0)),"",INDEX('Compliance Database'!$A$2:$A$630,MATCH(192,'Transfer Engine'!$C$2:$C$630,0)))</f>
        <v/>
      </c>
      <c r="B201">
        <f>IF(ISNA(MATCH(192,'Transfer Engine'!$C$2:$C$630,0)),"",INDEX('Compliance Database'!$B$2:$B$630,MATCH(192,'Transfer Engine'!$C$2:$C$630,0)))</f>
        <v/>
      </c>
      <c r="C201">
        <f>IF(ISNA(MATCH(192,'Transfer Engine'!$C$2:$C$630,0)),"",INDEX('Compliance Database'!$C$2:$C$630,MATCH(192,'Transfer Engine'!$C$2:$C$630,0)))</f>
        <v/>
      </c>
      <c r="D201" s="8">
        <f>IF(ISNA(MATCH(192,'Transfer Engine'!$C$2:$C$630,0)),"",INDEX('Compliance Database'!$D$2:$D$630,MATCH(192,'Transfer Engine'!$C$2:$C$630,0)))</f>
        <v/>
      </c>
      <c r="E201">
        <f>IF(ISNA(MATCH(192,'Transfer Engine'!$C$2:$C$630,0)),"",INDEX('Compliance Database'!$E$2:$E$630,MATCH(192,'Transfer Engine'!$C$2:$C$630,0)))</f>
        <v/>
      </c>
      <c r="F201">
        <f>IF(ISNA(MATCH(192,'Transfer Engine'!$C$2:$C$630,0)),"",INDEX('Compliance Database'!$F$2:$F$630,MATCH(192,'Transfer Engine'!$C$2:$C$630,0)))</f>
        <v/>
      </c>
      <c r="G201">
        <f>IF(ISNA(MATCH(192,'Transfer Engine'!$C$2:$C$630,0)),"",INDEX('Compliance Database'!$G$2:$G$630,MATCH(192,'Transfer Engine'!$C$2:$C$630,0)))</f>
        <v/>
      </c>
      <c r="H201">
        <f>IF(ISNA(MATCH(192,'Transfer Engine'!$C$2:$C$630,0)),"",INDEX('Compliance Database'!$H$2:$H$630,MATCH(192,'Transfer Engine'!$C$2:$C$630,0)))</f>
        <v/>
      </c>
      <c r="I201" s="8">
        <f>IF(ISNA(MATCH(192,'Transfer Engine'!$C$2:$C$630,0)),"",INDEX('Compliance Database'!$I$2:$I$630,MATCH(192,'Transfer Engine'!$C$2:$C$630,0)))</f>
        <v/>
      </c>
      <c r="J201" s="8">
        <f>IF(ISNA(MATCH(192,'Transfer Engine'!$C$2:$C$630,0)),"",INDEX('Compliance Database'!$J$2:$J$630,MATCH(192,'Transfer Engine'!$C$2:$C$630,0)))</f>
        <v/>
      </c>
      <c r="K201">
        <f>IF(ISNA(MATCH(192,'Transfer Engine'!$C$2:$C$630,0)),"",INDEX('Compliance Database'!$K$2:$K$630,MATCH(192,'Transfer Engine'!$C$2:$C$630,0)))</f>
        <v/>
      </c>
      <c r="L201" s="8">
        <f>IF(ISNA(MATCH(192,'Transfer Engine'!$C$2:$C$630,0)),"",INDEX('Compliance Database'!$L$2:$L$630,MATCH(192,'Transfer Engine'!$C$2:$C$630,0)))</f>
        <v/>
      </c>
      <c r="M201" s="8">
        <f>IF(ISNA(MATCH(192,'Transfer Engine'!$C$2:$C$630,0)),"",INDEX('Compliance Database'!$M$2:$M$630,MATCH(192,'Transfer Engine'!$C$2:$C$630,0)))</f>
        <v/>
      </c>
      <c r="N201" s="8">
        <f>IF(ISNA(MATCH(192,'Transfer Engine'!$C$2:$C$630,0)),"",INDEX('Compliance Database'!$N$2:$N$630,MATCH(192,'Transfer Engine'!$C$2:$C$630,0)))</f>
        <v/>
      </c>
      <c r="O201" s="8">
        <f>IF(ISNA(MATCH(192,'Transfer Engine'!$C$2:$C$630,0)),"",INDEX('Compliance Database'!$O$2:$O$630,MATCH(192,'Transfer Engine'!$C$2:$C$630,0)))</f>
        <v/>
      </c>
    </row>
    <row r="202">
      <c r="A202">
        <f>IF(ISNA(MATCH(193,'Transfer Engine'!$C$2:$C$630,0)),"",INDEX('Compliance Database'!$A$2:$A$630,MATCH(193,'Transfer Engine'!$C$2:$C$630,0)))</f>
        <v/>
      </c>
      <c r="B202">
        <f>IF(ISNA(MATCH(193,'Transfer Engine'!$C$2:$C$630,0)),"",INDEX('Compliance Database'!$B$2:$B$630,MATCH(193,'Transfer Engine'!$C$2:$C$630,0)))</f>
        <v/>
      </c>
      <c r="C202">
        <f>IF(ISNA(MATCH(193,'Transfer Engine'!$C$2:$C$630,0)),"",INDEX('Compliance Database'!$C$2:$C$630,MATCH(193,'Transfer Engine'!$C$2:$C$630,0)))</f>
        <v/>
      </c>
      <c r="D202" s="8">
        <f>IF(ISNA(MATCH(193,'Transfer Engine'!$C$2:$C$630,0)),"",INDEX('Compliance Database'!$D$2:$D$630,MATCH(193,'Transfer Engine'!$C$2:$C$630,0)))</f>
        <v/>
      </c>
      <c r="E202">
        <f>IF(ISNA(MATCH(193,'Transfer Engine'!$C$2:$C$630,0)),"",INDEX('Compliance Database'!$E$2:$E$630,MATCH(193,'Transfer Engine'!$C$2:$C$630,0)))</f>
        <v/>
      </c>
      <c r="F202">
        <f>IF(ISNA(MATCH(193,'Transfer Engine'!$C$2:$C$630,0)),"",INDEX('Compliance Database'!$F$2:$F$630,MATCH(193,'Transfer Engine'!$C$2:$C$630,0)))</f>
        <v/>
      </c>
      <c r="G202">
        <f>IF(ISNA(MATCH(193,'Transfer Engine'!$C$2:$C$630,0)),"",INDEX('Compliance Database'!$G$2:$G$630,MATCH(193,'Transfer Engine'!$C$2:$C$630,0)))</f>
        <v/>
      </c>
      <c r="H202">
        <f>IF(ISNA(MATCH(193,'Transfer Engine'!$C$2:$C$630,0)),"",INDEX('Compliance Database'!$H$2:$H$630,MATCH(193,'Transfer Engine'!$C$2:$C$630,0)))</f>
        <v/>
      </c>
      <c r="I202" s="8">
        <f>IF(ISNA(MATCH(193,'Transfer Engine'!$C$2:$C$630,0)),"",INDEX('Compliance Database'!$I$2:$I$630,MATCH(193,'Transfer Engine'!$C$2:$C$630,0)))</f>
        <v/>
      </c>
      <c r="J202" s="8">
        <f>IF(ISNA(MATCH(193,'Transfer Engine'!$C$2:$C$630,0)),"",INDEX('Compliance Database'!$J$2:$J$630,MATCH(193,'Transfer Engine'!$C$2:$C$630,0)))</f>
        <v/>
      </c>
      <c r="K202">
        <f>IF(ISNA(MATCH(193,'Transfer Engine'!$C$2:$C$630,0)),"",INDEX('Compliance Database'!$K$2:$K$630,MATCH(193,'Transfer Engine'!$C$2:$C$630,0)))</f>
        <v/>
      </c>
      <c r="L202" s="8">
        <f>IF(ISNA(MATCH(193,'Transfer Engine'!$C$2:$C$630,0)),"",INDEX('Compliance Database'!$L$2:$L$630,MATCH(193,'Transfer Engine'!$C$2:$C$630,0)))</f>
        <v/>
      </c>
      <c r="M202" s="8">
        <f>IF(ISNA(MATCH(193,'Transfer Engine'!$C$2:$C$630,0)),"",INDEX('Compliance Database'!$M$2:$M$630,MATCH(193,'Transfer Engine'!$C$2:$C$630,0)))</f>
        <v/>
      </c>
      <c r="N202" s="8">
        <f>IF(ISNA(MATCH(193,'Transfer Engine'!$C$2:$C$630,0)),"",INDEX('Compliance Database'!$N$2:$N$630,MATCH(193,'Transfer Engine'!$C$2:$C$630,0)))</f>
        <v/>
      </c>
      <c r="O202" s="8">
        <f>IF(ISNA(MATCH(193,'Transfer Engine'!$C$2:$C$630,0)),"",INDEX('Compliance Database'!$O$2:$O$630,MATCH(193,'Transfer Engine'!$C$2:$C$630,0)))</f>
        <v/>
      </c>
    </row>
    <row r="203">
      <c r="A203">
        <f>IF(ISNA(MATCH(194,'Transfer Engine'!$C$2:$C$630,0)),"",INDEX('Compliance Database'!$A$2:$A$630,MATCH(194,'Transfer Engine'!$C$2:$C$630,0)))</f>
        <v/>
      </c>
      <c r="B203">
        <f>IF(ISNA(MATCH(194,'Transfer Engine'!$C$2:$C$630,0)),"",INDEX('Compliance Database'!$B$2:$B$630,MATCH(194,'Transfer Engine'!$C$2:$C$630,0)))</f>
        <v/>
      </c>
      <c r="C203">
        <f>IF(ISNA(MATCH(194,'Transfer Engine'!$C$2:$C$630,0)),"",INDEX('Compliance Database'!$C$2:$C$630,MATCH(194,'Transfer Engine'!$C$2:$C$630,0)))</f>
        <v/>
      </c>
      <c r="D203" s="8">
        <f>IF(ISNA(MATCH(194,'Transfer Engine'!$C$2:$C$630,0)),"",INDEX('Compliance Database'!$D$2:$D$630,MATCH(194,'Transfer Engine'!$C$2:$C$630,0)))</f>
        <v/>
      </c>
      <c r="E203">
        <f>IF(ISNA(MATCH(194,'Transfer Engine'!$C$2:$C$630,0)),"",INDEX('Compliance Database'!$E$2:$E$630,MATCH(194,'Transfer Engine'!$C$2:$C$630,0)))</f>
        <v/>
      </c>
      <c r="F203">
        <f>IF(ISNA(MATCH(194,'Transfer Engine'!$C$2:$C$630,0)),"",INDEX('Compliance Database'!$F$2:$F$630,MATCH(194,'Transfer Engine'!$C$2:$C$630,0)))</f>
        <v/>
      </c>
      <c r="G203">
        <f>IF(ISNA(MATCH(194,'Transfer Engine'!$C$2:$C$630,0)),"",INDEX('Compliance Database'!$G$2:$G$630,MATCH(194,'Transfer Engine'!$C$2:$C$630,0)))</f>
        <v/>
      </c>
      <c r="H203">
        <f>IF(ISNA(MATCH(194,'Transfer Engine'!$C$2:$C$630,0)),"",INDEX('Compliance Database'!$H$2:$H$630,MATCH(194,'Transfer Engine'!$C$2:$C$630,0)))</f>
        <v/>
      </c>
      <c r="I203" s="8">
        <f>IF(ISNA(MATCH(194,'Transfer Engine'!$C$2:$C$630,0)),"",INDEX('Compliance Database'!$I$2:$I$630,MATCH(194,'Transfer Engine'!$C$2:$C$630,0)))</f>
        <v/>
      </c>
      <c r="J203" s="8">
        <f>IF(ISNA(MATCH(194,'Transfer Engine'!$C$2:$C$630,0)),"",INDEX('Compliance Database'!$J$2:$J$630,MATCH(194,'Transfer Engine'!$C$2:$C$630,0)))</f>
        <v/>
      </c>
      <c r="K203">
        <f>IF(ISNA(MATCH(194,'Transfer Engine'!$C$2:$C$630,0)),"",INDEX('Compliance Database'!$K$2:$K$630,MATCH(194,'Transfer Engine'!$C$2:$C$630,0)))</f>
        <v/>
      </c>
      <c r="L203" s="8">
        <f>IF(ISNA(MATCH(194,'Transfer Engine'!$C$2:$C$630,0)),"",INDEX('Compliance Database'!$L$2:$L$630,MATCH(194,'Transfer Engine'!$C$2:$C$630,0)))</f>
        <v/>
      </c>
      <c r="M203" s="8">
        <f>IF(ISNA(MATCH(194,'Transfer Engine'!$C$2:$C$630,0)),"",INDEX('Compliance Database'!$M$2:$M$630,MATCH(194,'Transfer Engine'!$C$2:$C$630,0)))</f>
        <v/>
      </c>
      <c r="N203" s="8">
        <f>IF(ISNA(MATCH(194,'Transfer Engine'!$C$2:$C$630,0)),"",INDEX('Compliance Database'!$N$2:$N$630,MATCH(194,'Transfer Engine'!$C$2:$C$630,0)))</f>
        <v/>
      </c>
      <c r="O203" s="8">
        <f>IF(ISNA(MATCH(194,'Transfer Engine'!$C$2:$C$630,0)),"",INDEX('Compliance Database'!$O$2:$O$630,MATCH(194,'Transfer Engine'!$C$2:$C$630,0)))</f>
        <v/>
      </c>
    </row>
    <row r="204">
      <c r="A204">
        <f>IF(ISNA(MATCH(195,'Transfer Engine'!$C$2:$C$630,0)),"",INDEX('Compliance Database'!$A$2:$A$630,MATCH(195,'Transfer Engine'!$C$2:$C$630,0)))</f>
        <v/>
      </c>
      <c r="B204">
        <f>IF(ISNA(MATCH(195,'Transfer Engine'!$C$2:$C$630,0)),"",INDEX('Compliance Database'!$B$2:$B$630,MATCH(195,'Transfer Engine'!$C$2:$C$630,0)))</f>
        <v/>
      </c>
      <c r="C204">
        <f>IF(ISNA(MATCH(195,'Transfer Engine'!$C$2:$C$630,0)),"",INDEX('Compliance Database'!$C$2:$C$630,MATCH(195,'Transfer Engine'!$C$2:$C$630,0)))</f>
        <v/>
      </c>
      <c r="D204" s="8">
        <f>IF(ISNA(MATCH(195,'Transfer Engine'!$C$2:$C$630,0)),"",INDEX('Compliance Database'!$D$2:$D$630,MATCH(195,'Transfer Engine'!$C$2:$C$630,0)))</f>
        <v/>
      </c>
      <c r="E204">
        <f>IF(ISNA(MATCH(195,'Transfer Engine'!$C$2:$C$630,0)),"",INDEX('Compliance Database'!$E$2:$E$630,MATCH(195,'Transfer Engine'!$C$2:$C$630,0)))</f>
        <v/>
      </c>
      <c r="F204">
        <f>IF(ISNA(MATCH(195,'Transfer Engine'!$C$2:$C$630,0)),"",INDEX('Compliance Database'!$F$2:$F$630,MATCH(195,'Transfer Engine'!$C$2:$C$630,0)))</f>
        <v/>
      </c>
      <c r="G204">
        <f>IF(ISNA(MATCH(195,'Transfer Engine'!$C$2:$C$630,0)),"",INDEX('Compliance Database'!$G$2:$G$630,MATCH(195,'Transfer Engine'!$C$2:$C$630,0)))</f>
        <v/>
      </c>
      <c r="H204">
        <f>IF(ISNA(MATCH(195,'Transfer Engine'!$C$2:$C$630,0)),"",INDEX('Compliance Database'!$H$2:$H$630,MATCH(195,'Transfer Engine'!$C$2:$C$630,0)))</f>
        <v/>
      </c>
      <c r="I204" s="8">
        <f>IF(ISNA(MATCH(195,'Transfer Engine'!$C$2:$C$630,0)),"",INDEX('Compliance Database'!$I$2:$I$630,MATCH(195,'Transfer Engine'!$C$2:$C$630,0)))</f>
        <v/>
      </c>
      <c r="J204" s="8">
        <f>IF(ISNA(MATCH(195,'Transfer Engine'!$C$2:$C$630,0)),"",INDEX('Compliance Database'!$J$2:$J$630,MATCH(195,'Transfer Engine'!$C$2:$C$630,0)))</f>
        <v/>
      </c>
      <c r="K204">
        <f>IF(ISNA(MATCH(195,'Transfer Engine'!$C$2:$C$630,0)),"",INDEX('Compliance Database'!$K$2:$K$630,MATCH(195,'Transfer Engine'!$C$2:$C$630,0)))</f>
        <v/>
      </c>
      <c r="L204" s="8">
        <f>IF(ISNA(MATCH(195,'Transfer Engine'!$C$2:$C$630,0)),"",INDEX('Compliance Database'!$L$2:$L$630,MATCH(195,'Transfer Engine'!$C$2:$C$630,0)))</f>
        <v/>
      </c>
      <c r="M204" s="8">
        <f>IF(ISNA(MATCH(195,'Transfer Engine'!$C$2:$C$630,0)),"",INDEX('Compliance Database'!$M$2:$M$630,MATCH(195,'Transfer Engine'!$C$2:$C$630,0)))</f>
        <v/>
      </c>
      <c r="N204" s="8">
        <f>IF(ISNA(MATCH(195,'Transfer Engine'!$C$2:$C$630,0)),"",INDEX('Compliance Database'!$N$2:$N$630,MATCH(195,'Transfer Engine'!$C$2:$C$630,0)))</f>
        <v/>
      </c>
      <c r="O204" s="8">
        <f>IF(ISNA(MATCH(195,'Transfer Engine'!$C$2:$C$630,0)),"",INDEX('Compliance Database'!$O$2:$O$630,MATCH(195,'Transfer Engine'!$C$2:$C$630,0)))</f>
        <v/>
      </c>
    </row>
    <row r="205">
      <c r="A205">
        <f>IF(ISNA(MATCH(196,'Transfer Engine'!$C$2:$C$630,0)),"",INDEX('Compliance Database'!$A$2:$A$630,MATCH(196,'Transfer Engine'!$C$2:$C$630,0)))</f>
        <v/>
      </c>
      <c r="B205">
        <f>IF(ISNA(MATCH(196,'Transfer Engine'!$C$2:$C$630,0)),"",INDEX('Compliance Database'!$B$2:$B$630,MATCH(196,'Transfer Engine'!$C$2:$C$630,0)))</f>
        <v/>
      </c>
      <c r="C205">
        <f>IF(ISNA(MATCH(196,'Transfer Engine'!$C$2:$C$630,0)),"",INDEX('Compliance Database'!$C$2:$C$630,MATCH(196,'Transfer Engine'!$C$2:$C$630,0)))</f>
        <v/>
      </c>
      <c r="D205" s="8">
        <f>IF(ISNA(MATCH(196,'Transfer Engine'!$C$2:$C$630,0)),"",INDEX('Compliance Database'!$D$2:$D$630,MATCH(196,'Transfer Engine'!$C$2:$C$630,0)))</f>
        <v/>
      </c>
      <c r="E205">
        <f>IF(ISNA(MATCH(196,'Transfer Engine'!$C$2:$C$630,0)),"",INDEX('Compliance Database'!$E$2:$E$630,MATCH(196,'Transfer Engine'!$C$2:$C$630,0)))</f>
        <v/>
      </c>
      <c r="F205">
        <f>IF(ISNA(MATCH(196,'Transfer Engine'!$C$2:$C$630,0)),"",INDEX('Compliance Database'!$F$2:$F$630,MATCH(196,'Transfer Engine'!$C$2:$C$630,0)))</f>
        <v/>
      </c>
      <c r="G205">
        <f>IF(ISNA(MATCH(196,'Transfer Engine'!$C$2:$C$630,0)),"",INDEX('Compliance Database'!$G$2:$G$630,MATCH(196,'Transfer Engine'!$C$2:$C$630,0)))</f>
        <v/>
      </c>
      <c r="H205">
        <f>IF(ISNA(MATCH(196,'Transfer Engine'!$C$2:$C$630,0)),"",INDEX('Compliance Database'!$H$2:$H$630,MATCH(196,'Transfer Engine'!$C$2:$C$630,0)))</f>
        <v/>
      </c>
      <c r="I205" s="8">
        <f>IF(ISNA(MATCH(196,'Transfer Engine'!$C$2:$C$630,0)),"",INDEX('Compliance Database'!$I$2:$I$630,MATCH(196,'Transfer Engine'!$C$2:$C$630,0)))</f>
        <v/>
      </c>
      <c r="J205" s="8">
        <f>IF(ISNA(MATCH(196,'Transfer Engine'!$C$2:$C$630,0)),"",INDEX('Compliance Database'!$J$2:$J$630,MATCH(196,'Transfer Engine'!$C$2:$C$630,0)))</f>
        <v/>
      </c>
      <c r="K205">
        <f>IF(ISNA(MATCH(196,'Transfer Engine'!$C$2:$C$630,0)),"",INDEX('Compliance Database'!$K$2:$K$630,MATCH(196,'Transfer Engine'!$C$2:$C$630,0)))</f>
        <v/>
      </c>
      <c r="L205" s="8">
        <f>IF(ISNA(MATCH(196,'Transfer Engine'!$C$2:$C$630,0)),"",INDEX('Compliance Database'!$L$2:$L$630,MATCH(196,'Transfer Engine'!$C$2:$C$630,0)))</f>
        <v/>
      </c>
      <c r="M205" s="8">
        <f>IF(ISNA(MATCH(196,'Transfer Engine'!$C$2:$C$630,0)),"",INDEX('Compliance Database'!$M$2:$M$630,MATCH(196,'Transfer Engine'!$C$2:$C$630,0)))</f>
        <v/>
      </c>
      <c r="N205" s="8">
        <f>IF(ISNA(MATCH(196,'Transfer Engine'!$C$2:$C$630,0)),"",INDEX('Compliance Database'!$N$2:$N$630,MATCH(196,'Transfer Engine'!$C$2:$C$630,0)))</f>
        <v/>
      </c>
      <c r="O205" s="8">
        <f>IF(ISNA(MATCH(196,'Transfer Engine'!$C$2:$C$630,0)),"",INDEX('Compliance Database'!$O$2:$O$630,MATCH(196,'Transfer Engine'!$C$2:$C$630,0)))</f>
        <v/>
      </c>
    </row>
    <row r="206">
      <c r="A206">
        <f>IF(ISNA(MATCH(197,'Transfer Engine'!$C$2:$C$630,0)),"",INDEX('Compliance Database'!$A$2:$A$630,MATCH(197,'Transfer Engine'!$C$2:$C$630,0)))</f>
        <v/>
      </c>
      <c r="B206">
        <f>IF(ISNA(MATCH(197,'Transfer Engine'!$C$2:$C$630,0)),"",INDEX('Compliance Database'!$B$2:$B$630,MATCH(197,'Transfer Engine'!$C$2:$C$630,0)))</f>
        <v/>
      </c>
      <c r="C206">
        <f>IF(ISNA(MATCH(197,'Transfer Engine'!$C$2:$C$630,0)),"",INDEX('Compliance Database'!$C$2:$C$630,MATCH(197,'Transfer Engine'!$C$2:$C$630,0)))</f>
        <v/>
      </c>
      <c r="D206" s="8">
        <f>IF(ISNA(MATCH(197,'Transfer Engine'!$C$2:$C$630,0)),"",INDEX('Compliance Database'!$D$2:$D$630,MATCH(197,'Transfer Engine'!$C$2:$C$630,0)))</f>
        <v/>
      </c>
      <c r="E206">
        <f>IF(ISNA(MATCH(197,'Transfer Engine'!$C$2:$C$630,0)),"",INDEX('Compliance Database'!$E$2:$E$630,MATCH(197,'Transfer Engine'!$C$2:$C$630,0)))</f>
        <v/>
      </c>
      <c r="F206">
        <f>IF(ISNA(MATCH(197,'Transfer Engine'!$C$2:$C$630,0)),"",INDEX('Compliance Database'!$F$2:$F$630,MATCH(197,'Transfer Engine'!$C$2:$C$630,0)))</f>
        <v/>
      </c>
      <c r="G206">
        <f>IF(ISNA(MATCH(197,'Transfer Engine'!$C$2:$C$630,0)),"",INDEX('Compliance Database'!$G$2:$G$630,MATCH(197,'Transfer Engine'!$C$2:$C$630,0)))</f>
        <v/>
      </c>
      <c r="H206">
        <f>IF(ISNA(MATCH(197,'Transfer Engine'!$C$2:$C$630,0)),"",INDEX('Compliance Database'!$H$2:$H$630,MATCH(197,'Transfer Engine'!$C$2:$C$630,0)))</f>
        <v/>
      </c>
      <c r="I206" s="8">
        <f>IF(ISNA(MATCH(197,'Transfer Engine'!$C$2:$C$630,0)),"",INDEX('Compliance Database'!$I$2:$I$630,MATCH(197,'Transfer Engine'!$C$2:$C$630,0)))</f>
        <v/>
      </c>
      <c r="J206" s="8">
        <f>IF(ISNA(MATCH(197,'Transfer Engine'!$C$2:$C$630,0)),"",INDEX('Compliance Database'!$J$2:$J$630,MATCH(197,'Transfer Engine'!$C$2:$C$630,0)))</f>
        <v/>
      </c>
      <c r="K206">
        <f>IF(ISNA(MATCH(197,'Transfer Engine'!$C$2:$C$630,0)),"",INDEX('Compliance Database'!$K$2:$K$630,MATCH(197,'Transfer Engine'!$C$2:$C$630,0)))</f>
        <v/>
      </c>
      <c r="L206" s="8">
        <f>IF(ISNA(MATCH(197,'Transfer Engine'!$C$2:$C$630,0)),"",INDEX('Compliance Database'!$L$2:$L$630,MATCH(197,'Transfer Engine'!$C$2:$C$630,0)))</f>
        <v/>
      </c>
      <c r="M206" s="8">
        <f>IF(ISNA(MATCH(197,'Transfer Engine'!$C$2:$C$630,0)),"",INDEX('Compliance Database'!$M$2:$M$630,MATCH(197,'Transfer Engine'!$C$2:$C$630,0)))</f>
        <v/>
      </c>
      <c r="N206" s="8">
        <f>IF(ISNA(MATCH(197,'Transfer Engine'!$C$2:$C$630,0)),"",INDEX('Compliance Database'!$N$2:$N$630,MATCH(197,'Transfer Engine'!$C$2:$C$630,0)))</f>
        <v/>
      </c>
      <c r="O206" s="8">
        <f>IF(ISNA(MATCH(197,'Transfer Engine'!$C$2:$C$630,0)),"",INDEX('Compliance Database'!$O$2:$O$630,MATCH(197,'Transfer Engine'!$C$2:$C$630,0)))</f>
        <v/>
      </c>
    </row>
    <row r="207">
      <c r="A207">
        <f>IF(ISNA(MATCH(198,'Transfer Engine'!$C$2:$C$630,0)),"",INDEX('Compliance Database'!$A$2:$A$630,MATCH(198,'Transfer Engine'!$C$2:$C$630,0)))</f>
        <v/>
      </c>
      <c r="B207">
        <f>IF(ISNA(MATCH(198,'Transfer Engine'!$C$2:$C$630,0)),"",INDEX('Compliance Database'!$B$2:$B$630,MATCH(198,'Transfer Engine'!$C$2:$C$630,0)))</f>
        <v/>
      </c>
      <c r="C207">
        <f>IF(ISNA(MATCH(198,'Transfer Engine'!$C$2:$C$630,0)),"",INDEX('Compliance Database'!$C$2:$C$630,MATCH(198,'Transfer Engine'!$C$2:$C$630,0)))</f>
        <v/>
      </c>
      <c r="D207" s="8">
        <f>IF(ISNA(MATCH(198,'Transfer Engine'!$C$2:$C$630,0)),"",INDEX('Compliance Database'!$D$2:$D$630,MATCH(198,'Transfer Engine'!$C$2:$C$630,0)))</f>
        <v/>
      </c>
      <c r="E207">
        <f>IF(ISNA(MATCH(198,'Transfer Engine'!$C$2:$C$630,0)),"",INDEX('Compliance Database'!$E$2:$E$630,MATCH(198,'Transfer Engine'!$C$2:$C$630,0)))</f>
        <v/>
      </c>
      <c r="F207">
        <f>IF(ISNA(MATCH(198,'Transfer Engine'!$C$2:$C$630,0)),"",INDEX('Compliance Database'!$F$2:$F$630,MATCH(198,'Transfer Engine'!$C$2:$C$630,0)))</f>
        <v/>
      </c>
      <c r="G207">
        <f>IF(ISNA(MATCH(198,'Transfer Engine'!$C$2:$C$630,0)),"",INDEX('Compliance Database'!$G$2:$G$630,MATCH(198,'Transfer Engine'!$C$2:$C$630,0)))</f>
        <v/>
      </c>
      <c r="H207">
        <f>IF(ISNA(MATCH(198,'Transfer Engine'!$C$2:$C$630,0)),"",INDEX('Compliance Database'!$H$2:$H$630,MATCH(198,'Transfer Engine'!$C$2:$C$630,0)))</f>
        <v/>
      </c>
      <c r="I207" s="8">
        <f>IF(ISNA(MATCH(198,'Transfer Engine'!$C$2:$C$630,0)),"",INDEX('Compliance Database'!$I$2:$I$630,MATCH(198,'Transfer Engine'!$C$2:$C$630,0)))</f>
        <v/>
      </c>
      <c r="J207" s="8">
        <f>IF(ISNA(MATCH(198,'Transfer Engine'!$C$2:$C$630,0)),"",INDEX('Compliance Database'!$J$2:$J$630,MATCH(198,'Transfer Engine'!$C$2:$C$630,0)))</f>
        <v/>
      </c>
      <c r="K207">
        <f>IF(ISNA(MATCH(198,'Transfer Engine'!$C$2:$C$630,0)),"",INDEX('Compliance Database'!$K$2:$K$630,MATCH(198,'Transfer Engine'!$C$2:$C$630,0)))</f>
        <v/>
      </c>
      <c r="L207" s="8">
        <f>IF(ISNA(MATCH(198,'Transfer Engine'!$C$2:$C$630,0)),"",INDEX('Compliance Database'!$L$2:$L$630,MATCH(198,'Transfer Engine'!$C$2:$C$630,0)))</f>
        <v/>
      </c>
      <c r="M207" s="8">
        <f>IF(ISNA(MATCH(198,'Transfer Engine'!$C$2:$C$630,0)),"",INDEX('Compliance Database'!$M$2:$M$630,MATCH(198,'Transfer Engine'!$C$2:$C$630,0)))</f>
        <v/>
      </c>
      <c r="N207" s="8">
        <f>IF(ISNA(MATCH(198,'Transfer Engine'!$C$2:$C$630,0)),"",INDEX('Compliance Database'!$N$2:$N$630,MATCH(198,'Transfer Engine'!$C$2:$C$630,0)))</f>
        <v/>
      </c>
      <c r="O207" s="8">
        <f>IF(ISNA(MATCH(198,'Transfer Engine'!$C$2:$C$630,0)),"",INDEX('Compliance Database'!$O$2:$O$630,MATCH(198,'Transfer Engine'!$C$2:$C$630,0)))</f>
        <v/>
      </c>
    </row>
    <row r="208">
      <c r="A208">
        <f>IF(ISNA(MATCH(199,'Transfer Engine'!$C$2:$C$630,0)),"",INDEX('Compliance Database'!$A$2:$A$630,MATCH(199,'Transfer Engine'!$C$2:$C$630,0)))</f>
        <v/>
      </c>
      <c r="B208">
        <f>IF(ISNA(MATCH(199,'Transfer Engine'!$C$2:$C$630,0)),"",INDEX('Compliance Database'!$B$2:$B$630,MATCH(199,'Transfer Engine'!$C$2:$C$630,0)))</f>
        <v/>
      </c>
      <c r="C208">
        <f>IF(ISNA(MATCH(199,'Transfer Engine'!$C$2:$C$630,0)),"",INDEX('Compliance Database'!$C$2:$C$630,MATCH(199,'Transfer Engine'!$C$2:$C$630,0)))</f>
        <v/>
      </c>
      <c r="D208" s="8">
        <f>IF(ISNA(MATCH(199,'Transfer Engine'!$C$2:$C$630,0)),"",INDEX('Compliance Database'!$D$2:$D$630,MATCH(199,'Transfer Engine'!$C$2:$C$630,0)))</f>
        <v/>
      </c>
      <c r="E208">
        <f>IF(ISNA(MATCH(199,'Transfer Engine'!$C$2:$C$630,0)),"",INDEX('Compliance Database'!$E$2:$E$630,MATCH(199,'Transfer Engine'!$C$2:$C$630,0)))</f>
        <v/>
      </c>
      <c r="F208">
        <f>IF(ISNA(MATCH(199,'Transfer Engine'!$C$2:$C$630,0)),"",INDEX('Compliance Database'!$F$2:$F$630,MATCH(199,'Transfer Engine'!$C$2:$C$630,0)))</f>
        <v/>
      </c>
      <c r="G208">
        <f>IF(ISNA(MATCH(199,'Transfer Engine'!$C$2:$C$630,0)),"",INDEX('Compliance Database'!$G$2:$G$630,MATCH(199,'Transfer Engine'!$C$2:$C$630,0)))</f>
        <v/>
      </c>
      <c r="H208">
        <f>IF(ISNA(MATCH(199,'Transfer Engine'!$C$2:$C$630,0)),"",INDEX('Compliance Database'!$H$2:$H$630,MATCH(199,'Transfer Engine'!$C$2:$C$630,0)))</f>
        <v/>
      </c>
      <c r="I208" s="8">
        <f>IF(ISNA(MATCH(199,'Transfer Engine'!$C$2:$C$630,0)),"",INDEX('Compliance Database'!$I$2:$I$630,MATCH(199,'Transfer Engine'!$C$2:$C$630,0)))</f>
        <v/>
      </c>
      <c r="J208" s="8">
        <f>IF(ISNA(MATCH(199,'Transfer Engine'!$C$2:$C$630,0)),"",INDEX('Compliance Database'!$J$2:$J$630,MATCH(199,'Transfer Engine'!$C$2:$C$630,0)))</f>
        <v/>
      </c>
      <c r="K208">
        <f>IF(ISNA(MATCH(199,'Transfer Engine'!$C$2:$C$630,0)),"",INDEX('Compliance Database'!$K$2:$K$630,MATCH(199,'Transfer Engine'!$C$2:$C$630,0)))</f>
        <v/>
      </c>
      <c r="L208" s="8">
        <f>IF(ISNA(MATCH(199,'Transfer Engine'!$C$2:$C$630,0)),"",INDEX('Compliance Database'!$L$2:$L$630,MATCH(199,'Transfer Engine'!$C$2:$C$630,0)))</f>
        <v/>
      </c>
      <c r="M208" s="8">
        <f>IF(ISNA(MATCH(199,'Transfer Engine'!$C$2:$C$630,0)),"",INDEX('Compliance Database'!$M$2:$M$630,MATCH(199,'Transfer Engine'!$C$2:$C$630,0)))</f>
        <v/>
      </c>
      <c r="N208" s="8">
        <f>IF(ISNA(MATCH(199,'Transfer Engine'!$C$2:$C$630,0)),"",INDEX('Compliance Database'!$N$2:$N$630,MATCH(199,'Transfer Engine'!$C$2:$C$630,0)))</f>
        <v/>
      </c>
      <c r="O208" s="8">
        <f>IF(ISNA(MATCH(199,'Transfer Engine'!$C$2:$C$630,0)),"",INDEX('Compliance Database'!$O$2:$O$630,MATCH(199,'Transfer Engine'!$C$2:$C$630,0)))</f>
        <v/>
      </c>
    </row>
    <row r="209">
      <c r="A209">
        <f>IF(ISNA(MATCH(200,'Transfer Engine'!$C$2:$C$630,0)),"",INDEX('Compliance Database'!$A$2:$A$630,MATCH(200,'Transfer Engine'!$C$2:$C$630,0)))</f>
        <v/>
      </c>
      <c r="B209">
        <f>IF(ISNA(MATCH(200,'Transfer Engine'!$C$2:$C$630,0)),"",INDEX('Compliance Database'!$B$2:$B$630,MATCH(200,'Transfer Engine'!$C$2:$C$630,0)))</f>
        <v/>
      </c>
      <c r="C209">
        <f>IF(ISNA(MATCH(200,'Transfer Engine'!$C$2:$C$630,0)),"",INDEX('Compliance Database'!$C$2:$C$630,MATCH(200,'Transfer Engine'!$C$2:$C$630,0)))</f>
        <v/>
      </c>
      <c r="D209" s="8">
        <f>IF(ISNA(MATCH(200,'Transfer Engine'!$C$2:$C$630,0)),"",INDEX('Compliance Database'!$D$2:$D$630,MATCH(200,'Transfer Engine'!$C$2:$C$630,0)))</f>
        <v/>
      </c>
      <c r="E209">
        <f>IF(ISNA(MATCH(200,'Transfer Engine'!$C$2:$C$630,0)),"",INDEX('Compliance Database'!$E$2:$E$630,MATCH(200,'Transfer Engine'!$C$2:$C$630,0)))</f>
        <v/>
      </c>
      <c r="F209">
        <f>IF(ISNA(MATCH(200,'Transfer Engine'!$C$2:$C$630,0)),"",INDEX('Compliance Database'!$F$2:$F$630,MATCH(200,'Transfer Engine'!$C$2:$C$630,0)))</f>
        <v/>
      </c>
      <c r="G209">
        <f>IF(ISNA(MATCH(200,'Transfer Engine'!$C$2:$C$630,0)),"",INDEX('Compliance Database'!$G$2:$G$630,MATCH(200,'Transfer Engine'!$C$2:$C$630,0)))</f>
        <v/>
      </c>
      <c r="H209">
        <f>IF(ISNA(MATCH(200,'Transfer Engine'!$C$2:$C$630,0)),"",INDEX('Compliance Database'!$H$2:$H$630,MATCH(200,'Transfer Engine'!$C$2:$C$630,0)))</f>
        <v/>
      </c>
      <c r="I209" s="8">
        <f>IF(ISNA(MATCH(200,'Transfer Engine'!$C$2:$C$630,0)),"",INDEX('Compliance Database'!$I$2:$I$630,MATCH(200,'Transfer Engine'!$C$2:$C$630,0)))</f>
        <v/>
      </c>
      <c r="J209" s="8">
        <f>IF(ISNA(MATCH(200,'Transfer Engine'!$C$2:$C$630,0)),"",INDEX('Compliance Database'!$J$2:$J$630,MATCH(200,'Transfer Engine'!$C$2:$C$630,0)))</f>
        <v/>
      </c>
      <c r="K209">
        <f>IF(ISNA(MATCH(200,'Transfer Engine'!$C$2:$C$630,0)),"",INDEX('Compliance Database'!$K$2:$K$630,MATCH(200,'Transfer Engine'!$C$2:$C$630,0)))</f>
        <v/>
      </c>
      <c r="L209" s="8">
        <f>IF(ISNA(MATCH(200,'Transfer Engine'!$C$2:$C$630,0)),"",INDEX('Compliance Database'!$L$2:$L$630,MATCH(200,'Transfer Engine'!$C$2:$C$630,0)))</f>
        <v/>
      </c>
      <c r="M209" s="8">
        <f>IF(ISNA(MATCH(200,'Transfer Engine'!$C$2:$C$630,0)),"",INDEX('Compliance Database'!$M$2:$M$630,MATCH(200,'Transfer Engine'!$C$2:$C$630,0)))</f>
        <v/>
      </c>
      <c r="N209" s="8">
        <f>IF(ISNA(MATCH(200,'Transfer Engine'!$C$2:$C$630,0)),"",INDEX('Compliance Database'!$N$2:$N$630,MATCH(200,'Transfer Engine'!$C$2:$C$630,0)))</f>
        <v/>
      </c>
      <c r="O209" s="8">
        <f>IF(ISNA(MATCH(200,'Transfer Engine'!$C$2:$C$630,0)),"",INDEX('Compliance Database'!$O$2:$O$630,MATCH(200,'Transfer Engine'!$C$2:$C$630,0)))</f>
        <v/>
      </c>
    </row>
    <row r="210">
      <c r="A210">
        <f>IF(ISNA(MATCH(201,'Transfer Engine'!$C$2:$C$630,0)),"",INDEX('Compliance Database'!$A$2:$A$630,MATCH(201,'Transfer Engine'!$C$2:$C$630,0)))</f>
        <v/>
      </c>
      <c r="B210">
        <f>IF(ISNA(MATCH(201,'Transfer Engine'!$C$2:$C$630,0)),"",INDEX('Compliance Database'!$B$2:$B$630,MATCH(201,'Transfer Engine'!$C$2:$C$630,0)))</f>
        <v/>
      </c>
      <c r="C210">
        <f>IF(ISNA(MATCH(201,'Transfer Engine'!$C$2:$C$630,0)),"",INDEX('Compliance Database'!$C$2:$C$630,MATCH(201,'Transfer Engine'!$C$2:$C$630,0)))</f>
        <v/>
      </c>
      <c r="D210" s="8">
        <f>IF(ISNA(MATCH(201,'Transfer Engine'!$C$2:$C$630,0)),"",INDEX('Compliance Database'!$D$2:$D$630,MATCH(201,'Transfer Engine'!$C$2:$C$630,0)))</f>
        <v/>
      </c>
      <c r="E210">
        <f>IF(ISNA(MATCH(201,'Transfer Engine'!$C$2:$C$630,0)),"",INDEX('Compliance Database'!$E$2:$E$630,MATCH(201,'Transfer Engine'!$C$2:$C$630,0)))</f>
        <v/>
      </c>
      <c r="F210">
        <f>IF(ISNA(MATCH(201,'Transfer Engine'!$C$2:$C$630,0)),"",INDEX('Compliance Database'!$F$2:$F$630,MATCH(201,'Transfer Engine'!$C$2:$C$630,0)))</f>
        <v/>
      </c>
      <c r="G210">
        <f>IF(ISNA(MATCH(201,'Transfer Engine'!$C$2:$C$630,0)),"",INDEX('Compliance Database'!$G$2:$G$630,MATCH(201,'Transfer Engine'!$C$2:$C$630,0)))</f>
        <v/>
      </c>
      <c r="H210">
        <f>IF(ISNA(MATCH(201,'Transfer Engine'!$C$2:$C$630,0)),"",INDEX('Compliance Database'!$H$2:$H$630,MATCH(201,'Transfer Engine'!$C$2:$C$630,0)))</f>
        <v/>
      </c>
      <c r="I210" s="8">
        <f>IF(ISNA(MATCH(201,'Transfer Engine'!$C$2:$C$630,0)),"",INDEX('Compliance Database'!$I$2:$I$630,MATCH(201,'Transfer Engine'!$C$2:$C$630,0)))</f>
        <v/>
      </c>
      <c r="J210" s="8">
        <f>IF(ISNA(MATCH(201,'Transfer Engine'!$C$2:$C$630,0)),"",INDEX('Compliance Database'!$J$2:$J$630,MATCH(201,'Transfer Engine'!$C$2:$C$630,0)))</f>
        <v/>
      </c>
      <c r="K210">
        <f>IF(ISNA(MATCH(201,'Transfer Engine'!$C$2:$C$630,0)),"",INDEX('Compliance Database'!$K$2:$K$630,MATCH(201,'Transfer Engine'!$C$2:$C$630,0)))</f>
        <v/>
      </c>
      <c r="L210" s="8">
        <f>IF(ISNA(MATCH(201,'Transfer Engine'!$C$2:$C$630,0)),"",INDEX('Compliance Database'!$L$2:$L$630,MATCH(201,'Transfer Engine'!$C$2:$C$630,0)))</f>
        <v/>
      </c>
      <c r="M210" s="8">
        <f>IF(ISNA(MATCH(201,'Transfer Engine'!$C$2:$C$630,0)),"",INDEX('Compliance Database'!$M$2:$M$630,MATCH(201,'Transfer Engine'!$C$2:$C$630,0)))</f>
        <v/>
      </c>
      <c r="N210" s="8">
        <f>IF(ISNA(MATCH(201,'Transfer Engine'!$C$2:$C$630,0)),"",INDEX('Compliance Database'!$N$2:$N$630,MATCH(201,'Transfer Engine'!$C$2:$C$630,0)))</f>
        <v/>
      </c>
      <c r="O210" s="8">
        <f>IF(ISNA(MATCH(201,'Transfer Engine'!$C$2:$C$630,0)),"",INDEX('Compliance Database'!$O$2:$O$630,MATCH(201,'Transfer Engine'!$C$2:$C$630,0)))</f>
        <v/>
      </c>
    </row>
    <row r="211">
      <c r="A211">
        <f>IF(ISNA(MATCH(202,'Transfer Engine'!$C$2:$C$630,0)),"",INDEX('Compliance Database'!$A$2:$A$630,MATCH(202,'Transfer Engine'!$C$2:$C$630,0)))</f>
        <v/>
      </c>
      <c r="B211">
        <f>IF(ISNA(MATCH(202,'Transfer Engine'!$C$2:$C$630,0)),"",INDEX('Compliance Database'!$B$2:$B$630,MATCH(202,'Transfer Engine'!$C$2:$C$630,0)))</f>
        <v/>
      </c>
      <c r="C211">
        <f>IF(ISNA(MATCH(202,'Transfer Engine'!$C$2:$C$630,0)),"",INDEX('Compliance Database'!$C$2:$C$630,MATCH(202,'Transfer Engine'!$C$2:$C$630,0)))</f>
        <v/>
      </c>
      <c r="D211" s="8">
        <f>IF(ISNA(MATCH(202,'Transfer Engine'!$C$2:$C$630,0)),"",INDEX('Compliance Database'!$D$2:$D$630,MATCH(202,'Transfer Engine'!$C$2:$C$630,0)))</f>
        <v/>
      </c>
      <c r="E211">
        <f>IF(ISNA(MATCH(202,'Transfer Engine'!$C$2:$C$630,0)),"",INDEX('Compliance Database'!$E$2:$E$630,MATCH(202,'Transfer Engine'!$C$2:$C$630,0)))</f>
        <v/>
      </c>
      <c r="F211">
        <f>IF(ISNA(MATCH(202,'Transfer Engine'!$C$2:$C$630,0)),"",INDEX('Compliance Database'!$F$2:$F$630,MATCH(202,'Transfer Engine'!$C$2:$C$630,0)))</f>
        <v/>
      </c>
      <c r="G211">
        <f>IF(ISNA(MATCH(202,'Transfer Engine'!$C$2:$C$630,0)),"",INDEX('Compliance Database'!$G$2:$G$630,MATCH(202,'Transfer Engine'!$C$2:$C$630,0)))</f>
        <v/>
      </c>
      <c r="H211">
        <f>IF(ISNA(MATCH(202,'Transfer Engine'!$C$2:$C$630,0)),"",INDEX('Compliance Database'!$H$2:$H$630,MATCH(202,'Transfer Engine'!$C$2:$C$630,0)))</f>
        <v/>
      </c>
      <c r="I211" s="8">
        <f>IF(ISNA(MATCH(202,'Transfer Engine'!$C$2:$C$630,0)),"",INDEX('Compliance Database'!$I$2:$I$630,MATCH(202,'Transfer Engine'!$C$2:$C$630,0)))</f>
        <v/>
      </c>
      <c r="J211" s="8">
        <f>IF(ISNA(MATCH(202,'Transfer Engine'!$C$2:$C$630,0)),"",INDEX('Compliance Database'!$J$2:$J$630,MATCH(202,'Transfer Engine'!$C$2:$C$630,0)))</f>
        <v/>
      </c>
      <c r="K211">
        <f>IF(ISNA(MATCH(202,'Transfer Engine'!$C$2:$C$630,0)),"",INDEX('Compliance Database'!$K$2:$K$630,MATCH(202,'Transfer Engine'!$C$2:$C$630,0)))</f>
        <v/>
      </c>
      <c r="L211" s="8">
        <f>IF(ISNA(MATCH(202,'Transfer Engine'!$C$2:$C$630,0)),"",INDEX('Compliance Database'!$L$2:$L$630,MATCH(202,'Transfer Engine'!$C$2:$C$630,0)))</f>
        <v/>
      </c>
      <c r="M211" s="8">
        <f>IF(ISNA(MATCH(202,'Transfer Engine'!$C$2:$C$630,0)),"",INDEX('Compliance Database'!$M$2:$M$630,MATCH(202,'Transfer Engine'!$C$2:$C$630,0)))</f>
        <v/>
      </c>
      <c r="N211" s="8">
        <f>IF(ISNA(MATCH(202,'Transfer Engine'!$C$2:$C$630,0)),"",INDEX('Compliance Database'!$N$2:$N$630,MATCH(202,'Transfer Engine'!$C$2:$C$630,0)))</f>
        <v/>
      </c>
      <c r="O211" s="8">
        <f>IF(ISNA(MATCH(202,'Transfer Engine'!$C$2:$C$630,0)),"",INDEX('Compliance Database'!$O$2:$O$630,MATCH(202,'Transfer Engine'!$C$2:$C$630,0)))</f>
        <v/>
      </c>
    </row>
    <row r="212">
      <c r="A212">
        <f>IF(ISNA(MATCH(203,'Transfer Engine'!$C$2:$C$630,0)),"",INDEX('Compliance Database'!$A$2:$A$630,MATCH(203,'Transfer Engine'!$C$2:$C$630,0)))</f>
        <v/>
      </c>
      <c r="B212">
        <f>IF(ISNA(MATCH(203,'Transfer Engine'!$C$2:$C$630,0)),"",INDEX('Compliance Database'!$B$2:$B$630,MATCH(203,'Transfer Engine'!$C$2:$C$630,0)))</f>
        <v/>
      </c>
      <c r="C212">
        <f>IF(ISNA(MATCH(203,'Transfer Engine'!$C$2:$C$630,0)),"",INDEX('Compliance Database'!$C$2:$C$630,MATCH(203,'Transfer Engine'!$C$2:$C$630,0)))</f>
        <v/>
      </c>
      <c r="D212" s="8">
        <f>IF(ISNA(MATCH(203,'Transfer Engine'!$C$2:$C$630,0)),"",INDEX('Compliance Database'!$D$2:$D$630,MATCH(203,'Transfer Engine'!$C$2:$C$630,0)))</f>
        <v/>
      </c>
      <c r="E212">
        <f>IF(ISNA(MATCH(203,'Transfer Engine'!$C$2:$C$630,0)),"",INDEX('Compliance Database'!$E$2:$E$630,MATCH(203,'Transfer Engine'!$C$2:$C$630,0)))</f>
        <v/>
      </c>
      <c r="F212">
        <f>IF(ISNA(MATCH(203,'Transfer Engine'!$C$2:$C$630,0)),"",INDEX('Compliance Database'!$F$2:$F$630,MATCH(203,'Transfer Engine'!$C$2:$C$630,0)))</f>
        <v/>
      </c>
      <c r="G212">
        <f>IF(ISNA(MATCH(203,'Transfer Engine'!$C$2:$C$630,0)),"",INDEX('Compliance Database'!$G$2:$G$630,MATCH(203,'Transfer Engine'!$C$2:$C$630,0)))</f>
        <v/>
      </c>
      <c r="H212">
        <f>IF(ISNA(MATCH(203,'Transfer Engine'!$C$2:$C$630,0)),"",INDEX('Compliance Database'!$H$2:$H$630,MATCH(203,'Transfer Engine'!$C$2:$C$630,0)))</f>
        <v/>
      </c>
      <c r="I212" s="8">
        <f>IF(ISNA(MATCH(203,'Transfer Engine'!$C$2:$C$630,0)),"",INDEX('Compliance Database'!$I$2:$I$630,MATCH(203,'Transfer Engine'!$C$2:$C$630,0)))</f>
        <v/>
      </c>
      <c r="J212" s="8">
        <f>IF(ISNA(MATCH(203,'Transfer Engine'!$C$2:$C$630,0)),"",INDEX('Compliance Database'!$J$2:$J$630,MATCH(203,'Transfer Engine'!$C$2:$C$630,0)))</f>
        <v/>
      </c>
      <c r="K212">
        <f>IF(ISNA(MATCH(203,'Transfer Engine'!$C$2:$C$630,0)),"",INDEX('Compliance Database'!$K$2:$K$630,MATCH(203,'Transfer Engine'!$C$2:$C$630,0)))</f>
        <v/>
      </c>
      <c r="L212" s="8">
        <f>IF(ISNA(MATCH(203,'Transfer Engine'!$C$2:$C$630,0)),"",INDEX('Compliance Database'!$L$2:$L$630,MATCH(203,'Transfer Engine'!$C$2:$C$630,0)))</f>
        <v/>
      </c>
      <c r="M212" s="8">
        <f>IF(ISNA(MATCH(203,'Transfer Engine'!$C$2:$C$630,0)),"",INDEX('Compliance Database'!$M$2:$M$630,MATCH(203,'Transfer Engine'!$C$2:$C$630,0)))</f>
        <v/>
      </c>
      <c r="N212" s="8">
        <f>IF(ISNA(MATCH(203,'Transfer Engine'!$C$2:$C$630,0)),"",INDEX('Compliance Database'!$N$2:$N$630,MATCH(203,'Transfer Engine'!$C$2:$C$630,0)))</f>
        <v/>
      </c>
      <c r="O212" s="8">
        <f>IF(ISNA(MATCH(203,'Transfer Engine'!$C$2:$C$630,0)),"",INDEX('Compliance Database'!$O$2:$O$630,MATCH(203,'Transfer Engine'!$C$2:$C$630,0)))</f>
        <v/>
      </c>
    </row>
    <row r="213">
      <c r="A213">
        <f>IF(ISNA(MATCH(204,'Transfer Engine'!$C$2:$C$630,0)),"",INDEX('Compliance Database'!$A$2:$A$630,MATCH(204,'Transfer Engine'!$C$2:$C$630,0)))</f>
        <v/>
      </c>
      <c r="B213">
        <f>IF(ISNA(MATCH(204,'Transfer Engine'!$C$2:$C$630,0)),"",INDEX('Compliance Database'!$B$2:$B$630,MATCH(204,'Transfer Engine'!$C$2:$C$630,0)))</f>
        <v/>
      </c>
      <c r="C213">
        <f>IF(ISNA(MATCH(204,'Transfer Engine'!$C$2:$C$630,0)),"",INDEX('Compliance Database'!$C$2:$C$630,MATCH(204,'Transfer Engine'!$C$2:$C$630,0)))</f>
        <v/>
      </c>
      <c r="D213" s="8">
        <f>IF(ISNA(MATCH(204,'Transfer Engine'!$C$2:$C$630,0)),"",INDEX('Compliance Database'!$D$2:$D$630,MATCH(204,'Transfer Engine'!$C$2:$C$630,0)))</f>
        <v/>
      </c>
      <c r="E213">
        <f>IF(ISNA(MATCH(204,'Transfer Engine'!$C$2:$C$630,0)),"",INDEX('Compliance Database'!$E$2:$E$630,MATCH(204,'Transfer Engine'!$C$2:$C$630,0)))</f>
        <v/>
      </c>
      <c r="F213">
        <f>IF(ISNA(MATCH(204,'Transfer Engine'!$C$2:$C$630,0)),"",INDEX('Compliance Database'!$F$2:$F$630,MATCH(204,'Transfer Engine'!$C$2:$C$630,0)))</f>
        <v/>
      </c>
      <c r="G213">
        <f>IF(ISNA(MATCH(204,'Transfer Engine'!$C$2:$C$630,0)),"",INDEX('Compliance Database'!$G$2:$G$630,MATCH(204,'Transfer Engine'!$C$2:$C$630,0)))</f>
        <v/>
      </c>
      <c r="H213">
        <f>IF(ISNA(MATCH(204,'Transfer Engine'!$C$2:$C$630,0)),"",INDEX('Compliance Database'!$H$2:$H$630,MATCH(204,'Transfer Engine'!$C$2:$C$630,0)))</f>
        <v/>
      </c>
      <c r="I213" s="8">
        <f>IF(ISNA(MATCH(204,'Transfer Engine'!$C$2:$C$630,0)),"",INDEX('Compliance Database'!$I$2:$I$630,MATCH(204,'Transfer Engine'!$C$2:$C$630,0)))</f>
        <v/>
      </c>
      <c r="J213" s="8">
        <f>IF(ISNA(MATCH(204,'Transfer Engine'!$C$2:$C$630,0)),"",INDEX('Compliance Database'!$J$2:$J$630,MATCH(204,'Transfer Engine'!$C$2:$C$630,0)))</f>
        <v/>
      </c>
      <c r="K213">
        <f>IF(ISNA(MATCH(204,'Transfer Engine'!$C$2:$C$630,0)),"",INDEX('Compliance Database'!$K$2:$K$630,MATCH(204,'Transfer Engine'!$C$2:$C$630,0)))</f>
        <v/>
      </c>
      <c r="L213" s="8">
        <f>IF(ISNA(MATCH(204,'Transfer Engine'!$C$2:$C$630,0)),"",INDEX('Compliance Database'!$L$2:$L$630,MATCH(204,'Transfer Engine'!$C$2:$C$630,0)))</f>
        <v/>
      </c>
      <c r="M213" s="8">
        <f>IF(ISNA(MATCH(204,'Transfer Engine'!$C$2:$C$630,0)),"",INDEX('Compliance Database'!$M$2:$M$630,MATCH(204,'Transfer Engine'!$C$2:$C$630,0)))</f>
        <v/>
      </c>
      <c r="N213" s="8">
        <f>IF(ISNA(MATCH(204,'Transfer Engine'!$C$2:$C$630,0)),"",INDEX('Compliance Database'!$N$2:$N$630,MATCH(204,'Transfer Engine'!$C$2:$C$630,0)))</f>
        <v/>
      </c>
      <c r="O213" s="8">
        <f>IF(ISNA(MATCH(204,'Transfer Engine'!$C$2:$C$630,0)),"",INDEX('Compliance Database'!$O$2:$O$630,MATCH(204,'Transfer Engine'!$C$2:$C$630,0)))</f>
        <v/>
      </c>
    </row>
    <row r="214">
      <c r="A214">
        <f>IF(ISNA(MATCH(205,'Transfer Engine'!$C$2:$C$630,0)),"",INDEX('Compliance Database'!$A$2:$A$630,MATCH(205,'Transfer Engine'!$C$2:$C$630,0)))</f>
        <v/>
      </c>
      <c r="B214">
        <f>IF(ISNA(MATCH(205,'Transfer Engine'!$C$2:$C$630,0)),"",INDEX('Compliance Database'!$B$2:$B$630,MATCH(205,'Transfer Engine'!$C$2:$C$630,0)))</f>
        <v/>
      </c>
      <c r="C214">
        <f>IF(ISNA(MATCH(205,'Transfer Engine'!$C$2:$C$630,0)),"",INDEX('Compliance Database'!$C$2:$C$630,MATCH(205,'Transfer Engine'!$C$2:$C$630,0)))</f>
        <v/>
      </c>
      <c r="D214" s="8">
        <f>IF(ISNA(MATCH(205,'Transfer Engine'!$C$2:$C$630,0)),"",INDEX('Compliance Database'!$D$2:$D$630,MATCH(205,'Transfer Engine'!$C$2:$C$630,0)))</f>
        <v/>
      </c>
      <c r="E214">
        <f>IF(ISNA(MATCH(205,'Transfer Engine'!$C$2:$C$630,0)),"",INDEX('Compliance Database'!$E$2:$E$630,MATCH(205,'Transfer Engine'!$C$2:$C$630,0)))</f>
        <v/>
      </c>
      <c r="F214">
        <f>IF(ISNA(MATCH(205,'Transfer Engine'!$C$2:$C$630,0)),"",INDEX('Compliance Database'!$F$2:$F$630,MATCH(205,'Transfer Engine'!$C$2:$C$630,0)))</f>
        <v/>
      </c>
      <c r="G214">
        <f>IF(ISNA(MATCH(205,'Transfer Engine'!$C$2:$C$630,0)),"",INDEX('Compliance Database'!$G$2:$G$630,MATCH(205,'Transfer Engine'!$C$2:$C$630,0)))</f>
        <v/>
      </c>
      <c r="H214">
        <f>IF(ISNA(MATCH(205,'Transfer Engine'!$C$2:$C$630,0)),"",INDEX('Compliance Database'!$H$2:$H$630,MATCH(205,'Transfer Engine'!$C$2:$C$630,0)))</f>
        <v/>
      </c>
      <c r="I214" s="8">
        <f>IF(ISNA(MATCH(205,'Transfer Engine'!$C$2:$C$630,0)),"",INDEX('Compliance Database'!$I$2:$I$630,MATCH(205,'Transfer Engine'!$C$2:$C$630,0)))</f>
        <v/>
      </c>
      <c r="J214" s="8">
        <f>IF(ISNA(MATCH(205,'Transfer Engine'!$C$2:$C$630,0)),"",INDEX('Compliance Database'!$J$2:$J$630,MATCH(205,'Transfer Engine'!$C$2:$C$630,0)))</f>
        <v/>
      </c>
      <c r="K214">
        <f>IF(ISNA(MATCH(205,'Transfer Engine'!$C$2:$C$630,0)),"",INDEX('Compliance Database'!$K$2:$K$630,MATCH(205,'Transfer Engine'!$C$2:$C$630,0)))</f>
        <v/>
      </c>
      <c r="L214" s="8">
        <f>IF(ISNA(MATCH(205,'Transfer Engine'!$C$2:$C$630,0)),"",INDEX('Compliance Database'!$L$2:$L$630,MATCH(205,'Transfer Engine'!$C$2:$C$630,0)))</f>
        <v/>
      </c>
      <c r="M214" s="8">
        <f>IF(ISNA(MATCH(205,'Transfer Engine'!$C$2:$C$630,0)),"",INDEX('Compliance Database'!$M$2:$M$630,MATCH(205,'Transfer Engine'!$C$2:$C$630,0)))</f>
        <v/>
      </c>
      <c r="N214" s="8">
        <f>IF(ISNA(MATCH(205,'Transfer Engine'!$C$2:$C$630,0)),"",INDEX('Compliance Database'!$N$2:$N$630,MATCH(205,'Transfer Engine'!$C$2:$C$630,0)))</f>
        <v/>
      </c>
      <c r="O214" s="8">
        <f>IF(ISNA(MATCH(205,'Transfer Engine'!$C$2:$C$630,0)),"",INDEX('Compliance Database'!$O$2:$O$630,MATCH(205,'Transfer Engine'!$C$2:$C$630,0)))</f>
        <v/>
      </c>
    </row>
    <row r="215">
      <c r="A215">
        <f>IF(ISNA(MATCH(206,'Transfer Engine'!$C$2:$C$630,0)),"",INDEX('Compliance Database'!$A$2:$A$630,MATCH(206,'Transfer Engine'!$C$2:$C$630,0)))</f>
        <v/>
      </c>
      <c r="B215">
        <f>IF(ISNA(MATCH(206,'Transfer Engine'!$C$2:$C$630,0)),"",INDEX('Compliance Database'!$B$2:$B$630,MATCH(206,'Transfer Engine'!$C$2:$C$630,0)))</f>
        <v/>
      </c>
      <c r="C215">
        <f>IF(ISNA(MATCH(206,'Transfer Engine'!$C$2:$C$630,0)),"",INDEX('Compliance Database'!$C$2:$C$630,MATCH(206,'Transfer Engine'!$C$2:$C$630,0)))</f>
        <v/>
      </c>
      <c r="D215" s="8">
        <f>IF(ISNA(MATCH(206,'Transfer Engine'!$C$2:$C$630,0)),"",INDEX('Compliance Database'!$D$2:$D$630,MATCH(206,'Transfer Engine'!$C$2:$C$630,0)))</f>
        <v/>
      </c>
      <c r="E215">
        <f>IF(ISNA(MATCH(206,'Transfer Engine'!$C$2:$C$630,0)),"",INDEX('Compliance Database'!$E$2:$E$630,MATCH(206,'Transfer Engine'!$C$2:$C$630,0)))</f>
        <v/>
      </c>
      <c r="F215">
        <f>IF(ISNA(MATCH(206,'Transfer Engine'!$C$2:$C$630,0)),"",INDEX('Compliance Database'!$F$2:$F$630,MATCH(206,'Transfer Engine'!$C$2:$C$630,0)))</f>
        <v/>
      </c>
      <c r="G215">
        <f>IF(ISNA(MATCH(206,'Transfer Engine'!$C$2:$C$630,0)),"",INDEX('Compliance Database'!$G$2:$G$630,MATCH(206,'Transfer Engine'!$C$2:$C$630,0)))</f>
        <v/>
      </c>
      <c r="H215">
        <f>IF(ISNA(MATCH(206,'Transfer Engine'!$C$2:$C$630,0)),"",INDEX('Compliance Database'!$H$2:$H$630,MATCH(206,'Transfer Engine'!$C$2:$C$630,0)))</f>
        <v/>
      </c>
      <c r="I215" s="8">
        <f>IF(ISNA(MATCH(206,'Transfer Engine'!$C$2:$C$630,0)),"",INDEX('Compliance Database'!$I$2:$I$630,MATCH(206,'Transfer Engine'!$C$2:$C$630,0)))</f>
        <v/>
      </c>
      <c r="J215" s="8">
        <f>IF(ISNA(MATCH(206,'Transfer Engine'!$C$2:$C$630,0)),"",INDEX('Compliance Database'!$J$2:$J$630,MATCH(206,'Transfer Engine'!$C$2:$C$630,0)))</f>
        <v/>
      </c>
      <c r="K215">
        <f>IF(ISNA(MATCH(206,'Transfer Engine'!$C$2:$C$630,0)),"",INDEX('Compliance Database'!$K$2:$K$630,MATCH(206,'Transfer Engine'!$C$2:$C$630,0)))</f>
        <v/>
      </c>
      <c r="L215" s="8">
        <f>IF(ISNA(MATCH(206,'Transfer Engine'!$C$2:$C$630,0)),"",INDEX('Compliance Database'!$L$2:$L$630,MATCH(206,'Transfer Engine'!$C$2:$C$630,0)))</f>
        <v/>
      </c>
      <c r="M215" s="8">
        <f>IF(ISNA(MATCH(206,'Transfer Engine'!$C$2:$C$630,0)),"",INDEX('Compliance Database'!$M$2:$M$630,MATCH(206,'Transfer Engine'!$C$2:$C$630,0)))</f>
        <v/>
      </c>
      <c r="N215" s="8">
        <f>IF(ISNA(MATCH(206,'Transfer Engine'!$C$2:$C$630,0)),"",INDEX('Compliance Database'!$N$2:$N$630,MATCH(206,'Transfer Engine'!$C$2:$C$630,0)))</f>
        <v/>
      </c>
      <c r="O215" s="8">
        <f>IF(ISNA(MATCH(206,'Transfer Engine'!$C$2:$C$630,0)),"",INDEX('Compliance Database'!$O$2:$O$630,MATCH(206,'Transfer Engine'!$C$2:$C$630,0)))</f>
        <v/>
      </c>
    </row>
    <row r="216">
      <c r="A216">
        <f>IF(ISNA(MATCH(207,'Transfer Engine'!$C$2:$C$630,0)),"",INDEX('Compliance Database'!$A$2:$A$630,MATCH(207,'Transfer Engine'!$C$2:$C$630,0)))</f>
        <v/>
      </c>
      <c r="B216">
        <f>IF(ISNA(MATCH(207,'Transfer Engine'!$C$2:$C$630,0)),"",INDEX('Compliance Database'!$B$2:$B$630,MATCH(207,'Transfer Engine'!$C$2:$C$630,0)))</f>
        <v/>
      </c>
      <c r="C216">
        <f>IF(ISNA(MATCH(207,'Transfer Engine'!$C$2:$C$630,0)),"",INDEX('Compliance Database'!$C$2:$C$630,MATCH(207,'Transfer Engine'!$C$2:$C$630,0)))</f>
        <v/>
      </c>
      <c r="D216" s="8">
        <f>IF(ISNA(MATCH(207,'Transfer Engine'!$C$2:$C$630,0)),"",INDEX('Compliance Database'!$D$2:$D$630,MATCH(207,'Transfer Engine'!$C$2:$C$630,0)))</f>
        <v/>
      </c>
      <c r="E216">
        <f>IF(ISNA(MATCH(207,'Transfer Engine'!$C$2:$C$630,0)),"",INDEX('Compliance Database'!$E$2:$E$630,MATCH(207,'Transfer Engine'!$C$2:$C$630,0)))</f>
        <v/>
      </c>
      <c r="F216">
        <f>IF(ISNA(MATCH(207,'Transfer Engine'!$C$2:$C$630,0)),"",INDEX('Compliance Database'!$F$2:$F$630,MATCH(207,'Transfer Engine'!$C$2:$C$630,0)))</f>
        <v/>
      </c>
      <c r="G216">
        <f>IF(ISNA(MATCH(207,'Transfer Engine'!$C$2:$C$630,0)),"",INDEX('Compliance Database'!$G$2:$G$630,MATCH(207,'Transfer Engine'!$C$2:$C$630,0)))</f>
        <v/>
      </c>
      <c r="H216">
        <f>IF(ISNA(MATCH(207,'Transfer Engine'!$C$2:$C$630,0)),"",INDEX('Compliance Database'!$H$2:$H$630,MATCH(207,'Transfer Engine'!$C$2:$C$630,0)))</f>
        <v/>
      </c>
      <c r="I216" s="8">
        <f>IF(ISNA(MATCH(207,'Transfer Engine'!$C$2:$C$630,0)),"",INDEX('Compliance Database'!$I$2:$I$630,MATCH(207,'Transfer Engine'!$C$2:$C$630,0)))</f>
        <v/>
      </c>
      <c r="J216" s="8">
        <f>IF(ISNA(MATCH(207,'Transfer Engine'!$C$2:$C$630,0)),"",INDEX('Compliance Database'!$J$2:$J$630,MATCH(207,'Transfer Engine'!$C$2:$C$630,0)))</f>
        <v/>
      </c>
      <c r="K216">
        <f>IF(ISNA(MATCH(207,'Transfer Engine'!$C$2:$C$630,0)),"",INDEX('Compliance Database'!$K$2:$K$630,MATCH(207,'Transfer Engine'!$C$2:$C$630,0)))</f>
        <v/>
      </c>
      <c r="L216" s="8">
        <f>IF(ISNA(MATCH(207,'Transfer Engine'!$C$2:$C$630,0)),"",INDEX('Compliance Database'!$L$2:$L$630,MATCH(207,'Transfer Engine'!$C$2:$C$630,0)))</f>
        <v/>
      </c>
      <c r="M216" s="8">
        <f>IF(ISNA(MATCH(207,'Transfer Engine'!$C$2:$C$630,0)),"",INDEX('Compliance Database'!$M$2:$M$630,MATCH(207,'Transfer Engine'!$C$2:$C$630,0)))</f>
        <v/>
      </c>
      <c r="N216" s="8">
        <f>IF(ISNA(MATCH(207,'Transfer Engine'!$C$2:$C$630,0)),"",INDEX('Compliance Database'!$N$2:$N$630,MATCH(207,'Transfer Engine'!$C$2:$C$630,0)))</f>
        <v/>
      </c>
      <c r="O216" s="8">
        <f>IF(ISNA(MATCH(207,'Transfer Engine'!$C$2:$C$630,0)),"",INDEX('Compliance Database'!$O$2:$O$630,MATCH(207,'Transfer Engine'!$C$2:$C$630,0)))</f>
        <v/>
      </c>
    </row>
    <row r="217">
      <c r="A217">
        <f>IF(ISNA(MATCH(208,'Transfer Engine'!$C$2:$C$630,0)),"",INDEX('Compliance Database'!$A$2:$A$630,MATCH(208,'Transfer Engine'!$C$2:$C$630,0)))</f>
        <v/>
      </c>
      <c r="B217">
        <f>IF(ISNA(MATCH(208,'Transfer Engine'!$C$2:$C$630,0)),"",INDEX('Compliance Database'!$B$2:$B$630,MATCH(208,'Transfer Engine'!$C$2:$C$630,0)))</f>
        <v/>
      </c>
      <c r="C217">
        <f>IF(ISNA(MATCH(208,'Transfer Engine'!$C$2:$C$630,0)),"",INDEX('Compliance Database'!$C$2:$C$630,MATCH(208,'Transfer Engine'!$C$2:$C$630,0)))</f>
        <v/>
      </c>
      <c r="D217" s="8">
        <f>IF(ISNA(MATCH(208,'Transfer Engine'!$C$2:$C$630,0)),"",INDEX('Compliance Database'!$D$2:$D$630,MATCH(208,'Transfer Engine'!$C$2:$C$630,0)))</f>
        <v/>
      </c>
      <c r="E217">
        <f>IF(ISNA(MATCH(208,'Transfer Engine'!$C$2:$C$630,0)),"",INDEX('Compliance Database'!$E$2:$E$630,MATCH(208,'Transfer Engine'!$C$2:$C$630,0)))</f>
        <v/>
      </c>
      <c r="F217">
        <f>IF(ISNA(MATCH(208,'Transfer Engine'!$C$2:$C$630,0)),"",INDEX('Compliance Database'!$F$2:$F$630,MATCH(208,'Transfer Engine'!$C$2:$C$630,0)))</f>
        <v/>
      </c>
      <c r="G217">
        <f>IF(ISNA(MATCH(208,'Transfer Engine'!$C$2:$C$630,0)),"",INDEX('Compliance Database'!$G$2:$G$630,MATCH(208,'Transfer Engine'!$C$2:$C$630,0)))</f>
        <v/>
      </c>
      <c r="H217">
        <f>IF(ISNA(MATCH(208,'Transfer Engine'!$C$2:$C$630,0)),"",INDEX('Compliance Database'!$H$2:$H$630,MATCH(208,'Transfer Engine'!$C$2:$C$630,0)))</f>
        <v/>
      </c>
      <c r="I217" s="8">
        <f>IF(ISNA(MATCH(208,'Transfer Engine'!$C$2:$C$630,0)),"",INDEX('Compliance Database'!$I$2:$I$630,MATCH(208,'Transfer Engine'!$C$2:$C$630,0)))</f>
        <v/>
      </c>
      <c r="J217" s="8">
        <f>IF(ISNA(MATCH(208,'Transfer Engine'!$C$2:$C$630,0)),"",INDEX('Compliance Database'!$J$2:$J$630,MATCH(208,'Transfer Engine'!$C$2:$C$630,0)))</f>
        <v/>
      </c>
      <c r="K217">
        <f>IF(ISNA(MATCH(208,'Transfer Engine'!$C$2:$C$630,0)),"",INDEX('Compliance Database'!$K$2:$K$630,MATCH(208,'Transfer Engine'!$C$2:$C$630,0)))</f>
        <v/>
      </c>
      <c r="L217" s="8">
        <f>IF(ISNA(MATCH(208,'Transfer Engine'!$C$2:$C$630,0)),"",INDEX('Compliance Database'!$L$2:$L$630,MATCH(208,'Transfer Engine'!$C$2:$C$630,0)))</f>
        <v/>
      </c>
      <c r="M217" s="8">
        <f>IF(ISNA(MATCH(208,'Transfer Engine'!$C$2:$C$630,0)),"",INDEX('Compliance Database'!$M$2:$M$630,MATCH(208,'Transfer Engine'!$C$2:$C$630,0)))</f>
        <v/>
      </c>
      <c r="N217" s="8">
        <f>IF(ISNA(MATCH(208,'Transfer Engine'!$C$2:$C$630,0)),"",INDEX('Compliance Database'!$N$2:$N$630,MATCH(208,'Transfer Engine'!$C$2:$C$630,0)))</f>
        <v/>
      </c>
      <c r="O217" s="8">
        <f>IF(ISNA(MATCH(208,'Transfer Engine'!$C$2:$C$630,0)),"",INDEX('Compliance Database'!$O$2:$O$630,MATCH(208,'Transfer Engine'!$C$2:$C$630,0)))</f>
        <v/>
      </c>
    </row>
    <row r="218">
      <c r="A218">
        <f>IF(ISNA(MATCH(209,'Transfer Engine'!$C$2:$C$630,0)),"",INDEX('Compliance Database'!$A$2:$A$630,MATCH(209,'Transfer Engine'!$C$2:$C$630,0)))</f>
        <v/>
      </c>
      <c r="B218">
        <f>IF(ISNA(MATCH(209,'Transfer Engine'!$C$2:$C$630,0)),"",INDEX('Compliance Database'!$B$2:$B$630,MATCH(209,'Transfer Engine'!$C$2:$C$630,0)))</f>
        <v/>
      </c>
      <c r="C218">
        <f>IF(ISNA(MATCH(209,'Transfer Engine'!$C$2:$C$630,0)),"",INDEX('Compliance Database'!$C$2:$C$630,MATCH(209,'Transfer Engine'!$C$2:$C$630,0)))</f>
        <v/>
      </c>
      <c r="D218" s="8">
        <f>IF(ISNA(MATCH(209,'Transfer Engine'!$C$2:$C$630,0)),"",INDEX('Compliance Database'!$D$2:$D$630,MATCH(209,'Transfer Engine'!$C$2:$C$630,0)))</f>
        <v/>
      </c>
      <c r="E218">
        <f>IF(ISNA(MATCH(209,'Transfer Engine'!$C$2:$C$630,0)),"",INDEX('Compliance Database'!$E$2:$E$630,MATCH(209,'Transfer Engine'!$C$2:$C$630,0)))</f>
        <v/>
      </c>
      <c r="F218">
        <f>IF(ISNA(MATCH(209,'Transfer Engine'!$C$2:$C$630,0)),"",INDEX('Compliance Database'!$F$2:$F$630,MATCH(209,'Transfer Engine'!$C$2:$C$630,0)))</f>
        <v/>
      </c>
      <c r="G218">
        <f>IF(ISNA(MATCH(209,'Transfer Engine'!$C$2:$C$630,0)),"",INDEX('Compliance Database'!$G$2:$G$630,MATCH(209,'Transfer Engine'!$C$2:$C$630,0)))</f>
        <v/>
      </c>
      <c r="H218">
        <f>IF(ISNA(MATCH(209,'Transfer Engine'!$C$2:$C$630,0)),"",INDEX('Compliance Database'!$H$2:$H$630,MATCH(209,'Transfer Engine'!$C$2:$C$630,0)))</f>
        <v/>
      </c>
      <c r="I218" s="8">
        <f>IF(ISNA(MATCH(209,'Transfer Engine'!$C$2:$C$630,0)),"",INDEX('Compliance Database'!$I$2:$I$630,MATCH(209,'Transfer Engine'!$C$2:$C$630,0)))</f>
        <v/>
      </c>
      <c r="J218" s="8">
        <f>IF(ISNA(MATCH(209,'Transfer Engine'!$C$2:$C$630,0)),"",INDEX('Compliance Database'!$J$2:$J$630,MATCH(209,'Transfer Engine'!$C$2:$C$630,0)))</f>
        <v/>
      </c>
      <c r="K218">
        <f>IF(ISNA(MATCH(209,'Transfer Engine'!$C$2:$C$630,0)),"",INDEX('Compliance Database'!$K$2:$K$630,MATCH(209,'Transfer Engine'!$C$2:$C$630,0)))</f>
        <v/>
      </c>
      <c r="L218" s="8">
        <f>IF(ISNA(MATCH(209,'Transfer Engine'!$C$2:$C$630,0)),"",INDEX('Compliance Database'!$L$2:$L$630,MATCH(209,'Transfer Engine'!$C$2:$C$630,0)))</f>
        <v/>
      </c>
      <c r="M218" s="8">
        <f>IF(ISNA(MATCH(209,'Transfer Engine'!$C$2:$C$630,0)),"",INDEX('Compliance Database'!$M$2:$M$630,MATCH(209,'Transfer Engine'!$C$2:$C$630,0)))</f>
        <v/>
      </c>
      <c r="N218" s="8">
        <f>IF(ISNA(MATCH(209,'Transfer Engine'!$C$2:$C$630,0)),"",INDEX('Compliance Database'!$N$2:$N$630,MATCH(209,'Transfer Engine'!$C$2:$C$630,0)))</f>
        <v/>
      </c>
      <c r="O218" s="8">
        <f>IF(ISNA(MATCH(209,'Transfer Engine'!$C$2:$C$630,0)),"",INDEX('Compliance Database'!$O$2:$O$630,MATCH(209,'Transfer Engine'!$C$2:$C$630,0)))</f>
        <v/>
      </c>
    </row>
    <row r="219">
      <c r="A219">
        <f>IF(ISNA(MATCH(210,'Transfer Engine'!$C$2:$C$630,0)),"",INDEX('Compliance Database'!$A$2:$A$630,MATCH(210,'Transfer Engine'!$C$2:$C$630,0)))</f>
        <v/>
      </c>
      <c r="B219">
        <f>IF(ISNA(MATCH(210,'Transfer Engine'!$C$2:$C$630,0)),"",INDEX('Compliance Database'!$B$2:$B$630,MATCH(210,'Transfer Engine'!$C$2:$C$630,0)))</f>
        <v/>
      </c>
      <c r="C219">
        <f>IF(ISNA(MATCH(210,'Transfer Engine'!$C$2:$C$630,0)),"",INDEX('Compliance Database'!$C$2:$C$630,MATCH(210,'Transfer Engine'!$C$2:$C$630,0)))</f>
        <v/>
      </c>
      <c r="D219" s="8">
        <f>IF(ISNA(MATCH(210,'Transfer Engine'!$C$2:$C$630,0)),"",INDEX('Compliance Database'!$D$2:$D$630,MATCH(210,'Transfer Engine'!$C$2:$C$630,0)))</f>
        <v/>
      </c>
      <c r="E219">
        <f>IF(ISNA(MATCH(210,'Transfer Engine'!$C$2:$C$630,0)),"",INDEX('Compliance Database'!$E$2:$E$630,MATCH(210,'Transfer Engine'!$C$2:$C$630,0)))</f>
        <v/>
      </c>
      <c r="F219">
        <f>IF(ISNA(MATCH(210,'Transfer Engine'!$C$2:$C$630,0)),"",INDEX('Compliance Database'!$F$2:$F$630,MATCH(210,'Transfer Engine'!$C$2:$C$630,0)))</f>
        <v/>
      </c>
      <c r="G219">
        <f>IF(ISNA(MATCH(210,'Transfer Engine'!$C$2:$C$630,0)),"",INDEX('Compliance Database'!$G$2:$G$630,MATCH(210,'Transfer Engine'!$C$2:$C$630,0)))</f>
        <v/>
      </c>
      <c r="H219">
        <f>IF(ISNA(MATCH(210,'Transfer Engine'!$C$2:$C$630,0)),"",INDEX('Compliance Database'!$H$2:$H$630,MATCH(210,'Transfer Engine'!$C$2:$C$630,0)))</f>
        <v/>
      </c>
      <c r="I219" s="8">
        <f>IF(ISNA(MATCH(210,'Transfer Engine'!$C$2:$C$630,0)),"",INDEX('Compliance Database'!$I$2:$I$630,MATCH(210,'Transfer Engine'!$C$2:$C$630,0)))</f>
        <v/>
      </c>
      <c r="J219" s="8">
        <f>IF(ISNA(MATCH(210,'Transfer Engine'!$C$2:$C$630,0)),"",INDEX('Compliance Database'!$J$2:$J$630,MATCH(210,'Transfer Engine'!$C$2:$C$630,0)))</f>
        <v/>
      </c>
      <c r="K219">
        <f>IF(ISNA(MATCH(210,'Transfer Engine'!$C$2:$C$630,0)),"",INDEX('Compliance Database'!$K$2:$K$630,MATCH(210,'Transfer Engine'!$C$2:$C$630,0)))</f>
        <v/>
      </c>
      <c r="L219" s="8">
        <f>IF(ISNA(MATCH(210,'Transfer Engine'!$C$2:$C$630,0)),"",INDEX('Compliance Database'!$L$2:$L$630,MATCH(210,'Transfer Engine'!$C$2:$C$630,0)))</f>
        <v/>
      </c>
      <c r="M219" s="8">
        <f>IF(ISNA(MATCH(210,'Transfer Engine'!$C$2:$C$630,0)),"",INDEX('Compliance Database'!$M$2:$M$630,MATCH(210,'Transfer Engine'!$C$2:$C$630,0)))</f>
        <v/>
      </c>
      <c r="N219" s="8">
        <f>IF(ISNA(MATCH(210,'Transfer Engine'!$C$2:$C$630,0)),"",INDEX('Compliance Database'!$N$2:$N$630,MATCH(210,'Transfer Engine'!$C$2:$C$630,0)))</f>
        <v/>
      </c>
      <c r="O219" s="8">
        <f>IF(ISNA(MATCH(210,'Transfer Engine'!$C$2:$C$630,0)),"",INDEX('Compliance Database'!$O$2:$O$630,MATCH(210,'Transfer Engine'!$C$2:$C$630,0)))</f>
        <v/>
      </c>
    </row>
    <row r="220">
      <c r="A220">
        <f>IF(ISNA(MATCH(211,'Transfer Engine'!$C$2:$C$630,0)),"",INDEX('Compliance Database'!$A$2:$A$630,MATCH(211,'Transfer Engine'!$C$2:$C$630,0)))</f>
        <v/>
      </c>
      <c r="B220">
        <f>IF(ISNA(MATCH(211,'Transfer Engine'!$C$2:$C$630,0)),"",INDEX('Compliance Database'!$B$2:$B$630,MATCH(211,'Transfer Engine'!$C$2:$C$630,0)))</f>
        <v/>
      </c>
      <c r="C220">
        <f>IF(ISNA(MATCH(211,'Transfer Engine'!$C$2:$C$630,0)),"",INDEX('Compliance Database'!$C$2:$C$630,MATCH(211,'Transfer Engine'!$C$2:$C$630,0)))</f>
        <v/>
      </c>
      <c r="D220" s="8">
        <f>IF(ISNA(MATCH(211,'Transfer Engine'!$C$2:$C$630,0)),"",INDEX('Compliance Database'!$D$2:$D$630,MATCH(211,'Transfer Engine'!$C$2:$C$630,0)))</f>
        <v/>
      </c>
      <c r="E220">
        <f>IF(ISNA(MATCH(211,'Transfer Engine'!$C$2:$C$630,0)),"",INDEX('Compliance Database'!$E$2:$E$630,MATCH(211,'Transfer Engine'!$C$2:$C$630,0)))</f>
        <v/>
      </c>
      <c r="F220">
        <f>IF(ISNA(MATCH(211,'Transfer Engine'!$C$2:$C$630,0)),"",INDEX('Compliance Database'!$F$2:$F$630,MATCH(211,'Transfer Engine'!$C$2:$C$630,0)))</f>
        <v/>
      </c>
      <c r="G220">
        <f>IF(ISNA(MATCH(211,'Transfer Engine'!$C$2:$C$630,0)),"",INDEX('Compliance Database'!$G$2:$G$630,MATCH(211,'Transfer Engine'!$C$2:$C$630,0)))</f>
        <v/>
      </c>
      <c r="H220">
        <f>IF(ISNA(MATCH(211,'Transfer Engine'!$C$2:$C$630,0)),"",INDEX('Compliance Database'!$H$2:$H$630,MATCH(211,'Transfer Engine'!$C$2:$C$630,0)))</f>
        <v/>
      </c>
      <c r="I220" s="8">
        <f>IF(ISNA(MATCH(211,'Transfer Engine'!$C$2:$C$630,0)),"",INDEX('Compliance Database'!$I$2:$I$630,MATCH(211,'Transfer Engine'!$C$2:$C$630,0)))</f>
        <v/>
      </c>
      <c r="J220" s="8">
        <f>IF(ISNA(MATCH(211,'Transfer Engine'!$C$2:$C$630,0)),"",INDEX('Compliance Database'!$J$2:$J$630,MATCH(211,'Transfer Engine'!$C$2:$C$630,0)))</f>
        <v/>
      </c>
      <c r="K220">
        <f>IF(ISNA(MATCH(211,'Transfer Engine'!$C$2:$C$630,0)),"",INDEX('Compliance Database'!$K$2:$K$630,MATCH(211,'Transfer Engine'!$C$2:$C$630,0)))</f>
        <v/>
      </c>
      <c r="L220" s="8">
        <f>IF(ISNA(MATCH(211,'Transfer Engine'!$C$2:$C$630,0)),"",INDEX('Compliance Database'!$L$2:$L$630,MATCH(211,'Transfer Engine'!$C$2:$C$630,0)))</f>
        <v/>
      </c>
      <c r="M220" s="8">
        <f>IF(ISNA(MATCH(211,'Transfer Engine'!$C$2:$C$630,0)),"",INDEX('Compliance Database'!$M$2:$M$630,MATCH(211,'Transfer Engine'!$C$2:$C$630,0)))</f>
        <v/>
      </c>
      <c r="N220" s="8">
        <f>IF(ISNA(MATCH(211,'Transfer Engine'!$C$2:$C$630,0)),"",INDEX('Compliance Database'!$N$2:$N$630,MATCH(211,'Transfer Engine'!$C$2:$C$630,0)))</f>
        <v/>
      </c>
      <c r="O220" s="8">
        <f>IF(ISNA(MATCH(211,'Transfer Engine'!$C$2:$C$630,0)),"",INDEX('Compliance Database'!$O$2:$O$630,MATCH(211,'Transfer Engine'!$C$2:$C$630,0)))</f>
        <v/>
      </c>
    </row>
    <row r="221">
      <c r="A221">
        <f>IF(ISNA(MATCH(212,'Transfer Engine'!$C$2:$C$630,0)),"",INDEX('Compliance Database'!$A$2:$A$630,MATCH(212,'Transfer Engine'!$C$2:$C$630,0)))</f>
        <v/>
      </c>
      <c r="B221">
        <f>IF(ISNA(MATCH(212,'Transfer Engine'!$C$2:$C$630,0)),"",INDEX('Compliance Database'!$B$2:$B$630,MATCH(212,'Transfer Engine'!$C$2:$C$630,0)))</f>
        <v/>
      </c>
      <c r="C221">
        <f>IF(ISNA(MATCH(212,'Transfer Engine'!$C$2:$C$630,0)),"",INDEX('Compliance Database'!$C$2:$C$630,MATCH(212,'Transfer Engine'!$C$2:$C$630,0)))</f>
        <v/>
      </c>
      <c r="D221" s="8">
        <f>IF(ISNA(MATCH(212,'Transfer Engine'!$C$2:$C$630,0)),"",INDEX('Compliance Database'!$D$2:$D$630,MATCH(212,'Transfer Engine'!$C$2:$C$630,0)))</f>
        <v/>
      </c>
      <c r="E221">
        <f>IF(ISNA(MATCH(212,'Transfer Engine'!$C$2:$C$630,0)),"",INDEX('Compliance Database'!$E$2:$E$630,MATCH(212,'Transfer Engine'!$C$2:$C$630,0)))</f>
        <v/>
      </c>
      <c r="F221">
        <f>IF(ISNA(MATCH(212,'Transfer Engine'!$C$2:$C$630,0)),"",INDEX('Compliance Database'!$F$2:$F$630,MATCH(212,'Transfer Engine'!$C$2:$C$630,0)))</f>
        <v/>
      </c>
      <c r="G221">
        <f>IF(ISNA(MATCH(212,'Transfer Engine'!$C$2:$C$630,0)),"",INDEX('Compliance Database'!$G$2:$G$630,MATCH(212,'Transfer Engine'!$C$2:$C$630,0)))</f>
        <v/>
      </c>
      <c r="H221">
        <f>IF(ISNA(MATCH(212,'Transfer Engine'!$C$2:$C$630,0)),"",INDEX('Compliance Database'!$H$2:$H$630,MATCH(212,'Transfer Engine'!$C$2:$C$630,0)))</f>
        <v/>
      </c>
      <c r="I221" s="8">
        <f>IF(ISNA(MATCH(212,'Transfer Engine'!$C$2:$C$630,0)),"",INDEX('Compliance Database'!$I$2:$I$630,MATCH(212,'Transfer Engine'!$C$2:$C$630,0)))</f>
        <v/>
      </c>
      <c r="J221" s="8">
        <f>IF(ISNA(MATCH(212,'Transfer Engine'!$C$2:$C$630,0)),"",INDEX('Compliance Database'!$J$2:$J$630,MATCH(212,'Transfer Engine'!$C$2:$C$630,0)))</f>
        <v/>
      </c>
      <c r="K221">
        <f>IF(ISNA(MATCH(212,'Transfer Engine'!$C$2:$C$630,0)),"",INDEX('Compliance Database'!$K$2:$K$630,MATCH(212,'Transfer Engine'!$C$2:$C$630,0)))</f>
        <v/>
      </c>
      <c r="L221" s="8">
        <f>IF(ISNA(MATCH(212,'Transfer Engine'!$C$2:$C$630,0)),"",INDEX('Compliance Database'!$L$2:$L$630,MATCH(212,'Transfer Engine'!$C$2:$C$630,0)))</f>
        <v/>
      </c>
      <c r="M221" s="8">
        <f>IF(ISNA(MATCH(212,'Transfer Engine'!$C$2:$C$630,0)),"",INDEX('Compliance Database'!$M$2:$M$630,MATCH(212,'Transfer Engine'!$C$2:$C$630,0)))</f>
        <v/>
      </c>
      <c r="N221" s="8">
        <f>IF(ISNA(MATCH(212,'Transfer Engine'!$C$2:$C$630,0)),"",INDEX('Compliance Database'!$N$2:$N$630,MATCH(212,'Transfer Engine'!$C$2:$C$630,0)))</f>
        <v/>
      </c>
      <c r="O221" s="8">
        <f>IF(ISNA(MATCH(212,'Transfer Engine'!$C$2:$C$630,0)),"",INDEX('Compliance Database'!$O$2:$O$630,MATCH(212,'Transfer Engine'!$C$2:$C$630,0)))</f>
        <v/>
      </c>
    </row>
    <row r="222">
      <c r="A222">
        <f>IF(ISNA(MATCH(213,'Transfer Engine'!$C$2:$C$630,0)),"",INDEX('Compliance Database'!$A$2:$A$630,MATCH(213,'Transfer Engine'!$C$2:$C$630,0)))</f>
        <v/>
      </c>
      <c r="B222">
        <f>IF(ISNA(MATCH(213,'Transfer Engine'!$C$2:$C$630,0)),"",INDEX('Compliance Database'!$B$2:$B$630,MATCH(213,'Transfer Engine'!$C$2:$C$630,0)))</f>
        <v/>
      </c>
      <c r="C222">
        <f>IF(ISNA(MATCH(213,'Transfer Engine'!$C$2:$C$630,0)),"",INDEX('Compliance Database'!$C$2:$C$630,MATCH(213,'Transfer Engine'!$C$2:$C$630,0)))</f>
        <v/>
      </c>
      <c r="D222" s="8">
        <f>IF(ISNA(MATCH(213,'Transfer Engine'!$C$2:$C$630,0)),"",INDEX('Compliance Database'!$D$2:$D$630,MATCH(213,'Transfer Engine'!$C$2:$C$630,0)))</f>
        <v/>
      </c>
      <c r="E222">
        <f>IF(ISNA(MATCH(213,'Transfer Engine'!$C$2:$C$630,0)),"",INDEX('Compliance Database'!$E$2:$E$630,MATCH(213,'Transfer Engine'!$C$2:$C$630,0)))</f>
        <v/>
      </c>
      <c r="F222">
        <f>IF(ISNA(MATCH(213,'Transfer Engine'!$C$2:$C$630,0)),"",INDEX('Compliance Database'!$F$2:$F$630,MATCH(213,'Transfer Engine'!$C$2:$C$630,0)))</f>
        <v/>
      </c>
      <c r="G222">
        <f>IF(ISNA(MATCH(213,'Transfer Engine'!$C$2:$C$630,0)),"",INDEX('Compliance Database'!$G$2:$G$630,MATCH(213,'Transfer Engine'!$C$2:$C$630,0)))</f>
        <v/>
      </c>
      <c r="H222">
        <f>IF(ISNA(MATCH(213,'Transfer Engine'!$C$2:$C$630,0)),"",INDEX('Compliance Database'!$H$2:$H$630,MATCH(213,'Transfer Engine'!$C$2:$C$630,0)))</f>
        <v/>
      </c>
      <c r="I222" s="8">
        <f>IF(ISNA(MATCH(213,'Transfer Engine'!$C$2:$C$630,0)),"",INDEX('Compliance Database'!$I$2:$I$630,MATCH(213,'Transfer Engine'!$C$2:$C$630,0)))</f>
        <v/>
      </c>
      <c r="J222" s="8">
        <f>IF(ISNA(MATCH(213,'Transfer Engine'!$C$2:$C$630,0)),"",INDEX('Compliance Database'!$J$2:$J$630,MATCH(213,'Transfer Engine'!$C$2:$C$630,0)))</f>
        <v/>
      </c>
      <c r="K222">
        <f>IF(ISNA(MATCH(213,'Transfer Engine'!$C$2:$C$630,0)),"",INDEX('Compliance Database'!$K$2:$K$630,MATCH(213,'Transfer Engine'!$C$2:$C$630,0)))</f>
        <v/>
      </c>
      <c r="L222" s="8">
        <f>IF(ISNA(MATCH(213,'Transfer Engine'!$C$2:$C$630,0)),"",INDEX('Compliance Database'!$L$2:$L$630,MATCH(213,'Transfer Engine'!$C$2:$C$630,0)))</f>
        <v/>
      </c>
      <c r="M222" s="8">
        <f>IF(ISNA(MATCH(213,'Transfer Engine'!$C$2:$C$630,0)),"",INDEX('Compliance Database'!$M$2:$M$630,MATCH(213,'Transfer Engine'!$C$2:$C$630,0)))</f>
        <v/>
      </c>
      <c r="N222" s="8">
        <f>IF(ISNA(MATCH(213,'Transfer Engine'!$C$2:$C$630,0)),"",INDEX('Compliance Database'!$N$2:$N$630,MATCH(213,'Transfer Engine'!$C$2:$C$630,0)))</f>
        <v/>
      </c>
      <c r="O222" s="8">
        <f>IF(ISNA(MATCH(213,'Transfer Engine'!$C$2:$C$630,0)),"",INDEX('Compliance Database'!$O$2:$O$630,MATCH(213,'Transfer Engine'!$C$2:$C$630,0)))</f>
        <v/>
      </c>
    </row>
    <row r="223">
      <c r="A223">
        <f>IF(ISNA(MATCH(214,'Transfer Engine'!$C$2:$C$630,0)),"",INDEX('Compliance Database'!$A$2:$A$630,MATCH(214,'Transfer Engine'!$C$2:$C$630,0)))</f>
        <v/>
      </c>
      <c r="B223">
        <f>IF(ISNA(MATCH(214,'Transfer Engine'!$C$2:$C$630,0)),"",INDEX('Compliance Database'!$B$2:$B$630,MATCH(214,'Transfer Engine'!$C$2:$C$630,0)))</f>
        <v/>
      </c>
      <c r="C223">
        <f>IF(ISNA(MATCH(214,'Transfer Engine'!$C$2:$C$630,0)),"",INDEX('Compliance Database'!$C$2:$C$630,MATCH(214,'Transfer Engine'!$C$2:$C$630,0)))</f>
        <v/>
      </c>
      <c r="D223" s="8">
        <f>IF(ISNA(MATCH(214,'Transfer Engine'!$C$2:$C$630,0)),"",INDEX('Compliance Database'!$D$2:$D$630,MATCH(214,'Transfer Engine'!$C$2:$C$630,0)))</f>
        <v/>
      </c>
      <c r="E223">
        <f>IF(ISNA(MATCH(214,'Transfer Engine'!$C$2:$C$630,0)),"",INDEX('Compliance Database'!$E$2:$E$630,MATCH(214,'Transfer Engine'!$C$2:$C$630,0)))</f>
        <v/>
      </c>
      <c r="F223">
        <f>IF(ISNA(MATCH(214,'Transfer Engine'!$C$2:$C$630,0)),"",INDEX('Compliance Database'!$F$2:$F$630,MATCH(214,'Transfer Engine'!$C$2:$C$630,0)))</f>
        <v/>
      </c>
      <c r="G223">
        <f>IF(ISNA(MATCH(214,'Transfer Engine'!$C$2:$C$630,0)),"",INDEX('Compliance Database'!$G$2:$G$630,MATCH(214,'Transfer Engine'!$C$2:$C$630,0)))</f>
        <v/>
      </c>
      <c r="H223">
        <f>IF(ISNA(MATCH(214,'Transfer Engine'!$C$2:$C$630,0)),"",INDEX('Compliance Database'!$H$2:$H$630,MATCH(214,'Transfer Engine'!$C$2:$C$630,0)))</f>
        <v/>
      </c>
      <c r="I223" s="8">
        <f>IF(ISNA(MATCH(214,'Transfer Engine'!$C$2:$C$630,0)),"",INDEX('Compliance Database'!$I$2:$I$630,MATCH(214,'Transfer Engine'!$C$2:$C$630,0)))</f>
        <v/>
      </c>
      <c r="J223" s="8">
        <f>IF(ISNA(MATCH(214,'Transfer Engine'!$C$2:$C$630,0)),"",INDEX('Compliance Database'!$J$2:$J$630,MATCH(214,'Transfer Engine'!$C$2:$C$630,0)))</f>
        <v/>
      </c>
      <c r="K223">
        <f>IF(ISNA(MATCH(214,'Transfer Engine'!$C$2:$C$630,0)),"",INDEX('Compliance Database'!$K$2:$K$630,MATCH(214,'Transfer Engine'!$C$2:$C$630,0)))</f>
        <v/>
      </c>
      <c r="L223" s="8">
        <f>IF(ISNA(MATCH(214,'Transfer Engine'!$C$2:$C$630,0)),"",INDEX('Compliance Database'!$L$2:$L$630,MATCH(214,'Transfer Engine'!$C$2:$C$630,0)))</f>
        <v/>
      </c>
      <c r="M223" s="8">
        <f>IF(ISNA(MATCH(214,'Transfer Engine'!$C$2:$C$630,0)),"",INDEX('Compliance Database'!$M$2:$M$630,MATCH(214,'Transfer Engine'!$C$2:$C$630,0)))</f>
        <v/>
      </c>
      <c r="N223" s="8">
        <f>IF(ISNA(MATCH(214,'Transfer Engine'!$C$2:$C$630,0)),"",INDEX('Compliance Database'!$N$2:$N$630,MATCH(214,'Transfer Engine'!$C$2:$C$630,0)))</f>
        <v/>
      </c>
      <c r="O223" s="8">
        <f>IF(ISNA(MATCH(214,'Transfer Engine'!$C$2:$C$630,0)),"",INDEX('Compliance Database'!$O$2:$O$630,MATCH(214,'Transfer Engine'!$C$2:$C$630,0)))</f>
        <v/>
      </c>
    </row>
    <row r="224">
      <c r="A224">
        <f>IF(ISNA(MATCH(215,'Transfer Engine'!$C$2:$C$630,0)),"",INDEX('Compliance Database'!$A$2:$A$630,MATCH(215,'Transfer Engine'!$C$2:$C$630,0)))</f>
        <v/>
      </c>
      <c r="B224">
        <f>IF(ISNA(MATCH(215,'Transfer Engine'!$C$2:$C$630,0)),"",INDEX('Compliance Database'!$B$2:$B$630,MATCH(215,'Transfer Engine'!$C$2:$C$630,0)))</f>
        <v/>
      </c>
      <c r="C224">
        <f>IF(ISNA(MATCH(215,'Transfer Engine'!$C$2:$C$630,0)),"",INDEX('Compliance Database'!$C$2:$C$630,MATCH(215,'Transfer Engine'!$C$2:$C$630,0)))</f>
        <v/>
      </c>
      <c r="D224" s="8">
        <f>IF(ISNA(MATCH(215,'Transfer Engine'!$C$2:$C$630,0)),"",INDEX('Compliance Database'!$D$2:$D$630,MATCH(215,'Transfer Engine'!$C$2:$C$630,0)))</f>
        <v/>
      </c>
      <c r="E224">
        <f>IF(ISNA(MATCH(215,'Transfer Engine'!$C$2:$C$630,0)),"",INDEX('Compliance Database'!$E$2:$E$630,MATCH(215,'Transfer Engine'!$C$2:$C$630,0)))</f>
        <v/>
      </c>
      <c r="F224">
        <f>IF(ISNA(MATCH(215,'Transfer Engine'!$C$2:$C$630,0)),"",INDEX('Compliance Database'!$F$2:$F$630,MATCH(215,'Transfer Engine'!$C$2:$C$630,0)))</f>
        <v/>
      </c>
      <c r="G224">
        <f>IF(ISNA(MATCH(215,'Transfer Engine'!$C$2:$C$630,0)),"",INDEX('Compliance Database'!$G$2:$G$630,MATCH(215,'Transfer Engine'!$C$2:$C$630,0)))</f>
        <v/>
      </c>
      <c r="H224">
        <f>IF(ISNA(MATCH(215,'Transfer Engine'!$C$2:$C$630,0)),"",INDEX('Compliance Database'!$H$2:$H$630,MATCH(215,'Transfer Engine'!$C$2:$C$630,0)))</f>
        <v/>
      </c>
      <c r="I224" s="8">
        <f>IF(ISNA(MATCH(215,'Transfer Engine'!$C$2:$C$630,0)),"",INDEX('Compliance Database'!$I$2:$I$630,MATCH(215,'Transfer Engine'!$C$2:$C$630,0)))</f>
        <v/>
      </c>
      <c r="J224" s="8">
        <f>IF(ISNA(MATCH(215,'Transfer Engine'!$C$2:$C$630,0)),"",INDEX('Compliance Database'!$J$2:$J$630,MATCH(215,'Transfer Engine'!$C$2:$C$630,0)))</f>
        <v/>
      </c>
      <c r="K224">
        <f>IF(ISNA(MATCH(215,'Transfer Engine'!$C$2:$C$630,0)),"",INDEX('Compliance Database'!$K$2:$K$630,MATCH(215,'Transfer Engine'!$C$2:$C$630,0)))</f>
        <v/>
      </c>
      <c r="L224" s="8">
        <f>IF(ISNA(MATCH(215,'Transfer Engine'!$C$2:$C$630,0)),"",INDEX('Compliance Database'!$L$2:$L$630,MATCH(215,'Transfer Engine'!$C$2:$C$630,0)))</f>
        <v/>
      </c>
      <c r="M224" s="8">
        <f>IF(ISNA(MATCH(215,'Transfer Engine'!$C$2:$C$630,0)),"",INDEX('Compliance Database'!$M$2:$M$630,MATCH(215,'Transfer Engine'!$C$2:$C$630,0)))</f>
        <v/>
      </c>
      <c r="N224" s="8">
        <f>IF(ISNA(MATCH(215,'Transfer Engine'!$C$2:$C$630,0)),"",INDEX('Compliance Database'!$N$2:$N$630,MATCH(215,'Transfer Engine'!$C$2:$C$630,0)))</f>
        <v/>
      </c>
      <c r="O224" s="8">
        <f>IF(ISNA(MATCH(215,'Transfer Engine'!$C$2:$C$630,0)),"",INDEX('Compliance Database'!$O$2:$O$630,MATCH(215,'Transfer Engine'!$C$2:$C$630,0)))</f>
        <v/>
      </c>
    </row>
    <row r="225">
      <c r="A225">
        <f>IF(ISNA(MATCH(216,'Transfer Engine'!$C$2:$C$630,0)),"",INDEX('Compliance Database'!$A$2:$A$630,MATCH(216,'Transfer Engine'!$C$2:$C$630,0)))</f>
        <v/>
      </c>
      <c r="B225">
        <f>IF(ISNA(MATCH(216,'Transfer Engine'!$C$2:$C$630,0)),"",INDEX('Compliance Database'!$B$2:$B$630,MATCH(216,'Transfer Engine'!$C$2:$C$630,0)))</f>
        <v/>
      </c>
      <c r="C225">
        <f>IF(ISNA(MATCH(216,'Transfer Engine'!$C$2:$C$630,0)),"",INDEX('Compliance Database'!$C$2:$C$630,MATCH(216,'Transfer Engine'!$C$2:$C$630,0)))</f>
        <v/>
      </c>
      <c r="D225" s="8">
        <f>IF(ISNA(MATCH(216,'Transfer Engine'!$C$2:$C$630,0)),"",INDEX('Compliance Database'!$D$2:$D$630,MATCH(216,'Transfer Engine'!$C$2:$C$630,0)))</f>
        <v/>
      </c>
      <c r="E225">
        <f>IF(ISNA(MATCH(216,'Transfer Engine'!$C$2:$C$630,0)),"",INDEX('Compliance Database'!$E$2:$E$630,MATCH(216,'Transfer Engine'!$C$2:$C$630,0)))</f>
        <v/>
      </c>
      <c r="F225">
        <f>IF(ISNA(MATCH(216,'Transfer Engine'!$C$2:$C$630,0)),"",INDEX('Compliance Database'!$F$2:$F$630,MATCH(216,'Transfer Engine'!$C$2:$C$630,0)))</f>
        <v/>
      </c>
      <c r="G225">
        <f>IF(ISNA(MATCH(216,'Transfer Engine'!$C$2:$C$630,0)),"",INDEX('Compliance Database'!$G$2:$G$630,MATCH(216,'Transfer Engine'!$C$2:$C$630,0)))</f>
        <v/>
      </c>
      <c r="H225">
        <f>IF(ISNA(MATCH(216,'Transfer Engine'!$C$2:$C$630,0)),"",INDEX('Compliance Database'!$H$2:$H$630,MATCH(216,'Transfer Engine'!$C$2:$C$630,0)))</f>
        <v/>
      </c>
      <c r="I225" s="8">
        <f>IF(ISNA(MATCH(216,'Transfer Engine'!$C$2:$C$630,0)),"",INDEX('Compliance Database'!$I$2:$I$630,MATCH(216,'Transfer Engine'!$C$2:$C$630,0)))</f>
        <v/>
      </c>
      <c r="J225" s="8">
        <f>IF(ISNA(MATCH(216,'Transfer Engine'!$C$2:$C$630,0)),"",INDEX('Compliance Database'!$J$2:$J$630,MATCH(216,'Transfer Engine'!$C$2:$C$630,0)))</f>
        <v/>
      </c>
      <c r="K225">
        <f>IF(ISNA(MATCH(216,'Transfer Engine'!$C$2:$C$630,0)),"",INDEX('Compliance Database'!$K$2:$K$630,MATCH(216,'Transfer Engine'!$C$2:$C$630,0)))</f>
        <v/>
      </c>
      <c r="L225" s="8">
        <f>IF(ISNA(MATCH(216,'Transfer Engine'!$C$2:$C$630,0)),"",INDEX('Compliance Database'!$L$2:$L$630,MATCH(216,'Transfer Engine'!$C$2:$C$630,0)))</f>
        <v/>
      </c>
      <c r="M225" s="8">
        <f>IF(ISNA(MATCH(216,'Transfer Engine'!$C$2:$C$630,0)),"",INDEX('Compliance Database'!$M$2:$M$630,MATCH(216,'Transfer Engine'!$C$2:$C$630,0)))</f>
        <v/>
      </c>
      <c r="N225" s="8">
        <f>IF(ISNA(MATCH(216,'Transfer Engine'!$C$2:$C$630,0)),"",INDEX('Compliance Database'!$N$2:$N$630,MATCH(216,'Transfer Engine'!$C$2:$C$630,0)))</f>
        <v/>
      </c>
      <c r="O225" s="8">
        <f>IF(ISNA(MATCH(216,'Transfer Engine'!$C$2:$C$630,0)),"",INDEX('Compliance Database'!$O$2:$O$630,MATCH(216,'Transfer Engine'!$C$2:$C$630,0)))</f>
        <v/>
      </c>
    </row>
    <row r="226">
      <c r="A226">
        <f>IF(ISNA(MATCH(217,'Transfer Engine'!$C$2:$C$630,0)),"",INDEX('Compliance Database'!$A$2:$A$630,MATCH(217,'Transfer Engine'!$C$2:$C$630,0)))</f>
        <v/>
      </c>
      <c r="B226">
        <f>IF(ISNA(MATCH(217,'Transfer Engine'!$C$2:$C$630,0)),"",INDEX('Compliance Database'!$B$2:$B$630,MATCH(217,'Transfer Engine'!$C$2:$C$630,0)))</f>
        <v/>
      </c>
      <c r="C226">
        <f>IF(ISNA(MATCH(217,'Transfer Engine'!$C$2:$C$630,0)),"",INDEX('Compliance Database'!$C$2:$C$630,MATCH(217,'Transfer Engine'!$C$2:$C$630,0)))</f>
        <v/>
      </c>
      <c r="D226" s="8">
        <f>IF(ISNA(MATCH(217,'Transfer Engine'!$C$2:$C$630,0)),"",INDEX('Compliance Database'!$D$2:$D$630,MATCH(217,'Transfer Engine'!$C$2:$C$630,0)))</f>
        <v/>
      </c>
      <c r="E226">
        <f>IF(ISNA(MATCH(217,'Transfer Engine'!$C$2:$C$630,0)),"",INDEX('Compliance Database'!$E$2:$E$630,MATCH(217,'Transfer Engine'!$C$2:$C$630,0)))</f>
        <v/>
      </c>
      <c r="F226">
        <f>IF(ISNA(MATCH(217,'Transfer Engine'!$C$2:$C$630,0)),"",INDEX('Compliance Database'!$F$2:$F$630,MATCH(217,'Transfer Engine'!$C$2:$C$630,0)))</f>
        <v/>
      </c>
      <c r="G226">
        <f>IF(ISNA(MATCH(217,'Transfer Engine'!$C$2:$C$630,0)),"",INDEX('Compliance Database'!$G$2:$G$630,MATCH(217,'Transfer Engine'!$C$2:$C$630,0)))</f>
        <v/>
      </c>
      <c r="H226">
        <f>IF(ISNA(MATCH(217,'Transfer Engine'!$C$2:$C$630,0)),"",INDEX('Compliance Database'!$H$2:$H$630,MATCH(217,'Transfer Engine'!$C$2:$C$630,0)))</f>
        <v/>
      </c>
      <c r="I226" s="8">
        <f>IF(ISNA(MATCH(217,'Transfer Engine'!$C$2:$C$630,0)),"",INDEX('Compliance Database'!$I$2:$I$630,MATCH(217,'Transfer Engine'!$C$2:$C$630,0)))</f>
        <v/>
      </c>
      <c r="J226" s="8">
        <f>IF(ISNA(MATCH(217,'Transfer Engine'!$C$2:$C$630,0)),"",INDEX('Compliance Database'!$J$2:$J$630,MATCH(217,'Transfer Engine'!$C$2:$C$630,0)))</f>
        <v/>
      </c>
      <c r="K226">
        <f>IF(ISNA(MATCH(217,'Transfer Engine'!$C$2:$C$630,0)),"",INDEX('Compliance Database'!$K$2:$K$630,MATCH(217,'Transfer Engine'!$C$2:$C$630,0)))</f>
        <v/>
      </c>
      <c r="L226" s="8">
        <f>IF(ISNA(MATCH(217,'Transfer Engine'!$C$2:$C$630,0)),"",INDEX('Compliance Database'!$L$2:$L$630,MATCH(217,'Transfer Engine'!$C$2:$C$630,0)))</f>
        <v/>
      </c>
      <c r="M226" s="8">
        <f>IF(ISNA(MATCH(217,'Transfer Engine'!$C$2:$C$630,0)),"",INDEX('Compliance Database'!$M$2:$M$630,MATCH(217,'Transfer Engine'!$C$2:$C$630,0)))</f>
        <v/>
      </c>
      <c r="N226" s="8">
        <f>IF(ISNA(MATCH(217,'Transfer Engine'!$C$2:$C$630,0)),"",INDEX('Compliance Database'!$N$2:$N$630,MATCH(217,'Transfer Engine'!$C$2:$C$630,0)))</f>
        <v/>
      </c>
      <c r="O226" s="8">
        <f>IF(ISNA(MATCH(217,'Transfer Engine'!$C$2:$C$630,0)),"",INDEX('Compliance Database'!$O$2:$O$630,MATCH(217,'Transfer Engine'!$C$2:$C$630,0)))</f>
        <v/>
      </c>
    </row>
    <row r="227">
      <c r="A227">
        <f>IF(ISNA(MATCH(218,'Transfer Engine'!$C$2:$C$630,0)),"",INDEX('Compliance Database'!$A$2:$A$630,MATCH(218,'Transfer Engine'!$C$2:$C$630,0)))</f>
        <v/>
      </c>
      <c r="B227">
        <f>IF(ISNA(MATCH(218,'Transfer Engine'!$C$2:$C$630,0)),"",INDEX('Compliance Database'!$B$2:$B$630,MATCH(218,'Transfer Engine'!$C$2:$C$630,0)))</f>
        <v/>
      </c>
      <c r="C227">
        <f>IF(ISNA(MATCH(218,'Transfer Engine'!$C$2:$C$630,0)),"",INDEX('Compliance Database'!$C$2:$C$630,MATCH(218,'Transfer Engine'!$C$2:$C$630,0)))</f>
        <v/>
      </c>
      <c r="D227" s="8">
        <f>IF(ISNA(MATCH(218,'Transfer Engine'!$C$2:$C$630,0)),"",INDEX('Compliance Database'!$D$2:$D$630,MATCH(218,'Transfer Engine'!$C$2:$C$630,0)))</f>
        <v/>
      </c>
      <c r="E227">
        <f>IF(ISNA(MATCH(218,'Transfer Engine'!$C$2:$C$630,0)),"",INDEX('Compliance Database'!$E$2:$E$630,MATCH(218,'Transfer Engine'!$C$2:$C$630,0)))</f>
        <v/>
      </c>
      <c r="F227">
        <f>IF(ISNA(MATCH(218,'Transfer Engine'!$C$2:$C$630,0)),"",INDEX('Compliance Database'!$F$2:$F$630,MATCH(218,'Transfer Engine'!$C$2:$C$630,0)))</f>
        <v/>
      </c>
      <c r="G227">
        <f>IF(ISNA(MATCH(218,'Transfer Engine'!$C$2:$C$630,0)),"",INDEX('Compliance Database'!$G$2:$G$630,MATCH(218,'Transfer Engine'!$C$2:$C$630,0)))</f>
        <v/>
      </c>
      <c r="H227">
        <f>IF(ISNA(MATCH(218,'Transfer Engine'!$C$2:$C$630,0)),"",INDEX('Compliance Database'!$H$2:$H$630,MATCH(218,'Transfer Engine'!$C$2:$C$630,0)))</f>
        <v/>
      </c>
      <c r="I227" s="8">
        <f>IF(ISNA(MATCH(218,'Transfer Engine'!$C$2:$C$630,0)),"",INDEX('Compliance Database'!$I$2:$I$630,MATCH(218,'Transfer Engine'!$C$2:$C$630,0)))</f>
        <v/>
      </c>
      <c r="J227" s="8">
        <f>IF(ISNA(MATCH(218,'Transfer Engine'!$C$2:$C$630,0)),"",INDEX('Compliance Database'!$J$2:$J$630,MATCH(218,'Transfer Engine'!$C$2:$C$630,0)))</f>
        <v/>
      </c>
      <c r="K227">
        <f>IF(ISNA(MATCH(218,'Transfer Engine'!$C$2:$C$630,0)),"",INDEX('Compliance Database'!$K$2:$K$630,MATCH(218,'Transfer Engine'!$C$2:$C$630,0)))</f>
        <v/>
      </c>
      <c r="L227" s="8">
        <f>IF(ISNA(MATCH(218,'Transfer Engine'!$C$2:$C$630,0)),"",INDEX('Compliance Database'!$L$2:$L$630,MATCH(218,'Transfer Engine'!$C$2:$C$630,0)))</f>
        <v/>
      </c>
      <c r="M227" s="8">
        <f>IF(ISNA(MATCH(218,'Transfer Engine'!$C$2:$C$630,0)),"",INDEX('Compliance Database'!$M$2:$M$630,MATCH(218,'Transfer Engine'!$C$2:$C$630,0)))</f>
        <v/>
      </c>
      <c r="N227" s="8">
        <f>IF(ISNA(MATCH(218,'Transfer Engine'!$C$2:$C$630,0)),"",INDEX('Compliance Database'!$N$2:$N$630,MATCH(218,'Transfer Engine'!$C$2:$C$630,0)))</f>
        <v/>
      </c>
      <c r="O227" s="8">
        <f>IF(ISNA(MATCH(218,'Transfer Engine'!$C$2:$C$630,0)),"",INDEX('Compliance Database'!$O$2:$O$630,MATCH(218,'Transfer Engine'!$C$2:$C$630,0)))</f>
        <v/>
      </c>
    </row>
    <row r="228">
      <c r="A228">
        <f>IF(ISNA(MATCH(219,'Transfer Engine'!$C$2:$C$630,0)),"",INDEX('Compliance Database'!$A$2:$A$630,MATCH(219,'Transfer Engine'!$C$2:$C$630,0)))</f>
        <v/>
      </c>
      <c r="B228">
        <f>IF(ISNA(MATCH(219,'Transfer Engine'!$C$2:$C$630,0)),"",INDEX('Compliance Database'!$B$2:$B$630,MATCH(219,'Transfer Engine'!$C$2:$C$630,0)))</f>
        <v/>
      </c>
      <c r="C228">
        <f>IF(ISNA(MATCH(219,'Transfer Engine'!$C$2:$C$630,0)),"",INDEX('Compliance Database'!$C$2:$C$630,MATCH(219,'Transfer Engine'!$C$2:$C$630,0)))</f>
        <v/>
      </c>
      <c r="D228" s="8">
        <f>IF(ISNA(MATCH(219,'Transfer Engine'!$C$2:$C$630,0)),"",INDEX('Compliance Database'!$D$2:$D$630,MATCH(219,'Transfer Engine'!$C$2:$C$630,0)))</f>
        <v/>
      </c>
      <c r="E228">
        <f>IF(ISNA(MATCH(219,'Transfer Engine'!$C$2:$C$630,0)),"",INDEX('Compliance Database'!$E$2:$E$630,MATCH(219,'Transfer Engine'!$C$2:$C$630,0)))</f>
        <v/>
      </c>
      <c r="F228">
        <f>IF(ISNA(MATCH(219,'Transfer Engine'!$C$2:$C$630,0)),"",INDEX('Compliance Database'!$F$2:$F$630,MATCH(219,'Transfer Engine'!$C$2:$C$630,0)))</f>
        <v/>
      </c>
      <c r="G228">
        <f>IF(ISNA(MATCH(219,'Transfer Engine'!$C$2:$C$630,0)),"",INDEX('Compliance Database'!$G$2:$G$630,MATCH(219,'Transfer Engine'!$C$2:$C$630,0)))</f>
        <v/>
      </c>
      <c r="H228">
        <f>IF(ISNA(MATCH(219,'Transfer Engine'!$C$2:$C$630,0)),"",INDEX('Compliance Database'!$H$2:$H$630,MATCH(219,'Transfer Engine'!$C$2:$C$630,0)))</f>
        <v/>
      </c>
      <c r="I228" s="8">
        <f>IF(ISNA(MATCH(219,'Transfer Engine'!$C$2:$C$630,0)),"",INDEX('Compliance Database'!$I$2:$I$630,MATCH(219,'Transfer Engine'!$C$2:$C$630,0)))</f>
        <v/>
      </c>
      <c r="J228" s="8">
        <f>IF(ISNA(MATCH(219,'Transfer Engine'!$C$2:$C$630,0)),"",INDEX('Compliance Database'!$J$2:$J$630,MATCH(219,'Transfer Engine'!$C$2:$C$630,0)))</f>
        <v/>
      </c>
      <c r="K228">
        <f>IF(ISNA(MATCH(219,'Transfer Engine'!$C$2:$C$630,0)),"",INDEX('Compliance Database'!$K$2:$K$630,MATCH(219,'Transfer Engine'!$C$2:$C$630,0)))</f>
        <v/>
      </c>
      <c r="L228" s="8">
        <f>IF(ISNA(MATCH(219,'Transfer Engine'!$C$2:$C$630,0)),"",INDEX('Compliance Database'!$L$2:$L$630,MATCH(219,'Transfer Engine'!$C$2:$C$630,0)))</f>
        <v/>
      </c>
      <c r="M228" s="8">
        <f>IF(ISNA(MATCH(219,'Transfer Engine'!$C$2:$C$630,0)),"",INDEX('Compliance Database'!$M$2:$M$630,MATCH(219,'Transfer Engine'!$C$2:$C$630,0)))</f>
        <v/>
      </c>
      <c r="N228" s="8">
        <f>IF(ISNA(MATCH(219,'Transfer Engine'!$C$2:$C$630,0)),"",INDEX('Compliance Database'!$N$2:$N$630,MATCH(219,'Transfer Engine'!$C$2:$C$630,0)))</f>
        <v/>
      </c>
      <c r="O228" s="8">
        <f>IF(ISNA(MATCH(219,'Transfer Engine'!$C$2:$C$630,0)),"",INDEX('Compliance Database'!$O$2:$O$630,MATCH(219,'Transfer Engine'!$C$2:$C$630,0)))</f>
        <v/>
      </c>
    </row>
    <row r="229">
      <c r="A229">
        <f>IF(ISNA(MATCH(220,'Transfer Engine'!$C$2:$C$630,0)),"",INDEX('Compliance Database'!$A$2:$A$630,MATCH(220,'Transfer Engine'!$C$2:$C$630,0)))</f>
        <v/>
      </c>
      <c r="B229">
        <f>IF(ISNA(MATCH(220,'Transfer Engine'!$C$2:$C$630,0)),"",INDEX('Compliance Database'!$B$2:$B$630,MATCH(220,'Transfer Engine'!$C$2:$C$630,0)))</f>
        <v/>
      </c>
      <c r="C229">
        <f>IF(ISNA(MATCH(220,'Transfer Engine'!$C$2:$C$630,0)),"",INDEX('Compliance Database'!$C$2:$C$630,MATCH(220,'Transfer Engine'!$C$2:$C$630,0)))</f>
        <v/>
      </c>
      <c r="D229" s="8">
        <f>IF(ISNA(MATCH(220,'Transfer Engine'!$C$2:$C$630,0)),"",INDEX('Compliance Database'!$D$2:$D$630,MATCH(220,'Transfer Engine'!$C$2:$C$630,0)))</f>
        <v/>
      </c>
      <c r="E229">
        <f>IF(ISNA(MATCH(220,'Transfer Engine'!$C$2:$C$630,0)),"",INDEX('Compliance Database'!$E$2:$E$630,MATCH(220,'Transfer Engine'!$C$2:$C$630,0)))</f>
        <v/>
      </c>
      <c r="F229">
        <f>IF(ISNA(MATCH(220,'Transfer Engine'!$C$2:$C$630,0)),"",INDEX('Compliance Database'!$F$2:$F$630,MATCH(220,'Transfer Engine'!$C$2:$C$630,0)))</f>
        <v/>
      </c>
      <c r="G229">
        <f>IF(ISNA(MATCH(220,'Transfer Engine'!$C$2:$C$630,0)),"",INDEX('Compliance Database'!$G$2:$G$630,MATCH(220,'Transfer Engine'!$C$2:$C$630,0)))</f>
        <v/>
      </c>
      <c r="H229">
        <f>IF(ISNA(MATCH(220,'Transfer Engine'!$C$2:$C$630,0)),"",INDEX('Compliance Database'!$H$2:$H$630,MATCH(220,'Transfer Engine'!$C$2:$C$630,0)))</f>
        <v/>
      </c>
      <c r="I229" s="8">
        <f>IF(ISNA(MATCH(220,'Transfer Engine'!$C$2:$C$630,0)),"",INDEX('Compliance Database'!$I$2:$I$630,MATCH(220,'Transfer Engine'!$C$2:$C$630,0)))</f>
        <v/>
      </c>
      <c r="J229" s="8">
        <f>IF(ISNA(MATCH(220,'Transfer Engine'!$C$2:$C$630,0)),"",INDEX('Compliance Database'!$J$2:$J$630,MATCH(220,'Transfer Engine'!$C$2:$C$630,0)))</f>
        <v/>
      </c>
      <c r="K229">
        <f>IF(ISNA(MATCH(220,'Transfer Engine'!$C$2:$C$630,0)),"",INDEX('Compliance Database'!$K$2:$K$630,MATCH(220,'Transfer Engine'!$C$2:$C$630,0)))</f>
        <v/>
      </c>
      <c r="L229" s="8">
        <f>IF(ISNA(MATCH(220,'Transfer Engine'!$C$2:$C$630,0)),"",INDEX('Compliance Database'!$L$2:$L$630,MATCH(220,'Transfer Engine'!$C$2:$C$630,0)))</f>
        <v/>
      </c>
      <c r="M229" s="8">
        <f>IF(ISNA(MATCH(220,'Transfer Engine'!$C$2:$C$630,0)),"",INDEX('Compliance Database'!$M$2:$M$630,MATCH(220,'Transfer Engine'!$C$2:$C$630,0)))</f>
        <v/>
      </c>
      <c r="N229" s="8">
        <f>IF(ISNA(MATCH(220,'Transfer Engine'!$C$2:$C$630,0)),"",INDEX('Compliance Database'!$N$2:$N$630,MATCH(220,'Transfer Engine'!$C$2:$C$630,0)))</f>
        <v/>
      </c>
      <c r="O229" s="8">
        <f>IF(ISNA(MATCH(220,'Transfer Engine'!$C$2:$C$630,0)),"",INDEX('Compliance Database'!$O$2:$O$630,MATCH(220,'Transfer Engine'!$C$2:$C$630,0)))</f>
        <v/>
      </c>
    </row>
    <row r="230">
      <c r="A230">
        <f>IF(ISNA(MATCH(221,'Transfer Engine'!$C$2:$C$630,0)),"",INDEX('Compliance Database'!$A$2:$A$630,MATCH(221,'Transfer Engine'!$C$2:$C$630,0)))</f>
        <v/>
      </c>
      <c r="B230">
        <f>IF(ISNA(MATCH(221,'Transfer Engine'!$C$2:$C$630,0)),"",INDEX('Compliance Database'!$B$2:$B$630,MATCH(221,'Transfer Engine'!$C$2:$C$630,0)))</f>
        <v/>
      </c>
      <c r="C230">
        <f>IF(ISNA(MATCH(221,'Transfer Engine'!$C$2:$C$630,0)),"",INDEX('Compliance Database'!$C$2:$C$630,MATCH(221,'Transfer Engine'!$C$2:$C$630,0)))</f>
        <v/>
      </c>
      <c r="D230" s="8">
        <f>IF(ISNA(MATCH(221,'Transfer Engine'!$C$2:$C$630,0)),"",INDEX('Compliance Database'!$D$2:$D$630,MATCH(221,'Transfer Engine'!$C$2:$C$630,0)))</f>
        <v/>
      </c>
      <c r="E230">
        <f>IF(ISNA(MATCH(221,'Transfer Engine'!$C$2:$C$630,0)),"",INDEX('Compliance Database'!$E$2:$E$630,MATCH(221,'Transfer Engine'!$C$2:$C$630,0)))</f>
        <v/>
      </c>
      <c r="F230">
        <f>IF(ISNA(MATCH(221,'Transfer Engine'!$C$2:$C$630,0)),"",INDEX('Compliance Database'!$F$2:$F$630,MATCH(221,'Transfer Engine'!$C$2:$C$630,0)))</f>
        <v/>
      </c>
      <c r="G230">
        <f>IF(ISNA(MATCH(221,'Transfer Engine'!$C$2:$C$630,0)),"",INDEX('Compliance Database'!$G$2:$G$630,MATCH(221,'Transfer Engine'!$C$2:$C$630,0)))</f>
        <v/>
      </c>
      <c r="H230">
        <f>IF(ISNA(MATCH(221,'Transfer Engine'!$C$2:$C$630,0)),"",INDEX('Compliance Database'!$H$2:$H$630,MATCH(221,'Transfer Engine'!$C$2:$C$630,0)))</f>
        <v/>
      </c>
      <c r="I230" s="8">
        <f>IF(ISNA(MATCH(221,'Transfer Engine'!$C$2:$C$630,0)),"",INDEX('Compliance Database'!$I$2:$I$630,MATCH(221,'Transfer Engine'!$C$2:$C$630,0)))</f>
        <v/>
      </c>
      <c r="J230" s="8">
        <f>IF(ISNA(MATCH(221,'Transfer Engine'!$C$2:$C$630,0)),"",INDEX('Compliance Database'!$J$2:$J$630,MATCH(221,'Transfer Engine'!$C$2:$C$630,0)))</f>
        <v/>
      </c>
      <c r="K230">
        <f>IF(ISNA(MATCH(221,'Transfer Engine'!$C$2:$C$630,0)),"",INDEX('Compliance Database'!$K$2:$K$630,MATCH(221,'Transfer Engine'!$C$2:$C$630,0)))</f>
        <v/>
      </c>
      <c r="L230" s="8">
        <f>IF(ISNA(MATCH(221,'Transfer Engine'!$C$2:$C$630,0)),"",INDEX('Compliance Database'!$L$2:$L$630,MATCH(221,'Transfer Engine'!$C$2:$C$630,0)))</f>
        <v/>
      </c>
      <c r="M230" s="8">
        <f>IF(ISNA(MATCH(221,'Transfer Engine'!$C$2:$C$630,0)),"",INDEX('Compliance Database'!$M$2:$M$630,MATCH(221,'Transfer Engine'!$C$2:$C$630,0)))</f>
        <v/>
      </c>
      <c r="N230" s="8">
        <f>IF(ISNA(MATCH(221,'Transfer Engine'!$C$2:$C$630,0)),"",INDEX('Compliance Database'!$N$2:$N$630,MATCH(221,'Transfer Engine'!$C$2:$C$630,0)))</f>
        <v/>
      </c>
      <c r="O230" s="8">
        <f>IF(ISNA(MATCH(221,'Transfer Engine'!$C$2:$C$630,0)),"",INDEX('Compliance Database'!$O$2:$O$630,MATCH(221,'Transfer Engine'!$C$2:$C$630,0)))</f>
        <v/>
      </c>
    </row>
    <row r="231">
      <c r="A231">
        <f>IF(ISNA(MATCH(222,'Transfer Engine'!$C$2:$C$630,0)),"",INDEX('Compliance Database'!$A$2:$A$630,MATCH(222,'Transfer Engine'!$C$2:$C$630,0)))</f>
        <v/>
      </c>
      <c r="B231">
        <f>IF(ISNA(MATCH(222,'Transfer Engine'!$C$2:$C$630,0)),"",INDEX('Compliance Database'!$B$2:$B$630,MATCH(222,'Transfer Engine'!$C$2:$C$630,0)))</f>
        <v/>
      </c>
      <c r="C231">
        <f>IF(ISNA(MATCH(222,'Transfer Engine'!$C$2:$C$630,0)),"",INDEX('Compliance Database'!$C$2:$C$630,MATCH(222,'Transfer Engine'!$C$2:$C$630,0)))</f>
        <v/>
      </c>
      <c r="D231" s="8">
        <f>IF(ISNA(MATCH(222,'Transfer Engine'!$C$2:$C$630,0)),"",INDEX('Compliance Database'!$D$2:$D$630,MATCH(222,'Transfer Engine'!$C$2:$C$630,0)))</f>
        <v/>
      </c>
      <c r="E231">
        <f>IF(ISNA(MATCH(222,'Transfer Engine'!$C$2:$C$630,0)),"",INDEX('Compliance Database'!$E$2:$E$630,MATCH(222,'Transfer Engine'!$C$2:$C$630,0)))</f>
        <v/>
      </c>
      <c r="F231">
        <f>IF(ISNA(MATCH(222,'Transfer Engine'!$C$2:$C$630,0)),"",INDEX('Compliance Database'!$F$2:$F$630,MATCH(222,'Transfer Engine'!$C$2:$C$630,0)))</f>
        <v/>
      </c>
      <c r="G231">
        <f>IF(ISNA(MATCH(222,'Transfer Engine'!$C$2:$C$630,0)),"",INDEX('Compliance Database'!$G$2:$G$630,MATCH(222,'Transfer Engine'!$C$2:$C$630,0)))</f>
        <v/>
      </c>
      <c r="H231">
        <f>IF(ISNA(MATCH(222,'Transfer Engine'!$C$2:$C$630,0)),"",INDEX('Compliance Database'!$H$2:$H$630,MATCH(222,'Transfer Engine'!$C$2:$C$630,0)))</f>
        <v/>
      </c>
      <c r="I231" s="8">
        <f>IF(ISNA(MATCH(222,'Transfer Engine'!$C$2:$C$630,0)),"",INDEX('Compliance Database'!$I$2:$I$630,MATCH(222,'Transfer Engine'!$C$2:$C$630,0)))</f>
        <v/>
      </c>
      <c r="J231" s="8">
        <f>IF(ISNA(MATCH(222,'Transfer Engine'!$C$2:$C$630,0)),"",INDEX('Compliance Database'!$J$2:$J$630,MATCH(222,'Transfer Engine'!$C$2:$C$630,0)))</f>
        <v/>
      </c>
      <c r="K231">
        <f>IF(ISNA(MATCH(222,'Transfer Engine'!$C$2:$C$630,0)),"",INDEX('Compliance Database'!$K$2:$K$630,MATCH(222,'Transfer Engine'!$C$2:$C$630,0)))</f>
        <v/>
      </c>
      <c r="L231" s="8">
        <f>IF(ISNA(MATCH(222,'Transfer Engine'!$C$2:$C$630,0)),"",INDEX('Compliance Database'!$L$2:$L$630,MATCH(222,'Transfer Engine'!$C$2:$C$630,0)))</f>
        <v/>
      </c>
      <c r="M231" s="8">
        <f>IF(ISNA(MATCH(222,'Transfer Engine'!$C$2:$C$630,0)),"",INDEX('Compliance Database'!$M$2:$M$630,MATCH(222,'Transfer Engine'!$C$2:$C$630,0)))</f>
        <v/>
      </c>
      <c r="N231" s="8">
        <f>IF(ISNA(MATCH(222,'Transfer Engine'!$C$2:$C$630,0)),"",INDEX('Compliance Database'!$N$2:$N$630,MATCH(222,'Transfer Engine'!$C$2:$C$630,0)))</f>
        <v/>
      </c>
      <c r="O231" s="8">
        <f>IF(ISNA(MATCH(222,'Transfer Engine'!$C$2:$C$630,0)),"",INDEX('Compliance Database'!$O$2:$O$630,MATCH(222,'Transfer Engine'!$C$2:$C$630,0)))</f>
        <v/>
      </c>
    </row>
    <row r="232">
      <c r="A232">
        <f>IF(ISNA(MATCH(223,'Transfer Engine'!$C$2:$C$630,0)),"",INDEX('Compliance Database'!$A$2:$A$630,MATCH(223,'Transfer Engine'!$C$2:$C$630,0)))</f>
        <v/>
      </c>
      <c r="B232">
        <f>IF(ISNA(MATCH(223,'Transfer Engine'!$C$2:$C$630,0)),"",INDEX('Compliance Database'!$B$2:$B$630,MATCH(223,'Transfer Engine'!$C$2:$C$630,0)))</f>
        <v/>
      </c>
      <c r="C232">
        <f>IF(ISNA(MATCH(223,'Transfer Engine'!$C$2:$C$630,0)),"",INDEX('Compliance Database'!$C$2:$C$630,MATCH(223,'Transfer Engine'!$C$2:$C$630,0)))</f>
        <v/>
      </c>
      <c r="D232" s="8">
        <f>IF(ISNA(MATCH(223,'Transfer Engine'!$C$2:$C$630,0)),"",INDEX('Compliance Database'!$D$2:$D$630,MATCH(223,'Transfer Engine'!$C$2:$C$630,0)))</f>
        <v/>
      </c>
      <c r="E232">
        <f>IF(ISNA(MATCH(223,'Transfer Engine'!$C$2:$C$630,0)),"",INDEX('Compliance Database'!$E$2:$E$630,MATCH(223,'Transfer Engine'!$C$2:$C$630,0)))</f>
        <v/>
      </c>
      <c r="F232">
        <f>IF(ISNA(MATCH(223,'Transfer Engine'!$C$2:$C$630,0)),"",INDEX('Compliance Database'!$F$2:$F$630,MATCH(223,'Transfer Engine'!$C$2:$C$630,0)))</f>
        <v/>
      </c>
      <c r="G232">
        <f>IF(ISNA(MATCH(223,'Transfer Engine'!$C$2:$C$630,0)),"",INDEX('Compliance Database'!$G$2:$G$630,MATCH(223,'Transfer Engine'!$C$2:$C$630,0)))</f>
        <v/>
      </c>
      <c r="H232">
        <f>IF(ISNA(MATCH(223,'Transfer Engine'!$C$2:$C$630,0)),"",INDEX('Compliance Database'!$H$2:$H$630,MATCH(223,'Transfer Engine'!$C$2:$C$630,0)))</f>
        <v/>
      </c>
      <c r="I232" s="8">
        <f>IF(ISNA(MATCH(223,'Transfer Engine'!$C$2:$C$630,0)),"",INDEX('Compliance Database'!$I$2:$I$630,MATCH(223,'Transfer Engine'!$C$2:$C$630,0)))</f>
        <v/>
      </c>
      <c r="J232" s="8">
        <f>IF(ISNA(MATCH(223,'Transfer Engine'!$C$2:$C$630,0)),"",INDEX('Compliance Database'!$J$2:$J$630,MATCH(223,'Transfer Engine'!$C$2:$C$630,0)))</f>
        <v/>
      </c>
      <c r="K232">
        <f>IF(ISNA(MATCH(223,'Transfer Engine'!$C$2:$C$630,0)),"",INDEX('Compliance Database'!$K$2:$K$630,MATCH(223,'Transfer Engine'!$C$2:$C$630,0)))</f>
        <v/>
      </c>
      <c r="L232" s="8">
        <f>IF(ISNA(MATCH(223,'Transfer Engine'!$C$2:$C$630,0)),"",INDEX('Compliance Database'!$L$2:$L$630,MATCH(223,'Transfer Engine'!$C$2:$C$630,0)))</f>
        <v/>
      </c>
      <c r="M232" s="8">
        <f>IF(ISNA(MATCH(223,'Transfer Engine'!$C$2:$C$630,0)),"",INDEX('Compliance Database'!$M$2:$M$630,MATCH(223,'Transfer Engine'!$C$2:$C$630,0)))</f>
        <v/>
      </c>
      <c r="N232" s="8">
        <f>IF(ISNA(MATCH(223,'Transfer Engine'!$C$2:$C$630,0)),"",INDEX('Compliance Database'!$N$2:$N$630,MATCH(223,'Transfer Engine'!$C$2:$C$630,0)))</f>
        <v/>
      </c>
      <c r="O232" s="8">
        <f>IF(ISNA(MATCH(223,'Transfer Engine'!$C$2:$C$630,0)),"",INDEX('Compliance Database'!$O$2:$O$630,MATCH(223,'Transfer Engine'!$C$2:$C$630,0)))</f>
        <v/>
      </c>
    </row>
    <row r="233">
      <c r="A233">
        <f>IF(ISNA(MATCH(224,'Transfer Engine'!$C$2:$C$630,0)),"",INDEX('Compliance Database'!$A$2:$A$630,MATCH(224,'Transfer Engine'!$C$2:$C$630,0)))</f>
        <v/>
      </c>
      <c r="B233">
        <f>IF(ISNA(MATCH(224,'Transfer Engine'!$C$2:$C$630,0)),"",INDEX('Compliance Database'!$B$2:$B$630,MATCH(224,'Transfer Engine'!$C$2:$C$630,0)))</f>
        <v/>
      </c>
      <c r="C233">
        <f>IF(ISNA(MATCH(224,'Transfer Engine'!$C$2:$C$630,0)),"",INDEX('Compliance Database'!$C$2:$C$630,MATCH(224,'Transfer Engine'!$C$2:$C$630,0)))</f>
        <v/>
      </c>
      <c r="D233" s="8">
        <f>IF(ISNA(MATCH(224,'Transfer Engine'!$C$2:$C$630,0)),"",INDEX('Compliance Database'!$D$2:$D$630,MATCH(224,'Transfer Engine'!$C$2:$C$630,0)))</f>
        <v/>
      </c>
      <c r="E233">
        <f>IF(ISNA(MATCH(224,'Transfer Engine'!$C$2:$C$630,0)),"",INDEX('Compliance Database'!$E$2:$E$630,MATCH(224,'Transfer Engine'!$C$2:$C$630,0)))</f>
        <v/>
      </c>
      <c r="F233">
        <f>IF(ISNA(MATCH(224,'Transfer Engine'!$C$2:$C$630,0)),"",INDEX('Compliance Database'!$F$2:$F$630,MATCH(224,'Transfer Engine'!$C$2:$C$630,0)))</f>
        <v/>
      </c>
      <c r="G233">
        <f>IF(ISNA(MATCH(224,'Transfer Engine'!$C$2:$C$630,0)),"",INDEX('Compliance Database'!$G$2:$G$630,MATCH(224,'Transfer Engine'!$C$2:$C$630,0)))</f>
        <v/>
      </c>
      <c r="H233">
        <f>IF(ISNA(MATCH(224,'Transfer Engine'!$C$2:$C$630,0)),"",INDEX('Compliance Database'!$H$2:$H$630,MATCH(224,'Transfer Engine'!$C$2:$C$630,0)))</f>
        <v/>
      </c>
      <c r="I233" s="8">
        <f>IF(ISNA(MATCH(224,'Transfer Engine'!$C$2:$C$630,0)),"",INDEX('Compliance Database'!$I$2:$I$630,MATCH(224,'Transfer Engine'!$C$2:$C$630,0)))</f>
        <v/>
      </c>
      <c r="J233" s="8">
        <f>IF(ISNA(MATCH(224,'Transfer Engine'!$C$2:$C$630,0)),"",INDEX('Compliance Database'!$J$2:$J$630,MATCH(224,'Transfer Engine'!$C$2:$C$630,0)))</f>
        <v/>
      </c>
      <c r="K233">
        <f>IF(ISNA(MATCH(224,'Transfer Engine'!$C$2:$C$630,0)),"",INDEX('Compliance Database'!$K$2:$K$630,MATCH(224,'Transfer Engine'!$C$2:$C$630,0)))</f>
        <v/>
      </c>
      <c r="L233" s="8">
        <f>IF(ISNA(MATCH(224,'Transfer Engine'!$C$2:$C$630,0)),"",INDEX('Compliance Database'!$L$2:$L$630,MATCH(224,'Transfer Engine'!$C$2:$C$630,0)))</f>
        <v/>
      </c>
      <c r="M233" s="8">
        <f>IF(ISNA(MATCH(224,'Transfer Engine'!$C$2:$C$630,0)),"",INDEX('Compliance Database'!$M$2:$M$630,MATCH(224,'Transfer Engine'!$C$2:$C$630,0)))</f>
        <v/>
      </c>
      <c r="N233" s="8">
        <f>IF(ISNA(MATCH(224,'Transfer Engine'!$C$2:$C$630,0)),"",INDEX('Compliance Database'!$N$2:$N$630,MATCH(224,'Transfer Engine'!$C$2:$C$630,0)))</f>
        <v/>
      </c>
      <c r="O233" s="8">
        <f>IF(ISNA(MATCH(224,'Transfer Engine'!$C$2:$C$630,0)),"",INDEX('Compliance Database'!$O$2:$O$630,MATCH(224,'Transfer Engine'!$C$2:$C$630,0)))</f>
        <v/>
      </c>
    </row>
    <row r="234">
      <c r="A234">
        <f>IF(ISNA(MATCH(225,'Transfer Engine'!$C$2:$C$630,0)),"",INDEX('Compliance Database'!$A$2:$A$630,MATCH(225,'Transfer Engine'!$C$2:$C$630,0)))</f>
        <v/>
      </c>
      <c r="B234">
        <f>IF(ISNA(MATCH(225,'Transfer Engine'!$C$2:$C$630,0)),"",INDEX('Compliance Database'!$B$2:$B$630,MATCH(225,'Transfer Engine'!$C$2:$C$630,0)))</f>
        <v/>
      </c>
      <c r="C234">
        <f>IF(ISNA(MATCH(225,'Transfer Engine'!$C$2:$C$630,0)),"",INDEX('Compliance Database'!$C$2:$C$630,MATCH(225,'Transfer Engine'!$C$2:$C$630,0)))</f>
        <v/>
      </c>
      <c r="D234" s="8">
        <f>IF(ISNA(MATCH(225,'Transfer Engine'!$C$2:$C$630,0)),"",INDEX('Compliance Database'!$D$2:$D$630,MATCH(225,'Transfer Engine'!$C$2:$C$630,0)))</f>
        <v/>
      </c>
      <c r="E234">
        <f>IF(ISNA(MATCH(225,'Transfer Engine'!$C$2:$C$630,0)),"",INDEX('Compliance Database'!$E$2:$E$630,MATCH(225,'Transfer Engine'!$C$2:$C$630,0)))</f>
        <v/>
      </c>
      <c r="F234">
        <f>IF(ISNA(MATCH(225,'Transfer Engine'!$C$2:$C$630,0)),"",INDEX('Compliance Database'!$F$2:$F$630,MATCH(225,'Transfer Engine'!$C$2:$C$630,0)))</f>
        <v/>
      </c>
      <c r="G234">
        <f>IF(ISNA(MATCH(225,'Transfer Engine'!$C$2:$C$630,0)),"",INDEX('Compliance Database'!$G$2:$G$630,MATCH(225,'Transfer Engine'!$C$2:$C$630,0)))</f>
        <v/>
      </c>
      <c r="H234">
        <f>IF(ISNA(MATCH(225,'Transfer Engine'!$C$2:$C$630,0)),"",INDEX('Compliance Database'!$H$2:$H$630,MATCH(225,'Transfer Engine'!$C$2:$C$630,0)))</f>
        <v/>
      </c>
      <c r="I234" s="8">
        <f>IF(ISNA(MATCH(225,'Transfer Engine'!$C$2:$C$630,0)),"",INDEX('Compliance Database'!$I$2:$I$630,MATCH(225,'Transfer Engine'!$C$2:$C$630,0)))</f>
        <v/>
      </c>
      <c r="J234" s="8">
        <f>IF(ISNA(MATCH(225,'Transfer Engine'!$C$2:$C$630,0)),"",INDEX('Compliance Database'!$J$2:$J$630,MATCH(225,'Transfer Engine'!$C$2:$C$630,0)))</f>
        <v/>
      </c>
      <c r="K234">
        <f>IF(ISNA(MATCH(225,'Transfer Engine'!$C$2:$C$630,0)),"",INDEX('Compliance Database'!$K$2:$K$630,MATCH(225,'Transfer Engine'!$C$2:$C$630,0)))</f>
        <v/>
      </c>
      <c r="L234" s="8">
        <f>IF(ISNA(MATCH(225,'Transfer Engine'!$C$2:$C$630,0)),"",INDEX('Compliance Database'!$L$2:$L$630,MATCH(225,'Transfer Engine'!$C$2:$C$630,0)))</f>
        <v/>
      </c>
      <c r="M234" s="8">
        <f>IF(ISNA(MATCH(225,'Transfer Engine'!$C$2:$C$630,0)),"",INDEX('Compliance Database'!$M$2:$M$630,MATCH(225,'Transfer Engine'!$C$2:$C$630,0)))</f>
        <v/>
      </c>
      <c r="N234" s="8">
        <f>IF(ISNA(MATCH(225,'Transfer Engine'!$C$2:$C$630,0)),"",INDEX('Compliance Database'!$N$2:$N$630,MATCH(225,'Transfer Engine'!$C$2:$C$630,0)))</f>
        <v/>
      </c>
      <c r="O234" s="8">
        <f>IF(ISNA(MATCH(225,'Transfer Engine'!$C$2:$C$630,0)),"",INDEX('Compliance Database'!$O$2:$O$630,MATCH(225,'Transfer Engine'!$C$2:$C$630,0)))</f>
        <v/>
      </c>
    </row>
    <row r="235">
      <c r="A235">
        <f>IF(ISNA(MATCH(226,'Transfer Engine'!$C$2:$C$630,0)),"",INDEX('Compliance Database'!$A$2:$A$630,MATCH(226,'Transfer Engine'!$C$2:$C$630,0)))</f>
        <v/>
      </c>
      <c r="B235">
        <f>IF(ISNA(MATCH(226,'Transfer Engine'!$C$2:$C$630,0)),"",INDEX('Compliance Database'!$B$2:$B$630,MATCH(226,'Transfer Engine'!$C$2:$C$630,0)))</f>
        <v/>
      </c>
      <c r="C235">
        <f>IF(ISNA(MATCH(226,'Transfer Engine'!$C$2:$C$630,0)),"",INDEX('Compliance Database'!$C$2:$C$630,MATCH(226,'Transfer Engine'!$C$2:$C$630,0)))</f>
        <v/>
      </c>
      <c r="D235" s="8">
        <f>IF(ISNA(MATCH(226,'Transfer Engine'!$C$2:$C$630,0)),"",INDEX('Compliance Database'!$D$2:$D$630,MATCH(226,'Transfer Engine'!$C$2:$C$630,0)))</f>
        <v/>
      </c>
      <c r="E235">
        <f>IF(ISNA(MATCH(226,'Transfer Engine'!$C$2:$C$630,0)),"",INDEX('Compliance Database'!$E$2:$E$630,MATCH(226,'Transfer Engine'!$C$2:$C$630,0)))</f>
        <v/>
      </c>
      <c r="F235">
        <f>IF(ISNA(MATCH(226,'Transfer Engine'!$C$2:$C$630,0)),"",INDEX('Compliance Database'!$F$2:$F$630,MATCH(226,'Transfer Engine'!$C$2:$C$630,0)))</f>
        <v/>
      </c>
      <c r="G235">
        <f>IF(ISNA(MATCH(226,'Transfer Engine'!$C$2:$C$630,0)),"",INDEX('Compliance Database'!$G$2:$G$630,MATCH(226,'Transfer Engine'!$C$2:$C$630,0)))</f>
        <v/>
      </c>
      <c r="H235">
        <f>IF(ISNA(MATCH(226,'Transfer Engine'!$C$2:$C$630,0)),"",INDEX('Compliance Database'!$H$2:$H$630,MATCH(226,'Transfer Engine'!$C$2:$C$630,0)))</f>
        <v/>
      </c>
      <c r="I235" s="8">
        <f>IF(ISNA(MATCH(226,'Transfer Engine'!$C$2:$C$630,0)),"",INDEX('Compliance Database'!$I$2:$I$630,MATCH(226,'Transfer Engine'!$C$2:$C$630,0)))</f>
        <v/>
      </c>
      <c r="J235" s="8">
        <f>IF(ISNA(MATCH(226,'Transfer Engine'!$C$2:$C$630,0)),"",INDEX('Compliance Database'!$J$2:$J$630,MATCH(226,'Transfer Engine'!$C$2:$C$630,0)))</f>
        <v/>
      </c>
      <c r="K235">
        <f>IF(ISNA(MATCH(226,'Transfer Engine'!$C$2:$C$630,0)),"",INDEX('Compliance Database'!$K$2:$K$630,MATCH(226,'Transfer Engine'!$C$2:$C$630,0)))</f>
        <v/>
      </c>
      <c r="L235" s="8">
        <f>IF(ISNA(MATCH(226,'Transfer Engine'!$C$2:$C$630,0)),"",INDEX('Compliance Database'!$L$2:$L$630,MATCH(226,'Transfer Engine'!$C$2:$C$630,0)))</f>
        <v/>
      </c>
      <c r="M235" s="8">
        <f>IF(ISNA(MATCH(226,'Transfer Engine'!$C$2:$C$630,0)),"",INDEX('Compliance Database'!$M$2:$M$630,MATCH(226,'Transfer Engine'!$C$2:$C$630,0)))</f>
        <v/>
      </c>
      <c r="N235" s="8">
        <f>IF(ISNA(MATCH(226,'Transfer Engine'!$C$2:$C$630,0)),"",INDEX('Compliance Database'!$N$2:$N$630,MATCH(226,'Transfer Engine'!$C$2:$C$630,0)))</f>
        <v/>
      </c>
      <c r="O235" s="8">
        <f>IF(ISNA(MATCH(226,'Transfer Engine'!$C$2:$C$630,0)),"",INDEX('Compliance Database'!$O$2:$O$630,MATCH(226,'Transfer Engine'!$C$2:$C$630,0)))</f>
        <v/>
      </c>
    </row>
    <row r="236">
      <c r="A236">
        <f>IF(ISNA(MATCH(227,'Transfer Engine'!$C$2:$C$630,0)),"",INDEX('Compliance Database'!$A$2:$A$630,MATCH(227,'Transfer Engine'!$C$2:$C$630,0)))</f>
        <v/>
      </c>
      <c r="B236">
        <f>IF(ISNA(MATCH(227,'Transfer Engine'!$C$2:$C$630,0)),"",INDEX('Compliance Database'!$B$2:$B$630,MATCH(227,'Transfer Engine'!$C$2:$C$630,0)))</f>
        <v/>
      </c>
      <c r="C236">
        <f>IF(ISNA(MATCH(227,'Transfer Engine'!$C$2:$C$630,0)),"",INDEX('Compliance Database'!$C$2:$C$630,MATCH(227,'Transfer Engine'!$C$2:$C$630,0)))</f>
        <v/>
      </c>
      <c r="D236" s="8">
        <f>IF(ISNA(MATCH(227,'Transfer Engine'!$C$2:$C$630,0)),"",INDEX('Compliance Database'!$D$2:$D$630,MATCH(227,'Transfer Engine'!$C$2:$C$630,0)))</f>
        <v/>
      </c>
      <c r="E236">
        <f>IF(ISNA(MATCH(227,'Transfer Engine'!$C$2:$C$630,0)),"",INDEX('Compliance Database'!$E$2:$E$630,MATCH(227,'Transfer Engine'!$C$2:$C$630,0)))</f>
        <v/>
      </c>
      <c r="F236">
        <f>IF(ISNA(MATCH(227,'Transfer Engine'!$C$2:$C$630,0)),"",INDEX('Compliance Database'!$F$2:$F$630,MATCH(227,'Transfer Engine'!$C$2:$C$630,0)))</f>
        <v/>
      </c>
      <c r="G236">
        <f>IF(ISNA(MATCH(227,'Transfer Engine'!$C$2:$C$630,0)),"",INDEX('Compliance Database'!$G$2:$G$630,MATCH(227,'Transfer Engine'!$C$2:$C$630,0)))</f>
        <v/>
      </c>
      <c r="H236">
        <f>IF(ISNA(MATCH(227,'Transfer Engine'!$C$2:$C$630,0)),"",INDEX('Compliance Database'!$H$2:$H$630,MATCH(227,'Transfer Engine'!$C$2:$C$630,0)))</f>
        <v/>
      </c>
      <c r="I236" s="8">
        <f>IF(ISNA(MATCH(227,'Transfer Engine'!$C$2:$C$630,0)),"",INDEX('Compliance Database'!$I$2:$I$630,MATCH(227,'Transfer Engine'!$C$2:$C$630,0)))</f>
        <v/>
      </c>
      <c r="J236" s="8">
        <f>IF(ISNA(MATCH(227,'Transfer Engine'!$C$2:$C$630,0)),"",INDEX('Compliance Database'!$J$2:$J$630,MATCH(227,'Transfer Engine'!$C$2:$C$630,0)))</f>
        <v/>
      </c>
      <c r="K236">
        <f>IF(ISNA(MATCH(227,'Transfer Engine'!$C$2:$C$630,0)),"",INDEX('Compliance Database'!$K$2:$K$630,MATCH(227,'Transfer Engine'!$C$2:$C$630,0)))</f>
        <v/>
      </c>
      <c r="L236" s="8">
        <f>IF(ISNA(MATCH(227,'Transfer Engine'!$C$2:$C$630,0)),"",INDEX('Compliance Database'!$L$2:$L$630,MATCH(227,'Transfer Engine'!$C$2:$C$630,0)))</f>
        <v/>
      </c>
      <c r="M236" s="8">
        <f>IF(ISNA(MATCH(227,'Transfer Engine'!$C$2:$C$630,0)),"",INDEX('Compliance Database'!$M$2:$M$630,MATCH(227,'Transfer Engine'!$C$2:$C$630,0)))</f>
        <v/>
      </c>
      <c r="N236" s="8">
        <f>IF(ISNA(MATCH(227,'Transfer Engine'!$C$2:$C$630,0)),"",INDEX('Compliance Database'!$N$2:$N$630,MATCH(227,'Transfer Engine'!$C$2:$C$630,0)))</f>
        <v/>
      </c>
      <c r="O236" s="8">
        <f>IF(ISNA(MATCH(227,'Transfer Engine'!$C$2:$C$630,0)),"",INDEX('Compliance Database'!$O$2:$O$630,MATCH(227,'Transfer Engine'!$C$2:$C$630,0)))</f>
        <v/>
      </c>
    </row>
    <row r="237">
      <c r="A237">
        <f>IF(ISNA(MATCH(228,'Transfer Engine'!$C$2:$C$630,0)),"",INDEX('Compliance Database'!$A$2:$A$630,MATCH(228,'Transfer Engine'!$C$2:$C$630,0)))</f>
        <v/>
      </c>
      <c r="B237">
        <f>IF(ISNA(MATCH(228,'Transfer Engine'!$C$2:$C$630,0)),"",INDEX('Compliance Database'!$B$2:$B$630,MATCH(228,'Transfer Engine'!$C$2:$C$630,0)))</f>
        <v/>
      </c>
      <c r="C237">
        <f>IF(ISNA(MATCH(228,'Transfer Engine'!$C$2:$C$630,0)),"",INDEX('Compliance Database'!$C$2:$C$630,MATCH(228,'Transfer Engine'!$C$2:$C$630,0)))</f>
        <v/>
      </c>
      <c r="D237" s="8">
        <f>IF(ISNA(MATCH(228,'Transfer Engine'!$C$2:$C$630,0)),"",INDEX('Compliance Database'!$D$2:$D$630,MATCH(228,'Transfer Engine'!$C$2:$C$630,0)))</f>
        <v/>
      </c>
      <c r="E237">
        <f>IF(ISNA(MATCH(228,'Transfer Engine'!$C$2:$C$630,0)),"",INDEX('Compliance Database'!$E$2:$E$630,MATCH(228,'Transfer Engine'!$C$2:$C$630,0)))</f>
        <v/>
      </c>
      <c r="F237">
        <f>IF(ISNA(MATCH(228,'Transfer Engine'!$C$2:$C$630,0)),"",INDEX('Compliance Database'!$F$2:$F$630,MATCH(228,'Transfer Engine'!$C$2:$C$630,0)))</f>
        <v/>
      </c>
      <c r="G237">
        <f>IF(ISNA(MATCH(228,'Transfer Engine'!$C$2:$C$630,0)),"",INDEX('Compliance Database'!$G$2:$G$630,MATCH(228,'Transfer Engine'!$C$2:$C$630,0)))</f>
        <v/>
      </c>
      <c r="H237">
        <f>IF(ISNA(MATCH(228,'Transfer Engine'!$C$2:$C$630,0)),"",INDEX('Compliance Database'!$H$2:$H$630,MATCH(228,'Transfer Engine'!$C$2:$C$630,0)))</f>
        <v/>
      </c>
      <c r="I237" s="8">
        <f>IF(ISNA(MATCH(228,'Transfer Engine'!$C$2:$C$630,0)),"",INDEX('Compliance Database'!$I$2:$I$630,MATCH(228,'Transfer Engine'!$C$2:$C$630,0)))</f>
        <v/>
      </c>
      <c r="J237" s="8">
        <f>IF(ISNA(MATCH(228,'Transfer Engine'!$C$2:$C$630,0)),"",INDEX('Compliance Database'!$J$2:$J$630,MATCH(228,'Transfer Engine'!$C$2:$C$630,0)))</f>
        <v/>
      </c>
      <c r="K237">
        <f>IF(ISNA(MATCH(228,'Transfer Engine'!$C$2:$C$630,0)),"",INDEX('Compliance Database'!$K$2:$K$630,MATCH(228,'Transfer Engine'!$C$2:$C$630,0)))</f>
        <v/>
      </c>
      <c r="L237" s="8">
        <f>IF(ISNA(MATCH(228,'Transfer Engine'!$C$2:$C$630,0)),"",INDEX('Compliance Database'!$L$2:$L$630,MATCH(228,'Transfer Engine'!$C$2:$C$630,0)))</f>
        <v/>
      </c>
      <c r="M237" s="8">
        <f>IF(ISNA(MATCH(228,'Transfer Engine'!$C$2:$C$630,0)),"",INDEX('Compliance Database'!$M$2:$M$630,MATCH(228,'Transfer Engine'!$C$2:$C$630,0)))</f>
        <v/>
      </c>
      <c r="N237" s="8">
        <f>IF(ISNA(MATCH(228,'Transfer Engine'!$C$2:$C$630,0)),"",INDEX('Compliance Database'!$N$2:$N$630,MATCH(228,'Transfer Engine'!$C$2:$C$630,0)))</f>
        <v/>
      </c>
      <c r="O237" s="8">
        <f>IF(ISNA(MATCH(228,'Transfer Engine'!$C$2:$C$630,0)),"",INDEX('Compliance Database'!$O$2:$O$630,MATCH(228,'Transfer Engine'!$C$2:$C$630,0)))</f>
        <v/>
      </c>
    </row>
    <row r="238">
      <c r="A238">
        <f>IF(ISNA(MATCH(229,'Transfer Engine'!$C$2:$C$630,0)),"",INDEX('Compliance Database'!$A$2:$A$630,MATCH(229,'Transfer Engine'!$C$2:$C$630,0)))</f>
        <v/>
      </c>
      <c r="B238">
        <f>IF(ISNA(MATCH(229,'Transfer Engine'!$C$2:$C$630,0)),"",INDEX('Compliance Database'!$B$2:$B$630,MATCH(229,'Transfer Engine'!$C$2:$C$630,0)))</f>
        <v/>
      </c>
      <c r="C238">
        <f>IF(ISNA(MATCH(229,'Transfer Engine'!$C$2:$C$630,0)),"",INDEX('Compliance Database'!$C$2:$C$630,MATCH(229,'Transfer Engine'!$C$2:$C$630,0)))</f>
        <v/>
      </c>
      <c r="D238" s="8">
        <f>IF(ISNA(MATCH(229,'Transfer Engine'!$C$2:$C$630,0)),"",INDEX('Compliance Database'!$D$2:$D$630,MATCH(229,'Transfer Engine'!$C$2:$C$630,0)))</f>
        <v/>
      </c>
      <c r="E238">
        <f>IF(ISNA(MATCH(229,'Transfer Engine'!$C$2:$C$630,0)),"",INDEX('Compliance Database'!$E$2:$E$630,MATCH(229,'Transfer Engine'!$C$2:$C$630,0)))</f>
        <v/>
      </c>
      <c r="F238">
        <f>IF(ISNA(MATCH(229,'Transfer Engine'!$C$2:$C$630,0)),"",INDEX('Compliance Database'!$F$2:$F$630,MATCH(229,'Transfer Engine'!$C$2:$C$630,0)))</f>
        <v/>
      </c>
      <c r="G238">
        <f>IF(ISNA(MATCH(229,'Transfer Engine'!$C$2:$C$630,0)),"",INDEX('Compliance Database'!$G$2:$G$630,MATCH(229,'Transfer Engine'!$C$2:$C$630,0)))</f>
        <v/>
      </c>
      <c r="H238">
        <f>IF(ISNA(MATCH(229,'Transfer Engine'!$C$2:$C$630,0)),"",INDEX('Compliance Database'!$H$2:$H$630,MATCH(229,'Transfer Engine'!$C$2:$C$630,0)))</f>
        <v/>
      </c>
      <c r="I238" s="8">
        <f>IF(ISNA(MATCH(229,'Transfer Engine'!$C$2:$C$630,0)),"",INDEX('Compliance Database'!$I$2:$I$630,MATCH(229,'Transfer Engine'!$C$2:$C$630,0)))</f>
        <v/>
      </c>
      <c r="J238" s="8">
        <f>IF(ISNA(MATCH(229,'Transfer Engine'!$C$2:$C$630,0)),"",INDEX('Compliance Database'!$J$2:$J$630,MATCH(229,'Transfer Engine'!$C$2:$C$630,0)))</f>
        <v/>
      </c>
      <c r="K238">
        <f>IF(ISNA(MATCH(229,'Transfer Engine'!$C$2:$C$630,0)),"",INDEX('Compliance Database'!$K$2:$K$630,MATCH(229,'Transfer Engine'!$C$2:$C$630,0)))</f>
        <v/>
      </c>
      <c r="L238" s="8">
        <f>IF(ISNA(MATCH(229,'Transfer Engine'!$C$2:$C$630,0)),"",INDEX('Compliance Database'!$L$2:$L$630,MATCH(229,'Transfer Engine'!$C$2:$C$630,0)))</f>
        <v/>
      </c>
      <c r="M238" s="8">
        <f>IF(ISNA(MATCH(229,'Transfer Engine'!$C$2:$C$630,0)),"",INDEX('Compliance Database'!$M$2:$M$630,MATCH(229,'Transfer Engine'!$C$2:$C$630,0)))</f>
        <v/>
      </c>
      <c r="N238" s="8">
        <f>IF(ISNA(MATCH(229,'Transfer Engine'!$C$2:$C$630,0)),"",INDEX('Compliance Database'!$N$2:$N$630,MATCH(229,'Transfer Engine'!$C$2:$C$630,0)))</f>
        <v/>
      </c>
      <c r="O238" s="8">
        <f>IF(ISNA(MATCH(229,'Transfer Engine'!$C$2:$C$630,0)),"",INDEX('Compliance Database'!$O$2:$O$630,MATCH(229,'Transfer Engine'!$C$2:$C$630,0)))</f>
        <v/>
      </c>
    </row>
    <row r="239">
      <c r="A239">
        <f>IF(ISNA(MATCH(230,'Transfer Engine'!$C$2:$C$630,0)),"",INDEX('Compliance Database'!$A$2:$A$630,MATCH(230,'Transfer Engine'!$C$2:$C$630,0)))</f>
        <v/>
      </c>
      <c r="B239">
        <f>IF(ISNA(MATCH(230,'Transfer Engine'!$C$2:$C$630,0)),"",INDEX('Compliance Database'!$B$2:$B$630,MATCH(230,'Transfer Engine'!$C$2:$C$630,0)))</f>
        <v/>
      </c>
      <c r="C239">
        <f>IF(ISNA(MATCH(230,'Transfer Engine'!$C$2:$C$630,0)),"",INDEX('Compliance Database'!$C$2:$C$630,MATCH(230,'Transfer Engine'!$C$2:$C$630,0)))</f>
        <v/>
      </c>
      <c r="D239" s="8">
        <f>IF(ISNA(MATCH(230,'Transfer Engine'!$C$2:$C$630,0)),"",INDEX('Compliance Database'!$D$2:$D$630,MATCH(230,'Transfer Engine'!$C$2:$C$630,0)))</f>
        <v/>
      </c>
      <c r="E239">
        <f>IF(ISNA(MATCH(230,'Transfer Engine'!$C$2:$C$630,0)),"",INDEX('Compliance Database'!$E$2:$E$630,MATCH(230,'Transfer Engine'!$C$2:$C$630,0)))</f>
        <v/>
      </c>
      <c r="F239">
        <f>IF(ISNA(MATCH(230,'Transfer Engine'!$C$2:$C$630,0)),"",INDEX('Compliance Database'!$F$2:$F$630,MATCH(230,'Transfer Engine'!$C$2:$C$630,0)))</f>
        <v/>
      </c>
      <c r="G239">
        <f>IF(ISNA(MATCH(230,'Transfer Engine'!$C$2:$C$630,0)),"",INDEX('Compliance Database'!$G$2:$G$630,MATCH(230,'Transfer Engine'!$C$2:$C$630,0)))</f>
        <v/>
      </c>
      <c r="H239">
        <f>IF(ISNA(MATCH(230,'Transfer Engine'!$C$2:$C$630,0)),"",INDEX('Compliance Database'!$H$2:$H$630,MATCH(230,'Transfer Engine'!$C$2:$C$630,0)))</f>
        <v/>
      </c>
      <c r="I239" s="8">
        <f>IF(ISNA(MATCH(230,'Transfer Engine'!$C$2:$C$630,0)),"",INDEX('Compliance Database'!$I$2:$I$630,MATCH(230,'Transfer Engine'!$C$2:$C$630,0)))</f>
        <v/>
      </c>
      <c r="J239" s="8">
        <f>IF(ISNA(MATCH(230,'Transfer Engine'!$C$2:$C$630,0)),"",INDEX('Compliance Database'!$J$2:$J$630,MATCH(230,'Transfer Engine'!$C$2:$C$630,0)))</f>
        <v/>
      </c>
      <c r="K239">
        <f>IF(ISNA(MATCH(230,'Transfer Engine'!$C$2:$C$630,0)),"",INDEX('Compliance Database'!$K$2:$K$630,MATCH(230,'Transfer Engine'!$C$2:$C$630,0)))</f>
        <v/>
      </c>
      <c r="L239" s="8">
        <f>IF(ISNA(MATCH(230,'Transfer Engine'!$C$2:$C$630,0)),"",INDEX('Compliance Database'!$L$2:$L$630,MATCH(230,'Transfer Engine'!$C$2:$C$630,0)))</f>
        <v/>
      </c>
      <c r="M239" s="8">
        <f>IF(ISNA(MATCH(230,'Transfer Engine'!$C$2:$C$630,0)),"",INDEX('Compliance Database'!$M$2:$M$630,MATCH(230,'Transfer Engine'!$C$2:$C$630,0)))</f>
        <v/>
      </c>
      <c r="N239" s="8">
        <f>IF(ISNA(MATCH(230,'Transfer Engine'!$C$2:$C$630,0)),"",INDEX('Compliance Database'!$N$2:$N$630,MATCH(230,'Transfer Engine'!$C$2:$C$630,0)))</f>
        <v/>
      </c>
      <c r="O239" s="8">
        <f>IF(ISNA(MATCH(230,'Transfer Engine'!$C$2:$C$630,0)),"",INDEX('Compliance Database'!$O$2:$O$630,MATCH(230,'Transfer Engine'!$C$2:$C$630,0)))</f>
        <v/>
      </c>
    </row>
    <row r="240">
      <c r="A240">
        <f>IF(ISNA(MATCH(231,'Transfer Engine'!$C$2:$C$630,0)),"",INDEX('Compliance Database'!$A$2:$A$630,MATCH(231,'Transfer Engine'!$C$2:$C$630,0)))</f>
        <v/>
      </c>
      <c r="B240">
        <f>IF(ISNA(MATCH(231,'Transfer Engine'!$C$2:$C$630,0)),"",INDEX('Compliance Database'!$B$2:$B$630,MATCH(231,'Transfer Engine'!$C$2:$C$630,0)))</f>
        <v/>
      </c>
      <c r="C240">
        <f>IF(ISNA(MATCH(231,'Transfer Engine'!$C$2:$C$630,0)),"",INDEX('Compliance Database'!$C$2:$C$630,MATCH(231,'Transfer Engine'!$C$2:$C$630,0)))</f>
        <v/>
      </c>
      <c r="D240" s="8">
        <f>IF(ISNA(MATCH(231,'Transfer Engine'!$C$2:$C$630,0)),"",INDEX('Compliance Database'!$D$2:$D$630,MATCH(231,'Transfer Engine'!$C$2:$C$630,0)))</f>
        <v/>
      </c>
      <c r="E240">
        <f>IF(ISNA(MATCH(231,'Transfer Engine'!$C$2:$C$630,0)),"",INDEX('Compliance Database'!$E$2:$E$630,MATCH(231,'Transfer Engine'!$C$2:$C$630,0)))</f>
        <v/>
      </c>
      <c r="F240">
        <f>IF(ISNA(MATCH(231,'Transfer Engine'!$C$2:$C$630,0)),"",INDEX('Compliance Database'!$F$2:$F$630,MATCH(231,'Transfer Engine'!$C$2:$C$630,0)))</f>
        <v/>
      </c>
      <c r="G240">
        <f>IF(ISNA(MATCH(231,'Transfer Engine'!$C$2:$C$630,0)),"",INDEX('Compliance Database'!$G$2:$G$630,MATCH(231,'Transfer Engine'!$C$2:$C$630,0)))</f>
        <v/>
      </c>
      <c r="H240">
        <f>IF(ISNA(MATCH(231,'Transfer Engine'!$C$2:$C$630,0)),"",INDEX('Compliance Database'!$H$2:$H$630,MATCH(231,'Transfer Engine'!$C$2:$C$630,0)))</f>
        <v/>
      </c>
      <c r="I240" s="8">
        <f>IF(ISNA(MATCH(231,'Transfer Engine'!$C$2:$C$630,0)),"",INDEX('Compliance Database'!$I$2:$I$630,MATCH(231,'Transfer Engine'!$C$2:$C$630,0)))</f>
        <v/>
      </c>
      <c r="J240" s="8">
        <f>IF(ISNA(MATCH(231,'Transfer Engine'!$C$2:$C$630,0)),"",INDEX('Compliance Database'!$J$2:$J$630,MATCH(231,'Transfer Engine'!$C$2:$C$630,0)))</f>
        <v/>
      </c>
      <c r="K240">
        <f>IF(ISNA(MATCH(231,'Transfer Engine'!$C$2:$C$630,0)),"",INDEX('Compliance Database'!$K$2:$K$630,MATCH(231,'Transfer Engine'!$C$2:$C$630,0)))</f>
        <v/>
      </c>
      <c r="L240" s="8">
        <f>IF(ISNA(MATCH(231,'Transfer Engine'!$C$2:$C$630,0)),"",INDEX('Compliance Database'!$L$2:$L$630,MATCH(231,'Transfer Engine'!$C$2:$C$630,0)))</f>
        <v/>
      </c>
      <c r="M240" s="8">
        <f>IF(ISNA(MATCH(231,'Transfer Engine'!$C$2:$C$630,0)),"",INDEX('Compliance Database'!$M$2:$M$630,MATCH(231,'Transfer Engine'!$C$2:$C$630,0)))</f>
        <v/>
      </c>
      <c r="N240" s="8">
        <f>IF(ISNA(MATCH(231,'Transfer Engine'!$C$2:$C$630,0)),"",INDEX('Compliance Database'!$N$2:$N$630,MATCH(231,'Transfer Engine'!$C$2:$C$630,0)))</f>
        <v/>
      </c>
      <c r="O240" s="8">
        <f>IF(ISNA(MATCH(231,'Transfer Engine'!$C$2:$C$630,0)),"",INDEX('Compliance Database'!$O$2:$O$630,MATCH(231,'Transfer Engine'!$C$2:$C$630,0)))</f>
        <v/>
      </c>
    </row>
    <row r="241">
      <c r="A241">
        <f>IF(ISNA(MATCH(232,'Transfer Engine'!$C$2:$C$630,0)),"",INDEX('Compliance Database'!$A$2:$A$630,MATCH(232,'Transfer Engine'!$C$2:$C$630,0)))</f>
        <v/>
      </c>
      <c r="B241">
        <f>IF(ISNA(MATCH(232,'Transfer Engine'!$C$2:$C$630,0)),"",INDEX('Compliance Database'!$B$2:$B$630,MATCH(232,'Transfer Engine'!$C$2:$C$630,0)))</f>
        <v/>
      </c>
      <c r="C241">
        <f>IF(ISNA(MATCH(232,'Transfer Engine'!$C$2:$C$630,0)),"",INDEX('Compliance Database'!$C$2:$C$630,MATCH(232,'Transfer Engine'!$C$2:$C$630,0)))</f>
        <v/>
      </c>
      <c r="D241" s="8">
        <f>IF(ISNA(MATCH(232,'Transfer Engine'!$C$2:$C$630,0)),"",INDEX('Compliance Database'!$D$2:$D$630,MATCH(232,'Transfer Engine'!$C$2:$C$630,0)))</f>
        <v/>
      </c>
      <c r="E241">
        <f>IF(ISNA(MATCH(232,'Transfer Engine'!$C$2:$C$630,0)),"",INDEX('Compliance Database'!$E$2:$E$630,MATCH(232,'Transfer Engine'!$C$2:$C$630,0)))</f>
        <v/>
      </c>
      <c r="F241">
        <f>IF(ISNA(MATCH(232,'Transfer Engine'!$C$2:$C$630,0)),"",INDEX('Compliance Database'!$F$2:$F$630,MATCH(232,'Transfer Engine'!$C$2:$C$630,0)))</f>
        <v/>
      </c>
      <c r="G241">
        <f>IF(ISNA(MATCH(232,'Transfer Engine'!$C$2:$C$630,0)),"",INDEX('Compliance Database'!$G$2:$G$630,MATCH(232,'Transfer Engine'!$C$2:$C$630,0)))</f>
        <v/>
      </c>
      <c r="H241">
        <f>IF(ISNA(MATCH(232,'Transfer Engine'!$C$2:$C$630,0)),"",INDEX('Compliance Database'!$H$2:$H$630,MATCH(232,'Transfer Engine'!$C$2:$C$630,0)))</f>
        <v/>
      </c>
      <c r="I241" s="8">
        <f>IF(ISNA(MATCH(232,'Transfer Engine'!$C$2:$C$630,0)),"",INDEX('Compliance Database'!$I$2:$I$630,MATCH(232,'Transfer Engine'!$C$2:$C$630,0)))</f>
        <v/>
      </c>
      <c r="J241" s="8">
        <f>IF(ISNA(MATCH(232,'Transfer Engine'!$C$2:$C$630,0)),"",INDEX('Compliance Database'!$J$2:$J$630,MATCH(232,'Transfer Engine'!$C$2:$C$630,0)))</f>
        <v/>
      </c>
      <c r="K241">
        <f>IF(ISNA(MATCH(232,'Transfer Engine'!$C$2:$C$630,0)),"",INDEX('Compliance Database'!$K$2:$K$630,MATCH(232,'Transfer Engine'!$C$2:$C$630,0)))</f>
        <v/>
      </c>
      <c r="L241" s="8">
        <f>IF(ISNA(MATCH(232,'Transfer Engine'!$C$2:$C$630,0)),"",INDEX('Compliance Database'!$L$2:$L$630,MATCH(232,'Transfer Engine'!$C$2:$C$630,0)))</f>
        <v/>
      </c>
      <c r="M241" s="8">
        <f>IF(ISNA(MATCH(232,'Transfer Engine'!$C$2:$C$630,0)),"",INDEX('Compliance Database'!$M$2:$M$630,MATCH(232,'Transfer Engine'!$C$2:$C$630,0)))</f>
        <v/>
      </c>
      <c r="N241" s="8">
        <f>IF(ISNA(MATCH(232,'Transfer Engine'!$C$2:$C$630,0)),"",INDEX('Compliance Database'!$N$2:$N$630,MATCH(232,'Transfer Engine'!$C$2:$C$630,0)))</f>
        <v/>
      </c>
      <c r="O241" s="8">
        <f>IF(ISNA(MATCH(232,'Transfer Engine'!$C$2:$C$630,0)),"",INDEX('Compliance Database'!$O$2:$O$630,MATCH(232,'Transfer Engine'!$C$2:$C$630,0)))</f>
        <v/>
      </c>
    </row>
    <row r="242">
      <c r="A242">
        <f>IF(ISNA(MATCH(233,'Transfer Engine'!$C$2:$C$630,0)),"",INDEX('Compliance Database'!$A$2:$A$630,MATCH(233,'Transfer Engine'!$C$2:$C$630,0)))</f>
        <v/>
      </c>
      <c r="B242">
        <f>IF(ISNA(MATCH(233,'Transfer Engine'!$C$2:$C$630,0)),"",INDEX('Compliance Database'!$B$2:$B$630,MATCH(233,'Transfer Engine'!$C$2:$C$630,0)))</f>
        <v/>
      </c>
      <c r="C242">
        <f>IF(ISNA(MATCH(233,'Transfer Engine'!$C$2:$C$630,0)),"",INDEX('Compliance Database'!$C$2:$C$630,MATCH(233,'Transfer Engine'!$C$2:$C$630,0)))</f>
        <v/>
      </c>
      <c r="D242" s="8">
        <f>IF(ISNA(MATCH(233,'Transfer Engine'!$C$2:$C$630,0)),"",INDEX('Compliance Database'!$D$2:$D$630,MATCH(233,'Transfer Engine'!$C$2:$C$630,0)))</f>
        <v/>
      </c>
      <c r="E242">
        <f>IF(ISNA(MATCH(233,'Transfer Engine'!$C$2:$C$630,0)),"",INDEX('Compliance Database'!$E$2:$E$630,MATCH(233,'Transfer Engine'!$C$2:$C$630,0)))</f>
        <v/>
      </c>
      <c r="F242">
        <f>IF(ISNA(MATCH(233,'Transfer Engine'!$C$2:$C$630,0)),"",INDEX('Compliance Database'!$F$2:$F$630,MATCH(233,'Transfer Engine'!$C$2:$C$630,0)))</f>
        <v/>
      </c>
      <c r="G242">
        <f>IF(ISNA(MATCH(233,'Transfer Engine'!$C$2:$C$630,0)),"",INDEX('Compliance Database'!$G$2:$G$630,MATCH(233,'Transfer Engine'!$C$2:$C$630,0)))</f>
        <v/>
      </c>
      <c r="H242">
        <f>IF(ISNA(MATCH(233,'Transfer Engine'!$C$2:$C$630,0)),"",INDEX('Compliance Database'!$H$2:$H$630,MATCH(233,'Transfer Engine'!$C$2:$C$630,0)))</f>
        <v/>
      </c>
      <c r="I242" s="8">
        <f>IF(ISNA(MATCH(233,'Transfer Engine'!$C$2:$C$630,0)),"",INDEX('Compliance Database'!$I$2:$I$630,MATCH(233,'Transfer Engine'!$C$2:$C$630,0)))</f>
        <v/>
      </c>
      <c r="J242" s="8">
        <f>IF(ISNA(MATCH(233,'Transfer Engine'!$C$2:$C$630,0)),"",INDEX('Compliance Database'!$J$2:$J$630,MATCH(233,'Transfer Engine'!$C$2:$C$630,0)))</f>
        <v/>
      </c>
      <c r="K242">
        <f>IF(ISNA(MATCH(233,'Transfer Engine'!$C$2:$C$630,0)),"",INDEX('Compliance Database'!$K$2:$K$630,MATCH(233,'Transfer Engine'!$C$2:$C$630,0)))</f>
        <v/>
      </c>
      <c r="L242" s="8">
        <f>IF(ISNA(MATCH(233,'Transfer Engine'!$C$2:$C$630,0)),"",INDEX('Compliance Database'!$L$2:$L$630,MATCH(233,'Transfer Engine'!$C$2:$C$630,0)))</f>
        <v/>
      </c>
      <c r="M242" s="8">
        <f>IF(ISNA(MATCH(233,'Transfer Engine'!$C$2:$C$630,0)),"",INDEX('Compliance Database'!$M$2:$M$630,MATCH(233,'Transfer Engine'!$C$2:$C$630,0)))</f>
        <v/>
      </c>
      <c r="N242" s="8">
        <f>IF(ISNA(MATCH(233,'Transfer Engine'!$C$2:$C$630,0)),"",INDEX('Compliance Database'!$N$2:$N$630,MATCH(233,'Transfer Engine'!$C$2:$C$630,0)))</f>
        <v/>
      </c>
      <c r="O242" s="8">
        <f>IF(ISNA(MATCH(233,'Transfer Engine'!$C$2:$C$630,0)),"",INDEX('Compliance Database'!$O$2:$O$630,MATCH(233,'Transfer Engine'!$C$2:$C$630,0)))</f>
        <v/>
      </c>
    </row>
    <row r="243">
      <c r="A243">
        <f>IF(ISNA(MATCH(234,'Transfer Engine'!$C$2:$C$630,0)),"",INDEX('Compliance Database'!$A$2:$A$630,MATCH(234,'Transfer Engine'!$C$2:$C$630,0)))</f>
        <v/>
      </c>
      <c r="B243">
        <f>IF(ISNA(MATCH(234,'Transfer Engine'!$C$2:$C$630,0)),"",INDEX('Compliance Database'!$B$2:$B$630,MATCH(234,'Transfer Engine'!$C$2:$C$630,0)))</f>
        <v/>
      </c>
      <c r="C243">
        <f>IF(ISNA(MATCH(234,'Transfer Engine'!$C$2:$C$630,0)),"",INDEX('Compliance Database'!$C$2:$C$630,MATCH(234,'Transfer Engine'!$C$2:$C$630,0)))</f>
        <v/>
      </c>
      <c r="D243" s="8">
        <f>IF(ISNA(MATCH(234,'Transfer Engine'!$C$2:$C$630,0)),"",INDEX('Compliance Database'!$D$2:$D$630,MATCH(234,'Transfer Engine'!$C$2:$C$630,0)))</f>
        <v/>
      </c>
      <c r="E243">
        <f>IF(ISNA(MATCH(234,'Transfer Engine'!$C$2:$C$630,0)),"",INDEX('Compliance Database'!$E$2:$E$630,MATCH(234,'Transfer Engine'!$C$2:$C$630,0)))</f>
        <v/>
      </c>
      <c r="F243">
        <f>IF(ISNA(MATCH(234,'Transfer Engine'!$C$2:$C$630,0)),"",INDEX('Compliance Database'!$F$2:$F$630,MATCH(234,'Transfer Engine'!$C$2:$C$630,0)))</f>
        <v/>
      </c>
      <c r="G243">
        <f>IF(ISNA(MATCH(234,'Transfer Engine'!$C$2:$C$630,0)),"",INDEX('Compliance Database'!$G$2:$G$630,MATCH(234,'Transfer Engine'!$C$2:$C$630,0)))</f>
        <v/>
      </c>
      <c r="H243">
        <f>IF(ISNA(MATCH(234,'Transfer Engine'!$C$2:$C$630,0)),"",INDEX('Compliance Database'!$H$2:$H$630,MATCH(234,'Transfer Engine'!$C$2:$C$630,0)))</f>
        <v/>
      </c>
      <c r="I243" s="8">
        <f>IF(ISNA(MATCH(234,'Transfer Engine'!$C$2:$C$630,0)),"",INDEX('Compliance Database'!$I$2:$I$630,MATCH(234,'Transfer Engine'!$C$2:$C$630,0)))</f>
        <v/>
      </c>
      <c r="J243" s="8">
        <f>IF(ISNA(MATCH(234,'Transfer Engine'!$C$2:$C$630,0)),"",INDEX('Compliance Database'!$J$2:$J$630,MATCH(234,'Transfer Engine'!$C$2:$C$630,0)))</f>
        <v/>
      </c>
      <c r="K243">
        <f>IF(ISNA(MATCH(234,'Transfer Engine'!$C$2:$C$630,0)),"",INDEX('Compliance Database'!$K$2:$K$630,MATCH(234,'Transfer Engine'!$C$2:$C$630,0)))</f>
        <v/>
      </c>
      <c r="L243" s="8">
        <f>IF(ISNA(MATCH(234,'Transfer Engine'!$C$2:$C$630,0)),"",INDEX('Compliance Database'!$L$2:$L$630,MATCH(234,'Transfer Engine'!$C$2:$C$630,0)))</f>
        <v/>
      </c>
      <c r="M243" s="8">
        <f>IF(ISNA(MATCH(234,'Transfer Engine'!$C$2:$C$630,0)),"",INDEX('Compliance Database'!$M$2:$M$630,MATCH(234,'Transfer Engine'!$C$2:$C$630,0)))</f>
        <v/>
      </c>
      <c r="N243" s="8">
        <f>IF(ISNA(MATCH(234,'Transfer Engine'!$C$2:$C$630,0)),"",INDEX('Compliance Database'!$N$2:$N$630,MATCH(234,'Transfer Engine'!$C$2:$C$630,0)))</f>
        <v/>
      </c>
      <c r="O243" s="8">
        <f>IF(ISNA(MATCH(234,'Transfer Engine'!$C$2:$C$630,0)),"",INDEX('Compliance Database'!$O$2:$O$630,MATCH(234,'Transfer Engine'!$C$2:$C$630,0)))</f>
        <v/>
      </c>
    </row>
    <row r="244">
      <c r="A244">
        <f>IF(ISNA(MATCH(235,'Transfer Engine'!$C$2:$C$630,0)),"",INDEX('Compliance Database'!$A$2:$A$630,MATCH(235,'Transfer Engine'!$C$2:$C$630,0)))</f>
        <v/>
      </c>
      <c r="B244">
        <f>IF(ISNA(MATCH(235,'Transfer Engine'!$C$2:$C$630,0)),"",INDEX('Compliance Database'!$B$2:$B$630,MATCH(235,'Transfer Engine'!$C$2:$C$630,0)))</f>
        <v/>
      </c>
      <c r="C244">
        <f>IF(ISNA(MATCH(235,'Transfer Engine'!$C$2:$C$630,0)),"",INDEX('Compliance Database'!$C$2:$C$630,MATCH(235,'Transfer Engine'!$C$2:$C$630,0)))</f>
        <v/>
      </c>
      <c r="D244" s="8">
        <f>IF(ISNA(MATCH(235,'Transfer Engine'!$C$2:$C$630,0)),"",INDEX('Compliance Database'!$D$2:$D$630,MATCH(235,'Transfer Engine'!$C$2:$C$630,0)))</f>
        <v/>
      </c>
      <c r="E244">
        <f>IF(ISNA(MATCH(235,'Transfer Engine'!$C$2:$C$630,0)),"",INDEX('Compliance Database'!$E$2:$E$630,MATCH(235,'Transfer Engine'!$C$2:$C$630,0)))</f>
        <v/>
      </c>
      <c r="F244">
        <f>IF(ISNA(MATCH(235,'Transfer Engine'!$C$2:$C$630,0)),"",INDEX('Compliance Database'!$F$2:$F$630,MATCH(235,'Transfer Engine'!$C$2:$C$630,0)))</f>
        <v/>
      </c>
      <c r="G244">
        <f>IF(ISNA(MATCH(235,'Transfer Engine'!$C$2:$C$630,0)),"",INDEX('Compliance Database'!$G$2:$G$630,MATCH(235,'Transfer Engine'!$C$2:$C$630,0)))</f>
        <v/>
      </c>
      <c r="H244">
        <f>IF(ISNA(MATCH(235,'Transfer Engine'!$C$2:$C$630,0)),"",INDEX('Compliance Database'!$H$2:$H$630,MATCH(235,'Transfer Engine'!$C$2:$C$630,0)))</f>
        <v/>
      </c>
      <c r="I244" s="8">
        <f>IF(ISNA(MATCH(235,'Transfer Engine'!$C$2:$C$630,0)),"",INDEX('Compliance Database'!$I$2:$I$630,MATCH(235,'Transfer Engine'!$C$2:$C$630,0)))</f>
        <v/>
      </c>
      <c r="J244" s="8">
        <f>IF(ISNA(MATCH(235,'Transfer Engine'!$C$2:$C$630,0)),"",INDEX('Compliance Database'!$J$2:$J$630,MATCH(235,'Transfer Engine'!$C$2:$C$630,0)))</f>
        <v/>
      </c>
      <c r="K244">
        <f>IF(ISNA(MATCH(235,'Transfer Engine'!$C$2:$C$630,0)),"",INDEX('Compliance Database'!$K$2:$K$630,MATCH(235,'Transfer Engine'!$C$2:$C$630,0)))</f>
        <v/>
      </c>
      <c r="L244" s="8">
        <f>IF(ISNA(MATCH(235,'Transfer Engine'!$C$2:$C$630,0)),"",INDEX('Compliance Database'!$L$2:$L$630,MATCH(235,'Transfer Engine'!$C$2:$C$630,0)))</f>
        <v/>
      </c>
      <c r="M244" s="8">
        <f>IF(ISNA(MATCH(235,'Transfer Engine'!$C$2:$C$630,0)),"",INDEX('Compliance Database'!$M$2:$M$630,MATCH(235,'Transfer Engine'!$C$2:$C$630,0)))</f>
        <v/>
      </c>
      <c r="N244" s="8">
        <f>IF(ISNA(MATCH(235,'Transfer Engine'!$C$2:$C$630,0)),"",INDEX('Compliance Database'!$N$2:$N$630,MATCH(235,'Transfer Engine'!$C$2:$C$630,0)))</f>
        <v/>
      </c>
      <c r="O244" s="8">
        <f>IF(ISNA(MATCH(235,'Transfer Engine'!$C$2:$C$630,0)),"",INDEX('Compliance Database'!$O$2:$O$630,MATCH(235,'Transfer Engine'!$C$2:$C$630,0)))</f>
        <v/>
      </c>
    </row>
    <row r="245">
      <c r="A245">
        <f>IF(ISNA(MATCH(236,'Transfer Engine'!$C$2:$C$630,0)),"",INDEX('Compliance Database'!$A$2:$A$630,MATCH(236,'Transfer Engine'!$C$2:$C$630,0)))</f>
        <v/>
      </c>
      <c r="B245">
        <f>IF(ISNA(MATCH(236,'Transfer Engine'!$C$2:$C$630,0)),"",INDEX('Compliance Database'!$B$2:$B$630,MATCH(236,'Transfer Engine'!$C$2:$C$630,0)))</f>
        <v/>
      </c>
      <c r="C245">
        <f>IF(ISNA(MATCH(236,'Transfer Engine'!$C$2:$C$630,0)),"",INDEX('Compliance Database'!$C$2:$C$630,MATCH(236,'Transfer Engine'!$C$2:$C$630,0)))</f>
        <v/>
      </c>
      <c r="D245" s="8">
        <f>IF(ISNA(MATCH(236,'Transfer Engine'!$C$2:$C$630,0)),"",INDEX('Compliance Database'!$D$2:$D$630,MATCH(236,'Transfer Engine'!$C$2:$C$630,0)))</f>
        <v/>
      </c>
      <c r="E245">
        <f>IF(ISNA(MATCH(236,'Transfer Engine'!$C$2:$C$630,0)),"",INDEX('Compliance Database'!$E$2:$E$630,MATCH(236,'Transfer Engine'!$C$2:$C$630,0)))</f>
        <v/>
      </c>
      <c r="F245">
        <f>IF(ISNA(MATCH(236,'Transfer Engine'!$C$2:$C$630,0)),"",INDEX('Compliance Database'!$F$2:$F$630,MATCH(236,'Transfer Engine'!$C$2:$C$630,0)))</f>
        <v/>
      </c>
      <c r="G245">
        <f>IF(ISNA(MATCH(236,'Transfer Engine'!$C$2:$C$630,0)),"",INDEX('Compliance Database'!$G$2:$G$630,MATCH(236,'Transfer Engine'!$C$2:$C$630,0)))</f>
        <v/>
      </c>
      <c r="H245">
        <f>IF(ISNA(MATCH(236,'Transfer Engine'!$C$2:$C$630,0)),"",INDEX('Compliance Database'!$H$2:$H$630,MATCH(236,'Transfer Engine'!$C$2:$C$630,0)))</f>
        <v/>
      </c>
      <c r="I245" s="8">
        <f>IF(ISNA(MATCH(236,'Transfer Engine'!$C$2:$C$630,0)),"",INDEX('Compliance Database'!$I$2:$I$630,MATCH(236,'Transfer Engine'!$C$2:$C$630,0)))</f>
        <v/>
      </c>
      <c r="J245" s="8">
        <f>IF(ISNA(MATCH(236,'Transfer Engine'!$C$2:$C$630,0)),"",INDEX('Compliance Database'!$J$2:$J$630,MATCH(236,'Transfer Engine'!$C$2:$C$630,0)))</f>
        <v/>
      </c>
      <c r="K245">
        <f>IF(ISNA(MATCH(236,'Transfer Engine'!$C$2:$C$630,0)),"",INDEX('Compliance Database'!$K$2:$K$630,MATCH(236,'Transfer Engine'!$C$2:$C$630,0)))</f>
        <v/>
      </c>
      <c r="L245" s="8">
        <f>IF(ISNA(MATCH(236,'Transfer Engine'!$C$2:$C$630,0)),"",INDEX('Compliance Database'!$L$2:$L$630,MATCH(236,'Transfer Engine'!$C$2:$C$630,0)))</f>
        <v/>
      </c>
      <c r="M245" s="8">
        <f>IF(ISNA(MATCH(236,'Transfer Engine'!$C$2:$C$630,0)),"",INDEX('Compliance Database'!$M$2:$M$630,MATCH(236,'Transfer Engine'!$C$2:$C$630,0)))</f>
        <v/>
      </c>
      <c r="N245" s="8">
        <f>IF(ISNA(MATCH(236,'Transfer Engine'!$C$2:$C$630,0)),"",INDEX('Compliance Database'!$N$2:$N$630,MATCH(236,'Transfer Engine'!$C$2:$C$630,0)))</f>
        <v/>
      </c>
      <c r="O245" s="8">
        <f>IF(ISNA(MATCH(236,'Transfer Engine'!$C$2:$C$630,0)),"",INDEX('Compliance Database'!$O$2:$O$630,MATCH(236,'Transfer Engine'!$C$2:$C$630,0)))</f>
        <v/>
      </c>
    </row>
    <row r="246">
      <c r="A246">
        <f>IF(ISNA(MATCH(237,'Transfer Engine'!$C$2:$C$630,0)),"",INDEX('Compliance Database'!$A$2:$A$630,MATCH(237,'Transfer Engine'!$C$2:$C$630,0)))</f>
        <v/>
      </c>
      <c r="B246">
        <f>IF(ISNA(MATCH(237,'Transfer Engine'!$C$2:$C$630,0)),"",INDEX('Compliance Database'!$B$2:$B$630,MATCH(237,'Transfer Engine'!$C$2:$C$630,0)))</f>
        <v/>
      </c>
      <c r="C246">
        <f>IF(ISNA(MATCH(237,'Transfer Engine'!$C$2:$C$630,0)),"",INDEX('Compliance Database'!$C$2:$C$630,MATCH(237,'Transfer Engine'!$C$2:$C$630,0)))</f>
        <v/>
      </c>
      <c r="D246" s="8">
        <f>IF(ISNA(MATCH(237,'Transfer Engine'!$C$2:$C$630,0)),"",INDEX('Compliance Database'!$D$2:$D$630,MATCH(237,'Transfer Engine'!$C$2:$C$630,0)))</f>
        <v/>
      </c>
      <c r="E246">
        <f>IF(ISNA(MATCH(237,'Transfer Engine'!$C$2:$C$630,0)),"",INDEX('Compliance Database'!$E$2:$E$630,MATCH(237,'Transfer Engine'!$C$2:$C$630,0)))</f>
        <v/>
      </c>
      <c r="F246">
        <f>IF(ISNA(MATCH(237,'Transfer Engine'!$C$2:$C$630,0)),"",INDEX('Compliance Database'!$F$2:$F$630,MATCH(237,'Transfer Engine'!$C$2:$C$630,0)))</f>
        <v/>
      </c>
      <c r="G246">
        <f>IF(ISNA(MATCH(237,'Transfer Engine'!$C$2:$C$630,0)),"",INDEX('Compliance Database'!$G$2:$G$630,MATCH(237,'Transfer Engine'!$C$2:$C$630,0)))</f>
        <v/>
      </c>
      <c r="H246">
        <f>IF(ISNA(MATCH(237,'Transfer Engine'!$C$2:$C$630,0)),"",INDEX('Compliance Database'!$H$2:$H$630,MATCH(237,'Transfer Engine'!$C$2:$C$630,0)))</f>
        <v/>
      </c>
      <c r="I246" s="8">
        <f>IF(ISNA(MATCH(237,'Transfer Engine'!$C$2:$C$630,0)),"",INDEX('Compliance Database'!$I$2:$I$630,MATCH(237,'Transfer Engine'!$C$2:$C$630,0)))</f>
        <v/>
      </c>
      <c r="J246" s="8">
        <f>IF(ISNA(MATCH(237,'Transfer Engine'!$C$2:$C$630,0)),"",INDEX('Compliance Database'!$J$2:$J$630,MATCH(237,'Transfer Engine'!$C$2:$C$630,0)))</f>
        <v/>
      </c>
      <c r="K246">
        <f>IF(ISNA(MATCH(237,'Transfer Engine'!$C$2:$C$630,0)),"",INDEX('Compliance Database'!$K$2:$K$630,MATCH(237,'Transfer Engine'!$C$2:$C$630,0)))</f>
        <v/>
      </c>
      <c r="L246" s="8">
        <f>IF(ISNA(MATCH(237,'Transfer Engine'!$C$2:$C$630,0)),"",INDEX('Compliance Database'!$L$2:$L$630,MATCH(237,'Transfer Engine'!$C$2:$C$630,0)))</f>
        <v/>
      </c>
      <c r="M246" s="8">
        <f>IF(ISNA(MATCH(237,'Transfer Engine'!$C$2:$C$630,0)),"",INDEX('Compliance Database'!$M$2:$M$630,MATCH(237,'Transfer Engine'!$C$2:$C$630,0)))</f>
        <v/>
      </c>
      <c r="N246" s="8">
        <f>IF(ISNA(MATCH(237,'Transfer Engine'!$C$2:$C$630,0)),"",INDEX('Compliance Database'!$N$2:$N$630,MATCH(237,'Transfer Engine'!$C$2:$C$630,0)))</f>
        <v/>
      </c>
      <c r="O246" s="8">
        <f>IF(ISNA(MATCH(237,'Transfer Engine'!$C$2:$C$630,0)),"",INDEX('Compliance Database'!$O$2:$O$630,MATCH(237,'Transfer Engine'!$C$2:$C$630,0)))</f>
        <v/>
      </c>
    </row>
    <row r="247">
      <c r="A247">
        <f>IF(ISNA(MATCH(238,'Transfer Engine'!$C$2:$C$630,0)),"",INDEX('Compliance Database'!$A$2:$A$630,MATCH(238,'Transfer Engine'!$C$2:$C$630,0)))</f>
        <v/>
      </c>
      <c r="B247">
        <f>IF(ISNA(MATCH(238,'Transfer Engine'!$C$2:$C$630,0)),"",INDEX('Compliance Database'!$B$2:$B$630,MATCH(238,'Transfer Engine'!$C$2:$C$630,0)))</f>
        <v/>
      </c>
      <c r="C247">
        <f>IF(ISNA(MATCH(238,'Transfer Engine'!$C$2:$C$630,0)),"",INDEX('Compliance Database'!$C$2:$C$630,MATCH(238,'Transfer Engine'!$C$2:$C$630,0)))</f>
        <v/>
      </c>
      <c r="D247" s="8">
        <f>IF(ISNA(MATCH(238,'Transfer Engine'!$C$2:$C$630,0)),"",INDEX('Compliance Database'!$D$2:$D$630,MATCH(238,'Transfer Engine'!$C$2:$C$630,0)))</f>
        <v/>
      </c>
      <c r="E247">
        <f>IF(ISNA(MATCH(238,'Transfer Engine'!$C$2:$C$630,0)),"",INDEX('Compliance Database'!$E$2:$E$630,MATCH(238,'Transfer Engine'!$C$2:$C$630,0)))</f>
        <v/>
      </c>
      <c r="F247">
        <f>IF(ISNA(MATCH(238,'Transfer Engine'!$C$2:$C$630,0)),"",INDEX('Compliance Database'!$F$2:$F$630,MATCH(238,'Transfer Engine'!$C$2:$C$630,0)))</f>
        <v/>
      </c>
      <c r="G247">
        <f>IF(ISNA(MATCH(238,'Transfer Engine'!$C$2:$C$630,0)),"",INDEX('Compliance Database'!$G$2:$G$630,MATCH(238,'Transfer Engine'!$C$2:$C$630,0)))</f>
        <v/>
      </c>
      <c r="H247">
        <f>IF(ISNA(MATCH(238,'Transfer Engine'!$C$2:$C$630,0)),"",INDEX('Compliance Database'!$H$2:$H$630,MATCH(238,'Transfer Engine'!$C$2:$C$630,0)))</f>
        <v/>
      </c>
      <c r="I247" s="8">
        <f>IF(ISNA(MATCH(238,'Transfer Engine'!$C$2:$C$630,0)),"",INDEX('Compliance Database'!$I$2:$I$630,MATCH(238,'Transfer Engine'!$C$2:$C$630,0)))</f>
        <v/>
      </c>
      <c r="J247" s="8">
        <f>IF(ISNA(MATCH(238,'Transfer Engine'!$C$2:$C$630,0)),"",INDEX('Compliance Database'!$J$2:$J$630,MATCH(238,'Transfer Engine'!$C$2:$C$630,0)))</f>
        <v/>
      </c>
      <c r="K247">
        <f>IF(ISNA(MATCH(238,'Transfer Engine'!$C$2:$C$630,0)),"",INDEX('Compliance Database'!$K$2:$K$630,MATCH(238,'Transfer Engine'!$C$2:$C$630,0)))</f>
        <v/>
      </c>
      <c r="L247" s="8">
        <f>IF(ISNA(MATCH(238,'Transfer Engine'!$C$2:$C$630,0)),"",INDEX('Compliance Database'!$L$2:$L$630,MATCH(238,'Transfer Engine'!$C$2:$C$630,0)))</f>
        <v/>
      </c>
      <c r="M247" s="8">
        <f>IF(ISNA(MATCH(238,'Transfer Engine'!$C$2:$C$630,0)),"",INDEX('Compliance Database'!$M$2:$M$630,MATCH(238,'Transfer Engine'!$C$2:$C$630,0)))</f>
        <v/>
      </c>
      <c r="N247" s="8">
        <f>IF(ISNA(MATCH(238,'Transfer Engine'!$C$2:$C$630,0)),"",INDEX('Compliance Database'!$N$2:$N$630,MATCH(238,'Transfer Engine'!$C$2:$C$630,0)))</f>
        <v/>
      </c>
      <c r="O247" s="8">
        <f>IF(ISNA(MATCH(238,'Transfer Engine'!$C$2:$C$630,0)),"",INDEX('Compliance Database'!$O$2:$O$630,MATCH(238,'Transfer Engine'!$C$2:$C$630,0)))</f>
        <v/>
      </c>
    </row>
    <row r="248">
      <c r="A248">
        <f>IF(ISNA(MATCH(239,'Transfer Engine'!$C$2:$C$630,0)),"",INDEX('Compliance Database'!$A$2:$A$630,MATCH(239,'Transfer Engine'!$C$2:$C$630,0)))</f>
        <v/>
      </c>
      <c r="B248">
        <f>IF(ISNA(MATCH(239,'Transfer Engine'!$C$2:$C$630,0)),"",INDEX('Compliance Database'!$B$2:$B$630,MATCH(239,'Transfer Engine'!$C$2:$C$630,0)))</f>
        <v/>
      </c>
      <c r="C248">
        <f>IF(ISNA(MATCH(239,'Transfer Engine'!$C$2:$C$630,0)),"",INDEX('Compliance Database'!$C$2:$C$630,MATCH(239,'Transfer Engine'!$C$2:$C$630,0)))</f>
        <v/>
      </c>
      <c r="D248" s="8">
        <f>IF(ISNA(MATCH(239,'Transfer Engine'!$C$2:$C$630,0)),"",INDEX('Compliance Database'!$D$2:$D$630,MATCH(239,'Transfer Engine'!$C$2:$C$630,0)))</f>
        <v/>
      </c>
      <c r="E248">
        <f>IF(ISNA(MATCH(239,'Transfer Engine'!$C$2:$C$630,0)),"",INDEX('Compliance Database'!$E$2:$E$630,MATCH(239,'Transfer Engine'!$C$2:$C$630,0)))</f>
        <v/>
      </c>
      <c r="F248">
        <f>IF(ISNA(MATCH(239,'Transfer Engine'!$C$2:$C$630,0)),"",INDEX('Compliance Database'!$F$2:$F$630,MATCH(239,'Transfer Engine'!$C$2:$C$630,0)))</f>
        <v/>
      </c>
      <c r="G248">
        <f>IF(ISNA(MATCH(239,'Transfer Engine'!$C$2:$C$630,0)),"",INDEX('Compliance Database'!$G$2:$G$630,MATCH(239,'Transfer Engine'!$C$2:$C$630,0)))</f>
        <v/>
      </c>
      <c r="H248">
        <f>IF(ISNA(MATCH(239,'Transfer Engine'!$C$2:$C$630,0)),"",INDEX('Compliance Database'!$H$2:$H$630,MATCH(239,'Transfer Engine'!$C$2:$C$630,0)))</f>
        <v/>
      </c>
      <c r="I248" s="8">
        <f>IF(ISNA(MATCH(239,'Transfer Engine'!$C$2:$C$630,0)),"",INDEX('Compliance Database'!$I$2:$I$630,MATCH(239,'Transfer Engine'!$C$2:$C$630,0)))</f>
        <v/>
      </c>
      <c r="J248" s="8">
        <f>IF(ISNA(MATCH(239,'Transfer Engine'!$C$2:$C$630,0)),"",INDEX('Compliance Database'!$J$2:$J$630,MATCH(239,'Transfer Engine'!$C$2:$C$630,0)))</f>
        <v/>
      </c>
      <c r="K248">
        <f>IF(ISNA(MATCH(239,'Transfer Engine'!$C$2:$C$630,0)),"",INDEX('Compliance Database'!$K$2:$K$630,MATCH(239,'Transfer Engine'!$C$2:$C$630,0)))</f>
        <v/>
      </c>
      <c r="L248" s="8">
        <f>IF(ISNA(MATCH(239,'Transfer Engine'!$C$2:$C$630,0)),"",INDEX('Compliance Database'!$L$2:$L$630,MATCH(239,'Transfer Engine'!$C$2:$C$630,0)))</f>
        <v/>
      </c>
      <c r="M248" s="8">
        <f>IF(ISNA(MATCH(239,'Transfer Engine'!$C$2:$C$630,0)),"",INDEX('Compliance Database'!$M$2:$M$630,MATCH(239,'Transfer Engine'!$C$2:$C$630,0)))</f>
        <v/>
      </c>
      <c r="N248" s="8">
        <f>IF(ISNA(MATCH(239,'Transfer Engine'!$C$2:$C$630,0)),"",INDEX('Compliance Database'!$N$2:$N$630,MATCH(239,'Transfer Engine'!$C$2:$C$630,0)))</f>
        <v/>
      </c>
      <c r="O248" s="8">
        <f>IF(ISNA(MATCH(239,'Transfer Engine'!$C$2:$C$630,0)),"",INDEX('Compliance Database'!$O$2:$O$630,MATCH(239,'Transfer Engine'!$C$2:$C$630,0)))</f>
        <v/>
      </c>
    </row>
    <row r="249">
      <c r="A249">
        <f>IF(ISNA(MATCH(240,'Transfer Engine'!$C$2:$C$630,0)),"",INDEX('Compliance Database'!$A$2:$A$630,MATCH(240,'Transfer Engine'!$C$2:$C$630,0)))</f>
        <v/>
      </c>
      <c r="B249">
        <f>IF(ISNA(MATCH(240,'Transfer Engine'!$C$2:$C$630,0)),"",INDEX('Compliance Database'!$B$2:$B$630,MATCH(240,'Transfer Engine'!$C$2:$C$630,0)))</f>
        <v/>
      </c>
      <c r="C249">
        <f>IF(ISNA(MATCH(240,'Transfer Engine'!$C$2:$C$630,0)),"",INDEX('Compliance Database'!$C$2:$C$630,MATCH(240,'Transfer Engine'!$C$2:$C$630,0)))</f>
        <v/>
      </c>
      <c r="D249" s="8">
        <f>IF(ISNA(MATCH(240,'Transfer Engine'!$C$2:$C$630,0)),"",INDEX('Compliance Database'!$D$2:$D$630,MATCH(240,'Transfer Engine'!$C$2:$C$630,0)))</f>
        <v/>
      </c>
      <c r="E249">
        <f>IF(ISNA(MATCH(240,'Transfer Engine'!$C$2:$C$630,0)),"",INDEX('Compliance Database'!$E$2:$E$630,MATCH(240,'Transfer Engine'!$C$2:$C$630,0)))</f>
        <v/>
      </c>
      <c r="F249">
        <f>IF(ISNA(MATCH(240,'Transfer Engine'!$C$2:$C$630,0)),"",INDEX('Compliance Database'!$F$2:$F$630,MATCH(240,'Transfer Engine'!$C$2:$C$630,0)))</f>
        <v/>
      </c>
      <c r="G249">
        <f>IF(ISNA(MATCH(240,'Transfer Engine'!$C$2:$C$630,0)),"",INDEX('Compliance Database'!$G$2:$G$630,MATCH(240,'Transfer Engine'!$C$2:$C$630,0)))</f>
        <v/>
      </c>
      <c r="H249">
        <f>IF(ISNA(MATCH(240,'Transfer Engine'!$C$2:$C$630,0)),"",INDEX('Compliance Database'!$H$2:$H$630,MATCH(240,'Transfer Engine'!$C$2:$C$630,0)))</f>
        <v/>
      </c>
      <c r="I249" s="8">
        <f>IF(ISNA(MATCH(240,'Transfer Engine'!$C$2:$C$630,0)),"",INDEX('Compliance Database'!$I$2:$I$630,MATCH(240,'Transfer Engine'!$C$2:$C$630,0)))</f>
        <v/>
      </c>
      <c r="J249" s="8">
        <f>IF(ISNA(MATCH(240,'Transfer Engine'!$C$2:$C$630,0)),"",INDEX('Compliance Database'!$J$2:$J$630,MATCH(240,'Transfer Engine'!$C$2:$C$630,0)))</f>
        <v/>
      </c>
      <c r="K249">
        <f>IF(ISNA(MATCH(240,'Transfer Engine'!$C$2:$C$630,0)),"",INDEX('Compliance Database'!$K$2:$K$630,MATCH(240,'Transfer Engine'!$C$2:$C$630,0)))</f>
        <v/>
      </c>
      <c r="L249" s="8">
        <f>IF(ISNA(MATCH(240,'Transfer Engine'!$C$2:$C$630,0)),"",INDEX('Compliance Database'!$L$2:$L$630,MATCH(240,'Transfer Engine'!$C$2:$C$630,0)))</f>
        <v/>
      </c>
      <c r="M249" s="8">
        <f>IF(ISNA(MATCH(240,'Transfer Engine'!$C$2:$C$630,0)),"",INDEX('Compliance Database'!$M$2:$M$630,MATCH(240,'Transfer Engine'!$C$2:$C$630,0)))</f>
        <v/>
      </c>
      <c r="N249" s="8">
        <f>IF(ISNA(MATCH(240,'Transfer Engine'!$C$2:$C$630,0)),"",INDEX('Compliance Database'!$N$2:$N$630,MATCH(240,'Transfer Engine'!$C$2:$C$630,0)))</f>
        <v/>
      </c>
      <c r="O249" s="8">
        <f>IF(ISNA(MATCH(240,'Transfer Engine'!$C$2:$C$630,0)),"",INDEX('Compliance Database'!$O$2:$O$630,MATCH(240,'Transfer Engine'!$C$2:$C$630,0)))</f>
        <v/>
      </c>
    </row>
    <row r="250">
      <c r="A250">
        <f>IF(ISNA(MATCH(241,'Transfer Engine'!$C$2:$C$630,0)),"",INDEX('Compliance Database'!$A$2:$A$630,MATCH(241,'Transfer Engine'!$C$2:$C$630,0)))</f>
        <v/>
      </c>
      <c r="B250">
        <f>IF(ISNA(MATCH(241,'Transfer Engine'!$C$2:$C$630,0)),"",INDEX('Compliance Database'!$B$2:$B$630,MATCH(241,'Transfer Engine'!$C$2:$C$630,0)))</f>
        <v/>
      </c>
      <c r="C250">
        <f>IF(ISNA(MATCH(241,'Transfer Engine'!$C$2:$C$630,0)),"",INDEX('Compliance Database'!$C$2:$C$630,MATCH(241,'Transfer Engine'!$C$2:$C$630,0)))</f>
        <v/>
      </c>
      <c r="D250" s="8">
        <f>IF(ISNA(MATCH(241,'Transfer Engine'!$C$2:$C$630,0)),"",INDEX('Compliance Database'!$D$2:$D$630,MATCH(241,'Transfer Engine'!$C$2:$C$630,0)))</f>
        <v/>
      </c>
      <c r="E250">
        <f>IF(ISNA(MATCH(241,'Transfer Engine'!$C$2:$C$630,0)),"",INDEX('Compliance Database'!$E$2:$E$630,MATCH(241,'Transfer Engine'!$C$2:$C$630,0)))</f>
        <v/>
      </c>
      <c r="F250">
        <f>IF(ISNA(MATCH(241,'Transfer Engine'!$C$2:$C$630,0)),"",INDEX('Compliance Database'!$F$2:$F$630,MATCH(241,'Transfer Engine'!$C$2:$C$630,0)))</f>
        <v/>
      </c>
      <c r="G250">
        <f>IF(ISNA(MATCH(241,'Transfer Engine'!$C$2:$C$630,0)),"",INDEX('Compliance Database'!$G$2:$G$630,MATCH(241,'Transfer Engine'!$C$2:$C$630,0)))</f>
        <v/>
      </c>
      <c r="H250">
        <f>IF(ISNA(MATCH(241,'Transfer Engine'!$C$2:$C$630,0)),"",INDEX('Compliance Database'!$H$2:$H$630,MATCH(241,'Transfer Engine'!$C$2:$C$630,0)))</f>
        <v/>
      </c>
      <c r="I250" s="8">
        <f>IF(ISNA(MATCH(241,'Transfer Engine'!$C$2:$C$630,0)),"",INDEX('Compliance Database'!$I$2:$I$630,MATCH(241,'Transfer Engine'!$C$2:$C$630,0)))</f>
        <v/>
      </c>
      <c r="J250" s="8">
        <f>IF(ISNA(MATCH(241,'Transfer Engine'!$C$2:$C$630,0)),"",INDEX('Compliance Database'!$J$2:$J$630,MATCH(241,'Transfer Engine'!$C$2:$C$630,0)))</f>
        <v/>
      </c>
      <c r="K250">
        <f>IF(ISNA(MATCH(241,'Transfer Engine'!$C$2:$C$630,0)),"",INDEX('Compliance Database'!$K$2:$K$630,MATCH(241,'Transfer Engine'!$C$2:$C$630,0)))</f>
        <v/>
      </c>
      <c r="L250" s="8">
        <f>IF(ISNA(MATCH(241,'Transfer Engine'!$C$2:$C$630,0)),"",INDEX('Compliance Database'!$L$2:$L$630,MATCH(241,'Transfer Engine'!$C$2:$C$630,0)))</f>
        <v/>
      </c>
      <c r="M250" s="8">
        <f>IF(ISNA(MATCH(241,'Transfer Engine'!$C$2:$C$630,0)),"",INDEX('Compliance Database'!$M$2:$M$630,MATCH(241,'Transfer Engine'!$C$2:$C$630,0)))</f>
        <v/>
      </c>
      <c r="N250" s="8">
        <f>IF(ISNA(MATCH(241,'Transfer Engine'!$C$2:$C$630,0)),"",INDEX('Compliance Database'!$N$2:$N$630,MATCH(241,'Transfer Engine'!$C$2:$C$630,0)))</f>
        <v/>
      </c>
      <c r="O250" s="8">
        <f>IF(ISNA(MATCH(241,'Transfer Engine'!$C$2:$C$630,0)),"",INDEX('Compliance Database'!$O$2:$O$630,MATCH(241,'Transfer Engine'!$C$2:$C$630,0)))</f>
        <v/>
      </c>
    </row>
    <row r="251">
      <c r="A251">
        <f>IF(ISNA(MATCH(242,'Transfer Engine'!$C$2:$C$630,0)),"",INDEX('Compliance Database'!$A$2:$A$630,MATCH(242,'Transfer Engine'!$C$2:$C$630,0)))</f>
        <v/>
      </c>
      <c r="B251">
        <f>IF(ISNA(MATCH(242,'Transfer Engine'!$C$2:$C$630,0)),"",INDEX('Compliance Database'!$B$2:$B$630,MATCH(242,'Transfer Engine'!$C$2:$C$630,0)))</f>
        <v/>
      </c>
      <c r="C251">
        <f>IF(ISNA(MATCH(242,'Transfer Engine'!$C$2:$C$630,0)),"",INDEX('Compliance Database'!$C$2:$C$630,MATCH(242,'Transfer Engine'!$C$2:$C$630,0)))</f>
        <v/>
      </c>
      <c r="D251" s="8">
        <f>IF(ISNA(MATCH(242,'Transfer Engine'!$C$2:$C$630,0)),"",INDEX('Compliance Database'!$D$2:$D$630,MATCH(242,'Transfer Engine'!$C$2:$C$630,0)))</f>
        <v/>
      </c>
      <c r="E251">
        <f>IF(ISNA(MATCH(242,'Transfer Engine'!$C$2:$C$630,0)),"",INDEX('Compliance Database'!$E$2:$E$630,MATCH(242,'Transfer Engine'!$C$2:$C$630,0)))</f>
        <v/>
      </c>
      <c r="F251">
        <f>IF(ISNA(MATCH(242,'Transfer Engine'!$C$2:$C$630,0)),"",INDEX('Compliance Database'!$F$2:$F$630,MATCH(242,'Transfer Engine'!$C$2:$C$630,0)))</f>
        <v/>
      </c>
      <c r="G251">
        <f>IF(ISNA(MATCH(242,'Transfer Engine'!$C$2:$C$630,0)),"",INDEX('Compliance Database'!$G$2:$G$630,MATCH(242,'Transfer Engine'!$C$2:$C$630,0)))</f>
        <v/>
      </c>
      <c r="H251">
        <f>IF(ISNA(MATCH(242,'Transfer Engine'!$C$2:$C$630,0)),"",INDEX('Compliance Database'!$H$2:$H$630,MATCH(242,'Transfer Engine'!$C$2:$C$630,0)))</f>
        <v/>
      </c>
      <c r="I251" s="8">
        <f>IF(ISNA(MATCH(242,'Transfer Engine'!$C$2:$C$630,0)),"",INDEX('Compliance Database'!$I$2:$I$630,MATCH(242,'Transfer Engine'!$C$2:$C$630,0)))</f>
        <v/>
      </c>
      <c r="J251" s="8">
        <f>IF(ISNA(MATCH(242,'Transfer Engine'!$C$2:$C$630,0)),"",INDEX('Compliance Database'!$J$2:$J$630,MATCH(242,'Transfer Engine'!$C$2:$C$630,0)))</f>
        <v/>
      </c>
      <c r="K251">
        <f>IF(ISNA(MATCH(242,'Transfer Engine'!$C$2:$C$630,0)),"",INDEX('Compliance Database'!$K$2:$K$630,MATCH(242,'Transfer Engine'!$C$2:$C$630,0)))</f>
        <v/>
      </c>
      <c r="L251" s="8">
        <f>IF(ISNA(MATCH(242,'Transfer Engine'!$C$2:$C$630,0)),"",INDEX('Compliance Database'!$L$2:$L$630,MATCH(242,'Transfer Engine'!$C$2:$C$630,0)))</f>
        <v/>
      </c>
      <c r="M251" s="8">
        <f>IF(ISNA(MATCH(242,'Transfer Engine'!$C$2:$C$630,0)),"",INDEX('Compliance Database'!$M$2:$M$630,MATCH(242,'Transfer Engine'!$C$2:$C$630,0)))</f>
        <v/>
      </c>
      <c r="N251" s="8">
        <f>IF(ISNA(MATCH(242,'Transfer Engine'!$C$2:$C$630,0)),"",INDEX('Compliance Database'!$N$2:$N$630,MATCH(242,'Transfer Engine'!$C$2:$C$630,0)))</f>
        <v/>
      </c>
      <c r="O251" s="8">
        <f>IF(ISNA(MATCH(242,'Transfer Engine'!$C$2:$C$630,0)),"",INDEX('Compliance Database'!$O$2:$O$630,MATCH(242,'Transfer Engine'!$C$2:$C$630,0)))</f>
        <v/>
      </c>
    </row>
    <row r="252">
      <c r="A252">
        <f>IF(ISNA(MATCH(243,'Transfer Engine'!$C$2:$C$630,0)),"",INDEX('Compliance Database'!$A$2:$A$630,MATCH(243,'Transfer Engine'!$C$2:$C$630,0)))</f>
        <v/>
      </c>
      <c r="B252">
        <f>IF(ISNA(MATCH(243,'Transfer Engine'!$C$2:$C$630,0)),"",INDEX('Compliance Database'!$B$2:$B$630,MATCH(243,'Transfer Engine'!$C$2:$C$630,0)))</f>
        <v/>
      </c>
      <c r="C252">
        <f>IF(ISNA(MATCH(243,'Transfer Engine'!$C$2:$C$630,0)),"",INDEX('Compliance Database'!$C$2:$C$630,MATCH(243,'Transfer Engine'!$C$2:$C$630,0)))</f>
        <v/>
      </c>
      <c r="D252" s="8">
        <f>IF(ISNA(MATCH(243,'Transfer Engine'!$C$2:$C$630,0)),"",INDEX('Compliance Database'!$D$2:$D$630,MATCH(243,'Transfer Engine'!$C$2:$C$630,0)))</f>
        <v/>
      </c>
      <c r="E252">
        <f>IF(ISNA(MATCH(243,'Transfer Engine'!$C$2:$C$630,0)),"",INDEX('Compliance Database'!$E$2:$E$630,MATCH(243,'Transfer Engine'!$C$2:$C$630,0)))</f>
        <v/>
      </c>
      <c r="F252">
        <f>IF(ISNA(MATCH(243,'Transfer Engine'!$C$2:$C$630,0)),"",INDEX('Compliance Database'!$F$2:$F$630,MATCH(243,'Transfer Engine'!$C$2:$C$630,0)))</f>
        <v/>
      </c>
      <c r="G252">
        <f>IF(ISNA(MATCH(243,'Transfer Engine'!$C$2:$C$630,0)),"",INDEX('Compliance Database'!$G$2:$G$630,MATCH(243,'Transfer Engine'!$C$2:$C$630,0)))</f>
        <v/>
      </c>
      <c r="H252">
        <f>IF(ISNA(MATCH(243,'Transfer Engine'!$C$2:$C$630,0)),"",INDEX('Compliance Database'!$H$2:$H$630,MATCH(243,'Transfer Engine'!$C$2:$C$630,0)))</f>
        <v/>
      </c>
      <c r="I252" s="8">
        <f>IF(ISNA(MATCH(243,'Transfer Engine'!$C$2:$C$630,0)),"",INDEX('Compliance Database'!$I$2:$I$630,MATCH(243,'Transfer Engine'!$C$2:$C$630,0)))</f>
        <v/>
      </c>
      <c r="J252" s="8">
        <f>IF(ISNA(MATCH(243,'Transfer Engine'!$C$2:$C$630,0)),"",INDEX('Compliance Database'!$J$2:$J$630,MATCH(243,'Transfer Engine'!$C$2:$C$630,0)))</f>
        <v/>
      </c>
      <c r="K252">
        <f>IF(ISNA(MATCH(243,'Transfer Engine'!$C$2:$C$630,0)),"",INDEX('Compliance Database'!$K$2:$K$630,MATCH(243,'Transfer Engine'!$C$2:$C$630,0)))</f>
        <v/>
      </c>
      <c r="L252" s="8">
        <f>IF(ISNA(MATCH(243,'Transfer Engine'!$C$2:$C$630,0)),"",INDEX('Compliance Database'!$L$2:$L$630,MATCH(243,'Transfer Engine'!$C$2:$C$630,0)))</f>
        <v/>
      </c>
      <c r="M252" s="8">
        <f>IF(ISNA(MATCH(243,'Transfer Engine'!$C$2:$C$630,0)),"",INDEX('Compliance Database'!$M$2:$M$630,MATCH(243,'Transfer Engine'!$C$2:$C$630,0)))</f>
        <v/>
      </c>
      <c r="N252" s="8">
        <f>IF(ISNA(MATCH(243,'Transfer Engine'!$C$2:$C$630,0)),"",INDEX('Compliance Database'!$N$2:$N$630,MATCH(243,'Transfer Engine'!$C$2:$C$630,0)))</f>
        <v/>
      </c>
      <c r="O252" s="8">
        <f>IF(ISNA(MATCH(243,'Transfer Engine'!$C$2:$C$630,0)),"",INDEX('Compliance Database'!$O$2:$O$630,MATCH(243,'Transfer Engine'!$C$2:$C$630,0)))</f>
        <v/>
      </c>
    </row>
    <row r="253">
      <c r="A253">
        <f>IF(ISNA(MATCH(244,'Transfer Engine'!$C$2:$C$630,0)),"",INDEX('Compliance Database'!$A$2:$A$630,MATCH(244,'Transfer Engine'!$C$2:$C$630,0)))</f>
        <v/>
      </c>
      <c r="B253">
        <f>IF(ISNA(MATCH(244,'Transfer Engine'!$C$2:$C$630,0)),"",INDEX('Compliance Database'!$B$2:$B$630,MATCH(244,'Transfer Engine'!$C$2:$C$630,0)))</f>
        <v/>
      </c>
      <c r="C253">
        <f>IF(ISNA(MATCH(244,'Transfer Engine'!$C$2:$C$630,0)),"",INDEX('Compliance Database'!$C$2:$C$630,MATCH(244,'Transfer Engine'!$C$2:$C$630,0)))</f>
        <v/>
      </c>
      <c r="D253" s="8">
        <f>IF(ISNA(MATCH(244,'Transfer Engine'!$C$2:$C$630,0)),"",INDEX('Compliance Database'!$D$2:$D$630,MATCH(244,'Transfer Engine'!$C$2:$C$630,0)))</f>
        <v/>
      </c>
      <c r="E253">
        <f>IF(ISNA(MATCH(244,'Transfer Engine'!$C$2:$C$630,0)),"",INDEX('Compliance Database'!$E$2:$E$630,MATCH(244,'Transfer Engine'!$C$2:$C$630,0)))</f>
        <v/>
      </c>
      <c r="F253">
        <f>IF(ISNA(MATCH(244,'Transfer Engine'!$C$2:$C$630,0)),"",INDEX('Compliance Database'!$F$2:$F$630,MATCH(244,'Transfer Engine'!$C$2:$C$630,0)))</f>
        <v/>
      </c>
      <c r="G253">
        <f>IF(ISNA(MATCH(244,'Transfer Engine'!$C$2:$C$630,0)),"",INDEX('Compliance Database'!$G$2:$G$630,MATCH(244,'Transfer Engine'!$C$2:$C$630,0)))</f>
        <v/>
      </c>
      <c r="H253">
        <f>IF(ISNA(MATCH(244,'Transfer Engine'!$C$2:$C$630,0)),"",INDEX('Compliance Database'!$H$2:$H$630,MATCH(244,'Transfer Engine'!$C$2:$C$630,0)))</f>
        <v/>
      </c>
      <c r="I253" s="8">
        <f>IF(ISNA(MATCH(244,'Transfer Engine'!$C$2:$C$630,0)),"",INDEX('Compliance Database'!$I$2:$I$630,MATCH(244,'Transfer Engine'!$C$2:$C$630,0)))</f>
        <v/>
      </c>
      <c r="J253" s="8">
        <f>IF(ISNA(MATCH(244,'Transfer Engine'!$C$2:$C$630,0)),"",INDEX('Compliance Database'!$J$2:$J$630,MATCH(244,'Transfer Engine'!$C$2:$C$630,0)))</f>
        <v/>
      </c>
      <c r="K253">
        <f>IF(ISNA(MATCH(244,'Transfer Engine'!$C$2:$C$630,0)),"",INDEX('Compliance Database'!$K$2:$K$630,MATCH(244,'Transfer Engine'!$C$2:$C$630,0)))</f>
        <v/>
      </c>
      <c r="L253" s="8">
        <f>IF(ISNA(MATCH(244,'Transfer Engine'!$C$2:$C$630,0)),"",INDEX('Compliance Database'!$L$2:$L$630,MATCH(244,'Transfer Engine'!$C$2:$C$630,0)))</f>
        <v/>
      </c>
      <c r="M253" s="8">
        <f>IF(ISNA(MATCH(244,'Transfer Engine'!$C$2:$C$630,0)),"",INDEX('Compliance Database'!$M$2:$M$630,MATCH(244,'Transfer Engine'!$C$2:$C$630,0)))</f>
        <v/>
      </c>
      <c r="N253" s="8">
        <f>IF(ISNA(MATCH(244,'Transfer Engine'!$C$2:$C$630,0)),"",INDEX('Compliance Database'!$N$2:$N$630,MATCH(244,'Transfer Engine'!$C$2:$C$630,0)))</f>
        <v/>
      </c>
      <c r="O253" s="8">
        <f>IF(ISNA(MATCH(244,'Transfer Engine'!$C$2:$C$630,0)),"",INDEX('Compliance Database'!$O$2:$O$630,MATCH(244,'Transfer Engine'!$C$2:$C$630,0)))</f>
        <v/>
      </c>
    </row>
    <row r="254">
      <c r="A254">
        <f>IF(ISNA(MATCH(245,'Transfer Engine'!$C$2:$C$630,0)),"",INDEX('Compliance Database'!$A$2:$A$630,MATCH(245,'Transfer Engine'!$C$2:$C$630,0)))</f>
        <v/>
      </c>
      <c r="B254">
        <f>IF(ISNA(MATCH(245,'Transfer Engine'!$C$2:$C$630,0)),"",INDEX('Compliance Database'!$B$2:$B$630,MATCH(245,'Transfer Engine'!$C$2:$C$630,0)))</f>
        <v/>
      </c>
      <c r="C254">
        <f>IF(ISNA(MATCH(245,'Transfer Engine'!$C$2:$C$630,0)),"",INDEX('Compliance Database'!$C$2:$C$630,MATCH(245,'Transfer Engine'!$C$2:$C$630,0)))</f>
        <v/>
      </c>
      <c r="D254" s="8">
        <f>IF(ISNA(MATCH(245,'Transfer Engine'!$C$2:$C$630,0)),"",INDEX('Compliance Database'!$D$2:$D$630,MATCH(245,'Transfer Engine'!$C$2:$C$630,0)))</f>
        <v/>
      </c>
      <c r="E254">
        <f>IF(ISNA(MATCH(245,'Transfer Engine'!$C$2:$C$630,0)),"",INDEX('Compliance Database'!$E$2:$E$630,MATCH(245,'Transfer Engine'!$C$2:$C$630,0)))</f>
        <v/>
      </c>
      <c r="F254">
        <f>IF(ISNA(MATCH(245,'Transfer Engine'!$C$2:$C$630,0)),"",INDEX('Compliance Database'!$F$2:$F$630,MATCH(245,'Transfer Engine'!$C$2:$C$630,0)))</f>
        <v/>
      </c>
      <c r="G254">
        <f>IF(ISNA(MATCH(245,'Transfer Engine'!$C$2:$C$630,0)),"",INDEX('Compliance Database'!$G$2:$G$630,MATCH(245,'Transfer Engine'!$C$2:$C$630,0)))</f>
        <v/>
      </c>
      <c r="H254">
        <f>IF(ISNA(MATCH(245,'Transfer Engine'!$C$2:$C$630,0)),"",INDEX('Compliance Database'!$H$2:$H$630,MATCH(245,'Transfer Engine'!$C$2:$C$630,0)))</f>
        <v/>
      </c>
      <c r="I254" s="8">
        <f>IF(ISNA(MATCH(245,'Transfer Engine'!$C$2:$C$630,0)),"",INDEX('Compliance Database'!$I$2:$I$630,MATCH(245,'Transfer Engine'!$C$2:$C$630,0)))</f>
        <v/>
      </c>
      <c r="J254" s="8">
        <f>IF(ISNA(MATCH(245,'Transfer Engine'!$C$2:$C$630,0)),"",INDEX('Compliance Database'!$J$2:$J$630,MATCH(245,'Transfer Engine'!$C$2:$C$630,0)))</f>
        <v/>
      </c>
      <c r="K254">
        <f>IF(ISNA(MATCH(245,'Transfer Engine'!$C$2:$C$630,0)),"",INDEX('Compliance Database'!$K$2:$K$630,MATCH(245,'Transfer Engine'!$C$2:$C$630,0)))</f>
        <v/>
      </c>
      <c r="L254" s="8">
        <f>IF(ISNA(MATCH(245,'Transfer Engine'!$C$2:$C$630,0)),"",INDEX('Compliance Database'!$L$2:$L$630,MATCH(245,'Transfer Engine'!$C$2:$C$630,0)))</f>
        <v/>
      </c>
      <c r="M254" s="8">
        <f>IF(ISNA(MATCH(245,'Transfer Engine'!$C$2:$C$630,0)),"",INDEX('Compliance Database'!$M$2:$M$630,MATCH(245,'Transfer Engine'!$C$2:$C$630,0)))</f>
        <v/>
      </c>
      <c r="N254" s="8">
        <f>IF(ISNA(MATCH(245,'Transfer Engine'!$C$2:$C$630,0)),"",INDEX('Compliance Database'!$N$2:$N$630,MATCH(245,'Transfer Engine'!$C$2:$C$630,0)))</f>
        <v/>
      </c>
      <c r="O254" s="8">
        <f>IF(ISNA(MATCH(245,'Transfer Engine'!$C$2:$C$630,0)),"",INDEX('Compliance Database'!$O$2:$O$630,MATCH(245,'Transfer Engine'!$C$2:$C$630,0)))</f>
        <v/>
      </c>
    </row>
    <row r="255">
      <c r="A255">
        <f>IF(ISNA(MATCH(246,'Transfer Engine'!$C$2:$C$630,0)),"",INDEX('Compliance Database'!$A$2:$A$630,MATCH(246,'Transfer Engine'!$C$2:$C$630,0)))</f>
        <v/>
      </c>
      <c r="B255">
        <f>IF(ISNA(MATCH(246,'Transfer Engine'!$C$2:$C$630,0)),"",INDEX('Compliance Database'!$B$2:$B$630,MATCH(246,'Transfer Engine'!$C$2:$C$630,0)))</f>
        <v/>
      </c>
      <c r="C255">
        <f>IF(ISNA(MATCH(246,'Transfer Engine'!$C$2:$C$630,0)),"",INDEX('Compliance Database'!$C$2:$C$630,MATCH(246,'Transfer Engine'!$C$2:$C$630,0)))</f>
        <v/>
      </c>
      <c r="D255" s="8">
        <f>IF(ISNA(MATCH(246,'Transfer Engine'!$C$2:$C$630,0)),"",INDEX('Compliance Database'!$D$2:$D$630,MATCH(246,'Transfer Engine'!$C$2:$C$630,0)))</f>
        <v/>
      </c>
      <c r="E255">
        <f>IF(ISNA(MATCH(246,'Transfer Engine'!$C$2:$C$630,0)),"",INDEX('Compliance Database'!$E$2:$E$630,MATCH(246,'Transfer Engine'!$C$2:$C$630,0)))</f>
        <v/>
      </c>
      <c r="F255">
        <f>IF(ISNA(MATCH(246,'Transfer Engine'!$C$2:$C$630,0)),"",INDEX('Compliance Database'!$F$2:$F$630,MATCH(246,'Transfer Engine'!$C$2:$C$630,0)))</f>
        <v/>
      </c>
      <c r="G255">
        <f>IF(ISNA(MATCH(246,'Transfer Engine'!$C$2:$C$630,0)),"",INDEX('Compliance Database'!$G$2:$G$630,MATCH(246,'Transfer Engine'!$C$2:$C$630,0)))</f>
        <v/>
      </c>
      <c r="H255">
        <f>IF(ISNA(MATCH(246,'Transfer Engine'!$C$2:$C$630,0)),"",INDEX('Compliance Database'!$H$2:$H$630,MATCH(246,'Transfer Engine'!$C$2:$C$630,0)))</f>
        <v/>
      </c>
      <c r="I255" s="8">
        <f>IF(ISNA(MATCH(246,'Transfer Engine'!$C$2:$C$630,0)),"",INDEX('Compliance Database'!$I$2:$I$630,MATCH(246,'Transfer Engine'!$C$2:$C$630,0)))</f>
        <v/>
      </c>
      <c r="J255" s="8">
        <f>IF(ISNA(MATCH(246,'Transfer Engine'!$C$2:$C$630,0)),"",INDEX('Compliance Database'!$J$2:$J$630,MATCH(246,'Transfer Engine'!$C$2:$C$630,0)))</f>
        <v/>
      </c>
      <c r="K255">
        <f>IF(ISNA(MATCH(246,'Transfer Engine'!$C$2:$C$630,0)),"",INDEX('Compliance Database'!$K$2:$K$630,MATCH(246,'Transfer Engine'!$C$2:$C$630,0)))</f>
        <v/>
      </c>
      <c r="L255" s="8">
        <f>IF(ISNA(MATCH(246,'Transfer Engine'!$C$2:$C$630,0)),"",INDEX('Compliance Database'!$L$2:$L$630,MATCH(246,'Transfer Engine'!$C$2:$C$630,0)))</f>
        <v/>
      </c>
      <c r="M255" s="8">
        <f>IF(ISNA(MATCH(246,'Transfer Engine'!$C$2:$C$630,0)),"",INDEX('Compliance Database'!$M$2:$M$630,MATCH(246,'Transfer Engine'!$C$2:$C$630,0)))</f>
        <v/>
      </c>
      <c r="N255" s="8">
        <f>IF(ISNA(MATCH(246,'Transfer Engine'!$C$2:$C$630,0)),"",INDEX('Compliance Database'!$N$2:$N$630,MATCH(246,'Transfer Engine'!$C$2:$C$630,0)))</f>
        <v/>
      </c>
      <c r="O255" s="8">
        <f>IF(ISNA(MATCH(246,'Transfer Engine'!$C$2:$C$630,0)),"",INDEX('Compliance Database'!$O$2:$O$630,MATCH(246,'Transfer Engine'!$C$2:$C$630,0)))</f>
        <v/>
      </c>
    </row>
    <row r="256">
      <c r="A256">
        <f>IF(ISNA(MATCH(247,'Transfer Engine'!$C$2:$C$630,0)),"",INDEX('Compliance Database'!$A$2:$A$630,MATCH(247,'Transfer Engine'!$C$2:$C$630,0)))</f>
        <v/>
      </c>
      <c r="B256">
        <f>IF(ISNA(MATCH(247,'Transfer Engine'!$C$2:$C$630,0)),"",INDEX('Compliance Database'!$B$2:$B$630,MATCH(247,'Transfer Engine'!$C$2:$C$630,0)))</f>
        <v/>
      </c>
      <c r="C256">
        <f>IF(ISNA(MATCH(247,'Transfer Engine'!$C$2:$C$630,0)),"",INDEX('Compliance Database'!$C$2:$C$630,MATCH(247,'Transfer Engine'!$C$2:$C$630,0)))</f>
        <v/>
      </c>
      <c r="D256" s="8">
        <f>IF(ISNA(MATCH(247,'Transfer Engine'!$C$2:$C$630,0)),"",INDEX('Compliance Database'!$D$2:$D$630,MATCH(247,'Transfer Engine'!$C$2:$C$630,0)))</f>
        <v/>
      </c>
      <c r="E256">
        <f>IF(ISNA(MATCH(247,'Transfer Engine'!$C$2:$C$630,0)),"",INDEX('Compliance Database'!$E$2:$E$630,MATCH(247,'Transfer Engine'!$C$2:$C$630,0)))</f>
        <v/>
      </c>
      <c r="F256">
        <f>IF(ISNA(MATCH(247,'Transfer Engine'!$C$2:$C$630,0)),"",INDEX('Compliance Database'!$F$2:$F$630,MATCH(247,'Transfer Engine'!$C$2:$C$630,0)))</f>
        <v/>
      </c>
      <c r="G256">
        <f>IF(ISNA(MATCH(247,'Transfer Engine'!$C$2:$C$630,0)),"",INDEX('Compliance Database'!$G$2:$G$630,MATCH(247,'Transfer Engine'!$C$2:$C$630,0)))</f>
        <v/>
      </c>
      <c r="H256">
        <f>IF(ISNA(MATCH(247,'Transfer Engine'!$C$2:$C$630,0)),"",INDEX('Compliance Database'!$H$2:$H$630,MATCH(247,'Transfer Engine'!$C$2:$C$630,0)))</f>
        <v/>
      </c>
      <c r="I256" s="8">
        <f>IF(ISNA(MATCH(247,'Transfer Engine'!$C$2:$C$630,0)),"",INDEX('Compliance Database'!$I$2:$I$630,MATCH(247,'Transfer Engine'!$C$2:$C$630,0)))</f>
        <v/>
      </c>
      <c r="J256" s="8">
        <f>IF(ISNA(MATCH(247,'Transfer Engine'!$C$2:$C$630,0)),"",INDEX('Compliance Database'!$J$2:$J$630,MATCH(247,'Transfer Engine'!$C$2:$C$630,0)))</f>
        <v/>
      </c>
      <c r="K256">
        <f>IF(ISNA(MATCH(247,'Transfer Engine'!$C$2:$C$630,0)),"",INDEX('Compliance Database'!$K$2:$K$630,MATCH(247,'Transfer Engine'!$C$2:$C$630,0)))</f>
        <v/>
      </c>
      <c r="L256" s="8">
        <f>IF(ISNA(MATCH(247,'Transfer Engine'!$C$2:$C$630,0)),"",INDEX('Compliance Database'!$L$2:$L$630,MATCH(247,'Transfer Engine'!$C$2:$C$630,0)))</f>
        <v/>
      </c>
      <c r="M256" s="8">
        <f>IF(ISNA(MATCH(247,'Transfer Engine'!$C$2:$C$630,0)),"",INDEX('Compliance Database'!$M$2:$M$630,MATCH(247,'Transfer Engine'!$C$2:$C$630,0)))</f>
        <v/>
      </c>
      <c r="N256" s="8">
        <f>IF(ISNA(MATCH(247,'Transfer Engine'!$C$2:$C$630,0)),"",INDEX('Compliance Database'!$N$2:$N$630,MATCH(247,'Transfer Engine'!$C$2:$C$630,0)))</f>
        <v/>
      </c>
      <c r="O256" s="8">
        <f>IF(ISNA(MATCH(247,'Transfer Engine'!$C$2:$C$630,0)),"",INDEX('Compliance Database'!$O$2:$O$630,MATCH(247,'Transfer Engine'!$C$2:$C$630,0)))</f>
        <v/>
      </c>
    </row>
    <row r="257">
      <c r="A257">
        <f>IF(ISNA(MATCH(248,'Transfer Engine'!$C$2:$C$630,0)),"",INDEX('Compliance Database'!$A$2:$A$630,MATCH(248,'Transfer Engine'!$C$2:$C$630,0)))</f>
        <v/>
      </c>
      <c r="B257">
        <f>IF(ISNA(MATCH(248,'Transfer Engine'!$C$2:$C$630,0)),"",INDEX('Compliance Database'!$B$2:$B$630,MATCH(248,'Transfer Engine'!$C$2:$C$630,0)))</f>
        <v/>
      </c>
      <c r="C257">
        <f>IF(ISNA(MATCH(248,'Transfer Engine'!$C$2:$C$630,0)),"",INDEX('Compliance Database'!$C$2:$C$630,MATCH(248,'Transfer Engine'!$C$2:$C$630,0)))</f>
        <v/>
      </c>
      <c r="D257" s="8">
        <f>IF(ISNA(MATCH(248,'Transfer Engine'!$C$2:$C$630,0)),"",INDEX('Compliance Database'!$D$2:$D$630,MATCH(248,'Transfer Engine'!$C$2:$C$630,0)))</f>
        <v/>
      </c>
      <c r="E257">
        <f>IF(ISNA(MATCH(248,'Transfer Engine'!$C$2:$C$630,0)),"",INDEX('Compliance Database'!$E$2:$E$630,MATCH(248,'Transfer Engine'!$C$2:$C$630,0)))</f>
        <v/>
      </c>
      <c r="F257">
        <f>IF(ISNA(MATCH(248,'Transfer Engine'!$C$2:$C$630,0)),"",INDEX('Compliance Database'!$F$2:$F$630,MATCH(248,'Transfer Engine'!$C$2:$C$630,0)))</f>
        <v/>
      </c>
      <c r="G257">
        <f>IF(ISNA(MATCH(248,'Transfer Engine'!$C$2:$C$630,0)),"",INDEX('Compliance Database'!$G$2:$G$630,MATCH(248,'Transfer Engine'!$C$2:$C$630,0)))</f>
        <v/>
      </c>
      <c r="H257">
        <f>IF(ISNA(MATCH(248,'Transfer Engine'!$C$2:$C$630,0)),"",INDEX('Compliance Database'!$H$2:$H$630,MATCH(248,'Transfer Engine'!$C$2:$C$630,0)))</f>
        <v/>
      </c>
      <c r="I257" s="8">
        <f>IF(ISNA(MATCH(248,'Transfer Engine'!$C$2:$C$630,0)),"",INDEX('Compliance Database'!$I$2:$I$630,MATCH(248,'Transfer Engine'!$C$2:$C$630,0)))</f>
        <v/>
      </c>
      <c r="J257" s="8">
        <f>IF(ISNA(MATCH(248,'Transfer Engine'!$C$2:$C$630,0)),"",INDEX('Compliance Database'!$J$2:$J$630,MATCH(248,'Transfer Engine'!$C$2:$C$630,0)))</f>
        <v/>
      </c>
      <c r="K257">
        <f>IF(ISNA(MATCH(248,'Transfer Engine'!$C$2:$C$630,0)),"",INDEX('Compliance Database'!$K$2:$K$630,MATCH(248,'Transfer Engine'!$C$2:$C$630,0)))</f>
        <v/>
      </c>
      <c r="L257" s="8">
        <f>IF(ISNA(MATCH(248,'Transfer Engine'!$C$2:$C$630,0)),"",INDEX('Compliance Database'!$L$2:$L$630,MATCH(248,'Transfer Engine'!$C$2:$C$630,0)))</f>
        <v/>
      </c>
      <c r="M257" s="8">
        <f>IF(ISNA(MATCH(248,'Transfer Engine'!$C$2:$C$630,0)),"",INDEX('Compliance Database'!$M$2:$M$630,MATCH(248,'Transfer Engine'!$C$2:$C$630,0)))</f>
        <v/>
      </c>
      <c r="N257" s="8">
        <f>IF(ISNA(MATCH(248,'Transfer Engine'!$C$2:$C$630,0)),"",INDEX('Compliance Database'!$N$2:$N$630,MATCH(248,'Transfer Engine'!$C$2:$C$630,0)))</f>
        <v/>
      </c>
      <c r="O257" s="8">
        <f>IF(ISNA(MATCH(248,'Transfer Engine'!$C$2:$C$630,0)),"",INDEX('Compliance Database'!$O$2:$O$630,MATCH(248,'Transfer Engine'!$C$2:$C$630,0)))</f>
        <v/>
      </c>
    </row>
    <row r="258">
      <c r="A258">
        <f>IF(ISNA(MATCH(249,'Transfer Engine'!$C$2:$C$630,0)),"",INDEX('Compliance Database'!$A$2:$A$630,MATCH(249,'Transfer Engine'!$C$2:$C$630,0)))</f>
        <v/>
      </c>
      <c r="B258">
        <f>IF(ISNA(MATCH(249,'Transfer Engine'!$C$2:$C$630,0)),"",INDEX('Compliance Database'!$B$2:$B$630,MATCH(249,'Transfer Engine'!$C$2:$C$630,0)))</f>
        <v/>
      </c>
      <c r="C258">
        <f>IF(ISNA(MATCH(249,'Transfer Engine'!$C$2:$C$630,0)),"",INDEX('Compliance Database'!$C$2:$C$630,MATCH(249,'Transfer Engine'!$C$2:$C$630,0)))</f>
        <v/>
      </c>
      <c r="D258" s="8">
        <f>IF(ISNA(MATCH(249,'Transfer Engine'!$C$2:$C$630,0)),"",INDEX('Compliance Database'!$D$2:$D$630,MATCH(249,'Transfer Engine'!$C$2:$C$630,0)))</f>
        <v/>
      </c>
      <c r="E258">
        <f>IF(ISNA(MATCH(249,'Transfer Engine'!$C$2:$C$630,0)),"",INDEX('Compliance Database'!$E$2:$E$630,MATCH(249,'Transfer Engine'!$C$2:$C$630,0)))</f>
        <v/>
      </c>
      <c r="F258">
        <f>IF(ISNA(MATCH(249,'Transfer Engine'!$C$2:$C$630,0)),"",INDEX('Compliance Database'!$F$2:$F$630,MATCH(249,'Transfer Engine'!$C$2:$C$630,0)))</f>
        <v/>
      </c>
      <c r="G258">
        <f>IF(ISNA(MATCH(249,'Transfer Engine'!$C$2:$C$630,0)),"",INDEX('Compliance Database'!$G$2:$G$630,MATCH(249,'Transfer Engine'!$C$2:$C$630,0)))</f>
        <v/>
      </c>
      <c r="H258">
        <f>IF(ISNA(MATCH(249,'Transfer Engine'!$C$2:$C$630,0)),"",INDEX('Compliance Database'!$H$2:$H$630,MATCH(249,'Transfer Engine'!$C$2:$C$630,0)))</f>
        <v/>
      </c>
      <c r="I258" s="8">
        <f>IF(ISNA(MATCH(249,'Transfer Engine'!$C$2:$C$630,0)),"",INDEX('Compliance Database'!$I$2:$I$630,MATCH(249,'Transfer Engine'!$C$2:$C$630,0)))</f>
        <v/>
      </c>
      <c r="J258" s="8">
        <f>IF(ISNA(MATCH(249,'Transfer Engine'!$C$2:$C$630,0)),"",INDEX('Compliance Database'!$J$2:$J$630,MATCH(249,'Transfer Engine'!$C$2:$C$630,0)))</f>
        <v/>
      </c>
      <c r="K258">
        <f>IF(ISNA(MATCH(249,'Transfer Engine'!$C$2:$C$630,0)),"",INDEX('Compliance Database'!$K$2:$K$630,MATCH(249,'Transfer Engine'!$C$2:$C$630,0)))</f>
        <v/>
      </c>
      <c r="L258" s="8">
        <f>IF(ISNA(MATCH(249,'Transfer Engine'!$C$2:$C$630,0)),"",INDEX('Compliance Database'!$L$2:$L$630,MATCH(249,'Transfer Engine'!$C$2:$C$630,0)))</f>
        <v/>
      </c>
      <c r="M258" s="8">
        <f>IF(ISNA(MATCH(249,'Transfer Engine'!$C$2:$C$630,0)),"",INDEX('Compliance Database'!$M$2:$M$630,MATCH(249,'Transfer Engine'!$C$2:$C$630,0)))</f>
        <v/>
      </c>
      <c r="N258" s="8">
        <f>IF(ISNA(MATCH(249,'Transfer Engine'!$C$2:$C$630,0)),"",INDEX('Compliance Database'!$N$2:$N$630,MATCH(249,'Transfer Engine'!$C$2:$C$630,0)))</f>
        <v/>
      </c>
      <c r="O258" s="8">
        <f>IF(ISNA(MATCH(249,'Transfer Engine'!$C$2:$C$630,0)),"",INDEX('Compliance Database'!$O$2:$O$630,MATCH(249,'Transfer Engine'!$C$2:$C$630,0)))</f>
        <v/>
      </c>
    </row>
    <row r="259">
      <c r="A259">
        <f>IF(ISNA(MATCH(250,'Transfer Engine'!$C$2:$C$630,0)),"",INDEX('Compliance Database'!$A$2:$A$630,MATCH(250,'Transfer Engine'!$C$2:$C$630,0)))</f>
        <v/>
      </c>
      <c r="B259">
        <f>IF(ISNA(MATCH(250,'Transfer Engine'!$C$2:$C$630,0)),"",INDEX('Compliance Database'!$B$2:$B$630,MATCH(250,'Transfer Engine'!$C$2:$C$630,0)))</f>
        <v/>
      </c>
      <c r="C259">
        <f>IF(ISNA(MATCH(250,'Transfer Engine'!$C$2:$C$630,0)),"",INDEX('Compliance Database'!$C$2:$C$630,MATCH(250,'Transfer Engine'!$C$2:$C$630,0)))</f>
        <v/>
      </c>
      <c r="D259" s="8">
        <f>IF(ISNA(MATCH(250,'Transfer Engine'!$C$2:$C$630,0)),"",INDEX('Compliance Database'!$D$2:$D$630,MATCH(250,'Transfer Engine'!$C$2:$C$630,0)))</f>
        <v/>
      </c>
      <c r="E259">
        <f>IF(ISNA(MATCH(250,'Transfer Engine'!$C$2:$C$630,0)),"",INDEX('Compliance Database'!$E$2:$E$630,MATCH(250,'Transfer Engine'!$C$2:$C$630,0)))</f>
        <v/>
      </c>
      <c r="F259">
        <f>IF(ISNA(MATCH(250,'Transfer Engine'!$C$2:$C$630,0)),"",INDEX('Compliance Database'!$F$2:$F$630,MATCH(250,'Transfer Engine'!$C$2:$C$630,0)))</f>
        <v/>
      </c>
      <c r="G259">
        <f>IF(ISNA(MATCH(250,'Transfer Engine'!$C$2:$C$630,0)),"",INDEX('Compliance Database'!$G$2:$G$630,MATCH(250,'Transfer Engine'!$C$2:$C$630,0)))</f>
        <v/>
      </c>
      <c r="H259">
        <f>IF(ISNA(MATCH(250,'Transfer Engine'!$C$2:$C$630,0)),"",INDEX('Compliance Database'!$H$2:$H$630,MATCH(250,'Transfer Engine'!$C$2:$C$630,0)))</f>
        <v/>
      </c>
      <c r="I259" s="8">
        <f>IF(ISNA(MATCH(250,'Transfer Engine'!$C$2:$C$630,0)),"",INDEX('Compliance Database'!$I$2:$I$630,MATCH(250,'Transfer Engine'!$C$2:$C$630,0)))</f>
        <v/>
      </c>
      <c r="J259" s="8">
        <f>IF(ISNA(MATCH(250,'Transfer Engine'!$C$2:$C$630,0)),"",INDEX('Compliance Database'!$J$2:$J$630,MATCH(250,'Transfer Engine'!$C$2:$C$630,0)))</f>
        <v/>
      </c>
      <c r="K259">
        <f>IF(ISNA(MATCH(250,'Transfer Engine'!$C$2:$C$630,0)),"",INDEX('Compliance Database'!$K$2:$K$630,MATCH(250,'Transfer Engine'!$C$2:$C$630,0)))</f>
        <v/>
      </c>
      <c r="L259" s="8">
        <f>IF(ISNA(MATCH(250,'Transfer Engine'!$C$2:$C$630,0)),"",INDEX('Compliance Database'!$L$2:$L$630,MATCH(250,'Transfer Engine'!$C$2:$C$630,0)))</f>
        <v/>
      </c>
      <c r="M259" s="8">
        <f>IF(ISNA(MATCH(250,'Transfer Engine'!$C$2:$C$630,0)),"",INDEX('Compliance Database'!$M$2:$M$630,MATCH(250,'Transfer Engine'!$C$2:$C$630,0)))</f>
        <v/>
      </c>
      <c r="N259" s="8">
        <f>IF(ISNA(MATCH(250,'Transfer Engine'!$C$2:$C$630,0)),"",INDEX('Compliance Database'!$N$2:$N$630,MATCH(250,'Transfer Engine'!$C$2:$C$630,0)))</f>
        <v/>
      </c>
      <c r="O259" s="8">
        <f>IF(ISNA(MATCH(250,'Transfer Engine'!$C$2:$C$630,0)),"",INDEX('Compliance Database'!$O$2:$O$630,MATCH(250,'Transfer Engine'!$C$2:$C$630,0)))</f>
        <v/>
      </c>
    </row>
    <row r="260">
      <c r="A260">
        <f>IF(ISNA(MATCH(251,'Transfer Engine'!$C$2:$C$630,0)),"",INDEX('Compliance Database'!$A$2:$A$630,MATCH(251,'Transfer Engine'!$C$2:$C$630,0)))</f>
        <v/>
      </c>
      <c r="B260">
        <f>IF(ISNA(MATCH(251,'Transfer Engine'!$C$2:$C$630,0)),"",INDEX('Compliance Database'!$B$2:$B$630,MATCH(251,'Transfer Engine'!$C$2:$C$630,0)))</f>
        <v/>
      </c>
      <c r="C260">
        <f>IF(ISNA(MATCH(251,'Transfer Engine'!$C$2:$C$630,0)),"",INDEX('Compliance Database'!$C$2:$C$630,MATCH(251,'Transfer Engine'!$C$2:$C$630,0)))</f>
        <v/>
      </c>
      <c r="D260" s="8">
        <f>IF(ISNA(MATCH(251,'Transfer Engine'!$C$2:$C$630,0)),"",INDEX('Compliance Database'!$D$2:$D$630,MATCH(251,'Transfer Engine'!$C$2:$C$630,0)))</f>
        <v/>
      </c>
      <c r="E260">
        <f>IF(ISNA(MATCH(251,'Transfer Engine'!$C$2:$C$630,0)),"",INDEX('Compliance Database'!$E$2:$E$630,MATCH(251,'Transfer Engine'!$C$2:$C$630,0)))</f>
        <v/>
      </c>
      <c r="F260">
        <f>IF(ISNA(MATCH(251,'Transfer Engine'!$C$2:$C$630,0)),"",INDEX('Compliance Database'!$F$2:$F$630,MATCH(251,'Transfer Engine'!$C$2:$C$630,0)))</f>
        <v/>
      </c>
      <c r="G260">
        <f>IF(ISNA(MATCH(251,'Transfer Engine'!$C$2:$C$630,0)),"",INDEX('Compliance Database'!$G$2:$G$630,MATCH(251,'Transfer Engine'!$C$2:$C$630,0)))</f>
        <v/>
      </c>
      <c r="H260">
        <f>IF(ISNA(MATCH(251,'Transfer Engine'!$C$2:$C$630,0)),"",INDEX('Compliance Database'!$H$2:$H$630,MATCH(251,'Transfer Engine'!$C$2:$C$630,0)))</f>
        <v/>
      </c>
      <c r="I260" s="8">
        <f>IF(ISNA(MATCH(251,'Transfer Engine'!$C$2:$C$630,0)),"",INDEX('Compliance Database'!$I$2:$I$630,MATCH(251,'Transfer Engine'!$C$2:$C$630,0)))</f>
        <v/>
      </c>
      <c r="J260" s="8">
        <f>IF(ISNA(MATCH(251,'Transfer Engine'!$C$2:$C$630,0)),"",INDEX('Compliance Database'!$J$2:$J$630,MATCH(251,'Transfer Engine'!$C$2:$C$630,0)))</f>
        <v/>
      </c>
      <c r="K260">
        <f>IF(ISNA(MATCH(251,'Transfer Engine'!$C$2:$C$630,0)),"",INDEX('Compliance Database'!$K$2:$K$630,MATCH(251,'Transfer Engine'!$C$2:$C$630,0)))</f>
        <v/>
      </c>
      <c r="L260" s="8">
        <f>IF(ISNA(MATCH(251,'Transfer Engine'!$C$2:$C$630,0)),"",INDEX('Compliance Database'!$L$2:$L$630,MATCH(251,'Transfer Engine'!$C$2:$C$630,0)))</f>
        <v/>
      </c>
      <c r="M260" s="8">
        <f>IF(ISNA(MATCH(251,'Transfer Engine'!$C$2:$C$630,0)),"",INDEX('Compliance Database'!$M$2:$M$630,MATCH(251,'Transfer Engine'!$C$2:$C$630,0)))</f>
        <v/>
      </c>
      <c r="N260" s="8">
        <f>IF(ISNA(MATCH(251,'Transfer Engine'!$C$2:$C$630,0)),"",INDEX('Compliance Database'!$N$2:$N$630,MATCH(251,'Transfer Engine'!$C$2:$C$630,0)))</f>
        <v/>
      </c>
      <c r="O260" s="8">
        <f>IF(ISNA(MATCH(251,'Transfer Engine'!$C$2:$C$630,0)),"",INDEX('Compliance Database'!$O$2:$O$630,MATCH(251,'Transfer Engine'!$C$2:$C$630,0)))</f>
        <v/>
      </c>
    </row>
    <row r="261">
      <c r="A261">
        <f>IF(ISNA(MATCH(252,'Transfer Engine'!$C$2:$C$630,0)),"",INDEX('Compliance Database'!$A$2:$A$630,MATCH(252,'Transfer Engine'!$C$2:$C$630,0)))</f>
        <v/>
      </c>
      <c r="B261">
        <f>IF(ISNA(MATCH(252,'Transfer Engine'!$C$2:$C$630,0)),"",INDEX('Compliance Database'!$B$2:$B$630,MATCH(252,'Transfer Engine'!$C$2:$C$630,0)))</f>
        <v/>
      </c>
      <c r="C261">
        <f>IF(ISNA(MATCH(252,'Transfer Engine'!$C$2:$C$630,0)),"",INDEX('Compliance Database'!$C$2:$C$630,MATCH(252,'Transfer Engine'!$C$2:$C$630,0)))</f>
        <v/>
      </c>
      <c r="D261" s="8">
        <f>IF(ISNA(MATCH(252,'Transfer Engine'!$C$2:$C$630,0)),"",INDEX('Compliance Database'!$D$2:$D$630,MATCH(252,'Transfer Engine'!$C$2:$C$630,0)))</f>
        <v/>
      </c>
      <c r="E261">
        <f>IF(ISNA(MATCH(252,'Transfer Engine'!$C$2:$C$630,0)),"",INDEX('Compliance Database'!$E$2:$E$630,MATCH(252,'Transfer Engine'!$C$2:$C$630,0)))</f>
        <v/>
      </c>
      <c r="F261">
        <f>IF(ISNA(MATCH(252,'Transfer Engine'!$C$2:$C$630,0)),"",INDEX('Compliance Database'!$F$2:$F$630,MATCH(252,'Transfer Engine'!$C$2:$C$630,0)))</f>
        <v/>
      </c>
      <c r="G261">
        <f>IF(ISNA(MATCH(252,'Transfer Engine'!$C$2:$C$630,0)),"",INDEX('Compliance Database'!$G$2:$G$630,MATCH(252,'Transfer Engine'!$C$2:$C$630,0)))</f>
        <v/>
      </c>
      <c r="H261">
        <f>IF(ISNA(MATCH(252,'Transfer Engine'!$C$2:$C$630,0)),"",INDEX('Compliance Database'!$H$2:$H$630,MATCH(252,'Transfer Engine'!$C$2:$C$630,0)))</f>
        <v/>
      </c>
      <c r="I261" s="8">
        <f>IF(ISNA(MATCH(252,'Transfer Engine'!$C$2:$C$630,0)),"",INDEX('Compliance Database'!$I$2:$I$630,MATCH(252,'Transfer Engine'!$C$2:$C$630,0)))</f>
        <v/>
      </c>
      <c r="J261" s="8">
        <f>IF(ISNA(MATCH(252,'Transfer Engine'!$C$2:$C$630,0)),"",INDEX('Compliance Database'!$J$2:$J$630,MATCH(252,'Transfer Engine'!$C$2:$C$630,0)))</f>
        <v/>
      </c>
      <c r="K261">
        <f>IF(ISNA(MATCH(252,'Transfer Engine'!$C$2:$C$630,0)),"",INDEX('Compliance Database'!$K$2:$K$630,MATCH(252,'Transfer Engine'!$C$2:$C$630,0)))</f>
        <v/>
      </c>
      <c r="L261" s="8">
        <f>IF(ISNA(MATCH(252,'Transfer Engine'!$C$2:$C$630,0)),"",INDEX('Compliance Database'!$L$2:$L$630,MATCH(252,'Transfer Engine'!$C$2:$C$630,0)))</f>
        <v/>
      </c>
      <c r="M261" s="8">
        <f>IF(ISNA(MATCH(252,'Transfer Engine'!$C$2:$C$630,0)),"",INDEX('Compliance Database'!$M$2:$M$630,MATCH(252,'Transfer Engine'!$C$2:$C$630,0)))</f>
        <v/>
      </c>
      <c r="N261" s="8">
        <f>IF(ISNA(MATCH(252,'Transfer Engine'!$C$2:$C$630,0)),"",INDEX('Compliance Database'!$N$2:$N$630,MATCH(252,'Transfer Engine'!$C$2:$C$630,0)))</f>
        <v/>
      </c>
      <c r="O261" s="8">
        <f>IF(ISNA(MATCH(252,'Transfer Engine'!$C$2:$C$630,0)),"",INDEX('Compliance Database'!$O$2:$O$630,MATCH(252,'Transfer Engine'!$C$2:$C$630,0)))</f>
        <v/>
      </c>
    </row>
    <row r="262">
      <c r="A262">
        <f>IF(ISNA(MATCH(253,'Transfer Engine'!$C$2:$C$630,0)),"",INDEX('Compliance Database'!$A$2:$A$630,MATCH(253,'Transfer Engine'!$C$2:$C$630,0)))</f>
        <v/>
      </c>
      <c r="B262">
        <f>IF(ISNA(MATCH(253,'Transfer Engine'!$C$2:$C$630,0)),"",INDEX('Compliance Database'!$B$2:$B$630,MATCH(253,'Transfer Engine'!$C$2:$C$630,0)))</f>
        <v/>
      </c>
      <c r="C262">
        <f>IF(ISNA(MATCH(253,'Transfer Engine'!$C$2:$C$630,0)),"",INDEX('Compliance Database'!$C$2:$C$630,MATCH(253,'Transfer Engine'!$C$2:$C$630,0)))</f>
        <v/>
      </c>
      <c r="D262" s="8">
        <f>IF(ISNA(MATCH(253,'Transfer Engine'!$C$2:$C$630,0)),"",INDEX('Compliance Database'!$D$2:$D$630,MATCH(253,'Transfer Engine'!$C$2:$C$630,0)))</f>
        <v/>
      </c>
      <c r="E262">
        <f>IF(ISNA(MATCH(253,'Transfer Engine'!$C$2:$C$630,0)),"",INDEX('Compliance Database'!$E$2:$E$630,MATCH(253,'Transfer Engine'!$C$2:$C$630,0)))</f>
        <v/>
      </c>
      <c r="F262">
        <f>IF(ISNA(MATCH(253,'Transfer Engine'!$C$2:$C$630,0)),"",INDEX('Compliance Database'!$F$2:$F$630,MATCH(253,'Transfer Engine'!$C$2:$C$630,0)))</f>
        <v/>
      </c>
      <c r="G262">
        <f>IF(ISNA(MATCH(253,'Transfer Engine'!$C$2:$C$630,0)),"",INDEX('Compliance Database'!$G$2:$G$630,MATCH(253,'Transfer Engine'!$C$2:$C$630,0)))</f>
        <v/>
      </c>
      <c r="H262">
        <f>IF(ISNA(MATCH(253,'Transfer Engine'!$C$2:$C$630,0)),"",INDEX('Compliance Database'!$H$2:$H$630,MATCH(253,'Transfer Engine'!$C$2:$C$630,0)))</f>
        <v/>
      </c>
      <c r="I262" s="8">
        <f>IF(ISNA(MATCH(253,'Transfer Engine'!$C$2:$C$630,0)),"",INDEX('Compliance Database'!$I$2:$I$630,MATCH(253,'Transfer Engine'!$C$2:$C$630,0)))</f>
        <v/>
      </c>
      <c r="J262" s="8">
        <f>IF(ISNA(MATCH(253,'Transfer Engine'!$C$2:$C$630,0)),"",INDEX('Compliance Database'!$J$2:$J$630,MATCH(253,'Transfer Engine'!$C$2:$C$630,0)))</f>
        <v/>
      </c>
      <c r="K262">
        <f>IF(ISNA(MATCH(253,'Transfer Engine'!$C$2:$C$630,0)),"",INDEX('Compliance Database'!$K$2:$K$630,MATCH(253,'Transfer Engine'!$C$2:$C$630,0)))</f>
        <v/>
      </c>
      <c r="L262" s="8">
        <f>IF(ISNA(MATCH(253,'Transfer Engine'!$C$2:$C$630,0)),"",INDEX('Compliance Database'!$L$2:$L$630,MATCH(253,'Transfer Engine'!$C$2:$C$630,0)))</f>
        <v/>
      </c>
      <c r="M262" s="8">
        <f>IF(ISNA(MATCH(253,'Transfer Engine'!$C$2:$C$630,0)),"",INDEX('Compliance Database'!$M$2:$M$630,MATCH(253,'Transfer Engine'!$C$2:$C$630,0)))</f>
        <v/>
      </c>
      <c r="N262" s="8">
        <f>IF(ISNA(MATCH(253,'Transfer Engine'!$C$2:$C$630,0)),"",INDEX('Compliance Database'!$N$2:$N$630,MATCH(253,'Transfer Engine'!$C$2:$C$630,0)))</f>
        <v/>
      </c>
      <c r="O262" s="8">
        <f>IF(ISNA(MATCH(253,'Transfer Engine'!$C$2:$C$630,0)),"",INDEX('Compliance Database'!$O$2:$O$630,MATCH(253,'Transfer Engine'!$C$2:$C$630,0)))</f>
        <v/>
      </c>
    </row>
    <row r="263">
      <c r="A263">
        <f>IF(ISNA(MATCH(254,'Transfer Engine'!$C$2:$C$630,0)),"",INDEX('Compliance Database'!$A$2:$A$630,MATCH(254,'Transfer Engine'!$C$2:$C$630,0)))</f>
        <v/>
      </c>
      <c r="B263">
        <f>IF(ISNA(MATCH(254,'Transfer Engine'!$C$2:$C$630,0)),"",INDEX('Compliance Database'!$B$2:$B$630,MATCH(254,'Transfer Engine'!$C$2:$C$630,0)))</f>
        <v/>
      </c>
      <c r="C263">
        <f>IF(ISNA(MATCH(254,'Transfer Engine'!$C$2:$C$630,0)),"",INDEX('Compliance Database'!$C$2:$C$630,MATCH(254,'Transfer Engine'!$C$2:$C$630,0)))</f>
        <v/>
      </c>
      <c r="D263" s="8">
        <f>IF(ISNA(MATCH(254,'Transfer Engine'!$C$2:$C$630,0)),"",INDEX('Compliance Database'!$D$2:$D$630,MATCH(254,'Transfer Engine'!$C$2:$C$630,0)))</f>
        <v/>
      </c>
      <c r="E263">
        <f>IF(ISNA(MATCH(254,'Transfer Engine'!$C$2:$C$630,0)),"",INDEX('Compliance Database'!$E$2:$E$630,MATCH(254,'Transfer Engine'!$C$2:$C$630,0)))</f>
        <v/>
      </c>
      <c r="F263">
        <f>IF(ISNA(MATCH(254,'Transfer Engine'!$C$2:$C$630,0)),"",INDEX('Compliance Database'!$F$2:$F$630,MATCH(254,'Transfer Engine'!$C$2:$C$630,0)))</f>
        <v/>
      </c>
      <c r="G263">
        <f>IF(ISNA(MATCH(254,'Transfer Engine'!$C$2:$C$630,0)),"",INDEX('Compliance Database'!$G$2:$G$630,MATCH(254,'Transfer Engine'!$C$2:$C$630,0)))</f>
        <v/>
      </c>
      <c r="H263">
        <f>IF(ISNA(MATCH(254,'Transfer Engine'!$C$2:$C$630,0)),"",INDEX('Compliance Database'!$H$2:$H$630,MATCH(254,'Transfer Engine'!$C$2:$C$630,0)))</f>
        <v/>
      </c>
      <c r="I263" s="8">
        <f>IF(ISNA(MATCH(254,'Transfer Engine'!$C$2:$C$630,0)),"",INDEX('Compliance Database'!$I$2:$I$630,MATCH(254,'Transfer Engine'!$C$2:$C$630,0)))</f>
        <v/>
      </c>
      <c r="J263" s="8">
        <f>IF(ISNA(MATCH(254,'Transfer Engine'!$C$2:$C$630,0)),"",INDEX('Compliance Database'!$J$2:$J$630,MATCH(254,'Transfer Engine'!$C$2:$C$630,0)))</f>
        <v/>
      </c>
      <c r="K263">
        <f>IF(ISNA(MATCH(254,'Transfer Engine'!$C$2:$C$630,0)),"",INDEX('Compliance Database'!$K$2:$K$630,MATCH(254,'Transfer Engine'!$C$2:$C$630,0)))</f>
        <v/>
      </c>
      <c r="L263" s="8">
        <f>IF(ISNA(MATCH(254,'Transfer Engine'!$C$2:$C$630,0)),"",INDEX('Compliance Database'!$L$2:$L$630,MATCH(254,'Transfer Engine'!$C$2:$C$630,0)))</f>
        <v/>
      </c>
      <c r="M263" s="8">
        <f>IF(ISNA(MATCH(254,'Transfer Engine'!$C$2:$C$630,0)),"",INDEX('Compliance Database'!$M$2:$M$630,MATCH(254,'Transfer Engine'!$C$2:$C$630,0)))</f>
        <v/>
      </c>
      <c r="N263" s="8">
        <f>IF(ISNA(MATCH(254,'Transfer Engine'!$C$2:$C$630,0)),"",INDEX('Compliance Database'!$N$2:$N$630,MATCH(254,'Transfer Engine'!$C$2:$C$630,0)))</f>
        <v/>
      </c>
      <c r="O263" s="8">
        <f>IF(ISNA(MATCH(254,'Transfer Engine'!$C$2:$C$630,0)),"",INDEX('Compliance Database'!$O$2:$O$630,MATCH(254,'Transfer Engine'!$C$2:$C$630,0)))</f>
        <v/>
      </c>
    </row>
    <row r="264">
      <c r="A264">
        <f>IF(ISNA(MATCH(255,'Transfer Engine'!$C$2:$C$630,0)),"",INDEX('Compliance Database'!$A$2:$A$630,MATCH(255,'Transfer Engine'!$C$2:$C$630,0)))</f>
        <v/>
      </c>
      <c r="B264">
        <f>IF(ISNA(MATCH(255,'Transfer Engine'!$C$2:$C$630,0)),"",INDEX('Compliance Database'!$B$2:$B$630,MATCH(255,'Transfer Engine'!$C$2:$C$630,0)))</f>
        <v/>
      </c>
      <c r="C264">
        <f>IF(ISNA(MATCH(255,'Transfer Engine'!$C$2:$C$630,0)),"",INDEX('Compliance Database'!$C$2:$C$630,MATCH(255,'Transfer Engine'!$C$2:$C$630,0)))</f>
        <v/>
      </c>
      <c r="D264" s="8">
        <f>IF(ISNA(MATCH(255,'Transfer Engine'!$C$2:$C$630,0)),"",INDEX('Compliance Database'!$D$2:$D$630,MATCH(255,'Transfer Engine'!$C$2:$C$630,0)))</f>
        <v/>
      </c>
      <c r="E264">
        <f>IF(ISNA(MATCH(255,'Transfer Engine'!$C$2:$C$630,0)),"",INDEX('Compliance Database'!$E$2:$E$630,MATCH(255,'Transfer Engine'!$C$2:$C$630,0)))</f>
        <v/>
      </c>
      <c r="F264">
        <f>IF(ISNA(MATCH(255,'Transfer Engine'!$C$2:$C$630,0)),"",INDEX('Compliance Database'!$F$2:$F$630,MATCH(255,'Transfer Engine'!$C$2:$C$630,0)))</f>
        <v/>
      </c>
      <c r="G264">
        <f>IF(ISNA(MATCH(255,'Transfer Engine'!$C$2:$C$630,0)),"",INDEX('Compliance Database'!$G$2:$G$630,MATCH(255,'Transfer Engine'!$C$2:$C$630,0)))</f>
        <v/>
      </c>
      <c r="H264">
        <f>IF(ISNA(MATCH(255,'Transfer Engine'!$C$2:$C$630,0)),"",INDEX('Compliance Database'!$H$2:$H$630,MATCH(255,'Transfer Engine'!$C$2:$C$630,0)))</f>
        <v/>
      </c>
      <c r="I264" s="8">
        <f>IF(ISNA(MATCH(255,'Transfer Engine'!$C$2:$C$630,0)),"",INDEX('Compliance Database'!$I$2:$I$630,MATCH(255,'Transfer Engine'!$C$2:$C$630,0)))</f>
        <v/>
      </c>
      <c r="J264" s="8">
        <f>IF(ISNA(MATCH(255,'Transfer Engine'!$C$2:$C$630,0)),"",INDEX('Compliance Database'!$J$2:$J$630,MATCH(255,'Transfer Engine'!$C$2:$C$630,0)))</f>
        <v/>
      </c>
      <c r="K264">
        <f>IF(ISNA(MATCH(255,'Transfer Engine'!$C$2:$C$630,0)),"",INDEX('Compliance Database'!$K$2:$K$630,MATCH(255,'Transfer Engine'!$C$2:$C$630,0)))</f>
        <v/>
      </c>
      <c r="L264" s="8">
        <f>IF(ISNA(MATCH(255,'Transfer Engine'!$C$2:$C$630,0)),"",INDEX('Compliance Database'!$L$2:$L$630,MATCH(255,'Transfer Engine'!$C$2:$C$630,0)))</f>
        <v/>
      </c>
      <c r="M264" s="8">
        <f>IF(ISNA(MATCH(255,'Transfer Engine'!$C$2:$C$630,0)),"",INDEX('Compliance Database'!$M$2:$M$630,MATCH(255,'Transfer Engine'!$C$2:$C$630,0)))</f>
        <v/>
      </c>
      <c r="N264" s="8">
        <f>IF(ISNA(MATCH(255,'Transfer Engine'!$C$2:$C$630,0)),"",INDEX('Compliance Database'!$N$2:$N$630,MATCH(255,'Transfer Engine'!$C$2:$C$630,0)))</f>
        <v/>
      </c>
      <c r="O264" s="8">
        <f>IF(ISNA(MATCH(255,'Transfer Engine'!$C$2:$C$630,0)),"",INDEX('Compliance Database'!$O$2:$O$630,MATCH(255,'Transfer Engine'!$C$2:$C$630,0)))</f>
        <v/>
      </c>
    </row>
    <row r="265">
      <c r="A265">
        <f>IF(ISNA(MATCH(256,'Transfer Engine'!$C$2:$C$630,0)),"",INDEX('Compliance Database'!$A$2:$A$630,MATCH(256,'Transfer Engine'!$C$2:$C$630,0)))</f>
        <v/>
      </c>
      <c r="B265">
        <f>IF(ISNA(MATCH(256,'Transfer Engine'!$C$2:$C$630,0)),"",INDEX('Compliance Database'!$B$2:$B$630,MATCH(256,'Transfer Engine'!$C$2:$C$630,0)))</f>
        <v/>
      </c>
      <c r="C265">
        <f>IF(ISNA(MATCH(256,'Transfer Engine'!$C$2:$C$630,0)),"",INDEX('Compliance Database'!$C$2:$C$630,MATCH(256,'Transfer Engine'!$C$2:$C$630,0)))</f>
        <v/>
      </c>
      <c r="D265" s="8">
        <f>IF(ISNA(MATCH(256,'Transfer Engine'!$C$2:$C$630,0)),"",INDEX('Compliance Database'!$D$2:$D$630,MATCH(256,'Transfer Engine'!$C$2:$C$630,0)))</f>
        <v/>
      </c>
      <c r="E265">
        <f>IF(ISNA(MATCH(256,'Transfer Engine'!$C$2:$C$630,0)),"",INDEX('Compliance Database'!$E$2:$E$630,MATCH(256,'Transfer Engine'!$C$2:$C$630,0)))</f>
        <v/>
      </c>
      <c r="F265">
        <f>IF(ISNA(MATCH(256,'Transfer Engine'!$C$2:$C$630,0)),"",INDEX('Compliance Database'!$F$2:$F$630,MATCH(256,'Transfer Engine'!$C$2:$C$630,0)))</f>
        <v/>
      </c>
      <c r="G265">
        <f>IF(ISNA(MATCH(256,'Transfer Engine'!$C$2:$C$630,0)),"",INDEX('Compliance Database'!$G$2:$G$630,MATCH(256,'Transfer Engine'!$C$2:$C$630,0)))</f>
        <v/>
      </c>
      <c r="H265">
        <f>IF(ISNA(MATCH(256,'Transfer Engine'!$C$2:$C$630,0)),"",INDEX('Compliance Database'!$H$2:$H$630,MATCH(256,'Transfer Engine'!$C$2:$C$630,0)))</f>
        <v/>
      </c>
      <c r="I265" s="8">
        <f>IF(ISNA(MATCH(256,'Transfer Engine'!$C$2:$C$630,0)),"",INDEX('Compliance Database'!$I$2:$I$630,MATCH(256,'Transfer Engine'!$C$2:$C$630,0)))</f>
        <v/>
      </c>
      <c r="J265" s="8">
        <f>IF(ISNA(MATCH(256,'Transfer Engine'!$C$2:$C$630,0)),"",INDEX('Compliance Database'!$J$2:$J$630,MATCH(256,'Transfer Engine'!$C$2:$C$630,0)))</f>
        <v/>
      </c>
      <c r="K265">
        <f>IF(ISNA(MATCH(256,'Transfer Engine'!$C$2:$C$630,0)),"",INDEX('Compliance Database'!$K$2:$K$630,MATCH(256,'Transfer Engine'!$C$2:$C$630,0)))</f>
        <v/>
      </c>
      <c r="L265" s="8">
        <f>IF(ISNA(MATCH(256,'Transfer Engine'!$C$2:$C$630,0)),"",INDEX('Compliance Database'!$L$2:$L$630,MATCH(256,'Transfer Engine'!$C$2:$C$630,0)))</f>
        <v/>
      </c>
      <c r="M265" s="8">
        <f>IF(ISNA(MATCH(256,'Transfer Engine'!$C$2:$C$630,0)),"",INDEX('Compliance Database'!$M$2:$M$630,MATCH(256,'Transfer Engine'!$C$2:$C$630,0)))</f>
        <v/>
      </c>
      <c r="N265" s="8">
        <f>IF(ISNA(MATCH(256,'Transfer Engine'!$C$2:$C$630,0)),"",INDEX('Compliance Database'!$N$2:$N$630,MATCH(256,'Transfer Engine'!$C$2:$C$630,0)))</f>
        <v/>
      </c>
      <c r="O265" s="8">
        <f>IF(ISNA(MATCH(256,'Transfer Engine'!$C$2:$C$630,0)),"",INDEX('Compliance Database'!$O$2:$O$630,MATCH(256,'Transfer Engine'!$C$2:$C$630,0)))</f>
        <v/>
      </c>
    </row>
    <row r="266">
      <c r="A266">
        <f>IF(ISNA(MATCH(257,'Transfer Engine'!$C$2:$C$630,0)),"",INDEX('Compliance Database'!$A$2:$A$630,MATCH(257,'Transfer Engine'!$C$2:$C$630,0)))</f>
        <v/>
      </c>
      <c r="B266">
        <f>IF(ISNA(MATCH(257,'Transfer Engine'!$C$2:$C$630,0)),"",INDEX('Compliance Database'!$B$2:$B$630,MATCH(257,'Transfer Engine'!$C$2:$C$630,0)))</f>
        <v/>
      </c>
      <c r="C266">
        <f>IF(ISNA(MATCH(257,'Transfer Engine'!$C$2:$C$630,0)),"",INDEX('Compliance Database'!$C$2:$C$630,MATCH(257,'Transfer Engine'!$C$2:$C$630,0)))</f>
        <v/>
      </c>
      <c r="D266" s="8">
        <f>IF(ISNA(MATCH(257,'Transfer Engine'!$C$2:$C$630,0)),"",INDEX('Compliance Database'!$D$2:$D$630,MATCH(257,'Transfer Engine'!$C$2:$C$630,0)))</f>
        <v/>
      </c>
      <c r="E266">
        <f>IF(ISNA(MATCH(257,'Transfer Engine'!$C$2:$C$630,0)),"",INDEX('Compliance Database'!$E$2:$E$630,MATCH(257,'Transfer Engine'!$C$2:$C$630,0)))</f>
        <v/>
      </c>
      <c r="F266">
        <f>IF(ISNA(MATCH(257,'Transfer Engine'!$C$2:$C$630,0)),"",INDEX('Compliance Database'!$F$2:$F$630,MATCH(257,'Transfer Engine'!$C$2:$C$630,0)))</f>
        <v/>
      </c>
      <c r="G266">
        <f>IF(ISNA(MATCH(257,'Transfer Engine'!$C$2:$C$630,0)),"",INDEX('Compliance Database'!$G$2:$G$630,MATCH(257,'Transfer Engine'!$C$2:$C$630,0)))</f>
        <v/>
      </c>
      <c r="H266">
        <f>IF(ISNA(MATCH(257,'Transfer Engine'!$C$2:$C$630,0)),"",INDEX('Compliance Database'!$H$2:$H$630,MATCH(257,'Transfer Engine'!$C$2:$C$630,0)))</f>
        <v/>
      </c>
      <c r="I266" s="8">
        <f>IF(ISNA(MATCH(257,'Transfer Engine'!$C$2:$C$630,0)),"",INDEX('Compliance Database'!$I$2:$I$630,MATCH(257,'Transfer Engine'!$C$2:$C$630,0)))</f>
        <v/>
      </c>
      <c r="J266" s="8">
        <f>IF(ISNA(MATCH(257,'Transfer Engine'!$C$2:$C$630,0)),"",INDEX('Compliance Database'!$J$2:$J$630,MATCH(257,'Transfer Engine'!$C$2:$C$630,0)))</f>
        <v/>
      </c>
      <c r="K266">
        <f>IF(ISNA(MATCH(257,'Transfer Engine'!$C$2:$C$630,0)),"",INDEX('Compliance Database'!$K$2:$K$630,MATCH(257,'Transfer Engine'!$C$2:$C$630,0)))</f>
        <v/>
      </c>
      <c r="L266" s="8">
        <f>IF(ISNA(MATCH(257,'Transfer Engine'!$C$2:$C$630,0)),"",INDEX('Compliance Database'!$L$2:$L$630,MATCH(257,'Transfer Engine'!$C$2:$C$630,0)))</f>
        <v/>
      </c>
      <c r="M266" s="8">
        <f>IF(ISNA(MATCH(257,'Transfer Engine'!$C$2:$C$630,0)),"",INDEX('Compliance Database'!$M$2:$M$630,MATCH(257,'Transfer Engine'!$C$2:$C$630,0)))</f>
        <v/>
      </c>
      <c r="N266" s="8">
        <f>IF(ISNA(MATCH(257,'Transfer Engine'!$C$2:$C$630,0)),"",INDEX('Compliance Database'!$N$2:$N$630,MATCH(257,'Transfer Engine'!$C$2:$C$630,0)))</f>
        <v/>
      </c>
      <c r="O266" s="8">
        <f>IF(ISNA(MATCH(257,'Transfer Engine'!$C$2:$C$630,0)),"",INDEX('Compliance Database'!$O$2:$O$630,MATCH(257,'Transfer Engine'!$C$2:$C$630,0)))</f>
        <v/>
      </c>
    </row>
    <row r="267">
      <c r="A267">
        <f>IF(ISNA(MATCH(258,'Transfer Engine'!$C$2:$C$630,0)),"",INDEX('Compliance Database'!$A$2:$A$630,MATCH(258,'Transfer Engine'!$C$2:$C$630,0)))</f>
        <v/>
      </c>
      <c r="B267">
        <f>IF(ISNA(MATCH(258,'Transfer Engine'!$C$2:$C$630,0)),"",INDEX('Compliance Database'!$B$2:$B$630,MATCH(258,'Transfer Engine'!$C$2:$C$630,0)))</f>
        <v/>
      </c>
      <c r="C267">
        <f>IF(ISNA(MATCH(258,'Transfer Engine'!$C$2:$C$630,0)),"",INDEX('Compliance Database'!$C$2:$C$630,MATCH(258,'Transfer Engine'!$C$2:$C$630,0)))</f>
        <v/>
      </c>
      <c r="D267" s="8">
        <f>IF(ISNA(MATCH(258,'Transfer Engine'!$C$2:$C$630,0)),"",INDEX('Compliance Database'!$D$2:$D$630,MATCH(258,'Transfer Engine'!$C$2:$C$630,0)))</f>
        <v/>
      </c>
      <c r="E267">
        <f>IF(ISNA(MATCH(258,'Transfer Engine'!$C$2:$C$630,0)),"",INDEX('Compliance Database'!$E$2:$E$630,MATCH(258,'Transfer Engine'!$C$2:$C$630,0)))</f>
        <v/>
      </c>
      <c r="F267">
        <f>IF(ISNA(MATCH(258,'Transfer Engine'!$C$2:$C$630,0)),"",INDEX('Compliance Database'!$F$2:$F$630,MATCH(258,'Transfer Engine'!$C$2:$C$630,0)))</f>
        <v/>
      </c>
      <c r="G267">
        <f>IF(ISNA(MATCH(258,'Transfer Engine'!$C$2:$C$630,0)),"",INDEX('Compliance Database'!$G$2:$G$630,MATCH(258,'Transfer Engine'!$C$2:$C$630,0)))</f>
        <v/>
      </c>
      <c r="H267">
        <f>IF(ISNA(MATCH(258,'Transfer Engine'!$C$2:$C$630,0)),"",INDEX('Compliance Database'!$H$2:$H$630,MATCH(258,'Transfer Engine'!$C$2:$C$630,0)))</f>
        <v/>
      </c>
      <c r="I267" s="8">
        <f>IF(ISNA(MATCH(258,'Transfer Engine'!$C$2:$C$630,0)),"",INDEX('Compliance Database'!$I$2:$I$630,MATCH(258,'Transfer Engine'!$C$2:$C$630,0)))</f>
        <v/>
      </c>
      <c r="J267" s="8">
        <f>IF(ISNA(MATCH(258,'Transfer Engine'!$C$2:$C$630,0)),"",INDEX('Compliance Database'!$J$2:$J$630,MATCH(258,'Transfer Engine'!$C$2:$C$630,0)))</f>
        <v/>
      </c>
      <c r="K267">
        <f>IF(ISNA(MATCH(258,'Transfer Engine'!$C$2:$C$630,0)),"",INDEX('Compliance Database'!$K$2:$K$630,MATCH(258,'Transfer Engine'!$C$2:$C$630,0)))</f>
        <v/>
      </c>
      <c r="L267" s="8">
        <f>IF(ISNA(MATCH(258,'Transfer Engine'!$C$2:$C$630,0)),"",INDEX('Compliance Database'!$L$2:$L$630,MATCH(258,'Transfer Engine'!$C$2:$C$630,0)))</f>
        <v/>
      </c>
      <c r="M267" s="8">
        <f>IF(ISNA(MATCH(258,'Transfer Engine'!$C$2:$C$630,0)),"",INDEX('Compliance Database'!$M$2:$M$630,MATCH(258,'Transfer Engine'!$C$2:$C$630,0)))</f>
        <v/>
      </c>
      <c r="N267" s="8">
        <f>IF(ISNA(MATCH(258,'Transfer Engine'!$C$2:$C$630,0)),"",INDEX('Compliance Database'!$N$2:$N$630,MATCH(258,'Transfer Engine'!$C$2:$C$630,0)))</f>
        <v/>
      </c>
      <c r="O267" s="8">
        <f>IF(ISNA(MATCH(258,'Transfer Engine'!$C$2:$C$630,0)),"",INDEX('Compliance Database'!$O$2:$O$630,MATCH(258,'Transfer Engine'!$C$2:$C$630,0)))</f>
        <v/>
      </c>
    </row>
    <row r="268">
      <c r="A268">
        <f>IF(ISNA(MATCH(259,'Transfer Engine'!$C$2:$C$630,0)),"",INDEX('Compliance Database'!$A$2:$A$630,MATCH(259,'Transfer Engine'!$C$2:$C$630,0)))</f>
        <v/>
      </c>
      <c r="B268">
        <f>IF(ISNA(MATCH(259,'Transfer Engine'!$C$2:$C$630,0)),"",INDEX('Compliance Database'!$B$2:$B$630,MATCH(259,'Transfer Engine'!$C$2:$C$630,0)))</f>
        <v/>
      </c>
      <c r="C268">
        <f>IF(ISNA(MATCH(259,'Transfer Engine'!$C$2:$C$630,0)),"",INDEX('Compliance Database'!$C$2:$C$630,MATCH(259,'Transfer Engine'!$C$2:$C$630,0)))</f>
        <v/>
      </c>
      <c r="D268" s="8">
        <f>IF(ISNA(MATCH(259,'Transfer Engine'!$C$2:$C$630,0)),"",INDEX('Compliance Database'!$D$2:$D$630,MATCH(259,'Transfer Engine'!$C$2:$C$630,0)))</f>
        <v/>
      </c>
      <c r="E268">
        <f>IF(ISNA(MATCH(259,'Transfer Engine'!$C$2:$C$630,0)),"",INDEX('Compliance Database'!$E$2:$E$630,MATCH(259,'Transfer Engine'!$C$2:$C$630,0)))</f>
        <v/>
      </c>
      <c r="F268">
        <f>IF(ISNA(MATCH(259,'Transfer Engine'!$C$2:$C$630,0)),"",INDEX('Compliance Database'!$F$2:$F$630,MATCH(259,'Transfer Engine'!$C$2:$C$630,0)))</f>
        <v/>
      </c>
      <c r="G268">
        <f>IF(ISNA(MATCH(259,'Transfer Engine'!$C$2:$C$630,0)),"",INDEX('Compliance Database'!$G$2:$G$630,MATCH(259,'Transfer Engine'!$C$2:$C$630,0)))</f>
        <v/>
      </c>
      <c r="H268">
        <f>IF(ISNA(MATCH(259,'Transfer Engine'!$C$2:$C$630,0)),"",INDEX('Compliance Database'!$H$2:$H$630,MATCH(259,'Transfer Engine'!$C$2:$C$630,0)))</f>
        <v/>
      </c>
      <c r="I268" s="8">
        <f>IF(ISNA(MATCH(259,'Transfer Engine'!$C$2:$C$630,0)),"",INDEX('Compliance Database'!$I$2:$I$630,MATCH(259,'Transfer Engine'!$C$2:$C$630,0)))</f>
        <v/>
      </c>
      <c r="J268" s="8">
        <f>IF(ISNA(MATCH(259,'Transfer Engine'!$C$2:$C$630,0)),"",INDEX('Compliance Database'!$J$2:$J$630,MATCH(259,'Transfer Engine'!$C$2:$C$630,0)))</f>
        <v/>
      </c>
      <c r="K268">
        <f>IF(ISNA(MATCH(259,'Transfer Engine'!$C$2:$C$630,0)),"",INDEX('Compliance Database'!$K$2:$K$630,MATCH(259,'Transfer Engine'!$C$2:$C$630,0)))</f>
        <v/>
      </c>
      <c r="L268" s="8">
        <f>IF(ISNA(MATCH(259,'Transfer Engine'!$C$2:$C$630,0)),"",INDEX('Compliance Database'!$L$2:$L$630,MATCH(259,'Transfer Engine'!$C$2:$C$630,0)))</f>
        <v/>
      </c>
      <c r="M268" s="8">
        <f>IF(ISNA(MATCH(259,'Transfer Engine'!$C$2:$C$630,0)),"",INDEX('Compliance Database'!$M$2:$M$630,MATCH(259,'Transfer Engine'!$C$2:$C$630,0)))</f>
        <v/>
      </c>
      <c r="N268" s="8">
        <f>IF(ISNA(MATCH(259,'Transfer Engine'!$C$2:$C$630,0)),"",INDEX('Compliance Database'!$N$2:$N$630,MATCH(259,'Transfer Engine'!$C$2:$C$630,0)))</f>
        <v/>
      </c>
      <c r="O268" s="8">
        <f>IF(ISNA(MATCH(259,'Transfer Engine'!$C$2:$C$630,0)),"",INDEX('Compliance Database'!$O$2:$O$630,MATCH(259,'Transfer Engine'!$C$2:$C$630,0)))</f>
        <v/>
      </c>
    </row>
    <row r="269">
      <c r="A269">
        <f>IF(ISNA(MATCH(260,'Transfer Engine'!$C$2:$C$630,0)),"",INDEX('Compliance Database'!$A$2:$A$630,MATCH(260,'Transfer Engine'!$C$2:$C$630,0)))</f>
        <v/>
      </c>
      <c r="B269">
        <f>IF(ISNA(MATCH(260,'Transfer Engine'!$C$2:$C$630,0)),"",INDEX('Compliance Database'!$B$2:$B$630,MATCH(260,'Transfer Engine'!$C$2:$C$630,0)))</f>
        <v/>
      </c>
      <c r="C269">
        <f>IF(ISNA(MATCH(260,'Transfer Engine'!$C$2:$C$630,0)),"",INDEX('Compliance Database'!$C$2:$C$630,MATCH(260,'Transfer Engine'!$C$2:$C$630,0)))</f>
        <v/>
      </c>
      <c r="D269" s="8">
        <f>IF(ISNA(MATCH(260,'Transfer Engine'!$C$2:$C$630,0)),"",INDEX('Compliance Database'!$D$2:$D$630,MATCH(260,'Transfer Engine'!$C$2:$C$630,0)))</f>
        <v/>
      </c>
      <c r="E269">
        <f>IF(ISNA(MATCH(260,'Transfer Engine'!$C$2:$C$630,0)),"",INDEX('Compliance Database'!$E$2:$E$630,MATCH(260,'Transfer Engine'!$C$2:$C$630,0)))</f>
        <v/>
      </c>
      <c r="F269">
        <f>IF(ISNA(MATCH(260,'Transfer Engine'!$C$2:$C$630,0)),"",INDEX('Compliance Database'!$F$2:$F$630,MATCH(260,'Transfer Engine'!$C$2:$C$630,0)))</f>
        <v/>
      </c>
      <c r="G269">
        <f>IF(ISNA(MATCH(260,'Transfer Engine'!$C$2:$C$630,0)),"",INDEX('Compliance Database'!$G$2:$G$630,MATCH(260,'Transfer Engine'!$C$2:$C$630,0)))</f>
        <v/>
      </c>
      <c r="H269">
        <f>IF(ISNA(MATCH(260,'Transfer Engine'!$C$2:$C$630,0)),"",INDEX('Compliance Database'!$H$2:$H$630,MATCH(260,'Transfer Engine'!$C$2:$C$630,0)))</f>
        <v/>
      </c>
      <c r="I269" s="8">
        <f>IF(ISNA(MATCH(260,'Transfer Engine'!$C$2:$C$630,0)),"",INDEX('Compliance Database'!$I$2:$I$630,MATCH(260,'Transfer Engine'!$C$2:$C$630,0)))</f>
        <v/>
      </c>
      <c r="J269" s="8">
        <f>IF(ISNA(MATCH(260,'Transfer Engine'!$C$2:$C$630,0)),"",INDEX('Compliance Database'!$J$2:$J$630,MATCH(260,'Transfer Engine'!$C$2:$C$630,0)))</f>
        <v/>
      </c>
      <c r="K269">
        <f>IF(ISNA(MATCH(260,'Transfer Engine'!$C$2:$C$630,0)),"",INDEX('Compliance Database'!$K$2:$K$630,MATCH(260,'Transfer Engine'!$C$2:$C$630,0)))</f>
        <v/>
      </c>
      <c r="L269" s="8">
        <f>IF(ISNA(MATCH(260,'Transfer Engine'!$C$2:$C$630,0)),"",INDEX('Compliance Database'!$L$2:$L$630,MATCH(260,'Transfer Engine'!$C$2:$C$630,0)))</f>
        <v/>
      </c>
      <c r="M269" s="8">
        <f>IF(ISNA(MATCH(260,'Transfer Engine'!$C$2:$C$630,0)),"",INDEX('Compliance Database'!$M$2:$M$630,MATCH(260,'Transfer Engine'!$C$2:$C$630,0)))</f>
        <v/>
      </c>
      <c r="N269" s="8">
        <f>IF(ISNA(MATCH(260,'Transfer Engine'!$C$2:$C$630,0)),"",INDEX('Compliance Database'!$N$2:$N$630,MATCH(260,'Transfer Engine'!$C$2:$C$630,0)))</f>
        <v/>
      </c>
      <c r="O269" s="8">
        <f>IF(ISNA(MATCH(260,'Transfer Engine'!$C$2:$C$630,0)),"",INDEX('Compliance Database'!$O$2:$O$630,MATCH(260,'Transfer Engine'!$C$2:$C$630,0)))</f>
        <v/>
      </c>
    </row>
    <row r="270">
      <c r="A270">
        <f>IF(ISNA(MATCH(261,'Transfer Engine'!$C$2:$C$630,0)),"",INDEX('Compliance Database'!$A$2:$A$630,MATCH(261,'Transfer Engine'!$C$2:$C$630,0)))</f>
        <v/>
      </c>
      <c r="B270">
        <f>IF(ISNA(MATCH(261,'Transfer Engine'!$C$2:$C$630,0)),"",INDEX('Compliance Database'!$B$2:$B$630,MATCH(261,'Transfer Engine'!$C$2:$C$630,0)))</f>
        <v/>
      </c>
      <c r="C270">
        <f>IF(ISNA(MATCH(261,'Transfer Engine'!$C$2:$C$630,0)),"",INDEX('Compliance Database'!$C$2:$C$630,MATCH(261,'Transfer Engine'!$C$2:$C$630,0)))</f>
        <v/>
      </c>
      <c r="D270" s="8">
        <f>IF(ISNA(MATCH(261,'Transfer Engine'!$C$2:$C$630,0)),"",INDEX('Compliance Database'!$D$2:$D$630,MATCH(261,'Transfer Engine'!$C$2:$C$630,0)))</f>
        <v/>
      </c>
      <c r="E270">
        <f>IF(ISNA(MATCH(261,'Transfer Engine'!$C$2:$C$630,0)),"",INDEX('Compliance Database'!$E$2:$E$630,MATCH(261,'Transfer Engine'!$C$2:$C$630,0)))</f>
        <v/>
      </c>
      <c r="F270">
        <f>IF(ISNA(MATCH(261,'Transfer Engine'!$C$2:$C$630,0)),"",INDEX('Compliance Database'!$F$2:$F$630,MATCH(261,'Transfer Engine'!$C$2:$C$630,0)))</f>
        <v/>
      </c>
      <c r="G270">
        <f>IF(ISNA(MATCH(261,'Transfer Engine'!$C$2:$C$630,0)),"",INDEX('Compliance Database'!$G$2:$G$630,MATCH(261,'Transfer Engine'!$C$2:$C$630,0)))</f>
        <v/>
      </c>
      <c r="H270">
        <f>IF(ISNA(MATCH(261,'Transfer Engine'!$C$2:$C$630,0)),"",INDEX('Compliance Database'!$H$2:$H$630,MATCH(261,'Transfer Engine'!$C$2:$C$630,0)))</f>
        <v/>
      </c>
      <c r="I270" s="8">
        <f>IF(ISNA(MATCH(261,'Transfer Engine'!$C$2:$C$630,0)),"",INDEX('Compliance Database'!$I$2:$I$630,MATCH(261,'Transfer Engine'!$C$2:$C$630,0)))</f>
        <v/>
      </c>
      <c r="J270" s="8">
        <f>IF(ISNA(MATCH(261,'Transfer Engine'!$C$2:$C$630,0)),"",INDEX('Compliance Database'!$J$2:$J$630,MATCH(261,'Transfer Engine'!$C$2:$C$630,0)))</f>
        <v/>
      </c>
      <c r="K270">
        <f>IF(ISNA(MATCH(261,'Transfer Engine'!$C$2:$C$630,0)),"",INDEX('Compliance Database'!$K$2:$K$630,MATCH(261,'Transfer Engine'!$C$2:$C$630,0)))</f>
        <v/>
      </c>
      <c r="L270" s="8">
        <f>IF(ISNA(MATCH(261,'Transfer Engine'!$C$2:$C$630,0)),"",INDEX('Compliance Database'!$L$2:$L$630,MATCH(261,'Transfer Engine'!$C$2:$C$630,0)))</f>
        <v/>
      </c>
      <c r="M270" s="8">
        <f>IF(ISNA(MATCH(261,'Transfer Engine'!$C$2:$C$630,0)),"",INDEX('Compliance Database'!$M$2:$M$630,MATCH(261,'Transfer Engine'!$C$2:$C$630,0)))</f>
        <v/>
      </c>
      <c r="N270" s="8">
        <f>IF(ISNA(MATCH(261,'Transfer Engine'!$C$2:$C$630,0)),"",INDEX('Compliance Database'!$N$2:$N$630,MATCH(261,'Transfer Engine'!$C$2:$C$630,0)))</f>
        <v/>
      </c>
      <c r="O270" s="8">
        <f>IF(ISNA(MATCH(261,'Transfer Engine'!$C$2:$C$630,0)),"",INDEX('Compliance Database'!$O$2:$O$630,MATCH(261,'Transfer Engine'!$C$2:$C$630,0)))</f>
        <v/>
      </c>
    </row>
    <row r="271">
      <c r="A271">
        <f>IF(ISNA(MATCH(262,'Transfer Engine'!$C$2:$C$630,0)),"",INDEX('Compliance Database'!$A$2:$A$630,MATCH(262,'Transfer Engine'!$C$2:$C$630,0)))</f>
        <v/>
      </c>
      <c r="B271">
        <f>IF(ISNA(MATCH(262,'Transfer Engine'!$C$2:$C$630,0)),"",INDEX('Compliance Database'!$B$2:$B$630,MATCH(262,'Transfer Engine'!$C$2:$C$630,0)))</f>
        <v/>
      </c>
      <c r="C271">
        <f>IF(ISNA(MATCH(262,'Transfer Engine'!$C$2:$C$630,0)),"",INDEX('Compliance Database'!$C$2:$C$630,MATCH(262,'Transfer Engine'!$C$2:$C$630,0)))</f>
        <v/>
      </c>
      <c r="D271" s="8">
        <f>IF(ISNA(MATCH(262,'Transfer Engine'!$C$2:$C$630,0)),"",INDEX('Compliance Database'!$D$2:$D$630,MATCH(262,'Transfer Engine'!$C$2:$C$630,0)))</f>
        <v/>
      </c>
      <c r="E271">
        <f>IF(ISNA(MATCH(262,'Transfer Engine'!$C$2:$C$630,0)),"",INDEX('Compliance Database'!$E$2:$E$630,MATCH(262,'Transfer Engine'!$C$2:$C$630,0)))</f>
        <v/>
      </c>
      <c r="F271">
        <f>IF(ISNA(MATCH(262,'Transfer Engine'!$C$2:$C$630,0)),"",INDEX('Compliance Database'!$F$2:$F$630,MATCH(262,'Transfer Engine'!$C$2:$C$630,0)))</f>
        <v/>
      </c>
      <c r="G271">
        <f>IF(ISNA(MATCH(262,'Transfer Engine'!$C$2:$C$630,0)),"",INDEX('Compliance Database'!$G$2:$G$630,MATCH(262,'Transfer Engine'!$C$2:$C$630,0)))</f>
        <v/>
      </c>
      <c r="H271">
        <f>IF(ISNA(MATCH(262,'Transfer Engine'!$C$2:$C$630,0)),"",INDEX('Compliance Database'!$H$2:$H$630,MATCH(262,'Transfer Engine'!$C$2:$C$630,0)))</f>
        <v/>
      </c>
      <c r="I271" s="8">
        <f>IF(ISNA(MATCH(262,'Transfer Engine'!$C$2:$C$630,0)),"",INDEX('Compliance Database'!$I$2:$I$630,MATCH(262,'Transfer Engine'!$C$2:$C$630,0)))</f>
        <v/>
      </c>
      <c r="J271" s="8">
        <f>IF(ISNA(MATCH(262,'Transfer Engine'!$C$2:$C$630,0)),"",INDEX('Compliance Database'!$J$2:$J$630,MATCH(262,'Transfer Engine'!$C$2:$C$630,0)))</f>
        <v/>
      </c>
      <c r="K271">
        <f>IF(ISNA(MATCH(262,'Transfer Engine'!$C$2:$C$630,0)),"",INDEX('Compliance Database'!$K$2:$K$630,MATCH(262,'Transfer Engine'!$C$2:$C$630,0)))</f>
        <v/>
      </c>
      <c r="L271" s="8">
        <f>IF(ISNA(MATCH(262,'Transfer Engine'!$C$2:$C$630,0)),"",INDEX('Compliance Database'!$L$2:$L$630,MATCH(262,'Transfer Engine'!$C$2:$C$630,0)))</f>
        <v/>
      </c>
      <c r="M271" s="8">
        <f>IF(ISNA(MATCH(262,'Transfer Engine'!$C$2:$C$630,0)),"",INDEX('Compliance Database'!$M$2:$M$630,MATCH(262,'Transfer Engine'!$C$2:$C$630,0)))</f>
        <v/>
      </c>
      <c r="N271" s="8">
        <f>IF(ISNA(MATCH(262,'Transfer Engine'!$C$2:$C$630,0)),"",INDEX('Compliance Database'!$N$2:$N$630,MATCH(262,'Transfer Engine'!$C$2:$C$630,0)))</f>
        <v/>
      </c>
      <c r="O271" s="8">
        <f>IF(ISNA(MATCH(262,'Transfer Engine'!$C$2:$C$630,0)),"",INDEX('Compliance Database'!$O$2:$O$630,MATCH(262,'Transfer Engine'!$C$2:$C$630,0)))</f>
        <v/>
      </c>
    </row>
    <row r="272">
      <c r="A272">
        <f>IF(ISNA(MATCH(263,'Transfer Engine'!$C$2:$C$630,0)),"",INDEX('Compliance Database'!$A$2:$A$630,MATCH(263,'Transfer Engine'!$C$2:$C$630,0)))</f>
        <v/>
      </c>
      <c r="B272">
        <f>IF(ISNA(MATCH(263,'Transfer Engine'!$C$2:$C$630,0)),"",INDEX('Compliance Database'!$B$2:$B$630,MATCH(263,'Transfer Engine'!$C$2:$C$630,0)))</f>
        <v/>
      </c>
      <c r="C272">
        <f>IF(ISNA(MATCH(263,'Transfer Engine'!$C$2:$C$630,0)),"",INDEX('Compliance Database'!$C$2:$C$630,MATCH(263,'Transfer Engine'!$C$2:$C$630,0)))</f>
        <v/>
      </c>
      <c r="D272" s="8">
        <f>IF(ISNA(MATCH(263,'Transfer Engine'!$C$2:$C$630,0)),"",INDEX('Compliance Database'!$D$2:$D$630,MATCH(263,'Transfer Engine'!$C$2:$C$630,0)))</f>
        <v/>
      </c>
      <c r="E272">
        <f>IF(ISNA(MATCH(263,'Transfer Engine'!$C$2:$C$630,0)),"",INDEX('Compliance Database'!$E$2:$E$630,MATCH(263,'Transfer Engine'!$C$2:$C$630,0)))</f>
        <v/>
      </c>
      <c r="F272">
        <f>IF(ISNA(MATCH(263,'Transfer Engine'!$C$2:$C$630,0)),"",INDEX('Compliance Database'!$F$2:$F$630,MATCH(263,'Transfer Engine'!$C$2:$C$630,0)))</f>
        <v/>
      </c>
      <c r="G272">
        <f>IF(ISNA(MATCH(263,'Transfer Engine'!$C$2:$C$630,0)),"",INDEX('Compliance Database'!$G$2:$G$630,MATCH(263,'Transfer Engine'!$C$2:$C$630,0)))</f>
        <v/>
      </c>
      <c r="H272">
        <f>IF(ISNA(MATCH(263,'Transfer Engine'!$C$2:$C$630,0)),"",INDEX('Compliance Database'!$H$2:$H$630,MATCH(263,'Transfer Engine'!$C$2:$C$630,0)))</f>
        <v/>
      </c>
      <c r="I272" s="8">
        <f>IF(ISNA(MATCH(263,'Transfer Engine'!$C$2:$C$630,0)),"",INDEX('Compliance Database'!$I$2:$I$630,MATCH(263,'Transfer Engine'!$C$2:$C$630,0)))</f>
        <v/>
      </c>
      <c r="J272" s="8">
        <f>IF(ISNA(MATCH(263,'Transfer Engine'!$C$2:$C$630,0)),"",INDEX('Compliance Database'!$J$2:$J$630,MATCH(263,'Transfer Engine'!$C$2:$C$630,0)))</f>
        <v/>
      </c>
      <c r="K272">
        <f>IF(ISNA(MATCH(263,'Transfer Engine'!$C$2:$C$630,0)),"",INDEX('Compliance Database'!$K$2:$K$630,MATCH(263,'Transfer Engine'!$C$2:$C$630,0)))</f>
        <v/>
      </c>
      <c r="L272" s="8">
        <f>IF(ISNA(MATCH(263,'Transfer Engine'!$C$2:$C$630,0)),"",INDEX('Compliance Database'!$L$2:$L$630,MATCH(263,'Transfer Engine'!$C$2:$C$630,0)))</f>
        <v/>
      </c>
      <c r="M272" s="8">
        <f>IF(ISNA(MATCH(263,'Transfer Engine'!$C$2:$C$630,0)),"",INDEX('Compliance Database'!$M$2:$M$630,MATCH(263,'Transfer Engine'!$C$2:$C$630,0)))</f>
        <v/>
      </c>
      <c r="N272" s="8">
        <f>IF(ISNA(MATCH(263,'Transfer Engine'!$C$2:$C$630,0)),"",INDEX('Compliance Database'!$N$2:$N$630,MATCH(263,'Transfer Engine'!$C$2:$C$630,0)))</f>
        <v/>
      </c>
      <c r="O272" s="8">
        <f>IF(ISNA(MATCH(263,'Transfer Engine'!$C$2:$C$630,0)),"",INDEX('Compliance Database'!$O$2:$O$630,MATCH(263,'Transfer Engine'!$C$2:$C$630,0)))</f>
        <v/>
      </c>
    </row>
    <row r="273">
      <c r="A273">
        <f>IF(ISNA(MATCH(264,'Transfer Engine'!$C$2:$C$630,0)),"",INDEX('Compliance Database'!$A$2:$A$630,MATCH(264,'Transfer Engine'!$C$2:$C$630,0)))</f>
        <v/>
      </c>
      <c r="B273">
        <f>IF(ISNA(MATCH(264,'Transfer Engine'!$C$2:$C$630,0)),"",INDEX('Compliance Database'!$B$2:$B$630,MATCH(264,'Transfer Engine'!$C$2:$C$630,0)))</f>
        <v/>
      </c>
      <c r="C273">
        <f>IF(ISNA(MATCH(264,'Transfer Engine'!$C$2:$C$630,0)),"",INDEX('Compliance Database'!$C$2:$C$630,MATCH(264,'Transfer Engine'!$C$2:$C$630,0)))</f>
        <v/>
      </c>
      <c r="D273" s="8">
        <f>IF(ISNA(MATCH(264,'Transfer Engine'!$C$2:$C$630,0)),"",INDEX('Compliance Database'!$D$2:$D$630,MATCH(264,'Transfer Engine'!$C$2:$C$630,0)))</f>
        <v/>
      </c>
      <c r="E273">
        <f>IF(ISNA(MATCH(264,'Transfer Engine'!$C$2:$C$630,0)),"",INDEX('Compliance Database'!$E$2:$E$630,MATCH(264,'Transfer Engine'!$C$2:$C$630,0)))</f>
        <v/>
      </c>
      <c r="F273">
        <f>IF(ISNA(MATCH(264,'Transfer Engine'!$C$2:$C$630,0)),"",INDEX('Compliance Database'!$F$2:$F$630,MATCH(264,'Transfer Engine'!$C$2:$C$630,0)))</f>
        <v/>
      </c>
      <c r="G273">
        <f>IF(ISNA(MATCH(264,'Transfer Engine'!$C$2:$C$630,0)),"",INDEX('Compliance Database'!$G$2:$G$630,MATCH(264,'Transfer Engine'!$C$2:$C$630,0)))</f>
        <v/>
      </c>
      <c r="H273">
        <f>IF(ISNA(MATCH(264,'Transfer Engine'!$C$2:$C$630,0)),"",INDEX('Compliance Database'!$H$2:$H$630,MATCH(264,'Transfer Engine'!$C$2:$C$630,0)))</f>
        <v/>
      </c>
      <c r="I273" s="8">
        <f>IF(ISNA(MATCH(264,'Transfer Engine'!$C$2:$C$630,0)),"",INDEX('Compliance Database'!$I$2:$I$630,MATCH(264,'Transfer Engine'!$C$2:$C$630,0)))</f>
        <v/>
      </c>
      <c r="J273" s="8">
        <f>IF(ISNA(MATCH(264,'Transfer Engine'!$C$2:$C$630,0)),"",INDEX('Compliance Database'!$J$2:$J$630,MATCH(264,'Transfer Engine'!$C$2:$C$630,0)))</f>
        <v/>
      </c>
      <c r="K273">
        <f>IF(ISNA(MATCH(264,'Transfer Engine'!$C$2:$C$630,0)),"",INDEX('Compliance Database'!$K$2:$K$630,MATCH(264,'Transfer Engine'!$C$2:$C$630,0)))</f>
        <v/>
      </c>
      <c r="L273" s="8">
        <f>IF(ISNA(MATCH(264,'Transfer Engine'!$C$2:$C$630,0)),"",INDEX('Compliance Database'!$L$2:$L$630,MATCH(264,'Transfer Engine'!$C$2:$C$630,0)))</f>
        <v/>
      </c>
      <c r="M273" s="8">
        <f>IF(ISNA(MATCH(264,'Transfer Engine'!$C$2:$C$630,0)),"",INDEX('Compliance Database'!$M$2:$M$630,MATCH(264,'Transfer Engine'!$C$2:$C$630,0)))</f>
        <v/>
      </c>
      <c r="N273" s="8">
        <f>IF(ISNA(MATCH(264,'Transfer Engine'!$C$2:$C$630,0)),"",INDEX('Compliance Database'!$N$2:$N$630,MATCH(264,'Transfer Engine'!$C$2:$C$630,0)))</f>
        <v/>
      </c>
      <c r="O273" s="8">
        <f>IF(ISNA(MATCH(264,'Transfer Engine'!$C$2:$C$630,0)),"",INDEX('Compliance Database'!$O$2:$O$630,MATCH(264,'Transfer Engine'!$C$2:$C$630,0)))</f>
        <v/>
      </c>
    </row>
    <row r="274">
      <c r="A274">
        <f>IF(ISNA(MATCH(265,'Transfer Engine'!$C$2:$C$630,0)),"",INDEX('Compliance Database'!$A$2:$A$630,MATCH(265,'Transfer Engine'!$C$2:$C$630,0)))</f>
        <v/>
      </c>
      <c r="B274">
        <f>IF(ISNA(MATCH(265,'Transfer Engine'!$C$2:$C$630,0)),"",INDEX('Compliance Database'!$B$2:$B$630,MATCH(265,'Transfer Engine'!$C$2:$C$630,0)))</f>
        <v/>
      </c>
      <c r="C274">
        <f>IF(ISNA(MATCH(265,'Transfer Engine'!$C$2:$C$630,0)),"",INDEX('Compliance Database'!$C$2:$C$630,MATCH(265,'Transfer Engine'!$C$2:$C$630,0)))</f>
        <v/>
      </c>
      <c r="D274" s="8">
        <f>IF(ISNA(MATCH(265,'Transfer Engine'!$C$2:$C$630,0)),"",INDEX('Compliance Database'!$D$2:$D$630,MATCH(265,'Transfer Engine'!$C$2:$C$630,0)))</f>
        <v/>
      </c>
      <c r="E274">
        <f>IF(ISNA(MATCH(265,'Transfer Engine'!$C$2:$C$630,0)),"",INDEX('Compliance Database'!$E$2:$E$630,MATCH(265,'Transfer Engine'!$C$2:$C$630,0)))</f>
        <v/>
      </c>
      <c r="F274">
        <f>IF(ISNA(MATCH(265,'Transfer Engine'!$C$2:$C$630,0)),"",INDEX('Compliance Database'!$F$2:$F$630,MATCH(265,'Transfer Engine'!$C$2:$C$630,0)))</f>
        <v/>
      </c>
      <c r="G274">
        <f>IF(ISNA(MATCH(265,'Transfer Engine'!$C$2:$C$630,0)),"",INDEX('Compliance Database'!$G$2:$G$630,MATCH(265,'Transfer Engine'!$C$2:$C$630,0)))</f>
        <v/>
      </c>
      <c r="H274">
        <f>IF(ISNA(MATCH(265,'Transfer Engine'!$C$2:$C$630,0)),"",INDEX('Compliance Database'!$H$2:$H$630,MATCH(265,'Transfer Engine'!$C$2:$C$630,0)))</f>
        <v/>
      </c>
      <c r="I274" s="8">
        <f>IF(ISNA(MATCH(265,'Transfer Engine'!$C$2:$C$630,0)),"",INDEX('Compliance Database'!$I$2:$I$630,MATCH(265,'Transfer Engine'!$C$2:$C$630,0)))</f>
        <v/>
      </c>
      <c r="J274" s="8">
        <f>IF(ISNA(MATCH(265,'Transfer Engine'!$C$2:$C$630,0)),"",INDEX('Compliance Database'!$J$2:$J$630,MATCH(265,'Transfer Engine'!$C$2:$C$630,0)))</f>
        <v/>
      </c>
      <c r="K274">
        <f>IF(ISNA(MATCH(265,'Transfer Engine'!$C$2:$C$630,0)),"",INDEX('Compliance Database'!$K$2:$K$630,MATCH(265,'Transfer Engine'!$C$2:$C$630,0)))</f>
        <v/>
      </c>
      <c r="L274" s="8">
        <f>IF(ISNA(MATCH(265,'Transfer Engine'!$C$2:$C$630,0)),"",INDEX('Compliance Database'!$L$2:$L$630,MATCH(265,'Transfer Engine'!$C$2:$C$630,0)))</f>
        <v/>
      </c>
      <c r="M274" s="8">
        <f>IF(ISNA(MATCH(265,'Transfer Engine'!$C$2:$C$630,0)),"",INDEX('Compliance Database'!$M$2:$M$630,MATCH(265,'Transfer Engine'!$C$2:$C$630,0)))</f>
        <v/>
      </c>
      <c r="N274" s="8">
        <f>IF(ISNA(MATCH(265,'Transfer Engine'!$C$2:$C$630,0)),"",INDEX('Compliance Database'!$N$2:$N$630,MATCH(265,'Transfer Engine'!$C$2:$C$630,0)))</f>
        <v/>
      </c>
      <c r="O274" s="8">
        <f>IF(ISNA(MATCH(265,'Transfer Engine'!$C$2:$C$630,0)),"",INDEX('Compliance Database'!$O$2:$O$630,MATCH(265,'Transfer Engine'!$C$2:$C$630,0)))</f>
        <v/>
      </c>
    </row>
    <row r="275">
      <c r="A275">
        <f>IF(ISNA(MATCH(266,'Transfer Engine'!$C$2:$C$630,0)),"",INDEX('Compliance Database'!$A$2:$A$630,MATCH(266,'Transfer Engine'!$C$2:$C$630,0)))</f>
        <v/>
      </c>
      <c r="B275">
        <f>IF(ISNA(MATCH(266,'Transfer Engine'!$C$2:$C$630,0)),"",INDEX('Compliance Database'!$B$2:$B$630,MATCH(266,'Transfer Engine'!$C$2:$C$630,0)))</f>
        <v/>
      </c>
      <c r="C275">
        <f>IF(ISNA(MATCH(266,'Transfer Engine'!$C$2:$C$630,0)),"",INDEX('Compliance Database'!$C$2:$C$630,MATCH(266,'Transfer Engine'!$C$2:$C$630,0)))</f>
        <v/>
      </c>
      <c r="D275" s="8">
        <f>IF(ISNA(MATCH(266,'Transfer Engine'!$C$2:$C$630,0)),"",INDEX('Compliance Database'!$D$2:$D$630,MATCH(266,'Transfer Engine'!$C$2:$C$630,0)))</f>
        <v/>
      </c>
      <c r="E275">
        <f>IF(ISNA(MATCH(266,'Transfer Engine'!$C$2:$C$630,0)),"",INDEX('Compliance Database'!$E$2:$E$630,MATCH(266,'Transfer Engine'!$C$2:$C$630,0)))</f>
        <v/>
      </c>
      <c r="F275">
        <f>IF(ISNA(MATCH(266,'Transfer Engine'!$C$2:$C$630,0)),"",INDEX('Compliance Database'!$F$2:$F$630,MATCH(266,'Transfer Engine'!$C$2:$C$630,0)))</f>
        <v/>
      </c>
      <c r="G275">
        <f>IF(ISNA(MATCH(266,'Transfer Engine'!$C$2:$C$630,0)),"",INDEX('Compliance Database'!$G$2:$G$630,MATCH(266,'Transfer Engine'!$C$2:$C$630,0)))</f>
        <v/>
      </c>
      <c r="H275">
        <f>IF(ISNA(MATCH(266,'Transfer Engine'!$C$2:$C$630,0)),"",INDEX('Compliance Database'!$H$2:$H$630,MATCH(266,'Transfer Engine'!$C$2:$C$630,0)))</f>
        <v/>
      </c>
      <c r="I275" s="8">
        <f>IF(ISNA(MATCH(266,'Transfer Engine'!$C$2:$C$630,0)),"",INDEX('Compliance Database'!$I$2:$I$630,MATCH(266,'Transfer Engine'!$C$2:$C$630,0)))</f>
        <v/>
      </c>
      <c r="J275" s="8">
        <f>IF(ISNA(MATCH(266,'Transfer Engine'!$C$2:$C$630,0)),"",INDEX('Compliance Database'!$J$2:$J$630,MATCH(266,'Transfer Engine'!$C$2:$C$630,0)))</f>
        <v/>
      </c>
      <c r="K275">
        <f>IF(ISNA(MATCH(266,'Transfer Engine'!$C$2:$C$630,0)),"",INDEX('Compliance Database'!$K$2:$K$630,MATCH(266,'Transfer Engine'!$C$2:$C$630,0)))</f>
        <v/>
      </c>
      <c r="L275" s="8">
        <f>IF(ISNA(MATCH(266,'Transfer Engine'!$C$2:$C$630,0)),"",INDEX('Compliance Database'!$L$2:$L$630,MATCH(266,'Transfer Engine'!$C$2:$C$630,0)))</f>
        <v/>
      </c>
      <c r="M275" s="8">
        <f>IF(ISNA(MATCH(266,'Transfer Engine'!$C$2:$C$630,0)),"",INDEX('Compliance Database'!$M$2:$M$630,MATCH(266,'Transfer Engine'!$C$2:$C$630,0)))</f>
        <v/>
      </c>
      <c r="N275" s="8">
        <f>IF(ISNA(MATCH(266,'Transfer Engine'!$C$2:$C$630,0)),"",INDEX('Compliance Database'!$N$2:$N$630,MATCH(266,'Transfer Engine'!$C$2:$C$630,0)))</f>
        <v/>
      </c>
      <c r="O275" s="8">
        <f>IF(ISNA(MATCH(266,'Transfer Engine'!$C$2:$C$630,0)),"",INDEX('Compliance Database'!$O$2:$O$630,MATCH(266,'Transfer Engine'!$C$2:$C$630,0)))</f>
        <v/>
      </c>
    </row>
    <row r="276">
      <c r="A276">
        <f>IF(ISNA(MATCH(267,'Transfer Engine'!$C$2:$C$630,0)),"",INDEX('Compliance Database'!$A$2:$A$630,MATCH(267,'Transfer Engine'!$C$2:$C$630,0)))</f>
        <v/>
      </c>
      <c r="B276">
        <f>IF(ISNA(MATCH(267,'Transfer Engine'!$C$2:$C$630,0)),"",INDEX('Compliance Database'!$B$2:$B$630,MATCH(267,'Transfer Engine'!$C$2:$C$630,0)))</f>
        <v/>
      </c>
      <c r="C276">
        <f>IF(ISNA(MATCH(267,'Transfer Engine'!$C$2:$C$630,0)),"",INDEX('Compliance Database'!$C$2:$C$630,MATCH(267,'Transfer Engine'!$C$2:$C$630,0)))</f>
        <v/>
      </c>
      <c r="D276" s="8">
        <f>IF(ISNA(MATCH(267,'Transfer Engine'!$C$2:$C$630,0)),"",INDEX('Compliance Database'!$D$2:$D$630,MATCH(267,'Transfer Engine'!$C$2:$C$630,0)))</f>
        <v/>
      </c>
      <c r="E276">
        <f>IF(ISNA(MATCH(267,'Transfer Engine'!$C$2:$C$630,0)),"",INDEX('Compliance Database'!$E$2:$E$630,MATCH(267,'Transfer Engine'!$C$2:$C$630,0)))</f>
        <v/>
      </c>
      <c r="F276">
        <f>IF(ISNA(MATCH(267,'Transfer Engine'!$C$2:$C$630,0)),"",INDEX('Compliance Database'!$F$2:$F$630,MATCH(267,'Transfer Engine'!$C$2:$C$630,0)))</f>
        <v/>
      </c>
      <c r="G276">
        <f>IF(ISNA(MATCH(267,'Transfer Engine'!$C$2:$C$630,0)),"",INDEX('Compliance Database'!$G$2:$G$630,MATCH(267,'Transfer Engine'!$C$2:$C$630,0)))</f>
        <v/>
      </c>
      <c r="H276">
        <f>IF(ISNA(MATCH(267,'Transfer Engine'!$C$2:$C$630,0)),"",INDEX('Compliance Database'!$H$2:$H$630,MATCH(267,'Transfer Engine'!$C$2:$C$630,0)))</f>
        <v/>
      </c>
      <c r="I276" s="8">
        <f>IF(ISNA(MATCH(267,'Transfer Engine'!$C$2:$C$630,0)),"",INDEX('Compliance Database'!$I$2:$I$630,MATCH(267,'Transfer Engine'!$C$2:$C$630,0)))</f>
        <v/>
      </c>
      <c r="J276" s="8">
        <f>IF(ISNA(MATCH(267,'Transfer Engine'!$C$2:$C$630,0)),"",INDEX('Compliance Database'!$J$2:$J$630,MATCH(267,'Transfer Engine'!$C$2:$C$630,0)))</f>
        <v/>
      </c>
      <c r="K276">
        <f>IF(ISNA(MATCH(267,'Transfer Engine'!$C$2:$C$630,0)),"",INDEX('Compliance Database'!$K$2:$K$630,MATCH(267,'Transfer Engine'!$C$2:$C$630,0)))</f>
        <v/>
      </c>
      <c r="L276" s="8">
        <f>IF(ISNA(MATCH(267,'Transfer Engine'!$C$2:$C$630,0)),"",INDEX('Compliance Database'!$L$2:$L$630,MATCH(267,'Transfer Engine'!$C$2:$C$630,0)))</f>
        <v/>
      </c>
      <c r="M276" s="8">
        <f>IF(ISNA(MATCH(267,'Transfer Engine'!$C$2:$C$630,0)),"",INDEX('Compliance Database'!$M$2:$M$630,MATCH(267,'Transfer Engine'!$C$2:$C$630,0)))</f>
        <v/>
      </c>
      <c r="N276" s="8">
        <f>IF(ISNA(MATCH(267,'Transfer Engine'!$C$2:$C$630,0)),"",INDEX('Compliance Database'!$N$2:$N$630,MATCH(267,'Transfer Engine'!$C$2:$C$630,0)))</f>
        <v/>
      </c>
      <c r="O276" s="8">
        <f>IF(ISNA(MATCH(267,'Transfer Engine'!$C$2:$C$630,0)),"",INDEX('Compliance Database'!$O$2:$O$630,MATCH(267,'Transfer Engine'!$C$2:$C$630,0)))</f>
        <v/>
      </c>
    </row>
    <row r="277">
      <c r="A277">
        <f>IF(ISNA(MATCH(268,'Transfer Engine'!$C$2:$C$630,0)),"",INDEX('Compliance Database'!$A$2:$A$630,MATCH(268,'Transfer Engine'!$C$2:$C$630,0)))</f>
        <v/>
      </c>
      <c r="B277">
        <f>IF(ISNA(MATCH(268,'Transfer Engine'!$C$2:$C$630,0)),"",INDEX('Compliance Database'!$B$2:$B$630,MATCH(268,'Transfer Engine'!$C$2:$C$630,0)))</f>
        <v/>
      </c>
      <c r="C277">
        <f>IF(ISNA(MATCH(268,'Transfer Engine'!$C$2:$C$630,0)),"",INDEX('Compliance Database'!$C$2:$C$630,MATCH(268,'Transfer Engine'!$C$2:$C$630,0)))</f>
        <v/>
      </c>
      <c r="D277" s="8">
        <f>IF(ISNA(MATCH(268,'Transfer Engine'!$C$2:$C$630,0)),"",INDEX('Compliance Database'!$D$2:$D$630,MATCH(268,'Transfer Engine'!$C$2:$C$630,0)))</f>
        <v/>
      </c>
      <c r="E277">
        <f>IF(ISNA(MATCH(268,'Transfer Engine'!$C$2:$C$630,0)),"",INDEX('Compliance Database'!$E$2:$E$630,MATCH(268,'Transfer Engine'!$C$2:$C$630,0)))</f>
        <v/>
      </c>
      <c r="F277">
        <f>IF(ISNA(MATCH(268,'Transfer Engine'!$C$2:$C$630,0)),"",INDEX('Compliance Database'!$F$2:$F$630,MATCH(268,'Transfer Engine'!$C$2:$C$630,0)))</f>
        <v/>
      </c>
      <c r="G277">
        <f>IF(ISNA(MATCH(268,'Transfer Engine'!$C$2:$C$630,0)),"",INDEX('Compliance Database'!$G$2:$G$630,MATCH(268,'Transfer Engine'!$C$2:$C$630,0)))</f>
        <v/>
      </c>
      <c r="H277">
        <f>IF(ISNA(MATCH(268,'Transfer Engine'!$C$2:$C$630,0)),"",INDEX('Compliance Database'!$H$2:$H$630,MATCH(268,'Transfer Engine'!$C$2:$C$630,0)))</f>
        <v/>
      </c>
      <c r="I277" s="8">
        <f>IF(ISNA(MATCH(268,'Transfer Engine'!$C$2:$C$630,0)),"",INDEX('Compliance Database'!$I$2:$I$630,MATCH(268,'Transfer Engine'!$C$2:$C$630,0)))</f>
        <v/>
      </c>
      <c r="J277" s="8">
        <f>IF(ISNA(MATCH(268,'Transfer Engine'!$C$2:$C$630,0)),"",INDEX('Compliance Database'!$J$2:$J$630,MATCH(268,'Transfer Engine'!$C$2:$C$630,0)))</f>
        <v/>
      </c>
      <c r="K277">
        <f>IF(ISNA(MATCH(268,'Transfer Engine'!$C$2:$C$630,0)),"",INDEX('Compliance Database'!$K$2:$K$630,MATCH(268,'Transfer Engine'!$C$2:$C$630,0)))</f>
        <v/>
      </c>
      <c r="L277" s="8">
        <f>IF(ISNA(MATCH(268,'Transfer Engine'!$C$2:$C$630,0)),"",INDEX('Compliance Database'!$L$2:$L$630,MATCH(268,'Transfer Engine'!$C$2:$C$630,0)))</f>
        <v/>
      </c>
      <c r="M277" s="8">
        <f>IF(ISNA(MATCH(268,'Transfer Engine'!$C$2:$C$630,0)),"",INDEX('Compliance Database'!$M$2:$M$630,MATCH(268,'Transfer Engine'!$C$2:$C$630,0)))</f>
        <v/>
      </c>
      <c r="N277" s="8">
        <f>IF(ISNA(MATCH(268,'Transfer Engine'!$C$2:$C$630,0)),"",INDEX('Compliance Database'!$N$2:$N$630,MATCH(268,'Transfer Engine'!$C$2:$C$630,0)))</f>
        <v/>
      </c>
      <c r="O277" s="8">
        <f>IF(ISNA(MATCH(268,'Transfer Engine'!$C$2:$C$630,0)),"",INDEX('Compliance Database'!$O$2:$O$630,MATCH(268,'Transfer Engine'!$C$2:$C$630,0)))</f>
        <v/>
      </c>
    </row>
    <row r="278">
      <c r="A278">
        <f>IF(ISNA(MATCH(269,'Transfer Engine'!$C$2:$C$630,0)),"",INDEX('Compliance Database'!$A$2:$A$630,MATCH(269,'Transfer Engine'!$C$2:$C$630,0)))</f>
        <v/>
      </c>
      <c r="B278">
        <f>IF(ISNA(MATCH(269,'Transfer Engine'!$C$2:$C$630,0)),"",INDEX('Compliance Database'!$B$2:$B$630,MATCH(269,'Transfer Engine'!$C$2:$C$630,0)))</f>
        <v/>
      </c>
      <c r="C278">
        <f>IF(ISNA(MATCH(269,'Transfer Engine'!$C$2:$C$630,0)),"",INDEX('Compliance Database'!$C$2:$C$630,MATCH(269,'Transfer Engine'!$C$2:$C$630,0)))</f>
        <v/>
      </c>
      <c r="D278" s="8">
        <f>IF(ISNA(MATCH(269,'Transfer Engine'!$C$2:$C$630,0)),"",INDEX('Compliance Database'!$D$2:$D$630,MATCH(269,'Transfer Engine'!$C$2:$C$630,0)))</f>
        <v/>
      </c>
      <c r="E278">
        <f>IF(ISNA(MATCH(269,'Transfer Engine'!$C$2:$C$630,0)),"",INDEX('Compliance Database'!$E$2:$E$630,MATCH(269,'Transfer Engine'!$C$2:$C$630,0)))</f>
        <v/>
      </c>
      <c r="F278">
        <f>IF(ISNA(MATCH(269,'Transfer Engine'!$C$2:$C$630,0)),"",INDEX('Compliance Database'!$F$2:$F$630,MATCH(269,'Transfer Engine'!$C$2:$C$630,0)))</f>
        <v/>
      </c>
      <c r="G278">
        <f>IF(ISNA(MATCH(269,'Transfer Engine'!$C$2:$C$630,0)),"",INDEX('Compliance Database'!$G$2:$G$630,MATCH(269,'Transfer Engine'!$C$2:$C$630,0)))</f>
        <v/>
      </c>
      <c r="H278">
        <f>IF(ISNA(MATCH(269,'Transfer Engine'!$C$2:$C$630,0)),"",INDEX('Compliance Database'!$H$2:$H$630,MATCH(269,'Transfer Engine'!$C$2:$C$630,0)))</f>
        <v/>
      </c>
      <c r="I278" s="8">
        <f>IF(ISNA(MATCH(269,'Transfer Engine'!$C$2:$C$630,0)),"",INDEX('Compliance Database'!$I$2:$I$630,MATCH(269,'Transfer Engine'!$C$2:$C$630,0)))</f>
        <v/>
      </c>
      <c r="J278" s="8">
        <f>IF(ISNA(MATCH(269,'Transfer Engine'!$C$2:$C$630,0)),"",INDEX('Compliance Database'!$J$2:$J$630,MATCH(269,'Transfer Engine'!$C$2:$C$630,0)))</f>
        <v/>
      </c>
      <c r="K278">
        <f>IF(ISNA(MATCH(269,'Transfer Engine'!$C$2:$C$630,0)),"",INDEX('Compliance Database'!$K$2:$K$630,MATCH(269,'Transfer Engine'!$C$2:$C$630,0)))</f>
        <v/>
      </c>
      <c r="L278" s="8">
        <f>IF(ISNA(MATCH(269,'Transfer Engine'!$C$2:$C$630,0)),"",INDEX('Compliance Database'!$L$2:$L$630,MATCH(269,'Transfer Engine'!$C$2:$C$630,0)))</f>
        <v/>
      </c>
      <c r="M278" s="8">
        <f>IF(ISNA(MATCH(269,'Transfer Engine'!$C$2:$C$630,0)),"",INDEX('Compliance Database'!$M$2:$M$630,MATCH(269,'Transfer Engine'!$C$2:$C$630,0)))</f>
        <v/>
      </c>
      <c r="N278" s="8">
        <f>IF(ISNA(MATCH(269,'Transfer Engine'!$C$2:$C$630,0)),"",INDEX('Compliance Database'!$N$2:$N$630,MATCH(269,'Transfer Engine'!$C$2:$C$630,0)))</f>
        <v/>
      </c>
      <c r="O278" s="8">
        <f>IF(ISNA(MATCH(269,'Transfer Engine'!$C$2:$C$630,0)),"",INDEX('Compliance Database'!$O$2:$O$630,MATCH(269,'Transfer Engine'!$C$2:$C$630,0)))</f>
        <v/>
      </c>
    </row>
    <row r="279">
      <c r="A279">
        <f>IF(ISNA(MATCH(270,'Transfer Engine'!$C$2:$C$630,0)),"",INDEX('Compliance Database'!$A$2:$A$630,MATCH(270,'Transfer Engine'!$C$2:$C$630,0)))</f>
        <v/>
      </c>
      <c r="B279">
        <f>IF(ISNA(MATCH(270,'Transfer Engine'!$C$2:$C$630,0)),"",INDEX('Compliance Database'!$B$2:$B$630,MATCH(270,'Transfer Engine'!$C$2:$C$630,0)))</f>
        <v/>
      </c>
      <c r="C279">
        <f>IF(ISNA(MATCH(270,'Transfer Engine'!$C$2:$C$630,0)),"",INDEX('Compliance Database'!$C$2:$C$630,MATCH(270,'Transfer Engine'!$C$2:$C$630,0)))</f>
        <v/>
      </c>
      <c r="D279" s="8">
        <f>IF(ISNA(MATCH(270,'Transfer Engine'!$C$2:$C$630,0)),"",INDEX('Compliance Database'!$D$2:$D$630,MATCH(270,'Transfer Engine'!$C$2:$C$630,0)))</f>
        <v/>
      </c>
      <c r="E279">
        <f>IF(ISNA(MATCH(270,'Transfer Engine'!$C$2:$C$630,0)),"",INDEX('Compliance Database'!$E$2:$E$630,MATCH(270,'Transfer Engine'!$C$2:$C$630,0)))</f>
        <v/>
      </c>
      <c r="F279">
        <f>IF(ISNA(MATCH(270,'Transfer Engine'!$C$2:$C$630,0)),"",INDEX('Compliance Database'!$F$2:$F$630,MATCH(270,'Transfer Engine'!$C$2:$C$630,0)))</f>
        <v/>
      </c>
      <c r="G279">
        <f>IF(ISNA(MATCH(270,'Transfer Engine'!$C$2:$C$630,0)),"",INDEX('Compliance Database'!$G$2:$G$630,MATCH(270,'Transfer Engine'!$C$2:$C$630,0)))</f>
        <v/>
      </c>
      <c r="H279">
        <f>IF(ISNA(MATCH(270,'Transfer Engine'!$C$2:$C$630,0)),"",INDEX('Compliance Database'!$H$2:$H$630,MATCH(270,'Transfer Engine'!$C$2:$C$630,0)))</f>
        <v/>
      </c>
      <c r="I279" s="8">
        <f>IF(ISNA(MATCH(270,'Transfer Engine'!$C$2:$C$630,0)),"",INDEX('Compliance Database'!$I$2:$I$630,MATCH(270,'Transfer Engine'!$C$2:$C$630,0)))</f>
        <v/>
      </c>
      <c r="J279" s="8">
        <f>IF(ISNA(MATCH(270,'Transfer Engine'!$C$2:$C$630,0)),"",INDEX('Compliance Database'!$J$2:$J$630,MATCH(270,'Transfer Engine'!$C$2:$C$630,0)))</f>
        <v/>
      </c>
      <c r="K279">
        <f>IF(ISNA(MATCH(270,'Transfer Engine'!$C$2:$C$630,0)),"",INDEX('Compliance Database'!$K$2:$K$630,MATCH(270,'Transfer Engine'!$C$2:$C$630,0)))</f>
        <v/>
      </c>
      <c r="L279" s="8">
        <f>IF(ISNA(MATCH(270,'Transfer Engine'!$C$2:$C$630,0)),"",INDEX('Compliance Database'!$L$2:$L$630,MATCH(270,'Transfer Engine'!$C$2:$C$630,0)))</f>
        <v/>
      </c>
      <c r="M279" s="8">
        <f>IF(ISNA(MATCH(270,'Transfer Engine'!$C$2:$C$630,0)),"",INDEX('Compliance Database'!$M$2:$M$630,MATCH(270,'Transfer Engine'!$C$2:$C$630,0)))</f>
        <v/>
      </c>
      <c r="N279" s="8">
        <f>IF(ISNA(MATCH(270,'Transfer Engine'!$C$2:$C$630,0)),"",INDEX('Compliance Database'!$N$2:$N$630,MATCH(270,'Transfer Engine'!$C$2:$C$630,0)))</f>
        <v/>
      </c>
      <c r="O279" s="8">
        <f>IF(ISNA(MATCH(270,'Transfer Engine'!$C$2:$C$630,0)),"",INDEX('Compliance Database'!$O$2:$O$630,MATCH(270,'Transfer Engine'!$C$2:$C$630,0)))</f>
        <v/>
      </c>
    </row>
    <row r="280">
      <c r="A280">
        <f>IF(ISNA(MATCH(271,'Transfer Engine'!$C$2:$C$630,0)),"",INDEX('Compliance Database'!$A$2:$A$630,MATCH(271,'Transfer Engine'!$C$2:$C$630,0)))</f>
        <v/>
      </c>
      <c r="B280">
        <f>IF(ISNA(MATCH(271,'Transfer Engine'!$C$2:$C$630,0)),"",INDEX('Compliance Database'!$B$2:$B$630,MATCH(271,'Transfer Engine'!$C$2:$C$630,0)))</f>
        <v/>
      </c>
      <c r="C280">
        <f>IF(ISNA(MATCH(271,'Transfer Engine'!$C$2:$C$630,0)),"",INDEX('Compliance Database'!$C$2:$C$630,MATCH(271,'Transfer Engine'!$C$2:$C$630,0)))</f>
        <v/>
      </c>
      <c r="D280" s="8">
        <f>IF(ISNA(MATCH(271,'Transfer Engine'!$C$2:$C$630,0)),"",INDEX('Compliance Database'!$D$2:$D$630,MATCH(271,'Transfer Engine'!$C$2:$C$630,0)))</f>
        <v/>
      </c>
      <c r="E280">
        <f>IF(ISNA(MATCH(271,'Transfer Engine'!$C$2:$C$630,0)),"",INDEX('Compliance Database'!$E$2:$E$630,MATCH(271,'Transfer Engine'!$C$2:$C$630,0)))</f>
        <v/>
      </c>
      <c r="F280">
        <f>IF(ISNA(MATCH(271,'Transfer Engine'!$C$2:$C$630,0)),"",INDEX('Compliance Database'!$F$2:$F$630,MATCH(271,'Transfer Engine'!$C$2:$C$630,0)))</f>
        <v/>
      </c>
      <c r="G280">
        <f>IF(ISNA(MATCH(271,'Transfer Engine'!$C$2:$C$630,0)),"",INDEX('Compliance Database'!$G$2:$G$630,MATCH(271,'Transfer Engine'!$C$2:$C$630,0)))</f>
        <v/>
      </c>
      <c r="H280">
        <f>IF(ISNA(MATCH(271,'Transfer Engine'!$C$2:$C$630,0)),"",INDEX('Compliance Database'!$H$2:$H$630,MATCH(271,'Transfer Engine'!$C$2:$C$630,0)))</f>
        <v/>
      </c>
      <c r="I280" s="8">
        <f>IF(ISNA(MATCH(271,'Transfer Engine'!$C$2:$C$630,0)),"",INDEX('Compliance Database'!$I$2:$I$630,MATCH(271,'Transfer Engine'!$C$2:$C$630,0)))</f>
        <v/>
      </c>
      <c r="J280" s="8">
        <f>IF(ISNA(MATCH(271,'Transfer Engine'!$C$2:$C$630,0)),"",INDEX('Compliance Database'!$J$2:$J$630,MATCH(271,'Transfer Engine'!$C$2:$C$630,0)))</f>
        <v/>
      </c>
      <c r="K280">
        <f>IF(ISNA(MATCH(271,'Transfer Engine'!$C$2:$C$630,0)),"",INDEX('Compliance Database'!$K$2:$K$630,MATCH(271,'Transfer Engine'!$C$2:$C$630,0)))</f>
        <v/>
      </c>
      <c r="L280" s="8">
        <f>IF(ISNA(MATCH(271,'Transfer Engine'!$C$2:$C$630,0)),"",INDEX('Compliance Database'!$L$2:$L$630,MATCH(271,'Transfer Engine'!$C$2:$C$630,0)))</f>
        <v/>
      </c>
      <c r="M280" s="8">
        <f>IF(ISNA(MATCH(271,'Transfer Engine'!$C$2:$C$630,0)),"",INDEX('Compliance Database'!$M$2:$M$630,MATCH(271,'Transfer Engine'!$C$2:$C$630,0)))</f>
        <v/>
      </c>
      <c r="N280" s="8">
        <f>IF(ISNA(MATCH(271,'Transfer Engine'!$C$2:$C$630,0)),"",INDEX('Compliance Database'!$N$2:$N$630,MATCH(271,'Transfer Engine'!$C$2:$C$630,0)))</f>
        <v/>
      </c>
      <c r="O280" s="8">
        <f>IF(ISNA(MATCH(271,'Transfer Engine'!$C$2:$C$630,0)),"",INDEX('Compliance Database'!$O$2:$O$630,MATCH(271,'Transfer Engine'!$C$2:$C$630,0)))</f>
        <v/>
      </c>
    </row>
    <row r="281">
      <c r="A281">
        <f>IF(ISNA(MATCH(272,'Transfer Engine'!$C$2:$C$630,0)),"",INDEX('Compliance Database'!$A$2:$A$630,MATCH(272,'Transfer Engine'!$C$2:$C$630,0)))</f>
        <v/>
      </c>
      <c r="B281">
        <f>IF(ISNA(MATCH(272,'Transfer Engine'!$C$2:$C$630,0)),"",INDEX('Compliance Database'!$B$2:$B$630,MATCH(272,'Transfer Engine'!$C$2:$C$630,0)))</f>
        <v/>
      </c>
      <c r="C281">
        <f>IF(ISNA(MATCH(272,'Transfer Engine'!$C$2:$C$630,0)),"",INDEX('Compliance Database'!$C$2:$C$630,MATCH(272,'Transfer Engine'!$C$2:$C$630,0)))</f>
        <v/>
      </c>
      <c r="D281" s="8">
        <f>IF(ISNA(MATCH(272,'Transfer Engine'!$C$2:$C$630,0)),"",INDEX('Compliance Database'!$D$2:$D$630,MATCH(272,'Transfer Engine'!$C$2:$C$630,0)))</f>
        <v/>
      </c>
      <c r="E281">
        <f>IF(ISNA(MATCH(272,'Transfer Engine'!$C$2:$C$630,0)),"",INDEX('Compliance Database'!$E$2:$E$630,MATCH(272,'Transfer Engine'!$C$2:$C$630,0)))</f>
        <v/>
      </c>
      <c r="F281">
        <f>IF(ISNA(MATCH(272,'Transfer Engine'!$C$2:$C$630,0)),"",INDEX('Compliance Database'!$F$2:$F$630,MATCH(272,'Transfer Engine'!$C$2:$C$630,0)))</f>
        <v/>
      </c>
      <c r="G281">
        <f>IF(ISNA(MATCH(272,'Transfer Engine'!$C$2:$C$630,0)),"",INDEX('Compliance Database'!$G$2:$G$630,MATCH(272,'Transfer Engine'!$C$2:$C$630,0)))</f>
        <v/>
      </c>
      <c r="H281">
        <f>IF(ISNA(MATCH(272,'Transfer Engine'!$C$2:$C$630,0)),"",INDEX('Compliance Database'!$H$2:$H$630,MATCH(272,'Transfer Engine'!$C$2:$C$630,0)))</f>
        <v/>
      </c>
      <c r="I281" s="8">
        <f>IF(ISNA(MATCH(272,'Transfer Engine'!$C$2:$C$630,0)),"",INDEX('Compliance Database'!$I$2:$I$630,MATCH(272,'Transfer Engine'!$C$2:$C$630,0)))</f>
        <v/>
      </c>
      <c r="J281" s="8">
        <f>IF(ISNA(MATCH(272,'Transfer Engine'!$C$2:$C$630,0)),"",INDEX('Compliance Database'!$J$2:$J$630,MATCH(272,'Transfer Engine'!$C$2:$C$630,0)))</f>
        <v/>
      </c>
      <c r="K281">
        <f>IF(ISNA(MATCH(272,'Transfer Engine'!$C$2:$C$630,0)),"",INDEX('Compliance Database'!$K$2:$K$630,MATCH(272,'Transfer Engine'!$C$2:$C$630,0)))</f>
        <v/>
      </c>
      <c r="L281" s="8">
        <f>IF(ISNA(MATCH(272,'Transfer Engine'!$C$2:$C$630,0)),"",INDEX('Compliance Database'!$L$2:$L$630,MATCH(272,'Transfer Engine'!$C$2:$C$630,0)))</f>
        <v/>
      </c>
      <c r="M281" s="8">
        <f>IF(ISNA(MATCH(272,'Transfer Engine'!$C$2:$C$630,0)),"",INDEX('Compliance Database'!$M$2:$M$630,MATCH(272,'Transfer Engine'!$C$2:$C$630,0)))</f>
        <v/>
      </c>
      <c r="N281" s="8">
        <f>IF(ISNA(MATCH(272,'Transfer Engine'!$C$2:$C$630,0)),"",INDEX('Compliance Database'!$N$2:$N$630,MATCH(272,'Transfer Engine'!$C$2:$C$630,0)))</f>
        <v/>
      </c>
      <c r="O281" s="8">
        <f>IF(ISNA(MATCH(272,'Transfer Engine'!$C$2:$C$630,0)),"",INDEX('Compliance Database'!$O$2:$O$630,MATCH(272,'Transfer Engine'!$C$2:$C$630,0)))</f>
        <v/>
      </c>
    </row>
    <row r="282">
      <c r="A282">
        <f>IF(ISNA(MATCH(273,'Transfer Engine'!$C$2:$C$630,0)),"",INDEX('Compliance Database'!$A$2:$A$630,MATCH(273,'Transfer Engine'!$C$2:$C$630,0)))</f>
        <v/>
      </c>
      <c r="B282">
        <f>IF(ISNA(MATCH(273,'Transfer Engine'!$C$2:$C$630,0)),"",INDEX('Compliance Database'!$B$2:$B$630,MATCH(273,'Transfer Engine'!$C$2:$C$630,0)))</f>
        <v/>
      </c>
      <c r="C282">
        <f>IF(ISNA(MATCH(273,'Transfer Engine'!$C$2:$C$630,0)),"",INDEX('Compliance Database'!$C$2:$C$630,MATCH(273,'Transfer Engine'!$C$2:$C$630,0)))</f>
        <v/>
      </c>
      <c r="D282" s="8">
        <f>IF(ISNA(MATCH(273,'Transfer Engine'!$C$2:$C$630,0)),"",INDEX('Compliance Database'!$D$2:$D$630,MATCH(273,'Transfer Engine'!$C$2:$C$630,0)))</f>
        <v/>
      </c>
      <c r="E282">
        <f>IF(ISNA(MATCH(273,'Transfer Engine'!$C$2:$C$630,0)),"",INDEX('Compliance Database'!$E$2:$E$630,MATCH(273,'Transfer Engine'!$C$2:$C$630,0)))</f>
        <v/>
      </c>
      <c r="F282">
        <f>IF(ISNA(MATCH(273,'Transfer Engine'!$C$2:$C$630,0)),"",INDEX('Compliance Database'!$F$2:$F$630,MATCH(273,'Transfer Engine'!$C$2:$C$630,0)))</f>
        <v/>
      </c>
      <c r="G282">
        <f>IF(ISNA(MATCH(273,'Transfer Engine'!$C$2:$C$630,0)),"",INDEX('Compliance Database'!$G$2:$G$630,MATCH(273,'Transfer Engine'!$C$2:$C$630,0)))</f>
        <v/>
      </c>
      <c r="H282">
        <f>IF(ISNA(MATCH(273,'Transfer Engine'!$C$2:$C$630,0)),"",INDEX('Compliance Database'!$H$2:$H$630,MATCH(273,'Transfer Engine'!$C$2:$C$630,0)))</f>
        <v/>
      </c>
      <c r="I282" s="8">
        <f>IF(ISNA(MATCH(273,'Transfer Engine'!$C$2:$C$630,0)),"",INDEX('Compliance Database'!$I$2:$I$630,MATCH(273,'Transfer Engine'!$C$2:$C$630,0)))</f>
        <v/>
      </c>
      <c r="J282" s="8">
        <f>IF(ISNA(MATCH(273,'Transfer Engine'!$C$2:$C$630,0)),"",INDEX('Compliance Database'!$J$2:$J$630,MATCH(273,'Transfer Engine'!$C$2:$C$630,0)))</f>
        <v/>
      </c>
      <c r="K282">
        <f>IF(ISNA(MATCH(273,'Transfer Engine'!$C$2:$C$630,0)),"",INDEX('Compliance Database'!$K$2:$K$630,MATCH(273,'Transfer Engine'!$C$2:$C$630,0)))</f>
        <v/>
      </c>
      <c r="L282" s="8">
        <f>IF(ISNA(MATCH(273,'Transfer Engine'!$C$2:$C$630,0)),"",INDEX('Compliance Database'!$L$2:$L$630,MATCH(273,'Transfer Engine'!$C$2:$C$630,0)))</f>
        <v/>
      </c>
      <c r="M282" s="8">
        <f>IF(ISNA(MATCH(273,'Transfer Engine'!$C$2:$C$630,0)),"",INDEX('Compliance Database'!$M$2:$M$630,MATCH(273,'Transfer Engine'!$C$2:$C$630,0)))</f>
        <v/>
      </c>
      <c r="N282" s="8">
        <f>IF(ISNA(MATCH(273,'Transfer Engine'!$C$2:$C$630,0)),"",INDEX('Compliance Database'!$N$2:$N$630,MATCH(273,'Transfer Engine'!$C$2:$C$630,0)))</f>
        <v/>
      </c>
      <c r="O282" s="8">
        <f>IF(ISNA(MATCH(273,'Transfer Engine'!$C$2:$C$630,0)),"",INDEX('Compliance Database'!$O$2:$O$630,MATCH(273,'Transfer Engine'!$C$2:$C$630,0)))</f>
        <v/>
      </c>
    </row>
    <row r="283">
      <c r="A283">
        <f>IF(ISNA(MATCH(274,'Transfer Engine'!$C$2:$C$630,0)),"",INDEX('Compliance Database'!$A$2:$A$630,MATCH(274,'Transfer Engine'!$C$2:$C$630,0)))</f>
        <v/>
      </c>
      <c r="B283">
        <f>IF(ISNA(MATCH(274,'Transfer Engine'!$C$2:$C$630,0)),"",INDEX('Compliance Database'!$B$2:$B$630,MATCH(274,'Transfer Engine'!$C$2:$C$630,0)))</f>
        <v/>
      </c>
      <c r="C283">
        <f>IF(ISNA(MATCH(274,'Transfer Engine'!$C$2:$C$630,0)),"",INDEX('Compliance Database'!$C$2:$C$630,MATCH(274,'Transfer Engine'!$C$2:$C$630,0)))</f>
        <v/>
      </c>
      <c r="D283" s="8">
        <f>IF(ISNA(MATCH(274,'Transfer Engine'!$C$2:$C$630,0)),"",INDEX('Compliance Database'!$D$2:$D$630,MATCH(274,'Transfer Engine'!$C$2:$C$630,0)))</f>
        <v/>
      </c>
      <c r="E283">
        <f>IF(ISNA(MATCH(274,'Transfer Engine'!$C$2:$C$630,0)),"",INDEX('Compliance Database'!$E$2:$E$630,MATCH(274,'Transfer Engine'!$C$2:$C$630,0)))</f>
        <v/>
      </c>
      <c r="F283">
        <f>IF(ISNA(MATCH(274,'Transfer Engine'!$C$2:$C$630,0)),"",INDEX('Compliance Database'!$F$2:$F$630,MATCH(274,'Transfer Engine'!$C$2:$C$630,0)))</f>
        <v/>
      </c>
      <c r="G283">
        <f>IF(ISNA(MATCH(274,'Transfer Engine'!$C$2:$C$630,0)),"",INDEX('Compliance Database'!$G$2:$G$630,MATCH(274,'Transfer Engine'!$C$2:$C$630,0)))</f>
        <v/>
      </c>
      <c r="H283">
        <f>IF(ISNA(MATCH(274,'Transfer Engine'!$C$2:$C$630,0)),"",INDEX('Compliance Database'!$H$2:$H$630,MATCH(274,'Transfer Engine'!$C$2:$C$630,0)))</f>
        <v/>
      </c>
      <c r="I283" s="8">
        <f>IF(ISNA(MATCH(274,'Transfer Engine'!$C$2:$C$630,0)),"",INDEX('Compliance Database'!$I$2:$I$630,MATCH(274,'Transfer Engine'!$C$2:$C$630,0)))</f>
        <v/>
      </c>
      <c r="J283" s="8">
        <f>IF(ISNA(MATCH(274,'Transfer Engine'!$C$2:$C$630,0)),"",INDEX('Compliance Database'!$J$2:$J$630,MATCH(274,'Transfer Engine'!$C$2:$C$630,0)))</f>
        <v/>
      </c>
      <c r="K283">
        <f>IF(ISNA(MATCH(274,'Transfer Engine'!$C$2:$C$630,0)),"",INDEX('Compliance Database'!$K$2:$K$630,MATCH(274,'Transfer Engine'!$C$2:$C$630,0)))</f>
        <v/>
      </c>
      <c r="L283" s="8">
        <f>IF(ISNA(MATCH(274,'Transfer Engine'!$C$2:$C$630,0)),"",INDEX('Compliance Database'!$L$2:$L$630,MATCH(274,'Transfer Engine'!$C$2:$C$630,0)))</f>
        <v/>
      </c>
      <c r="M283" s="8">
        <f>IF(ISNA(MATCH(274,'Transfer Engine'!$C$2:$C$630,0)),"",INDEX('Compliance Database'!$M$2:$M$630,MATCH(274,'Transfer Engine'!$C$2:$C$630,0)))</f>
        <v/>
      </c>
      <c r="N283" s="8">
        <f>IF(ISNA(MATCH(274,'Transfer Engine'!$C$2:$C$630,0)),"",INDEX('Compliance Database'!$N$2:$N$630,MATCH(274,'Transfer Engine'!$C$2:$C$630,0)))</f>
        <v/>
      </c>
      <c r="O283" s="8">
        <f>IF(ISNA(MATCH(274,'Transfer Engine'!$C$2:$C$630,0)),"",INDEX('Compliance Database'!$O$2:$O$630,MATCH(274,'Transfer Engine'!$C$2:$C$630,0)))</f>
        <v/>
      </c>
    </row>
    <row r="284">
      <c r="A284">
        <f>IF(ISNA(MATCH(275,'Transfer Engine'!$C$2:$C$630,0)),"",INDEX('Compliance Database'!$A$2:$A$630,MATCH(275,'Transfer Engine'!$C$2:$C$630,0)))</f>
        <v/>
      </c>
      <c r="B284">
        <f>IF(ISNA(MATCH(275,'Transfer Engine'!$C$2:$C$630,0)),"",INDEX('Compliance Database'!$B$2:$B$630,MATCH(275,'Transfer Engine'!$C$2:$C$630,0)))</f>
        <v/>
      </c>
      <c r="C284">
        <f>IF(ISNA(MATCH(275,'Transfer Engine'!$C$2:$C$630,0)),"",INDEX('Compliance Database'!$C$2:$C$630,MATCH(275,'Transfer Engine'!$C$2:$C$630,0)))</f>
        <v/>
      </c>
      <c r="D284" s="8">
        <f>IF(ISNA(MATCH(275,'Transfer Engine'!$C$2:$C$630,0)),"",INDEX('Compliance Database'!$D$2:$D$630,MATCH(275,'Transfer Engine'!$C$2:$C$630,0)))</f>
        <v/>
      </c>
      <c r="E284">
        <f>IF(ISNA(MATCH(275,'Transfer Engine'!$C$2:$C$630,0)),"",INDEX('Compliance Database'!$E$2:$E$630,MATCH(275,'Transfer Engine'!$C$2:$C$630,0)))</f>
        <v/>
      </c>
      <c r="F284">
        <f>IF(ISNA(MATCH(275,'Transfer Engine'!$C$2:$C$630,0)),"",INDEX('Compliance Database'!$F$2:$F$630,MATCH(275,'Transfer Engine'!$C$2:$C$630,0)))</f>
        <v/>
      </c>
      <c r="G284">
        <f>IF(ISNA(MATCH(275,'Transfer Engine'!$C$2:$C$630,0)),"",INDEX('Compliance Database'!$G$2:$G$630,MATCH(275,'Transfer Engine'!$C$2:$C$630,0)))</f>
        <v/>
      </c>
      <c r="H284">
        <f>IF(ISNA(MATCH(275,'Transfer Engine'!$C$2:$C$630,0)),"",INDEX('Compliance Database'!$H$2:$H$630,MATCH(275,'Transfer Engine'!$C$2:$C$630,0)))</f>
        <v/>
      </c>
      <c r="I284" s="8">
        <f>IF(ISNA(MATCH(275,'Transfer Engine'!$C$2:$C$630,0)),"",INDEX('Compliance Database'!$I$2:$I$630,MATCH(275,'Transfer Engine'!$C$2:$C$630,0)))</f>
        <v/>
      </c>
      <c r="J284" s="8">
        <f>IF(ISNA(MATCH(275,'Transfer Engine'!$C$2:$C$630,0)),"",INDEX('Compliance Database'!$J$2:$J$630,MATCH(275,'Transfer Engine'!$C$2:$C$630,0)))</f>
        <v/>
      </c>
      <c r="K284">
        <f>IF(ISNA(MATCH(275,'Transfer Engine'!$C$2:$C$630,0)),"",INDEX('Compliance Database'!$K$2:$K$630,MATCH(275,'Transfer Engine'!$C$2:$C$630,0)))</f>
        <v/>
      </c>
      <c r="L284" s="8">
        <f>IF(ISNA(MATCH(275,'Transfer Engine'!$C$2:$C$630,0)),"",INDEX('Compliance Database'!$L$2:$L$630,MATCH(275,'Transfer Engine'!$C$2:$C$630,0)))</f>
        <v/>
      </c>
      <c r="M284" s="8">
        <f>IF(ISNA(MATCH(275,'Transfer Engine'!$C$2:$C$630,0)),"",INDEX('Compliance Database'!$M$2:$M$630,MATCH(275,'Transfer Engine'!$C$2:$C$630,0)))</f>
        <v/>
      </c>
      <c r="N284" s="8">
        <f>IF(ISNA(MATCH(275,'Transfer Engine'!$C$2:$C$630,0)),"",INDEX('Compliance Database'!$N$2:$N$630,MATCH(275,'Transfer Engine'!$C$2:$C$630,0)))</f>
        <v/>
      </c>
      <c r="O284" s="8">
        <f>IF(ISNA(MATCH(275,'Transfer Engine'!$C$2:$C$630,0)),"",INDEX('Compliance Database'!$O$2:$O$630,MATCH(275,'Transfer Engine'!$C$2:$C$630,0)))</f>
        <v/>
      </c>
    </row>
    <row r="285">
      <c r="A285">
        <f>IF(ISNA(MATCH(276,'Transfer Engine'!$C$2:$C$630,0)),"",INDEX('Compliance Database'!$A$2:$A$630,MATCH(276,'Transfer Engine'!$C$2:$C$630,0)))</f>
        <v/>
      </c>
      <c r="B285">
        <f>IF(ISNA(MATCH(276,'Transfer Engine'!$C$2:$C$630,0)),"",INDEX('Compliance Database'!$B$2:$B$630,MATCH(276,'Transfer Engine'!$C$2:$C$630,0)))</f>
        <v/>
      </c>
      <c r="C285">
        <f>IF(ISNA(MATCH(276,'Transfer Engine'!$C$2:$C$630,0)),"",INDEX('Compliance Database'!$C$2:$C$630,MATCH(276,'Transfer Engine'!$C$2:$C$630,0)))</f>
        <v/>
      </c>
      <c r="D285" s="8">
        <f>IF(ISNA(MATCH(276,'Transfer Engine'!$C$2:$C$630,0)),"",INDEX('Compliance Database'!$D$2:$D$630,MATCH(276,'Transfer Engine'!$C$2:$C$630,0)))</f>
        <v/>
      </c>
      <c r="E285">
        <f>IF(ISNA(MATCH(276,'Transfer Engine'!$C$2:$C$630,0)),"",INDEX('Compliance Database'!$E$2:$E$630,MATCH(276,'Transfer Engine'!$C$2:$C$630,0)))</f>
        <v/>
      </c>
      <c r="F285">
        <f>IF(ISNA(MATCH(276,'Transfer Engine'!$C$2:$C$630,0)),"",INDEX('Compliance Database'!$F$2:$F$630,MATCH(276,'Transfer Engine'!$C$2:$C$630,0)))</f>
        <v/>
      </c>
      <c r="G285">
        <f>IF(ISNA(MATCH(276,'Transfer Engine'!$C$2:$C$630,0)),"",INDEX('Compliance Database'!$G$2:$G$630,MATCH(276,'Transfer Engine'!$C$2:$C$630,0)))</f>
        <v/>
      </c>
      <c r="H285">
        <f>IF(ISNA(MATCH(276,'Transfer Engine'!$C$2:$C$630,0)),"",INDEX('Compliance Database'!$H$2:$H$630,MATCH(276,'Transfer Engine'!$C$2:$C$630,0)))</f>
        <v/>
      </c>
      <c r="I285" s="8">
        <f>IF(ISNA(MATCH(276,'Transfer Engine'!$C$2:$C$630,0)),"",INDEX('Compliance Database'!$I$2:$I$630,MATCH(276,'Transfer Engine'!$C$2:$C$630,0)))</f>
        <v/>
      </c>
      <c r="J285" s="8">
        <f>IF(ISNA(MATCH(276,'Transfer Engine'!$C$2:$C$630,0)),"",INDEX('Compliance Database'!$J$2:$J$630,MATCH(276,'Transfer Engine'!$C$2:$C$630,0)))</f>
        <v/>
      </c>
      <c r="K285">
        <f>IF(ISNA(MATCH(276,'Transfer Engine'!$C$2:$C$630,0)),"",INDEX('Compliance Database'!$K$2:$K$630,MATCH(276,'Transfer Engine'!$C$2:$C$630,0)))</f>
        <v/>
      </c>
      <c r="L285" s="8">
        <f>IF(ISNA(MATCH(276,'Transfer Engine'!$C$2:$C$630,0)),"",INDEX('Compliance Database'!$L$2:$L$630,MATCH(276,'Transfer Engine'!$C$2:$C$630,0)))</f>
        <v/>
      </c>
      <c r="M285" s="8">
        <f>IF(ISNA(MATCH(276,'Transfer Engine'!$C$2:$C$630,0)),"",INDEX('Compliance Database'!$M$2:$M$630,MATCH(276,'Transfer Engine'!$C$2:$C$630,0)))</f>
        <v/>
      </c>
      <c r="N285" s="8">
        <f>IF(ISNA(MATCH(276,'Transfer Engine'!$C$2:$C$630,0)),"",INDEX('Compliance Database'!$N$2:$N$630,MATCH(276,'Transfer Engine'!$C$2:$C$630,0)))</f>
        <v/>
      </c>
      <c r="O285" s="8">
        <f>IF(ISNA(MATCH(276,'Transfer Engine'!$C$2:$C$630,0)),"",INDEX('Compliance Database'!$O$2:$O$630,MATCH(276,'Transfer Engine'!$C$2:$C$630,0)))</f>
        <v/>
      </c>
    </row>
    <row r="286">
      <c r="A286">
        <f>IF(ISNA(MATCH(277,'Transfer Engine'!$C$2:$C$630,0)),"",INDEX('Compliance Database'!$A$2:$A$630,MATCH(277,'Transfer Engine'!$C$2:$C$630,0)))</f>
        <v/>
      </c>
      <c r="B286">
        <f>IF(ISNA(MATCH(277,'Transfer Engine'!$C$2:$C$630,0)),"",INDEX('Compliance Database'!$B$2:$B$630,MATCH(277,'Transfer Engine'!$C$2:$C$630,0)))</f>
        <v/>
      </c>
      <c r="C286">
        <f>IF(ISNA(MATCH(277,'Transfer Engine'!$C$2:$C$630,0)),"",INDEX('Compliance Database'!$C$2:$C$630,MATCH(277,'Transfer Engine'!$C$2:$C$630,0)))</f>
        <v/>
      </c>
      <c r="D286" s="8">
        <f>IF(ISNA(MATCH(277,'Transfer Engine'!$C$2:$C$630,0)),"",INDEX('Compliance Database'!$D$2:$D$630,MATCH(277,'Transfer Engine'!$C$2:$C$630,0)))</f>
        <v/>
      </c>
      <c r="E286">
        <f>IF(ISNA(MATCH(277,'Transfer Engine'!$C$2:$C$630,0)),"",INDEX('Compliance Database'!$E$2:$E$630,MATCH(277,'Transfer Engine'!$C$2:$C$630,0)))</f>
        <v/>
      </c>
      <c r="F286">
        <f>IF(ISNA(MATCH(277,'Transfer Engine'!$C$2:$C$630,0)),"",INDEX('Compliance Database'!$F$2:$F$630,MATCH(277,'Transfer Engine'!$C$2:$C$630,0)))</f>
        <v/>
      </c>
      <c r="G286">
        <f>IF(ISNA(MATCH(277,'Transfer Engine'!$C$2:$C$630,0)),"",INDEX('Compliance Database'!$G$2:$G$630,MATCH(277,'Transfer Engine'!$C$2:$C$630,0)))</f>
        <v/>
      </c>
      <c r="H286">
        <f>IF(ISNA(MATCH(277,'Transfer Engine'!$C$2:$C$630,0)),"",INDEX('Compliance Database'!$H$2:$H$630,MATCH(277,'Transfer Engine'!$C$2:$C$630,0)))</f>
        <v/>
      </c>
      <c r="I286" s="8">
        <f>IF(ISNA(MATCH(277,'Transfer Engine'!$C$2:$C$630,0)),"",INDEX('Compliance Database'!$I$2:$I$630,MATCH(277,'Transfer Engine'!$C$2:$C$630,0)))</f>
        <v/>
      </c>
      <c r="J286" s="8">
        <f>IF(ISNA(MATCH(277,'Transfer Engine'!$C$2:$C$630,0)),"",INDEX('Compliance Database'!$J$2:$J$630,MATCH(277,'Transfer Engine'!$C$2:$C$630,0)))</f>
        <v/>
      </c>
      <c r="K286">
        <f>IF(ISNA(MATCH(277,'Transfer Engine'!$C$2:$C$630,0)),"",INDEX('Compliance Database'!$K$2:$K$630,MATCH(277,'Transfer Engine'!$C$2:$C$630,0)))</f>
        <v/>
      </c>
      <c r="L286" s="8">
        <f>IF(ISNA(MATCH(277,'Transfer Engine'!$C$2:$C$630,0)),"",INDEX('Compliance Database'!$L$2:$L$630,MATCH(277,'Transfer Engine'!$C$2:$C$630,0)))</f>
        <v/>
      </c>
      <c r="M286" s="8">
        <f>IF(ISNA(MATCH(277,'Transfer Engine'!$C$2:$C$630,0)),"",INDEX('Compliance Database'!$M$2:$M$630,MATCH(277,'Transfer Engine'!$C$2:$C$630,0)))</f>
        <v/>
      </c>
      <c r="N286" s="8">
        <f>IF(ISNA(MATCH(277,'Transfer Engine'!$C$2:$C$630,0)),"",INDEX('Compliance Database'!$N$2:$N$630,MATCH(277,'Transfer Engine'!$C$2:$C$630,0)))</f>
        <v/>
      </c>
      <c r="O286" s="8">
        <f>IF(ISNA(MATCH(277,'Transfer Engine'!$C$2:$C$630,0)),"",INDEX('Compliance Database'!$O$2:$O$630,MATCH(277,'Transfer Engine'!$C$2:$C$630,0)))</f>
        <v/>
      </c>
    </row>
    <row r="287">
      <c r="A287">
        <f>IF(ISNA(MATCH(278,'Transfer Engine'!$C$2:$C$630,0)),"",INDEX('Compliance Database'!$A$2:$A$630,MATCH(278,'Transfer Engine'!$C$2:$C$630,0)))</f>
        <v/>
      </c>
      <c r="B287">
        <f>IF(ISNA(MATCH(278,'Transfer Engine'!$C$2:$C$630,0)),"",INDEX('Compliance Database'!$B$2:$B$630,MATCH(278,'Transfer Engine'!$C$2:$C$630,0)))</f>
        <v/>
      </c>
      <c r="C287">
        <f>IF(ISNA(MATCH(278,'Transfer Engine'!$C$2:$C$630,0)),"",INDEX('Compliance Database'!$C$2:$C$630,MATCH(278,'Transfer Engine'!$C$2:$C$630,0)))</f>
        <v/>
      </c>
      <c r="D287" s="8">
        <f>IF(ISNA(MATCH(278,'Transfer Engine'!$C$2:$C$630,0)),"",INDEX('Compliance Database'!$D$2:$D$630,MATCH(278,'Transfer Engine'!$C$2:$C$630,0)))</f>
        <v/>
      </c>
      <c r="E287">
        <f>IF(ISNA(MATCH(278,'Transfer Engine'!$C$2:$C$630,0)),"",INDEX('Compliance Database'!$E$2:$E$630,MATCH(278,'Transfer Engine'!$C$2:$C$630,0)))</f>
        <v/>
      </c>
      <c r="F287">
        <f>IF(ISNA(MATCH(278,'Transfer Engine'!$C$2:$C$630,0)),"",INDEX('Compliance Database'!$F$2:$F$630,MATCH(278,'Transfer Engine'!$C$2:$C$630,0)))</f>
        <v/>
      </c>
      <c r="G287">
        <f>IF(ISNA(MATCH(278,'Transfer Engine'!$C$2:$C$630,0)),"",INDEX('Compliance Database'!$G$2:$G$630,MATCH(278,'Transfer Engine'!$C$2:$C$630,0)))</f>
        <v/>
      </c>
      <c r="H287">
        <f>IF(ISNA(MATCH(278,'Transfer Engine'!$C$2:$C$630,0)),"",INDEX('Compliance Database'!$H$2:$H$630,MATCH(278,'Transfer Engine'!$C$2:$C$630,0)))</f>
        <v/>
      </c>
      <c r="I287" s="8">
        <f>IF(ISNA(MATCH(278,'Transfer Engine'!$C$2:$C$630,0)),"",INDEX('Compliance Database'!$I$2:$I$630,MATCH(278,'Transfer Engine'!$C$2:$C$630,0)))</f>
        <v/>
      </c>
      <c r="J287" s="8">
        <f>IF(ISNA(MATCH(278,'Transfer Engine'!$C$2:$C$630,0)),"",INDEX('Compliance Database'!$J$2:$J$630,MATCH(278,'Transfer Engine'!$C$2:$C$630,0)))</f>
        <v/>
      </c>
      <c r="K287">
        <f>IF(ISNA(MATCH(278,'Transfer Engine'!$C$2:$C$630,0)),"",INDEX('Compliance Database'!$K$2:$K$630,MATCH(278,'Transfer Engine'!$C$2:$C$630,0)))</f>
        <v/>
      </c>
      <c r="L287" s="8">
        <f>IF(ISNA(MATCH(278,'Transfer Engine'!$C$2:$C$630,0)),"",INDEX('Compliance Database'!$L$2:$L$630,MATCH(278,'Transfer Engine'!$C$2:$C$630,0)))</f>
        <v/>
      </c>
      <c r="M287" s="8">
        <f>IF(ISNA(MATCH(278,'Transfer Engine'!$C$2:$C$630,0)),"",INDEX('Compliance Database'!$M$2:$M$630,MATCH(278,'Transfer Engine'!$C$2:$C$630,0)))</f>
        <v/>
      </c>
      <c r="N287" s="8">
        <f>IF(ISNA(MATCH(278,'Transfer Engine'!$C$2:$C$630,0)),"",INDEX('Compliance Database'!$N$2:$N$630,MATCH(278,'Transfer Engine'!$C$2:$C$630,0)))</f>
        <v/>
      </c>
      <c r="O287" s="8">
        <f>IF(ISNA(MATCH(278,'Transfer Engine'!$C$2:$C$630,0)),"",INDEX('Compliance Database'!$O$2:$O$630,MATCH(278,'Transfer Engine'!$C$2:$C$630,0)))</f>
        <v/>
      </c>
    </row>
    <row r="288">
      <c r="A288">
        <f>IF(ISNA(MATCH(279,'Transfer Engine'!$C$2:$C$630,0)),"",INDEX('Compliance Database'!$A$2:$A$630,MATCH(279,'Transfer Engine'!$C$2:$C$630,0)))</f>
        <v/>
      </c>
      <c r="B288">
        <f>IF(ISNA(MATCH(279,'Transfer Engine'!$C$2:$C$630,0)),"",INDEX('Compliance Database'!$B$2:$B$630,MATCH(279,'Transfer Engine'!$C$2:$C$630,0)))</f>
        <v/>
      </c>
      <c r="C288">
        <f>IF(ISNA(MATCH(279,'Transfer Engine'!$C$2:$C$630,0)),"",INDEX('Compliance Database'!$C$2:$C$630,MATCH(279,'Transfer Engine'!$C$2:$C$630,0)))</f>
        <v/>
      </c>
      <c r="D288" s="8">
        <f>IF(ISNA(MATCH(279,'Transfer Engine'!$C$2:$C$630,0)),"",INDEX('Compliance Database'!$D$2:$D$630,MATCH(279,'Transfer Engine'!$C$2:$C$630,0)))</f>
        <v/>
      </c>
      <c r="E288">
        <f>IF(ISNA(MATCH(279,'Transfer Engine'!$C$2:$C$630,0)),"",INDEX('Compliance Database'!$E$2:$E$630,MATCH(279,'Transfer Engine'!$C$2:$C$630,0)))</f>
        <v/>
      </c>
      <c r="F288">
        <f>IF(ISNA(MATCH(279,'Transfer Engine'!$C$2:$C$630,0)),"",INDEX('Compliance Database'!$F$2:$F$630,MATCH(279,'Transfer Engine'!$C$2:$C$630,0)))</f>
        <v/>
      </c>
      <c r="G288">
        <f>IF(ISNA(MATCH(279,'Transfer Engine'!$C$2:$C$630,0)),"",INDEX('Compliance Database'!$G$2:$G$630,MATCH(279,'Transfer Engine'!$C$2:$C$630,0)))</f>
        <v/>
      </c>
      <c r="H288">
        <f>IF(ISNA(MATCH(279,'Transfer Engine'!$C$2:$C$630,0)),"",INDEX('Compliance Database'!$H$2:$H$630,MATCH(279,'Transfer Engine'!$C$2:$C$630,0)))</f>
        <v/>
      </c>
      <c r="I288" s="8">
        <f>IF(ISNA(MATCH(279,'Transfer Engine'!$C$2:$C$630,0)),"",INDEX('Compliance Database'!$I$2:$I$630,MATCH(279,'Transfer Engine'!$C$2:$C$630,0)))</f>
        <v/>
      </c>
      <c r="J288" s="8">
        <f>IF(ISNA(MATCH(279,'Transfer Engine'!$C$2:$C$630,0)),"",INDEX('Compliance Database'!$J$2:$J$630,MATCH(279,'Transfer Engine'!$C$2:$C$630,0)))</f>
        <v/>
      </c>
      <c r="K288">
        <f>IF(ISNA(MATCH(279,'Transfer Engine'!$C$2:$C$630,0)),"",INDEX('Compliance Database'!$K$2:$K$630,MATCH(279,'Transfer Engine'!$C$2:$C$630,0)))</f>
        <v/>
      </c>
      <c r="L288" s="8">
        <f>IF(ISNA(MATCH(279,'Transfer Engine'!$C$2:$C$630,0)),"",INDEX('Compliance Database'!$L$2:$L$630,MATCH(279,'Transfer Engine'!$C$2:$C$630,0)))</f>
        <v/>
      </c>
      <c r="M288" s="8">
        <f>IF(ISNA(MATCH(279,'Transfer Engine'!$C$2:$C$630,0)),"",INDEX('Compliance Database'!$M$2:$M$630,MATCH(279,'Transfer Engine'!$C$2:$C$630,0)))</f>
        <v/>
      </c>
      <c r="N288" s="8">
        <f>IF(ISNA(MATCH(279,'Transfer Engine'!$C$2:$C$630,0)),"",INDEX('Compliance Database'!$N$2:$N$630,MATCH(279,'Transfer Engine'!$C$2:$C$630,0)))</f>
        <v/>
      </c>
      <c r="O288" s="8">
        <f>IF(ISNA(MATCH(279,'Transfer Engine'!$C$2:$C$630,0)),"",INDEX('Compliance Database'!$O$2:$O$630,MATCH(279,'Transfer Engine'!$C$2:$C$630,0)))</f>
        <v/>
      </c>
    </row>
    <row r="289">
      <c r="A289">
        <f>IF(ISNA(MATCH(280,'Transfer Engine'!$C$2:$C$630,0)),"",INDEX('Compliance Database'!$A$2:$A$630,MATCH(280,'Transfer Engine'!$C$2:$C$630,0)))</f>
        <v/>
      </c>
      <c r="B289">
        <f>IF(ISNA(MATCH(280,'Transfer Engine'!$C$2:$C$630,0)),"",INDEX('Compliance Database'!$B$2:$B$630,MATCH(280,'Transfer Engine'!$C$2:$C$630,0)))</f>
        <v/>
      </c>
      <c r="C289">
        <f>IF(ISNA(MATCH(280,'Transfer Engine'!$C$2:$C$630,0)),"",INDEX('Compliance Database'!$C$2:$C$630,MATCH(280,'Transfer Engine'!$C$2:$C$630,0)))</f>
        <v/>
      </c>
      <c r="D289" s="8">
        <f>IF(ISNA(MATCH(280,'Transfer Engine'!$C$2:$C$630,0)),"",INDEX('Compliance Database'!$D$2:$D$630,MATCH(280,'Transfer Engine'!$C$2:$C$630,0)))</f>
        <v/>
      </c>
      <c r="E289">
        <f>IF(ISNA(MATCH(280,'Transfer Engine'!$C$2:$C$630,0)),"",INDEX('Compliance Database'!$E$2:$E$630,MATCH(280,'Transfer Engine'!$C$2:$C$630,0)))</f>
        <v/>
      </c>
      <c r="F289">
        <f>IF(ISNA(MATCH(280,'Transfer Engine'!$C$2:$C$630,0)),"",INDEX('Compliance Database'!$F$2:$F$630,MATCH(280,'Transfer Engine'!$C$2:$C$630,0)))</f>
        <v/>
      </c>
      <c r="G289">
        <f>IF(ISNA(MATCH(280,'Transfer Engine'!$C$2:$C$630,0)),"",INDEX('Compliance Database'!$G$2:$G$630,MATCH(280,'Transfer Engine'!$C$2:$C$630,0)))</f>
        <v/>
      </c>
      <c r="H289">
        <f>IF(ISNA(MATCH(280,'Transfer Engine'!$C$2:$C$630,0)),"",INDEX('Compliance Database'!$H$2:$H$630,MATCH(280,'Transfer Engine'!$C$2:$C$630,0)))</f>
        <v/>
      </c>
      <c r="I289" s="8">
        <f>IF(ISNA(MATCH(280,'Transfer Engine'!$C$2:$C$630,0)),"",INDEX('Compliance Database'!$I$2:$I$630,MATCH(280,'Transfer Engine'!$C$2:$C$630,0)))</f>
        <v/>
      </c>
      <c r="J289" s="8">
        <f>IF(ISNA(MATCH(280,'Transfer Engine'!$C$2:$C$630,0)),"",INDEX('Compliance Database'!$J$2:$J$630,MATCH(280,'Transfer Engine'!$C$2:$C$630,0)))</f>
        <v/>
      </c>
      <c r="K289">
        <f>IF(ISNA(MATCH(280,'Transfer Engine'!$C$2:$C$630,0)),"",INDEX('Compliance Database'!$K$2:$K$630,MATCH(280,'Transfer Engine'!$C$2:$C$630,0)))</f>
        <v/>
      </c>
      <c r="L289" s="8">
        <f>IF(ISNA(MATCH(280,'Transfer Engine'!$C$2:$C$630,0)),"",INDEX('Compliance Database'!$L$2:$L$630,MATCH(280,'Transfer Engine'!$C$2:$C$630,0)))</f>
        <v/>
      </c>
      <c r="M289" s="8">
        <f>IF(ISNA(MATCH(280,'Transfer Engine'!$C$2:$C$630,0)),"",INDEX('Compliance Database'!$M$2:$M$630,MATCH(280,'Transfer Engine'!$C$2:$C$630,0)))</f>
        <v/>
      </c>
      <c r="N289" s="8">
        <f>IF(ISNA(MATCH(280,'Transfer Engine'!$C$2:$C$630,0)),"",INDEX('Compliance Database'!$N$2:$N$630,MATCH(280,'Transfer Engine'!$C$2:$C$630,0)))</f>
        <v/>
      </c>
      <c r="O289" s="8">
        <f>IF(ISNA(MATCH(280,'Transfer Engine'!$C$2:$C$630,0)),"",INDEX('Compliance Database'!$O$2:$O$630,MATCH(280,'Transfer Engine'!$C$2:$C$630,0)))</f>
        <v/>
      </c>
    </row>
    <row r="290">
      <c r="A290">
        <f>IF(ISNA(MATCH(281,'Transfer Engine'!$C$2:$C$630,0)),"",INDEX('Compliance Database'!$A$2:$A$630,MATCH(281,'Transfer Engine'!$C$2:$C$630,0)))</f>
        <v/>
      </c>
      <c r="B290">
        <f>IF(ISNA(MATCH(281,'Transfer Engine'!$C$2:$C$630,0)),"",INDEX('Compliance Database'!$B$2:$B$630,MATCH(281,'Transfer Engine'!$C$2:$C$630,0)))</f>
        <v/>
      </c>
      <c r="C290">
        <f>IF(ISNA(MATCH(281,'Transfer Engine'!$C$2:$C$630,0)),"",INDEX('Compliance Database'!$C$2:$C$630,MATCH(281,'Transfer Engine'!$C$2:$C$630,0)))</f>
        <v/>
      </c>
      <c r="D290" s="8">
        <f>IF(ISNA(MATCH(281,'Transfer Engine'!$C$2:$C$630,0)),"",INDEX('Compliance Database'!$D$2:$D$630,MATCH(281,'Transfer Engine'!$C$2:$C$630,0)))</f>
        <v/>
      </c>
      <c r="E290">
        <f>IF(ISNA(MATCH(281,'Transfer Engine'!$C$2:$C$630,0)),"",INDEX('Compliance Database'!$E$2:$E$630,MATCH(281,'Transfer Engine'!$C$2:$C$630,0)))</f>
        <v/>
      </c>
      <c r="F290">
        <f>IF(ISNA(MATCH(281,'Transfer Engine'!$C$2:$C$630,0)),"",INDEX('Compliance Database'!$F$2:$F$630,MATCH(281,'Transfer Engine'!$C$2:$C$630,0)))</f>
        <v/>
      </c>
      <c r="G290">
        <f>IF(ISNA(MATCH(281,'Transfer Engine'!$C$2:$C$630,0)),"",INDEX('Compliance Database'!$G$2:$G$630,MATCH(281,'Transfer Engine'!$C$2:$C$630,0)))</f>
        <v/>
      </c>
      <c r="H290">
        <f>IF(ISNA(MATCH(281,'Transfer Engine'!$C$2:$C$630,0)),"",INDEX('Compliance Database'!$H$2:$H$630,MATCH(281,'Transfer Engine'!$C$2:$C$630,0)))</f>
        <v/>
      </c>
      <c r="I290" s="8">
        <f>IF(ISNA(MATCH(281,'Transfer Engine'!$C$2:$C$630,0)),"",INDEX('Compliance Database'!$I$2:$I$630,MATCH(281,'Transfer Engine'!$C$2:$C$630,0)))</f>
        <v/>
      </c>
      <c r="J290" s="8">
        <f>IF(ISNA(MATCH(281,'Transfer Engine'!$C$2:$C$630,0)),"",INDEX('Compliance Database'!$J$2:$J$630,MATCH(281,'Transfer Engine'!$C$2:$C$630,0)))</f>
        <v/>
      </c>
      <c r="K290">
        <f>IF(ISNA(MATCH(281,'Transfer Engine'!$C$2:$C$630,0)),"",INDEX('Compliance Database'!$K$2:$K$630,MATCH(281,'Transfer Engine'!$C$2:$C$630,0)))</f>
        <v/>
      </c>
      <c r="L290" s="8">
        <f>IF(ISNA(MATCH(281,'Transfer Engine'!$C$2:$C$630,0)),"",INDEX('Compliance Database'!$L$2:$L$630,MATCH(281,'Transfer Engine'!$C$2:$C$630,0)))</f>
        <v/>
      </c>
      <c r="M290" s="8">
        <f>IF(ISNA(MATCH(281,'Transfer Engine'!$C$2:$C$630,0)),"",INDEX('Compliance Database'!$M$2:$M$630,MATCH(281,'Transfer Engine'!$C$2:$C$630,0)))</f>
        <v/>
      </c>
      <c r="N290" s="8">
        <f>IF(ISNA(MATCH(281,'Transfer Engine'!$C$2:$C$630,0)),"",INDEX('Compliance Database'!$N$2:$N$630,MATCH(281,'Transfer Engine'!$C$2:$C$630,0)))</f>
        <v/>
      </c>
      <c r="O290" s="8">
        <f>IF(ISNA(MATCH(281,'Transfer Engine'!$C$2:$C$630,0)),"",INDEX('Compliance Database'!$O$2:$O$630,MATCH(281,'Transfer Engine'!$C$2:$C$630,0)))</f>
        <v/>
      </c>
    </row>
    <row r="291">
      <c r="A291">
        <f>IF(ISNA(MATCH(282,'Transfer Engine'!$C$2:$C$630,0)),"",INDEX('Compliance Database'!$A$2:$A$630,MATCH(282,'Transfer Engine'!$C$2:$C$630,0)))</f>
        <v/>
      </c>
      <c r="B291">
        <f>IF(ISNA(MATCH(282,'Transfer Engine'!$C$2:$C$630,0)),"",INDEX('Compliance Database'!$B$2:$B$630,MATCH(282,'Transfer Engine'!$C$2:$C$630,0)))</f>
        <v/>
      </c>
      <c r="C291">
        <f>IF(ISNA(MATCH(282,'Transfer Engine'!$C$2:$C$630,0)),"",INDEX('Compliance Database'!$C$2:$C$630,MATCH(282,'Transfer Engine'!$C$2:$C$630,0)))</f>
        <v/>
      </c>
      <c r="D291" s="8">
        <f>IF(ISNA(MATCH(282,'Transfer Engine'!$C$2:$C$630,0)),"",INDEX('Compliance Database'!$D$2:$D$630,MATCH(282,'Transfer Engine'!$C$2:$C$630,0)))</f>
        <v/>
      </c>
      <c r="E291">
        <f>IF(ISNA(MATCH(282,'Transfer Engine'!$C$2:$C$630,0)),"",INDEX('Compliance Database'!$E$2:$E$630,MATCH(282,'Transfer Engine'!$C$2:$C$630,0)))</f>
        <v/>
      </c>
      <c r="F291">
        <f>IF(ISNA(MATCH(282,'Transfer Engine'!$C$2:$C$630,0)),"",INDEX('Compliance Database'!$F$2:$F$630,MATCH(282,'Transfer Engine'!$C$2:$C$630,0)))</f>
        <v/>
      </c>
      <c r="G291">
        <f>IF(ISNA(MATCH(282,'Transfer Engine'!$C$2:$C$630,0)),"",INDEX('Compliance Database'!$G$2:$G$630,MATCH(282,'Transfer Engine'!$C$2:$C$630,0)))</f>
        <v/>
      </c>
      <c r="H291">
        <f>IF(ISNA(MATCH(282,'Transfer Engine'!$C$2:$C$630,0)),"",INDEX('Compliance Database'!$H$2:$H$630,MATCH(282,'Transfer Engine'!$C$2:$C$630,0)))</f>
        <v/>
      </c>
      <c r="I291" s="8">
        <f>IF(ISNA(MATCH(282,'Transfer Engine'!$C$2:$C$630,0)),"",INDEX('Compliance Database'!$I$2:$I$630,MATCH(282,'Transfer Engine'!$C$2:$C$630,0)))</f>
        <v/>
      </c>
      <c r="J291" s="8">
        <f>IF(ISNA(MATCH(282,'Transfer Engine'!$C$2:$C$630,0)),"",INDEX('Compliance Database'!$J$2:$J$630,MATCH(282,'Transfer Engine'!$C$2:$C$630,0)))</f>
        <v/>
      </c>
      <c r="K291">
        <f>IF(ISNA(MATCH(282,'Transfer Engine'!$C$2:$C$630,0)),"",INDEX('Compliance Database'!$K$2:$K$630,MATCH(282,'Transfer Engine'!$C$2:$C$630,0)))</f>
        <v/>
      </c>
      <c r="L291" s="8">
        <f>IF(ISNA(MATCH(282,'Transfer Engine'!$C$2:$C$630,0)),"",INDEX('Compliance Database'!$L$2:$L$630,MATCH(282,'Transfer Engine'!$C$2:$C$630,0)))</f>
        <v/>
      </c>
      <c r="M291" s="8">
        <f>IF(ISNA(MATCH(282,'Transfer Engine'!$C$2:$C$630,0)),"",INDEX('Compliance Database'!$M$2:$M$630,MATCH(282,'Transfer Engine'!$C$2:$C$630,0)))</f>
        <v/>
      </c>
      <c r="N291" s="8">
        <f>IF(ISNA(MATCH(282,'Transfer Engine'!$C$2:$C$630,0)),"",INDEX('Compliance Database'!$N$2:$N$630,MATCH(282,'Transfer Engine'!$C$2:$C$630,0)))</f>
        <v/>
      </c>
      <c r="O291" s="8">
        <f>IF(ISNA(MATCH(282,'Transfer Engine'!$C$2:$C$630,0)),"",INDEX('Compliance Database'!$O$2:$O$630,MATCH(282,'Transfer Engine'!$C$2:$C$630,0)))</f>
        <v/>
      </c>
    </row>
    <row r="292">
      <c r="A292">
        <f>IF(ISNA(MATCH(283,'Transfer Engine'!$C$2:$C$630,0)),"",INDEX('Compliance Database'!$A$2:$A$630,MATCH(283,'Transfer Engine'!$C$2:$C$630,0)))</f>
        <v/>
      </c>
      <c r="B292">
        <f>IF(ISNA(MATCH(283,'Transfer Engine'!$C$2:$C$630,0)),"",INDEX('Compliance Database'!$B$2:$B$630,MATCH(283,'Transfer Engine'!$C$2:$C$630,0)))</f>
        <v/>
      </c>
      <c r="C292">
        <f>IF(ISNA(MATCH(283,'Transfer Engine'!$C$2:$C$630,0)),"",INDEX('Compliance Database'!$C$2:$C$630,MATCH(283,'Transfer Engine'!$C$2:$C$630,0)))</f>
        <v/>
      </c>
      <c r="D292" s="8">
        <f>IF(ISNA(MATCH(283,'Transfer Engine'!$C$2:$C$630,0)),"",INDEX('Compliance Database'!$D$2:$D$630,MATCH(283,'Transfer Engine'!$C$2:$C$630,0)))</f>
        <v/>
      </c>
      <c r="E292">
        <f>IF(ISNA(MATCH(283,'Transfer Engine'!$C$2:$C$630,0)),"",INDEX('Compliance Database'!$E$2:$E$630,MATCH(283,'Transfer Engine'!$C$2:$C$630,0)))</f>
        <v/>
      </c>
      <c r="F292">
        <f>IF(ISNA(MATCH(283,'Transfer Engine'!$C$2:$C$630,0)),"",INDEX('Compliance Database'!$F$2:$F$630,MATCH(283,'Transfer Engine'!$C$2:$C$630,0)))</f>
        <v/>
      </c>
      <c r="G292">
        <f>IF(ISNA(MATCH(283,'Transfer Engine'!$C$2:$C$630,0)),"",INDEX('Compliance Database'!$G$2:$G$630,MATCH(283,'Transfer Engine'!$C$2:$C$630,0)))</f>
        <v/>
      </c>
      <c r="H292">
        <f>IF(ISNA(MATCH(283,'Transfer Engine'!$C$2:$C$630,0)),"",INDEX('Compliance Database'!$H$2:$H$630,MATCH(283,'Transfer Engine'!$C$2:$C$630,0)))</f>
        <v/>
      </c>
      <c r="I292" s="8">
        <f>IF(ISNA(MATCH(283,'Transfer Engine'!$C$2:$C$630,0)),"",INDEX('Compliance Database'!$I$2:$I$630,MATCH(283,'Transfer Engine'!$C$2:$C$630,0)))</f>
        <v/>
      </c>
      <c r="J292" s="8">
        <f>IF(ISNA(MATCH(283,'Transfer Engine'!$C$2:$C$630,0)),"",INDEX('Compliance Database'!$J$2:$J$630,MATCH(283,'Transfer Engine'!$C$2:$C$630,0)))</f>
        <v/>
      </c>
      <c r="K292">
        <f>IF(ISNA(MATCH(283,'Transfer Engine'!$C$2:$C$630,0)),"",INDEX('Compliance Database'!$K$2:$K$630,MATCH(283,'Transfer Engine'!$C$2:$C$630,0)))</f>
        <v/>
      </c>
      <c r="L292" s="8">
        <f>IF(ISNA(MATCH(283,'Transfer Engine'!$C$2:$C$630,0)),"",INDEX('Compliance Database'!$L$2:$L$630,MATCH(283,'Transfer Engine'!$C$2:$C$630,0)))</f>
        <v/>
      </c>
      <c r="M292" s="8">
        <f>IF(ISNA(MATCH(283,'Transfer Engine'!$C$2:$C$630,0)),"",INDEX('Compliance Database'!$M$2:$M$630,MATCH(283,'Transfer Engine'!$C$2:$C$630,0)))</f>
        <v/>
      </c>
      <c r="N292" s="8">
        <f>IF(ISNA(MATCH(283,'Transfer Engine'!$C$2:$C$630,0)),"",INDEX('Compliance Database'!$N$2:$N$630,MATCH(283,'Transfer Engine'!$C$2:$C$630,0)))</f>
        <v/>
      </c>
      <c r="O292" s="8">
        <f>IF(ISNA(MATCH(283,'Transfer Engine'!$C$2:$C$630,0)),"",INDEX('Compliance Database'!$O$2:$O$630,MATCH(283,'Transfer Engine'!$C$2:$C$630,0)))</f>
        <v/>
      </c>
    </row>
    <row r="293">
      <c r="A293">
        <f>IF(ISNA(MATCH(284,'Transfer Engine'!$C$2:$C$630,0)),"",INDEX('Compliance Database'!$A$2:$A$630,MATCH(284,'Transfer Engine'!$C$2:$C$630,0)))</f>
        <v/>
      </c>
      <c r="B293">
        <f>IF(ISNA(MATCH(284,'Transfer Engine'!$C$2:$C$630,0)),"",INDEX('Compliance Database'!$B$2:$B$630,MATCH(284,'Transfer Engine'!$C$2:$C$630,0)))</f>
        <v/>
      </c>
      <c r="C293">
        <f>IF(ISNA(MATCH(284,'Transfer Engine'!$C$2:$C$630,0)),"",INDEX('Compliance Database'!$C$2:$C$630,MATCH(284,'Transfer Engine'!$C$2:$C$630,0)))</f>
        <v/>
      </c>
      <c r="D293" s="8">
        <f>IF(ISNA(MATCH(284,'Transfer Engine'!$C$2:$C$630,0)),"",INDEX('Compliance Database'!$D$2:$D$630,MATCH(284,'Transfer Engine'!$C$2:$C$630,0)))</f>
        <v/>
      </c>
      <c r="E293">
        <f>IF(ISNA(MATCH(284,'Transfer Engine'!$C$2:$C$630,0)),"",INDEX('Compliance Database'!$E$2:$E$630,MATCH(284,'Transfer Engine'!$C$2:$C$630,0)))</f>
        <v/>
      </c>
      <c r="F293">
        <f>IF(ISNA(MATCH(284,'Transfer Engine'!$C$2:$C$630,0)),"",INDEX('Compliance Database'!$F$2:$F$630,MATCH(284,'Transfer Engine'!$C$2:$C$630,0)))</f>
        <v/>
      </c>
      <c r="G293">
        <f>IF(ISNA(MATCH(284,'Transfer Engine'!$C$2:$C$630,0)),"",INDEX('Compliance Database'!$G$2:$G$630,MATCH(284,'Transfer Engine'!$C$2:$C$630,0)))</f>
        <v/>
      </c>
      <c r="H293">
        <f>IF(ISNA(MATCH(284,'Transfer Engine'!$C$2:$C$630,0)),"",INDEX('Compliance Database'!$H$2:$H$630,MATCH(284,'Transfer Engine'!$C$2:$C$630,0)))</f>
        <v/>
      </c>
      <c r="I293" s="8">
        <f>IF(ISNA(MATCH(284,'Transfer Engine'!$C$2:$C$630,0)),"",INDEX('Compliance Database'!$I$2:$I$630,MATCH(284,'Transfer Engine'!$C$2:$C$630,0)))</f>
        <v/>
      </c>
      <c r="J293" s="8">
        <f>IF(ISNA(MATCH(284,'Transfer Engine'!$C$2:$C$630,0)),"",INDEX('Compliance Database'!$J$2:$J$630,MATCH(284,'Transfer Engine'!$C$2:$C$630,0)))</f>
        <v/>
      </c>
      <c r="K293">
        <f>IF(ISNA(MATCH(284,'Transfer Engine'!$C$2:$C$630,0)),"",INDEX('Compliance Database'!$K$2:$K$630,MATCH(284,'Transfer Engine'!$C$2:$C$630,0)))</f>
        <v/>
      </c>
      <c r="L293" s="8">
        <f>IF(ISNA(MATCH(284,'Transfer Engine'!$C$2:$C$630,0)),"",INDEX('Compliance Database'!$L$2:$L$630,MATCH(284,'Transfer Engine'!$C$2:$C$630,0)))</f>
        <v/>
      </c>
      <c r="M293" s="8">
        <f>IF(ISNA(MATCH(284,'Transfer Engine'!$C$2:$C$630,0)),"",INDEX('Compliance Database'!$M$2:$M$630,MATCH(284,'Transfer Engine'!$C$2:$C$630,0)))</f>
        <v/>
      </c>
      <c r="N293" s="8">
        <f>IF(ISNA(MATCH(284,'Transfer Engine'!$C$2:$C$630,0)),"",INDEX('Compliance Database'!$N$2:$N$630,MATCH(284,'Transfer Engine'!$C$2:$C$630,0)))</f>
        <v/>
      </c>
      <c r="O293" s="8">
        <f>IF(ISNA(MATCH(284,'Transfer Engine'!$C$2:$C$630,0)),"",INDEX('Compliance Database'!$O$2:$O$630,MATCH(284,'Transfer Engine'!$C$2:$C$630,0)))</f>
        <v/>
      </c>
    </row>
    <row r="294">
      <c r="A294">
        <f>IF(ISNA(MATCH(285,'Transfer Engine'!$C$2:$C$630,0)),"",INDEX('Compliance Database'!$A$2:$A$630,MATCH(285,'Transfer Engine'!$C$2:$C$630,0)))</f>
        <v/>
      </c>
      <c r="B294">
        <f>IF(ISNA(MATCH(285,'Transfer Engine'!$C$2:$C$630,0)),"",INDEX('Compliance Database'!$B$2:$B$630,MATCH(285,'Transfer Engine'!$C$2:$C$630,0)))</f>
        <v/>
      </c>
      <c r="C294">
        <f>IF(ISNA(MATCH(285,'Transfer Engine'!$C$2:$C$630,0)),"",INDEX('Compliance Database'!$C$2:$C$630,MATCH(285,'Transfer Engine'!$C$2:$C$630,0)))</f>
        <v/>
      </c>
      <c r="D294" s="8">
        <f>IF(ISNA(MATCH(285,'Transfer Engine'!$C$2:$C$630,0)),"",INDEX('Compliance Database'!$D$2:$D$630,MATCH(285,'Transfer Engine'!$C$2:$C$630,0)))</f>
        <v/>
      </c>
      <c r="E294">
        <f>IF(ISNA(MATCH(285,'Transfer Engine'!$C$2:$C$630,0)),"",INDEX('Compliance Database'!$E$2:$E$630,MATCH(285,'Transfer Engine'!$C$2:$C$630,0)))</f>
        <v/>
      </c>
      <c r="F294">
        <f>IF(ISNA(MATCH(285,'Transfer Engine'!$C$2:$C$630,0)),"",INDEX('Compliance Database'!$F$2:$F$630,MATCH(285,'Transfer Engine'!$C$2:$C$630,0)))</f>
        <v/>
      </c>
      <c r="G294">
        <f>IF(ISNA(MATCH(285,'Transfer Engine'!$C$2:$C$630,0)),"",INDEX('Compliance Database'!$G$2:$G$630,MATCH(285,'Transfer Engine'!$C$2:$C$630,0)))</f>
        <v/>
      </c>
      <c r="H294">
        <f>IF(ISNA(MATCH(285,'Transfer Engine'!$C$2:$C$630,0)),"",INDEX('Compliance Database'!$H$2:$H$630,MATCH(285,'Transfer Engine'!$C$2:$C$630,0)))</f>
        <v/>
      </c>
      <c r="I294" s="8">
        <f>IF(ISNA(MATCH(285,'Transfer Engine'!$C$2:$C$630,0)),"",INDEX('Compliance Database'!$I$2:$I$630,MATCH(285,'Transfer Engine'!$C$2:$C$630,0)))</f>
        <v/>
      </c>
      <c r="J294" s="8">
        <f>IF(ISNA(MATCH(285,'Transfer Engine'!$C$2:$C$630,0)),"",INDEX('Compliance Database'!$J$2:$J$630,MATCH(285,'Transfer Engine'!$C$2:$C$630,0)))</f>
        <v/>
      </c>
      <c r="K294">
        <f>IF(ISNA(MATCH(285,'Transfer Engine'!$C$2:$C$630,0)),"",INDEX('Compliance Database'!$K$2:$K$630,MATCH(285,'Transfer Engine'!$C$2:$C$630,0)))</f>
        <v/>
      </c>
      <c r="L294" s="8">
        <f>IF(ISNA(MATCH(285,'Transfer Engine'!$C$2:$C$630,0)),"",INDEX('Compliance Database'!$L$2:$L$630,MATCH(285,'Transfer Engine'!$C$2:$C$630,0)))</f>
        <v/>
      </c>
      <c r="M294" s="8">
        <f>IF(ISNA(MATCH(285,'Transfer Engine'!$C$2:$C$630,0)),"",INDEX('Compliance Database'!$M$2:$M$630,MATCH(285,'Transfer Engine'!$C$2:$C$630,0)))</f>
        <v/>
      </c>
      <c r="N294" s="8">
        <f>IF(ISNA(MATCH(285,'Transfer Engine'!$C$2:$C$630,0)),"",INDEX('Compliance Database'!$N$2:$N$630,MATCH(285,'Transfer Engine'!$C$2:$C$630,0)))</f>
        <v/>
      </c>
      <c r="O294" s="8">
        <f>IF(ISNA(MATCH(285,'Transfer Engine'!$C$2:$C$630,0)),"",INDEX('Compliance Database'!$O$2:$O$630,MATCH(285,'Transfer Engine'!$C$2:$C$630,0)))</f>
        <v/>
      </c>
    </row>
    <row r="295">
      <c r="A295">
        <f>IF(ISNA(MATCH(286,'Transfer Engine'!$C$2:$C$630,0)),"",INDEX('Compliance Database'!$A$2:$A$630,MATCH(286,'Transfer Engine'!$C$2:$C$630,0)))</f>
        <v/>
      </c>
      <c r="B295">
        <f>IF(ISNA(MATCH(286,'Transfer Engine'!$C$2:$C$630,0)),"",INDEX('Compliance Database'!$B$2:$B$630,MATCH(286,'Transfer Engine'!$C$2:$C$630,0)))</f>
        <v/>
      </c>
      <c r="C295">
        <f>IF(ISNA(MATCH(286,'Transfer Engine'!$C$2:$C$630,0)),"",INDEX('Compliance Database'!$C$2:$C$630,MATCH(286,'Transfer Engine'!$C$2:$C$630,0)))</f>
        <v/>
      </c>
      <c r="D295" s="8">
        <f>IF(ISNA(MATCH(286,'Transfer Engine'!$C$2:$C$630,0)),"",INDEX('Compliance Database'!$D$2:$D$630,MATCH(286,'Transfer Engine'!$C$2:$C$630,0)))</f>
        <v/>
      </c>
      <c r="E295">
        <f>IF(ISNA(MATCH(286,'Transfer Engine'!$C$2:$C$630,0)),"",INDEX('Compliance Database'!$E$2:$E$630,MATCH(286,'Transfer Engine'!$C$2:$C$630,0)))</f>
        <v/>
      </c>
      <c r="F295">
        <f>IF(ISNA(MATCH(286,'Transfer Engine'!$C$2:$C$630,0)),"",INDEX('Compliance Database'!$F$2:$F$630,MATCH(286,'Transfer Engine'!$C$2:$C$630,0)))</f>
        <v/>
      </c>
      <c r="G295">
        <f>IF(ISNA(MATCH(286,'Transfer Engine'!$C$2:$C$630,0)),"",INDEX('Compliance Database'!$G$2:$G$630,MATCH(286,'Transfer Engine'!$C$2:$C$630,0)))</f>
        <v/>
      </c>
      <c r="H295">
        <f>IF(ISNA(MATCH(286,'Transfer Engine'!$C$2:$C$630,0)),"",INDEX('Compliance Database'!$H$2:$H$630,MATCH(286,'Transfer Engine'!$C$2:$C$630,0)))</f>
        <v/>
      </c>
      <c r="I295" s="8">
        <f>IF(ISNA(MATCH(286,'Transfer Engine'!$C$2:$C$630,0)),"",INDEX('Compliance Database'!$I$2:$I$630,MATCH(286,'Transfer Engine'!$C$2:$C$630,0)))</f>
        <v/>
      </c>
      <c r="J295" s="8">
        <f>IF(ISNA(MATCH(286,'Transfer Engine'!$C$2:$C$630,0)),"",INDEX('Compliance Database'!$J$2:$J$630,MATCH(286,'Transfer Engine'!$C$2:$C$630,0)))</f>
        <v/>
      </c>
      <c r="K295">
        <f>IF(ISNA(MATCH(286,'Transfer Engine'!$C$2:$C$630,0)),"",INDEX('Compliance Database'!$K$2:$K$630,MATCH(286,'Transfer Engine'!$C$2:$C$630,0)))</f>
        <v/>
      </c>
      <c r="L295" s="8">
        <f>IF(ISNA(MATCH(286,'Transfer Engine'!$C$2:$C$630,0)),"",INDEX('Compliance Database'!$L$2:$L$630,MATCH(286,'Transfer Engine'!$C$2:$C$630,0)))</f>
        <v/>
      </c>
      <c r="M295" s="8">
        <f>IF(ISNA(MATCH(286,'Transfer Engine'!$C$2:$C$630,0)),"",INDEX('Compliance Database'!$M$2:$M$630,MATCH(286,'Transfer Engine'!$C$2:$C$630,0)))</f>
        <v/>
      </c>
      <c r="N295" s="8">
        <f>IF(ISNA(MATCH(286,'Transfer Engine'!$C$2:$C$630,0)),"",INDEX('Compliance Database'!$N$2:$N$630,MATCH(286,'Transfer Engine'!$C$2:$C$630,0)))</f>
        <v/>
      </c>
      <c r="O295" s="8">
        <f>IF(ISNA(MATCH(286,'Transfer Engine'!$C$2:$C$630,0)),"",INDEX('Compliance Database'!$O$2:$O$630,MATCH(286,'Transfer Engine'!$C$2:$C$630,0)))</f>
        <v/>
      </c>
    </row>
    <row r="296">
      <c r="A296">
        <f>IF(ISNA(MATCH(287,'Transfer Engine'!$C$2:$C$630,0)),"",INDEX('Compliance Database'!$A$2:$A$630,MATCH(287,'Transfer Engine'!$C$2:$C$630,0)))</f>
        <v/>
      </c>
      <c r="B296">
        <f>IF(ISNA(MATCH(287,'Transfer Engine'!$C$2:$C$630,0)),"",INDEX('Compliance Database'!$B$2:$B$630,MATCH(287,'Transfer Engine'!$C$2:$C$630,0)))</f>
        <v/>
      </c>
      <c r="C296">
        <f>IF(ISNA(MATCH(287,'Transfer Engine'!$C$2:$C$630,0)),"",INDEX('Compliance Database'!$C$2:$C$630,MATCH(287,'Transfer Engine'!$C$2:$C$630,0)))</f>
        <v/>
      </c>
      <c r="D296" s="8">
        <f>IF(ISNA(MATCH(287,'Transfer Engine'!$C$2:$C$630,0)),"",INDEX('Compliance Database'!$D$2:$D$630,MATCH(287,'Transfer Engine'!$C$2:$C$630,0)))</f>
        <v/>
      </c>
      <c r="E296">
        <f>IF(ISNA(MATCH(287,'Transfer Engine'!$C$2:$C$630,0)),"",INDEX('Compliance Database'!$E$2:$E$630,MATCH(287,'Transfer Engine'!$C$2:$C$630,0)))</f>
        <v/>
      </c>
      <c r="F296">
        <f>IF(ISNA(MATCH(287,'Transfer Engine'!$C$2:$C$630,0)),"",INDEX('Compliance Database'!$F$2:$F$630,MATCH(287,'Transfer Engine'!$C$2:$C$630,0)))</f>
        <v/>
      </c>
      <c r="G296">
        <f>IF(ISNA(MATCH(287,'Transfer Engine'!$C$2:$C$630,0)),"",INDEX('Compliance Database'!$G$2:$G$630,MATCH(287,'Transfer Engine'!$C$2:$C$630,0)))</f>
        <v/>
      </c>
      <c r="H296">
        <f>IF(ISNA(MATCH(287,'Transfer Engine'!$C$2:$C$630,0)),"",INDEX('Compliance Database'!$H$2:$H$630,MATCH(287,'Transfer Engine'!$C$2:$C$630,0)))</f>
        <v/>
      </c>
      <c r="I296" s="8">
        <f>IF(ISNA(MATCH(287,'Transfer Engine'!$C$2:$C$630,0)),"",INDEX('Compliance Database'!$I$2:$I$630,MATCH(287,'Transfer Engine'!$C$2:$C$630,0)))</f>
        <v/>
      </c>
      <c r="J296" s="8">
        <f>IF(ISNA(MATCH(287,'Transfer Engine'!$C$2:$C$630,0)),"",INDEX('Compliance Database'!$J$2:$J$630,MATCH(287,'Transfer Engine'!$C$2:$C$630,0)))</f>
        <v/>
      </c>
      <c r="K296">
        <f>IF(ISNA(MATCH(287,'Transfer Engine'!$C$2:$C$630,0)),"",INDEX('Compliance Database'!$K$2:$K$630,MATCH(287,'Transfer Engine'!$C$2:$C$630,0)))</f>
        <v/>
      </c>
      <c r="L296" s="8">
        <f>IF(ISNA(MATCH(287,'Transfer Engine'!$C$2:$C$630,0)),"",INDEX('Compliance Database'!$L$2:$L$630,MATCH(287,'Transfer Engine'!$C$2:$C$630,0)))</f>
        <v/>
      </c>
      <c r="M296" s="8">
        <f>IF(ISNA(MATCH(287,'Transfer Engine'!$C$2:$C$630,0)),"",INDEX('Compliance Database'!$M$2:$M$630,MATCH(287,'Transfer Engine'!$C$2:$C$630,0)))</f>
        <v/>
      </c>
      <c r="N296" s="8">
        <f>IF(ISNA(MATCH(287,'Transfer Engine'!$C$2:$C$630,0)),"",INDEX('Compliance Database'!$N$2:$N$630,MATCH(287,'Transfer Engine'!$C$2:$C$630,0)))</f>
        <v/>
      </c>
      <c r="O296" s="8">
        <f>IF(ISNA(MATCH(287,'Transfer Engine'!$C$2:$C$630,0)),"",INDEX('Compliance Database'!$O$2:$O$630,MATCH(287,'Transfer Engine'!$C$2:$C$630,0)))</f>
        <v/>
      </c>
    </row>
    <row r="297">
      <c r="A297">
        <f>IF(ISNA(MATCH(288,'Transfer Engine'!$C$2:$C$630,0)),"",INDEX('Compliance Database'!$A$2:$A$630,MATCH(288,'Transfer Engine'!$C$2:$C$630,0)))</f>
        <v/>
      </c>
      <c r="B297">
        <f>IF(ISNA(MATCH(288,'Transfer Engine'!$C$2:$C$630,0)),"",INDEX('Compliance Database'!$B$2:$B$630,MATCH(288,'Transfer Engine'!$C$2:$C$630,0)))</f>
        <v/>
      </c>
      <c r="C297">
        <f>IF(ISNA(MATCH(288,'Transfer Engine'!$C$2:$C$630,0)),"",INDEX('Compliance Database'!$C$2:$C$630,MATCH(288,'Transfer Engine'!$C$2:$C$630,0)))</f>
        <v/>
      </c>
      <c r="D297" s="8">
        <f>IF(ISNA(MATCH(288,'Transfer Engine'!$C$2:$C$630,0)),"",INDEX('Compliance Database'!$D$2:$D$630,MATCH(288,'Transfer Engine'!$C$2:$C$630,0)))</f>
        <v/>
      </c>
      <c r="E297">
        <f>IF(ISNA(MATCH(288,'Transfer Engine'!$C$2:$C$630,0)),"",INDEX('Compliance Database'!$E$2:$E$630,MATCH(288,'Transfer Engine'!$C$2:$C$630,0)))</f>
        <v/>
      </c>
      <c r="F297">
        <f>IF(ISNA(MATCH(288,'Transfer Engine'!$C$2:$C$630,0)),"",INDEX('Compliance Database'!$F$2:$F$630,MATCH(288,'Transfer Engine'!$C$2:$C$630,0)))</f>
        <v/>
      </c>
      <c r="G297">
        <f>IF(ISNA(MATCH(288,'Transfer Engine'!$C$2:$C$630,0)),"",INDEX('Compliance Database'!$G$2:$G$630,MATCH(288,'Transfer Engine'!$C$2:$C$630,0)))</f>
        <v/>
      </c>
      <c r="H297">
        <f>IF(ISNA(MATCH(288,'Transfer Engine'!$C$2:$C$630,0)),"",INDEX('Compliance Database'!$H$2:$H$630,MATCH(288,'Transfer Engine'!$C$2:$C$630,0)))</f>
        <v/>
      </c>
      <c r="I297" s="8">
        <f>IF(ISNA(MATCH(288,'Transfer Engine'!$C$2:$C$630,0)),"",INDEX('Compliance Database'!$I$2:$I$630,MATCH(288,'Transfer Engine'!$C$2:$C$630,0)))</f>
        <v/>
      </c>
      <c r="J297" s="8">
        <f>IF(ISNA(MATCH(288,'Transfer Engine'!$C$2:$C$630,0)),"",INDEX('Compliance Database'!$J$2:$J$630,MATCH(288,'Transfer Engine'!$C$2:$C$630,0)))</f>
        <v/>
      </c>
      <c r="K297">
        <f>IF(ISNA(MATCH(288,'Transfer Engine'!$C$2:$C$630,0)),"",INDEX('Compliance Database'!$K$2:$K$630,MATCH(288,'Transfer Engine'!$C$2:$C$630,0)))</f>
        <v/>
      </c>
      <c r="L297" s="8">
        <f>IF(ISNA(MATCH(288,'Transfer Engine'!$C$2:$C$630,0)),"",INDEX('Compliance Database'!$L$2:$L$630,MATCH(288,'Transfer Engine'!$C$2:$C$630,0)))</f>
        <v/>
      </c>
      <c r="M297" s="8">
        <f>IF(ISNA(MATCH(288,'Transfer Engine'!$C$2:$C$630,0)),"",INDEX('Compliance Database'!$M$2:$M$630,MATCH(288,'Transfer Engine'!$C$2:$C$630,0)))</f>
        <v/>
      </c>
      <c r="N297" s="8">
        <f>IF(ISNA(MATCH(288,'Transfer Engine'!$C$2:$C$630,0)),"",INDEX('Compliance Database'!$N$2:$N$630,MATCH(288,'Transfer Engine'!$C$2:$C$630,0)))</f>
        <v/>
      </c>
      <c r="O297" s="8">
        <f>IF(ISNA(MATCH(288,'Transfer Engine'!$C$2:$C$630,0)),"",INDEX('Compliance Database'!$O$2:$O$630,MATCH(288,'Transfer Engine'!$C$2:$C$630,0)))</f>
        <v/>
      </c>
    </row>
    <row r="298">
      <c r="A298">
        <f>IF(ISNA(MATCH(289,'Transfer Engine'!$C$2:$C$630,0)),"",INDEX('Compliance Database'!$A$2:$A$630,MATCH(289,'Transfer Engine'!$C$2:$C$630,0)))</f>
        <v/>
      </c>
      <c r="B298">
        <f>IF(ISNA(MATCH(289,'Transfer Engine'!$C$2:$C$630,0)),"",INDEX('Compliance Database'!$B$2:$B$630,MATCH(289,'Transfer Engine'!$C$2:$C$630,0)))</f>
        <v/>
      </c>
      <c r="C298">
        <f>IF(ISNA(MATCH(289,'Transfer Engine'!$C$2:$C$630,0)),"",INDEX('Compliance Database'!$C$2:$C$630,MATCH(289,'Transfer Engine'!$C$2:$C$630,0)))</f>
        <v/>
      </c>
      <c r="D298" s="8">
        <f>IF(ISNA(MATCH(289,'Transfer Engine'!$C$2:$C$630,0)),"",INDEX('Compliance Database'!$D$2:$D$630,MATCH(289,'Transfer Engine'!$C$2:$C$630,0)))</f>
        <v/>
      </c>
      <c r="E298">
        <f>IF(ISNA(MATCH(289,'Transfer Engine'!$C$2:$C$630,0)),"",INDEX('Compliance Database'!$E$2:$E$630,MATCH(289,'Transfer Engine'!$C$2:$C$630,0)))</f>
        <v/>
      </c>
      <c r="F298">
        <f>IF(ISNA(MATCH(289,'Transfer Engine'!$C$2:$C$630,0)),"",INDEX('Compliance Database'!$F$2:$F$630,MATCH(289,'Transfer Engine'!$C$2:$C$630,0)))</f>
        <v/>
      </c>
      <c r="G298">
        <f>IF(ISNA(MATCH(289,'Transfer Engine'!$C$2:$C$630,0)),"",INDEX('Compliance Database'!$G$2:$G$630,MATCH(289,'Transfer Engine'!$C$2:$C$630,0)))</f>
        <v/>
      </c>
      <c r="H298">
        <f>IF(ISNA(MATCH(289,'Transfer Engine'!$C$2:$C$630,0)),"",INDEX('Compliance Database'!$H$2:$H$630,MATCH(289,'Transfer Engine'!$C$2:$C$630,0)))</f>
        <v/>
      </c>
      <c r="I298" s="8">
        <f>IF(ISNA(MATCH(289,'Transfer Engine'!$C$2:$C$630,0)),"",INDEX('Compliance Database'!$I$2:$I$630,MATCH(289,'Transfer Engine'!$C$2:$C$630,0)))</f>
        <v/>
      </c>
      <c r="J298" s="8">
        <f>IF(ISNA(MATCH(289,'Transfer Engine'!$C$2:$C$630,0)),"",INDEX('Compliance Database'!$J$2:$J$630,MATCH(289,'Transfer Engine'!$C$2:$C$630,0)))</f>
        <v/>
      </c>
      <c r="K298">
        <f>IF(ISNA(MATCH(289,'Transfer Engine'!$C$2:$C$630,0)),"",INDEX('Compliance Database'!$K$2:$K$630,MATCH(289,'Transfer Engine'!$C$2:$C$630,0)))</f>
        <v/>
      </c>
      <c r="L298" s="8">
        <f>IF(ISNA(MATCH(289,'Transfer Engine'!$C$2:$C$630,0)),"",INDEX('Compliance Database'!$L$2:$L$630,MATCH(289,'Transfer Engine'!$C$2:$C$630,0)))</f>
        <v/>
      </c>
      <c r="M298" s="8">
        <f>IF(ISNA(MATCH(289,'Transfer Engine'!$C$2:$C$630,0)),"",INDEX('Compliance Database'!$M$2:$M$630,MATCH(289,'Transfer Engine'!$C$2:$C$630,0)))</f>
        <v/>
      </c>
      <c r="N298" s="8">
        <f>IF(ISNA(MATCH(289,'Transfer Engine'!$C$2:$C$630,0)),"",INDEX('Compliance Database'!$N$2:$N$630,MATCH(289,'Transfer Engine'!$C$2:$C$630,0)))</f>
        <v/>
      </c>
      <c r="O298" s="8">
        <f>IF(ISNA(MATCH(289,'Transfer Engine'!$C$2:$C$630,0)),"",INDEX('Compliance Database'!$O$2:$O$630,MATCH(289,'Transfer Engine'!$C$2:$C$630,0)))</f>
        <v/>
      </c>
    </row>
    <row r="299">
      <c r="A299">
        <f>IF(ISNA(MATCH(290,'Transfer Engine'!$C$2:$C$630,0)),"",INDEX('Compliance Database'!$A$2:$A$630,MATCH(290,'Transfer Engine'!$C$2:$C$630,0)))</f>
        <v/>
      </c>
      <c r="B299">
        <f>IF(ISNA(MATCH(290,'Transfer Engine'!$C$2:$C$630,0)),"",INDEX('Compliance Database'!$B$2:$B$630,MATCH(290,'Transfer Engine'!$C$2:$C$630,0)))</f>
        <v/>
      </c>
      <c r="C299">
        <f>IF(ISNA(MATCH(290,'Transfer Engine'!$C$2:$C$630,0)),"",INDEX('Compliance Database'!$C$2:$C$630,MATCH(290,'Transfer Engine'!$C$2:$C$630,0)))</f>
        <v/>
      </c>
      <c r="D299" s="8">
        <f>IF(ISNA(MATCH(290,'Transfer Engine'!$C$2:$C$630,0)),"",INDEX('Compliance Database'!$D$2:$D$630,MATCH(290,'Transfer Engine'!$C$2:$C$630,0)))</f>
        <v/>
      </c>
      <c r="E299">
        <f>IF(ISNA(MATCH(290,'Transfer Engine'!$C$2:$C$630,0)),"",INDEX('Compliance Database'!$E$2:$E$630,MATCH(290,'Transfer Engine'!$C$2:$C$630,0)))</f>
        <v/>
      </c>
      <c r="F299">
        <f>IF(ISNA(MATCH(290,'Transfer Engine'!$C$2:$C$630,0)),"",INDEX('Compliance Database'!$F$2:$F$630,MATCH(290,'Transfer Engine'!$C$2:$C$630,0)))</f>
        <v/>
      </c>
      <c r="G299">
        <f>IF(ISNA(MATCH(290,'Transfer Engine'!$C$2:$C$630,0)),"",INDEX('Compliance Database'!$G$2:$G$630,MATCH(290,'Transfer Engine'!$C$2:$C$630,0)))</f>
        <v/>
      </c>
      <c r="H299">
        <f>IF(ISNA(MATCH(290,'Transfer Engine'!$C$2:$C$630,0)),"",INDEX('Compliance Database'!$H$2:$H$630,MATCH(290,'Transfer Engine'!$C$2:$C$630,0)))</f>
        <v/>
      </c>
      <c r="I299" s="8">
        <f>IF(ISNA(MATCH(290,'Transfer Engine'!$C$2:$C$630,0)),"",INDEX('Compliance Database'!$I$2:$I$630,MATCH(290,'Transfer Engine'!$C$2:$C$630,0)))</f>
        <v/>
      </c>
      <c r="J299" s="8">
        <f>IF(ISNA(MATCH(290,'Transfer Engine'!$C$2:$C$630,0)),"",INDEX('Compliance Database'!$J$2:$J$630,MATCH(290,'Transfer Engine'!$C$2:$C$630,0)))</f>
        <v/>
      </c>
      <c r="K299">
        <f>IF(ISNA(MATCH(290,'Transfer Engine'!$C$2:$C$630,0)),"",INDEX('Compliance Database'!$K$2:$K$630,MATCH(290,'Transfer Engine'!$C$2:$C$630,0)))</f>
        <v/>
      </c>
      <c r="L299" s="8">
        <f>IF(ISNA(MATCH(290,'Transfer Engine'!$C$2:$C$630,0)),"",INDEX('Compliance Database'!$L$2:$L$630,MATCH(290,'Transfer Engine'!$C$2:$C$630,0)))</f>
        <v/>
      </c>
      <c r="M299" s="8">
        <f>IF(ISNA(MATCH(290,'Transfer Engine'!$C$2:$C$630,0)),"",INDEX('Compliance Database'!$M$2:$M$630,MATCH(290,'Transfer Engine'!$C$2:$C$630,0)))</f>
        <v/>
      </c>
      <c r="N299" s="8">
        <f>IF(ISNA(MATCH(290,'Transfer Engine'!$C$2:$C$630,0)),"",INDEX('Compliance Database'!$N$2:$N$630,MATCH(290,'Transfer Engine'!$C$2:$C$630,0)))</f>
        <v/>
      </c>
      <c r="O299" s="8">
        <f>IF(ISNA(MATCH(290,'Transfer Engine'!$C$2:$C$630,0)),"",INDEX('Compliance Database'!$O$2:$O$630,MATCH(290,'Transfer Engine'!$C$2:$C$630,0)))</f>
        <v/>
      </c>
    </row>
    <row r="300">
      <c r="A300">
        <f>IF(ISNA(MATCH(291,'Transfer Engine'!$C$2:$C$630,0)),"",INDEX('Compliance Database'!$A$2:$A$630,MATCH(291,'Transfer Engine'!$C$2:$C$630,0)))</f>
        <v/>
      </c>
      <c r="B300">
        <f>IF(ISNA(MATCH(291,'Transfer Engine'!$C$2:$C$630,0)),"",INDEX('Compliance Database'!$B$2:$B$630,MATCH(291,'Transfer Engine'!$C$2:$C$630,0)))</f>
        <v/>
      </c>
      <c r="C300">
        <f>IF(ISNA(MATCH(291,'Transfer Engine'!$C$2:$C$630,0)),"",INDEX('Compliance Database'!$C$2:$C$630,MATCH(291,'Transfer Engine'!$C$2:$C$630,0)))</f>
        <v/>
      </c>
      <c r="D300" s="8">
        <f>IF(ISNA(MATCH(291,'Transfer Engine'!$C$2:$C$630,0)),"",INDEX('Compliance Database'!$D$2:$D$630,MATCH(291,'Transfer Engine'!$C$2:$C$630,0)))</f>
        <v/>
      </c>
      <c r="E300">
        <f>IF(ISNA(MATCH(291,'Transfer Engine'!$C$2:$C$630,0)),"",INDEX('Compliance Database'!$E$2:$E$630,MATCH(291,'Transfer Engine'!$C$2:$C$630,0)))</f>
        <v/>
      </c>
      <c r="F300">
        <f>IF(ISNA(MATCH(291,'Transfer Engine'!$C$2:$C$630,0)),"",INDEX('Compliance Database'!$F$2:$F$630,MATCH(291,'Transfer Engine'!$C$2:$C$630,0)))</f>
        <v/>
      </c>
      <c r="G300">
        <f>IF(ISNA(MATCH(291,'Transfer Engine'!$C$2:$C$630,0)),"",INDEX('Compliance Database'!$G$2:$G$630,MATCH(291,'Transfer Engine'!$C$2:$C$630,0)))</f>
        <v/>
      </c>
      <c r="H300">
        <f>IF(ISNA(MATCH(291,'Transfer Engine'!$C$2:$C$630,0)),"",INDEX('Compliance Database'!$H$2:$H$630,MATCH(291,'Transfer Engine'!$C$2:$C$630,0)))</f>
        <v/>
      </c>
      <c r="I300" s="8">
        <f>IF(ISNA(MATCH(291,'Transfer Engine'!$C$2:$C$630,0)),"",INDEX('Compliance Database'!$I$2:$I$630,MATCH(291,'Transfer Engine'!$C$2:$C$630,0)))</f>
        <v/>
      </c>
      <c r="J300" s="8">
        <f>IF(ISNA(MATCH(291,'Transfer Engine'!$C$2:$C$630,0)),"",INDEX('Compliance Database'!$J$2:$J$630,MATCH(291,'Transfer Engine'!$C$2:$C$630,0)))</f>
        <v/>
      </c>
      <c r="K300">
        <f>IF(ISNA(MATCH(291,'Transfer Engine'!$C$2:$C$630,0)),"",INDEX('Compliance Database'!$K$2:$K$630,MATCH(291,'Transfer Engine'!$C$2:$C$630,0)))</f>
        <v/>
      </c>
      <c r="L300" s="8">
        <f>IF(ISNA(MATCH(291,'Transfer Engine'!$C$2:$C$630,0)),"",INDEX('Compliance Database'!$L$2:$L$630,MATCH(291,'Transfer Engine'!$C$2:$C$630,0)))</f>
        <v/>
      </c>
      <c r="M300" s="8">
        <f>IF(ISNA(MATCH(291,'Transfer Engine'!$C$2:$C$630,0)),"",INDEX('Compliance Database'!$M$2:$M$630,MATCH(291,'Transfer Engine'!$C$2:$C$630,0)))</f>
        <v/>
      </c>
      <c r="N300" s="8">
        <f>IF(ISNA(MATCH(291,'Transfer Engine'!$C$2:$C$630,0)),"",INDEX('Compliance Database'!$N$2:$N$630,MATCH(291,'Transfer Engine'!$C$2:$C$630,0)))</f>
        <v/>
      </c>
      <c r="O300" s="8">
        <f>IF(ISNA(MATCH(291,'Transfer Engine'!$C$2:$C$630,0)),"",INDEX('Compliance Database'!$O$2:$O$630,MATCH(291,'Transfer Engine'!$C$2:$C$630,0)))</f>
        <v/>
      </c>
    </row>
    <row r="301">
      <c r="A301">
        <f>IF(ISNA(MATCH(292,'Transfer Engine'!$C$2:$C$630,0)),"",INDEX('Compliance Database'!$A$2:$A$630,MATCH(292,'Transfer Engine'!$C$2:$C$630,0)))</f>
        <v/>
      </c>
      <c r="B301">
        <f>IF(ISNA(MATCH(292,'Transfer Engine'!$C$2:$C$630,0)),"",INDEX('Compliance Database'!$B$2:$B$630,MATCH(292,'Transfer Engine'!$C$2:$C$630,0)))</f>
        <v/>
      </c>
      <c r="C301">
        <f>IF(ISNA(MATCH(292,'Transfer Engine'!$C$2:$C$630,0)),"",INDEX('Compliance Database'!$C$2:$C$630,MATCH(292,'Transfer Engine'!$C$2:$C$630,0)))</f>
        <v/>
      </c>
      <c r="D301" s="8">
        <f>IF(ISNA(MATCH(292,'Transfer Engine'!$C$2:$C$630,0)),"",INDEX('Compliance Database'!$D$2:$D$630,MATCH(292,'Transfer Engine'!$C$2:$C$630,0)))</f>
        <v/>
      </c>
      <c r="E301">
        <f>IF(ISNA(MATCH(292,'Transfer Engine'!$C$2:$C$630,0)),"",INDEX('Compliance Database'!$E$2:$E$630,MATCH(292,'Transfer Engine'!$C$2:$C$630,0)))</f>
        <v/>
      </c>
      <c r="F301">
        <f>IF(ISNA(MATCH(292,'Transfer Engine'!$C$2:$C$630,0)),"",INDEX('Compliance Database'!$F$2:$F$630,MATCH(292,'Transfer Engine'!$C$2:$C$630,0)))</f>
        <v/>
      </c>
      <c r="G301">
        <f>IF(ISNA(MATCH(292,'Transfer Engine'!$C$2:$C$630,0)),"",INDEX('Compliance Database'!$G$2:$G$630,MATCH(292,'Transfer Engine'!$C$2:$C$630,0)))</f>
        <v/>
      </c>
      <c r="H301">
        <f>IF(ISNA(MATCH(292,'Transfer Engine'!$C$2:$C$630,0)),"",INDEX('Compliance Database'!$H$2:$H$630,MATCH(292,'Transfer Engine'!$C$2:$C$630,0)))</f>
        <v/>
      </c>
      <c r="I301" s="8">
        <f>IF(ISNA(MATCH(292,'Transfer Engine'!$C$2:$C$630,0)),"",INDEX('Compliance Database'!$I$2:$I$630,MATCH(292,'Transfer Engine'!$C$2:$C$630,0)))</f>
        <v/>
      </c>
      <c r="J301" s="8">
        <f>IF(ISNA(MATCH(292,'Transfer Engine'!$C$2:$C$630,0)),"",INDEX('Compliance Database'!$J$2:$J$630,MATCH(292,'Transfer Engine'!$C$2:$C$630,0)))</f>
        <v/>
      </c>
      <c r="K301">
        <f>IF(ISNA(MATCH(292,'Transfer Engine'!$C$2:$C$630,0)),"",INDEX('Compliance Database'!$K$2:$K$630,MATCH(292,'Transfer Engine'!$C$2:$C$630,0)))</f>
        <v/>
      </c>
      <c r="L301" s="8">
        <f>IF(ISNA(MATCH(292,'Transfer Engine'!$C$2:$C$630,0)),"",INDEX('Compliance Database'!$L$2:$L$630,MATCH(292,'Transfer Engine'!$C$2:$C$630,0)))</f>
        <v/>
      </c>
      <c r="M301" s="8">
        <f>IF(ISNA(MATCH(292,'Transfer Engine'!$C$2:$C$630,0)),"",INDEX('Compliance Database'!$M$2:$M$630,MATCH(292,'Transfer Engine'!$C$2:$C$630,0)))</f>
        <v/>
      </c>
      <c r="N301" s="8">
        <f>IF(ISNA(MATCH(292,'Transfer Engine'!$C$2:$C$630,0)),"",INDEX('Compliance Database'!$N$2:$N$630,MATCH(292,'Transfer Engine'!$C$2:$C$630,0)))</f>
        <v/>
      </c>
      <c r="O301" s="8">
        <f>IF(ISNA(MATCH(292,'Transfer Engine'!$C$2:$C$630,0)),"",INDEX('Compliance Database'!$O$2:$O$630,MATCH(292,'Transfer Engine'!$C$2:$C$630,0)))</f>
        <v/>
      </c>
    </row>
    <row r="302">
      <c r="A302">
        <f>IF(ISNA(MATCH(293,'Transfer Engine'!$C$2:$C$630,0)),"",INDEX('Compliance Database'!$A$2:$A$630,MATCH(293,'Transfer Engine'!$C$2:$C$630,0)))</f>
        <v/>
      </c>
      <c r="B302">
        <f>IF(ISNA(MATCH(293,'Transfer Engine'!$C$2:$C$630,0)),"",INDEX('Compliance Database'!$B$2:$B$630,MATCH(293,'Transfer Engine'!$C$2:$C$630,0)))</f>
        <v/>
      </c>
      <c r="C302">
        <f>IF(ISNA(MATCH(293,'Transfer Engine'!$C$2:$C$630,0)),"",INDEX('Compliance Database'!$C$2:$C$630,MATCH(293,'Transfer Engine'!$C$2:$C$630,0)))</f>
        <v/>
      </c>
      <c r="D302" s="8">
        <f>IF(ISNA(MATCH(293,'Transfer Engine'!$C$2:$C$630,0)),"",INDEX('Compliance Database'!$D$2:$D$630,MATCH(293,'Transfer Engine'!$C$2:$C$630,0)))</f>
        <v/>
      </c>
      <c r="E302">
        <f>IF(ISNA(MATCH(293,'Transfer Engine'!$C$2:$C$630,0)),"",INDEX('Compliance Database'!$E$2:$E$630,MATCH(293,'Transfer Engine'!$C$2:$C$630,0)))</f>
        <v/>
      </c>
      <c r="F302">
        <f>IF(ISNA(MATCH(293,'Transfer Engine'!$C$2:$C$630,0)),"",INDEX('Compliance Database'!$F$2:$F$630,MATCH(293,'Transfer Engine'!$C$2:$C$630,0)))</f>
        <v/>
      </c>
      <c r="G302">
        <f>IF(ISNA(MATCH(293,'Transfer Engine'!$C$2:$C$630,0)),"",INDEX('Compliance Database'!$G$2:$G$630,MATCH(293,'Transfer Engine'!$C$2:$C$630,0)))</f>
        <v/>
      </c>
      <c r="H302">
        <f>IF(ISNA(MATCH(293,'Transfer Engine'!$C$2:$C$630,0)),"",INDEX('Compliance Database'!$H$2:$H$630,MATCH(293,'Transfer Engine'!$C$2:$C$630,0)))</f>
        <v/>
      </c>
      <c r="I302" s="8">
        <f>IF(ISNA(MATCH(293,'Transfer Engine'!$C$2:$C$630,0)),"",INDEX('Compliance Database'!$I$2:$I$630,MATCH(293,'Transfer Engine'!$C$2:$C$630,0)))</f>
        <v/>
      </c>
      <c r="J302" s="8">
        <f>IF(ISNA(MATCH(293,'Transfer Engine'!$C$2:$C$630,0)),"",INDEX('Compliance Database'!$J$2:$J$630,MATCH(293,'Transfer Engine'!$C$2:$C$630,0)))</f>
        <v/>
      </c>
      <c r="K302">
        <f>IF(ISNA(MATCH(293,'Transfer Engine'!$C$2:$C$630,0)),"",INDEX('Compliance Database'!$K$2:$K$630,MATCH(293,'Transfer Engine'!$C$2:$C$630,0)))</f>
        <v/>
      </c>
      <c r="L302" s="8">
        <f>IF(ISNA(MATCH(293,'Transfer Engine'!$C$2:$C$630,0)),"",INDEX('Compliance Database'!$L$2:$L$630,MATCH(293,'Transfer Engine'!$C$2:$C$630,0)))</f>
        <v/>
      </c>
      <c r="M302" s="8">
        <f>IF(ISNA(MATCH(293,'Transfer Engine'!$C$2:$C$630,0)),"",INDEX('Compliance Database'!$M$2:$M$630,MATCH(293,'Transfer Engine'!$C$2:$C$630,0)))</f>
        <v/>
      </c>
      <c r="N302" s="8">
        <f>IF(ISNA(MATCH(293,'Transfer Engine'!$C$2:$C$630,0)),"",INDEX('Compliance Database'!$N$2:$N$630,MATCH(293,'Transfer Engine'!$C$2:$C$630,0)))</f>
        <v/>
      </c>
      <c r="O302" s="8">
        <f>IF(ISNA(MATCH(293,'Transfer Engine'!$C$2:$C$630,0)),"",INDEX('Compliance Database'!$O$2:$O$630,MATCH(293,'Transfer Engine'!$C$2:$C$630,0)))</f>
        <v/>
      </c>
    </row>
    <row r="303">
      <c r="A303">
        <f>IF(ISNA(MATCH(294,'Transfer Engine'!$C$2:$C$630,0)),"",INDEX('Compliance Database'!$A$2:$A$630,MATCH(294,'Transfer Engine'!$C$2:$C$630,0)))</f>
        <v/>
      </c>
      <c r="B303">
        <f>IF(ISNA(MATCH(294,'Transfer Engine'!$C$2:$C$630,0)),"",INDEX('Compliance Database'!$B$2:$B$630,MATCH(294,'Transfer Engine'!$C$2:$C$630,0)))</f>
        <v/>
      </c>
      <c r="C303">
        <f>IF(ISNA(MATCH(294,'Transfer Engine'!$C$2:$C$630,0)),"",INDEX('Compliance Database'!$C$2:$C$630,MATCH(294,'Transfer Engine'!$C$2:$C$630,0)))</f>
        <v/>
      </c>
      <c r="D303" s="8">
        <f>IF(ISNA(MATCH(294,'Transfer Engine'!$C$2:$C$630,0)),"",INDEX('Compliance Database'!$D$2:$D$630,MATCH(294,'Transfer Engine'!$C$2:$C$630,0)))</f>
        <v/>
      </c>
      <c r="E303">
        <f>IF(ISNA(MATCH(294,'Transfer Engine'!$C$2:$C$630,0)),"",INDEX('Compliance Database'!$E$2:$E$630,MATCH(294,'Transfer Engine'!$C$2:$C$630,0)))</f>
        <v/>
      </c>
      <c r="F303">
        <f>IF(ISNA(MATCH(294,'Transfer Engine'!$C$2:$C$630,0)),"",INDEX('Compliance Database'!$F$2:$F$630,MATCH(294,'Transfer Engine'!$C$2:$C$630,0)))</f>
        <v/>
      </c>
      <c r="G303">
        <f>IF(ISNA(MATCH(294,'Transfer Engine'!$C$2:$C$630,0)),"",INDEX('Compliance Database'!$G$2:$G$630,MATCH(294,'Transfer Engine'!$C$2:$C$630,0)))</f>
        <v/>
      </c>
      <c r="H303">
        <f>IF(ISNA(MATCH(294,'Transfer Engine'!$C$2:$C$630,0)),"",INDEX('Compliance Database'!$H$2:$H$630,MATCH(294,'Transfer Engine'!$C$2:$C$630,0)))</f>
        <v/>
      </c>
      <c r="I303" s="8">
        <f>IF(ISNA(MATCH(294,'Transfer Engine'!$C$2:$C$630,0)),"",INDEX('Compliance Database'!$I$2:$I$630,MATCH(294,'Transfer Engine'!$C$2:$C$630,0)))</f>
        <v/>
      </c>
      <c r="J303" s="8">
        <f>IF(ISNA(MATCH(294,'Transfer Engine'!$C$2:$C$630,0)),"",INDEX('Compliance Database'!$J$2:$J$630,MATCH(294,'Transfer Engine'!$C$2:$C$630,0)))</f>
        <v/>
      </c>
      <c r="K303">
        <f>IF(ISNA(MATCH(294,'Transfer Engine'!$C$2:$C$630,0)),"",INDEX('Compliance Database'!$K$2:$K$630,MATCH(294,'Transfer Engine'!$C$2:$C$630,0)))</f>
        <v/>
      </c>
      <c r="L303" s="8">
        <f>IF(ISNA(MATCH(294,'Transfer Engine'!$C$2:$C$630,0)),"",INDEX('Compliance Database'!$L$2:$L$630,MATCH(294,'Transfer Engine'!$C$2:$C$630,0)))</f>
        <v/>
      </c>
      <c r="M303" s="8">
        <f>IF(ISNA(MATCH(294,'Transfer Engine'!$C$2:$C$630,0)),"",INDEX('Compliance Database'!$M$2:$M$630,MATCH(294,'Transfer Engine'!$C$2:$C$630,0)))</f>
        <v/>
      </c>
      <c r="N303" s="8">
        <f>IF(ISNA(MATCH(294,'Transfer Engine'!$C$2:$C$630,0)),"",INDEX('Compliance Database'!$N$2:$N$630,MATCH(294,'Transfer Engine'!$C$2:$C$630,0)))</f>
        <v/>
      </c>
      <c r="O303" s="8">
        <f>IF(ISNA(MATCH(294,'Transfer Engine'!$C$2:$C$630,0)),"",INDEX('Compliance Database'!$O$2:$O$630,MATCH(294,'Transfer Engine'!$C$2:$C$630,0)))</f>
        <v/>
      </c>
    </row>
    <row r="304">
      <c r="A304">
        <f>IF(ISNA(MATCH(295,'Transfer Engine'!$C$2:$C$630,0)),"",INDEX('Compliance Database'!$A$2:$A$630,MATCH(295,'Transfer Engine'!$C$2:$C$630,0)))</f>
        <v/>
      </c>
      <c r="B304">
        <f>IF(ISNA(MATCH(295,'Transfer Engine'!$C$2:$C$630,0)),"",INDEX('Compliance Database'!$B$2:$B$630,MATCH(295,'Transfer Engine'!$C$2:$C$630,0)))</f>
        <v/>
      </c>
      <c r="C304">
        <f>IF(ISNA(MATCH(295,'Transfer Engine'!$C$2:$C$630,0)),"",INDEX('Compliance Database'!$C$2:$C$630,MATCH(295,'Transfer Engine'!$C$2:$C$630,0)))</f>
        <v/>
      </c>
      <c r="D304" s="8">
        <f>IF(ISNA(MATCH(295,'Transfer Engine'!$C$2:$C$630,0)),"",INDEX('Compliance Database'!$D$2:$D$630,MATCH(295,'Transfer Engine'!$C$2:$C$630,0)))</f>
        <v/>
      </c>
      <c r="E304">
        <f>IF(ISNA(MATCH(295,'Transfer Engine'!$C$2:$C$630,0)),"",INDEX('Compliance Database'!$E$2:$E$630,MATCH(295,'Transfer Engine'!$C$2:$C$630,0)))</f>
        <v/>
      </c>
      <c r="F304">
        <f>IF(ISNA(MATCH(295,'Transfer Engine'!$C$2:$C$630,0)),"",INDEX('Compliance Database'!$F$2:$F$630,MATCH(295,'Transfer Engine'!$C$2:$C$630,0)))</f>
        <v/>
      </c>
      <c r="G304">
        <f>IF(ISNA(MATCH(295,'Transfer Engine'!$C$2:$C$630,0)),"",INDEX('Compliance Database'!$G$2:$G$630,MATCH(295,'Transfer Engine'!$C$2:$C$630,0)))</f>
        <v/>
      </c>
      <c r="H304">
        <f>IF(ISNA(MATCH(295,'Transfer Engine'!$C$2:$C$630,0)),"",INDEX('Compliance Database'!$H$2:$H$630,MATCH(295,'Transfer Engine'!$C$2:$C$630,0)))</f>
        <v/>
      </c>
      <c r="I304" s="8">
        <f>IF(ISNA(MATCH(295,'Transfer Engine'!$C$2:$C$630,0)),"",INDEX('Compliance Database'!$I$2:$I$630,MATCH(295,'Transfer Engine'!$C$2:$C$630,0)))</f>
        <v/>
      </c>
      <c r="J304" s="8">
        <f>IF(ISNA(MATCH(295,'Transfer Engine'!$C$2:$C$630,0)),"",INDEX('Compliance Database'!$J$2:$J$630,MATCH(295,'Transfer Engine'!$C$2:$C$630,0)))</f>
        <v/>
      </c>
      <c r="K304">
        <f>IF(ISNA(MATCH(295,'Transfer Engine'!$C$2:$C$630,0)),"",INDEX('Compliance Database'!$K$2:$K$630,MATCH(295,'Transfer Engine'!$C$2:$C$630,0)))</f>
        <v/>
      </c>
      <c r="L304" s="8">
        <f>IF(ISNA(MATCH(295,'Transfer Engine'!$C$2:$C$630,0)),"",INDEX('Compliance Database'!$L$2:$L$630,MATCH(295,'Transfer Engine'!$C$2:$C$630,0)))</f>
        <v/>
      </c>
      <c r="M304" s="8">
        <f>IF(ISNA(MATCH(295,'Transfer Engine'!$C$2:$C$630,0)),"",INDEX('Compliance Database'!$M$2:$M$630,MATCH(295,'Transfer Engine'!$C$2:$C$630,0)))</f>
        <v/>
      </c>
      <c r="N304" s="8">
        <f>IF(ISNA(MATCH(295,'Transfer Engine'!$C$2:$C$630,0)),"",INDEX('Compliance Database'!$N$2:$N$630,MATCH(295,'Transfer Engine'!$C$2:$C$630,0)))</f>
        <v/>
      </c>
      <c r="O304" s="8">
        <f>IF(ISNA(MATCH(295,'Transfer Engine'!$C$2:$C$630,0)),"",INDEX('Compliance Database'!$O$2:$O$630,MATCH(295,'Transfer Engine'!$C$2:$C$630,0)))</f>
        <v/>
      </c>
    </row>
    <row r="305">
      <c r="A305">
        <f>IF(ISNA(MATCH(296,'Transfer Engine'!$C$2:$C$630,0)),"",INDEX('Compliance Database'!$A$2:$A$630,MATCH(296,'Transfer Engine'!$C$2:$C$630,0)))</f>
        <v/>
      </c>
      <c r="B305">
        <f>IF(ISNA(MATCH(296,'Transfer Engine'!$C$2:$C$630,0)),"",INDEX('Compliance Database'!$B$2:$B$630,MATCH(296,'Transfer Engine'!$C$2:$C$630,0)))</f>
        <v/>
      </c>
      <c r="C305">
        <f>IF(ISNA(MATCH(296,'Transfer Engine'!$C$2:$C$630,0)),"",INDEX('Compliance Database'!$C$2:$C$630,MATCH(296,'Transfer Engine'!$C$2:$C$630,0)))</f>
        <v/>
      </c>
      <c r="D305" s="8">
        <f>IF(ISNA(MATCH(296,'Transfer Engine'!$C$2:$C$630,0)),"",INDEX('Compliance Database'!$D$2:$D$630,MATCH(296,'Transfer Engine'!$C$2:$C$630,0)))</f>
        <v/>
      </c>
      <c r="E305">
        <f>IF(ISNA(MATCH(296,'Transfer Engine'!$C$2:$C$630,0)),"",INDEX('Compliance Database'!$E$2:$E$630,MATCH(296,'Transfer Engine'!$C$2:$C$630,0)))</f>
        <v/>
      </c>
      <c r="F305">
        <f>IF(ISNA(MATCH(296,'Transfer Engine'!$C$2:$C$630,0)),"",INDEX('Compliance Database'!$F$2:$F$630,MATCH(296,'Transfer Engine'!$C$2:$C$630,0)))</f>
        <v/>
      </c>
      <c r="G305">
        <f>IF(ISNA(MATCH(296,'Transfer Engine'!$C$2:$C$630,0)),"",INDEX('Compliance Database'!$G$2:$G$630,MATCH(296,'Transfer Engine'!$C$2:$C$630,0)))</f>
        <v/>
      </c>
      <c r="H305">
        <f>IF(ISNA(MATCH(296,'Transfer Engine'!$C$2:$C$630,0)),"",INDEX('Compliance Database'!$H$2:$H$630,MATCH(296,'Transfer Engine'!$C$2:$C$630,0)))</f>
        <v/>
      </c>
      <c r="I305" s="8">
        <f>IF(ISNA(MATCH(296,'Transfer Engine'!$C$2:$C$630,0)),"",INDEX('Compliance Database'!$I$2:$I$630,MATCH(296,'Transfer Engine'!$C$2:$C$630,0)))</f>
        <v/>
      </c>
      <c r="J305" s="8">
        <f>IF(ISNA(MATCH(296,'Transfer Engine'!$C$2:$C$630,0)),"",INDEX('Compliance Database'!$J$2:$J$630,MATCH(296,'Transfer Engine'!$C$2:$C$630,0)))</f>
        <v/>
      </c>
      <c r="K305">
        <f>IF(ISNA(MATCH(296,'Transfer Engine'!$C$2:$C$630,0)),"",INDEX('Compliance Database'!$K$2:$K$630,MATCH(296,'Transfer Engine'!$C$2:$C$630,0)))</f>
        <v/>
      </c>
      <c r="L305" s="8">
        <f>IF(ISNA(MATCH(296,'Transfer Engine'!$C$2:$C$630,0)),"",INDEX('Compliance Database'!$L$2:$L$630,MATCH(296,'Transfer Engine'!$C$2:$C$630,0)))</f>
        <v/>
      </c>
      <c r="M305" s="8">
        <f>IF(ISNA(MATCH(296,'Transfer Engine'!$C$2:$C$630,0)),"",INDEX('Compliance Database'!$M$2:$M$630,MATCH(296,'Transfer Engine'!$C$2:$C$630,0)))</f>
        <v/>
      </c>
      <c r="N305" s="8">
        <f>IF(ISNA(MATCH(296,'Transfer Engine'!$C$2:$C$630,0)),"",INDEX('Compliance Database'!$N$2:$N$630,MATCH(296,'Transfer Engine'!$C$2:$C$630,0)))</f>
        <v/>
      </c>
      <c r="O305" s="8">
        <f>IF(ISNA(MATCH(296,'Transfer Engine'!$C$2:$C$630,0)),"",INDEX('Compliance Database'!$O$2:$O$630,MATCH(296,'Transfer Engine'!$C$2:$C$630,0)))</f>
        <v/>
      </c>
    </row>
    <row r="306">
      <c r="A306">
        <f>IF(ISNA(MATCH(297,'Transfer Engine'!$C$2:$C$630,0)),"",INDEX('Compliance Database'!$A$2:$A$630,MATCH(297,'Transfer Engine'!$C$2:$C$630,0)))</f>
        <v/>
      </c>
      <c r="B306">
        <f>IF(ISNA(MATCH(297,'Transfer Engine'!$C$2:$C$630,0)),"",INDEX('Compliance Database'!$B$2:$B$630,MATCH(297,'Transfer Engine'!$C$2:$C$630,0)))</f>
        <v/>
      </c>
      <c r="C306">
        <f>IF(ISNA(MATCH(297,'Transfer Engine'!$C$2:$C$630,0)),"",INDEX('Compliance Database'!$C$2:$C$630,MATCH(297,'Transfer Engine'!$C$2:$C$630,0)))</f>
        <v/>
      </c>
      <c r="D306" s="8">
        <f>IF(ISNA(MATCH(297,'Transfer Engine'!$C$2:$C$630,0)),"",INDEX('Compliance Database'!$D$2:$D$630,MATCH(297,'Transfer Engine'!$C$2:$C$630,0)))</f>
        <v/>
      </c>
      <c r="E306">
        <f>IF(ISNA(MATCH(297,'Transfer Engine'!$C$2:$C$630,0)),"",INDEX('Compliance Database'!$E$2:$E$630,MATCH(297,'Transfer Engine'!$C$2:$C$630,0)))</f>
        <v/>
      </c>
      <c r="F306">
        <f>IF(ISNA(MATCH(297,'Transfer Engine'!$C$2:$C$630,0)),"",INDEX('Compliance Database'!$F$2:$F$630,MATCH(297,'Transfer Engine'!$C$2:$C$630,0)))</f>
        <v/>
      </c>
      <c r="G306">
        <f>IF(ISNA(MATCH(297,'Transfer Engine'!$C$2:$C$630,0)),"",INDEX('Compliance Database'!$G$2:$G$630,MATCH(297,'Transfer Engine'!$C$2:$C$630,0)))</f>
        <v/>
      </c>
      <c r="H306">
        <f>IF(ISNA(MATCH(297,'Transfer Engine'!$C$2:$C$630,0)),"",INDEX('Compliance Database'!$H$2:$H$630,MATCH(297,'Transfer Engine'!$C$2:$C$630,0)))</f>
        <v/>
      </c>
      <c r="I306" s="8">
        <f>IF(ISNA(MATCH(297,'Transfer Engine'!$C$2:$C$630,0)),"",INDEX('Compliance Database'!$I$2:$I$630,MATCH(297,'Transfer Engine'!$C$2:$C$630,0)))</f>
        <v/>
      </c>
      <c r="J306" s="8">
        <f>IF(ISNA(MATCH(297,'Transfer Engine'!$C$2:$C$630,0)),"",INDEX('Compliance Database'!$J$2:$J$630,MATCH(297,'Transfer Engine'!$C$2:$C$630,0)))</f>
        <v/>
      </c>
      <c r="K306">
        <f>IF(ISNA(MATCH(297,'Transfer Engine'!$C$2:$C$630,0)),"",INDEX('Compliance Database'!$K$2:$K$630,MATCH(297,'Transfer Engine'!$C$2:$C$630,0)))</f>
        <v/>
      </c>
      <c r="L306" s="8">
        <f>IF(ISNA(MATCH(297,'Transfer Engine'!$C$2:$C$630,0)),"",INDEX('Compliance Database'!$L$2:$L$630,MATCH(297,'Transfer Engine'!$C$2:$C$630,0)))</f>
        <v/>
      </c>
      <c r="M306" s="8">
        <f>IF(ISNA(MATCH(297,'Transfer Engine'!$C$2:$C$630,0)),"",INDEX('Compliance Database'!$M$2:$M$630,MATCH(297,'Transfer Engine'!$C$2:$C$630,0)))</f>
        <v/>
      </c>
      <c r="N306" s="8">
        <f>IF(ISNA(MATCH(297,'Transfer Engine'!$C$2:$C$630,0)),"",INDEX('Compliance Database'!$N$2:$N$630,MATCH(297,'Transfer Engine'!$C$2:$C$630,0)))</f>
        <v/>
      </c>
      <c r="O306" s="8">
        <f>IF(ISNA(MATCH(297,'Transfer Engine'!$C$2:$C$630,0)),"",INDEX('Compliance Database'!$O$2:$O$630,MATCH(297,'Transfer Engine'!$C$2:$C$630,0)))</f>
        <v/>
      </c>
    </row>
    <row r="307">
      <c r="A307">
        <f>IF(ISNA(MATCH(298,'Transfer Engine'!$C$2:$C$630,0)),"",INDEX('Compliance Database'!$A$2:$A$630,MATCH(298,'Transfer Engine'!$C$2:$C$630,0)))</f>
        <v/>
      </c>
      <c r="B307">
        <f>IF(ISNA(MATCH(298,'Transfer Engine'!$C$2:$C$630,0)),"",INDEX('Compliance Database'!$B$2:$B$630,MATCH(298,'Transfer Engine'!$C$2:$C$630,0)))</f>
        <v/>
      </c>
      <c r="C307">
        <f>IF(ISNA(MATCH(298,'Transfer Engine'!$C$2:$C$630,0)),"",INDEX('Compliance Database'!$C$2:$C$630,MATCH(298,'Transfer Engine'!$C$2:$C$630,0)))</f>
        <v/>
      </c>
      <c r="D307" s="8">
        <f>IF(ISNA(MATCH(298,'Transfer Engine'!$C$2:$C$630,0)),"",INDEX('Compliance Database'!$D$2:$D$630,MATCH(298,'Transfer Engine'!$C$2:$C$630,0)))</f>
        <v/>
      </c>
      <c r="E307">
        <f>IF(ISNA(MATCH(298,'Transfer Engine'!$C$2:$C$630,0)),"",INDEX('Compliance Database'!$E$2:$E$630,MATCH(298,'Transfer Engine'!$C$2:$C$630,0)))</f>
        <v/>
      </c>
      <c r="F307">
        <f>IF(ISNA(MATCH(298,'Transfer Engine'!$C$2:$C$630,0)),"",INDEX('Compliance Database'!$F$2:$F$630,MATCH(298,'Transfer Engine'!$C$2:$C$630,0)))</f>
        <v/>
      </c>
      <c r="G307">
        <f>IF(ISNA(MATCH(298,'Transfer Engine'!$C$2:$C$630,0)),"",INDEX('Compliance Database'!$G$2:$G$630,MATCH(298,'Transfer Engine'!$C$2:$C$630,0)))</f>
        <v/>
      </c>
      <c r="H307">
        <f>IF(ISNA(MATCH(298,'Transfer Engine'!$C$2:$C$630,0)),"",INDEX('Compliance Database'!$H$2:$H$630,MATCH(298,'Transfer Engine'!$C$2:$C$630,0)))</f>
        <v/>
      </c>
      <c r="I307" s="8">
        <f>IF(ISNA(MATCH(298,'Transfer Engine'!$C$2:$C$630,0)),"",INDEX('Compliance Database'!$I$2:$I$630,MATCH(298,'Transfer Engine'!$C$2:$C$630,0)))</f>
        <v/>
      </c>
      <c r="J307" s="8">
        <f>IF(ISNA(MATCH(298,'Transfer Engine'!$C$2:$C$630,0)),"",INDEX('Compliance Database'!$J$2:$J$630,MATCH(298,'Transfer Engine'!$C$2:$C$630,0)))</f>
        <v/>
      </c>
      <c r="K307">
        <f>IF(ISNA(MATCH(298,'Transfer Engine'!$C$2:$C$630,0)),"",INDEX('Compliance Database'!$K$2:$K$630,MATCH(298,'Transfer Engine'!$C$2:$C$630,0)))</f>
        <v/>
      </c>
      <c r="L307" s="8">
        <f>IF(ISNA(MATCH(298,'Transfer Engine'!$C$2:$C$630,0)),"",INDEX('Compliance Database'!$L$2:$L$630,MATCH(298,'Transfer Engine'!$C$2:$C$630,0)))</f>
        <v/>
      </c>
      <c r="M307" s="8">
        <f>IF(ISNA(MATCH(298,'Transfer Engine'!$C$2:$C$630,0)),"",INDEX('Compliance Database'!$M$2:$M$630,MATCH(298,'Transfer Engine'!$C$2:$C$630,0)))</f>
        <v/>
      </c>
      <c r="N307" s="8">
        <f>IF(ISNA(MATCH(298,'Transfer Engine'!$C$2:$C$630,0)),"",INDEX('Compliance Database'!$N$2:$N$630,MATCH(298,'Transfer Engine'!$C$2:$C$630,0)))</f>
        <v/>
      </c>
      <c r="O307" s="8">
        <f>IF(ISNA(MATCH(298,'Transfer Engine'!$C$2:$C$630,0)),"",INDEX('Compliance Database'!$O$2:$O$630,MATCH(298,'Transfer Engine'!$C$2:$C$630,0)))</f>
        <v/>
      </c>
    </row>
    <row r="308">
      <c r="A308">
        <f>IF(ISNA(MATCH(299,'Transfer Engine'!$C$2:$C$630,0)),"",INDEX('Compliance Database'!$A$2:$A$630,MATCH(299,'Transfer Engine'!$C$2:$C$630,0)))</f>
        <v/>
      </c>
      <c r="B308">
        <f>IF(ISNA(MATCH(299,'Transfer Engine'!$C$2:$C$630,0)),"",INDEX('Compliance Database'!$B$2:$B$630,MATCH(299,'Transfer Engine'!$C$2:$C$630,0)))</f>
        <v/>
      </c>
      <c r="C308">
        <f>IF(ISNA(MATCH(299,'Transfer Engine'!$C$2:$C$630,0)),"",INDEX('Compliance Database'!$C$2:$C$630,MATCH(299,'Transfer Engine'!$C$2:$C$630,0)))</f>
        <v/>
      </c>
      <c r="D308" s="8">
        <f>IF(ISNA(MATCH(299,'Transfer Engine'!$C$2:$C$630,0)),"",INDEX('Compliance Database'!$D$2:$D$630,MATCH(299,'Transfer Engine'!$C$2:$C$630,0)))</f>
        <v/>
      </c>
      <c r="E308">
        <f>IF(ISNA(MATCH(299,'Transfer Engine'!$C$2:$C$630,0)),"",INDEX('Compliance Database'!$E$2:$E$630,MATCH(299,'Transfer Engine'!$C$2:$C$630,0)))</f>
        <v/>
      </c>
      <c r="F308">
        <f>IF(ISNA(MATCH(299,'Transfer Engine'!$C$2:$C$630,0)),"",INDEX('Compliance Database'!$F$2:$F$630,MATCH(299,'Transfer Engine'!$C$2:$C$630,0)))</f>
        <v/>
      </c>
      <c r="G308">
        <f>IF(ISNA(MATCH(299,'Transfer Engine'!$C$2:$C$630,0)),"",INDEX('Compliance Database'!$G$2:$G$630,MATCH(299,'Transfer Engine'!$C$2:$C$630,0)))</f>
        <v/>
      </c>
      <c r="H308">
        <f>IF(ISNA(MATCH(299,'Transfer Engine'!$C$2:$C$630,0)),"",INDEX('Compliance Database'!$H$2:$H$630,MATCH(299,'Transfer Engine'!$C$2:$C$630,0)))</f>
        <v/>
      </c>
      <c r="I308" s="8">
        <f>IF(ISNA(MATCH(299,'Transfer Engine'!$C$2:$C$630,0)),"",INDEX('Compliance Database'!$I$2:$I$630,MATCH(299,'Transfer Engine'!$C$2:$C$630,0)))</f>
        <v/>
      </c>
      <c r="J308" s="8">
        <f>IF(ISNA(MATCH(299,'Transfer Engine'!$C$2:$C$630,0)),"",INDEX('Compliance Database'!$J$2:$J$630,MATCH(299,'Transfer Engine'!$C$2:$C$630,0)))</f>
        <v/>
      </c>
      <c r="K308">
        <f>IF(ISNA(MATCH(299,'Transfer Engine'!$C$2:$C$630,0)),"",INDEX('Compliance Database'!$K$2:$K$630,MATCH(299,'Transfer Engine'!$C$2:$C$630,0)))</f>
        <v/>
      </c>
      <c r="L308" s="8">
        <f>IF(ISNA(MATCH(299,'Transfer Engine'!$C$2:$C$630,0)),"",INDEX('Compliance Database'!$L$2:$L$630,MATCH(299,'Transfer Engine'!$C$2:$C$630,0)))</f>
        <v/>
      </c>
      <c r="M308" s="8">
        <f>IF(ISNA(MATCH(299,'Transfer Engine'!$C$2:$C$630,0)),"",INDEX('Compliance Database'!$M$2:$M$630,MATCH(299,'Transfer Engine'!$C$2:$C$630,0)))</f>
        <v/>
      </c>
      <c r="N308" s="8">
        <f>IF(ISNA(MATCH(299,'Transfer Engine'!$C$2:$C$630,0)),"",INDEX('Compliance Database'!$N$2:$N$630,MATCH(299,'Transfer Engine'!$C$2:$C$630,0)))</f>
        <v/>
      </c>
      <c r="O308" s="8">
        <f>IF(ISNA(MATCH(299,'Transfer Engine'!$C$2:$C$630,0)),"",INDEX('Compliance Database'!$O$2:$O$630,MATCH(299,'Transfer Engine'!$C$2:$C$630,0)))</f>
        <v/>
      </c>
    </row>
    <row r="309">
      <c r="A309">
        <f>IF(ISNA(MATCH(300,'Transfer Engine'!$C$2:$C$630,0)),"",INDEX('Compliance Database'!$A$2:$A$630,MATCH(300,'Transfer Engine'!$C$2:$C$630,0)))</f>
        <v/>
      </c>
      <c r="B309">
        <f>IF(ISNA(MATCH(300,'Transfer Engine'!$C$2:$C$630,0)),"",INDEX('Compliance Database'!$B$2:$B$630,MATCH(300,'Transfer Engine'!$C$2:$C$630,0)))</f>
        <v/>
      </c>
      <c r="C309">
        <f>IF(ISNA(MATCH(300,'Transfer Engine'!$C$2:$C$630,0)),"",INDEX('Compliance Database'!$C$2:$C$630,MATCH(300,'Transfer Engine'!$C$2:$C$630,0)))</f>
        <v/>
      </c>
      <c r="D309" s="8">
        <f>IF(ISNA(MATCH(300,'Transfer Engine'!$C$2:$C$630,0)),"",INDEX('Compliance Database'!$D$2:$D$630,MATCH(300,'Transfer Engine'!$C$2:$C$630,0)))</f>
        <v/>
      </c>
      <c r="E309">
        <f>IF(ISNA(MATCH(300,'Transfer Engine'!$C$2:$C$630,0)),"",INDEX('Compliance Database'!$E$2:$E$630,MATCH(300,'Transfer Engine'!$C$2:$C$630,0)))</f>
        <v/>
      </c>
      <c r="F309">
        <f>IF(ISNA(MATCH(300,'Transfer Engine'!$C$2:$C$630,0)),"",INDEX('Compliance Database'!$F$2:$F$630,MATCH(300,'Transfer Engine'!$C$2:$C$630,0)))</f>
        <v/>
      </c>
      <c r="G309">
        <f>IF(ISNA(MATCH(300,'Transfer Engine'!$C$2:$C$630,0)),"",INDEX('Compliance Database'!$G$2:$G$630,MATCH(300,'Transfer Engine'!$C$2:$C$630,0)))</f>
        <v/>
      </c>
      <c r="H309">
        <f>IF(ISNA(MATCH(300,'Transfer Engine'!$C$2:$C$630,0)),"",INDEX('Compliance Database'!$H$2:$H$630,MATCH(300,'Transfer Engine'!$C$2:$C$630,0)))</f>
        <v/>
      </c>
      <c r="I309" s="8">
        <f>IF(ISNA(MATCH(300,'Transfer Engine'!$C$2:$C$630,0)),"",INDEX('Compliance Database'!$I$2:$I$630,MATCH(300,'Transfer Engine'!$C$2:$C$630,0)))</f>
        <v/>
      </c>
      <c r="J309" s="8">
        <f>IF(ISNA(MATCH(300,'Transfer Engine'!$C$2:$C$630,0)),"",INDEX('Compliance Database'!$J$2:$J$630,MATCH(300,'Transfer Engine'!$C$2:$C$630,0)))</f>
        <v/>
      </c>
      <c r="K309">
        <f>IF(ISNA(MATCH(300,'Transfer Engine'!$C$2:$C$630,0)),"",INDEX('Compliance Database'!$K$2:$K$630,MATCH(300,'Transfer Engine'!$C$2:$C$630,0)))</f>
        <v/>
      </c>
      <c r="L309" s="8">
        <f>IF(ISNA(MATCH(300,'Transfer Engine'!$C$2:$C$630,0)),"",INDEX('Compliance Database'!$L$2:$L$630,MATCH(300,'Transfer Engine'!$C$2:$C$630,0)))</f>
        <v/>
      </c>
      <c r="M309" s="8">
        <f>IF(ISNA(MATCH(300,'Transfer Engine'!$C$2:$C$630,0)),"",INDEX('Compliance Database'!$M$2:$M$630,MATCH(300,'Transfer Engine'!$C$2:$C$630,0)))</f>
        <v/>
      </c>
      <c r="N309" s="8">
        <f>IF(ISNA(MATCH(300,'Transfer Engine'!$C$2:$C$630,0)),"",INDEX('Compliance Database'!$N$2:$N$630,MATCH(300,'Transfer Engine'!$C$2:$C$630,0)))</f>
        <v/>
      </c>
      <c r="O309" s="8">
        <f>IF(ISNA(MATCH(300,'Transfer Engine'!$C$2:$C$630,0)),"",INDEX('Compliance Database'!$O$2:$O$630,MATCH(300,'Transfer Engine'!$C$2:$C$630,0)))</f>
        <v/>
      </c>
    </row>
    <row r="310">
      <c r="A310">
        <f>IF(ISNA(MATCH(301,'Transfer Engine'!$C$2:$C$630,0)),"",INDEX('Compliance Database'!$A$2:$A$630,MATCH(301,'Transfer Engine'!$C$2:$C$630,0)))</f>
        <v/>
      </c>
      <c r="B310">
        <f>IF(ISNA(MATCH(301,'Transfer Engine'!$C$2:$C$630,0)),"",INDEX('Compliance Database'!$B$2:$B$630,MATCH(301,'Transfer Engine'!$C$2:$C$630,0)))</f>
        <v/>
      </c>
      <c r="C310">
        <f>IF(ISNA(MATCH(301,'Transfer Engine'!$C$2:$C$630,0)),"",INDEX('Compliance Database'!$C$2:$C$630,MATCH(301,'Transfer Engine'!$C$2:$C$630,0)))</f>
        <v/>
      </c>
      <c r="D310" s="8">
        <f>IF(ISNA(MATCH(301,'Transfer Engine'!$C$2:$C$630,0)),"",INDEX('Compliance Database'!$D$2:$D$630,MATCH(301,'Transfer Engine'!$C$2:$C$630,0)))</f>
        <v/>
      </c>
      <c r="E310">
        <f>IF(ISNA(MATCH(301,'Transfer Engine'!$C$2:$C$630,0)),"",INDEX('Compliance Database'!$E$2:$E$630,MATCH(301,'Transfer Engine'!$C$2:$C$630,0)))</f>
        <v/>
      </c>
      <c r="F310">
        <f>IF(ISNA(MATCH(301,'Transfer Engine'!$C$2:$C$630,0)),"",INDEX('Compliance Database'!$F$2:$F$630,MATCH(301,'Transfer Engine'!$C$2:$C$630,0)))</f>
        <v/>
      </c>
      <c r="G310">
        <f>IF(ISNA(MATCH(301,'Transfer Engine'!$C$2:$C$630,0)),"",INDEX('Compliance Database'!$G$2:$G$630,MATCH(301,'Transfer Engine'!$C$2:$C$630,0)))</f>
        <v/>
      </c>
      <c r="H310">
        <f>IF(ISNA(MATCH(301,'Transfer Engine'!$C$2:$C$630,0)),"",INDEX('Compliance Database'!$H$2:$H$630,MATCH(301,'Transfer Engine'!$C$2:$C$630,0)))</f>
        <v/>
      </c>
      <c r="I310" s="8">
        <f>IF(ISNA(MATCH(301,'Transfer Engine'!$C$2:$C$630,0)),"",INDEX('Compliance Database'!$I$2:$I$630,MATCH(301,'Transfer Engine'!$C$2:$C$630,0)))</f>
        <v/>
      </c>
      <c r="J310" s="8">
        <f>IF(ISNA(MATCH(301,'Transfer Engine'!$C$2:$C$630,0)),"",INDEX('Compliance Database'!$J$2:$J$630,MATCH(301,'Transfer Engine'!$C$2:$C$630,0)))</f>
        <v/>
      </c>
      <c r="K310">
        <f>IF(ISNA(MATCH(301,'Transfer Engine'!$C$2:$C$630,0)),"",INDEX('Compliance Database'!$K$2:$K$630,MATCH(301,'Transfer Engine'!$C$2:$C$630,0)))</f>
        <v/>
      </c>
      <c r="L310" s="8">
        <f>IF(ISNA(MATCH(301,'Transfer Engine'!$C$2:$C$630,0)),"",INDEX('Compliance Database'!$L$2:$L$630,MATCH(301,'Transfer Engine'!$C$2:$C$630,0)))</f>
        <v/>
      </c>
      <c r="M310" s="8">
        <f>IF(ISNA(MATCH(301,'Transfer Engine'!$C$2:$C$630,0)),"",INDEX('Compliance Database'!$M$2:$M$630,MATCH(301,'Transfer Engine'!$C$2:$C$630,0)))</f>
        <v/>
      </c>
      <c r="N310" s="8">
        <f>IF(ISNA(MATCH(301,'Transfer Engine'!$C$2:$C$630,0)),"",INDEX('Compliance Database'!$N$2:$N$630,MATCH(301,'Transfer Engine'!$C$2:$C$630,0)))</f>
        <v/>
      </c>
      <c r="O310" s="8">
        <f>IF(ISNA(MATCH(301,'Transfer Engine'!$C$2:$C$630,0)),"",INDEX('Compliance Database'!$O$2:$O$630,MATCH(301,'Transfer Engine'!$C$2:$C$630,0)))</f>
        <v/>
      </c>
    </row>
    <row r="311">
      <c r="A311">
        <f>IF(ISNA(MATCH(302,'Transfer Engine'!$C$2:$C$630,0)),"",INDEX('Compliance Database'!$A$2:$A$630,MATCH(302,'Transfer Engine'!$C$2:$C$630,0)))</f>
        <v/>
      </c>
      <c r="B311">
        <f>IF(ISNA(MATCH(302,'Transfer Engine'!$C$2:$C$630,0)),"",INDEX('Compliance Database'!$B$2:$B$630,MATCH(302,'Transfer Engine'!$C$2:$C$630,0)))</f>
        <v/>
      </c>
      <c r="C311">
        <f>IF(ISNA(MATCH(302,'Transfer Engine'!$C$2:$C$630,0)),"",INDEX('Compliance Database'!$C$2:$C$630,MATCH(302,'Transfer Engine'!$C$2:$C$630,0)))</f>
        <v/>
      </c>
      <c r="D311" s="8">
        <f>IF(ISNA(MATCH(302,'Transfer Engine'!$C$2:$C$630,0)),"",INDEX('Compliance Database'!$D$2:$D$630,MATCH(302,'Transfer Engine'!$C$2:$C$630,0)))</f>
        <v/>
      </c>
      <c r="E311">
        <f>IF(ISNA(MATCH(302,'Transfer Engine'!$C$2:$C$630,0)),"",INDEX('Compliance Database'!$E$2:$E$630,MATCH(302,'Transfer Engine'!$C$2:$C$630,0)))</f>
        <v/>
      </c>
      <c r="F311">
        <f>IF(ISNA(MATCH(302,'Transfer Engine'!$C$2:$C$630,0)),"",INDEX('Compliance Database'!$F$2:$F$630,MATCH(302,'Transfer Engine'!$C$2:$C$630,0)))</f>
        <v/>
      </c>
      <c r="G311">
        <f>IF(ISNA(MATCH(302,'Transfer Engine'!$C$2:$C$630,0)),"",INDEX('Compliance Database'!$G$2:$G$630,MATCH(302,'Transfer Engine'!$C$2:$C$630,0)))</f>
        <v/>
      </c>
      <c r="H311">
        <f>IF(ISNA(MATCH(302,'Transfer Engine'!$C$2:$C$630,0)),"",INDEX('Compliance Database'!$H$2:$H$630,MATCH(302,'Transfer Engine'!$C$2:$C$630,0)))</f>
        <v/>
      </c>
      <c r="I311" s="8">
        <f>IF(ISNA(MATCH(302,'Transfer Engine'!$C$2:$C$630,0)),"",INDEX('Compliance Database'!$I$2:$I$630,MATCH(302,'Transfer Engine'!$C$2:$C$630,0)))</f>
        <v/>
      </c>
      <c r="J311" s="8">
        <f>IF(ISNA(MATCH(302,'Transfer Engine'!$C$2:$C$630,0)),"",INDEX('Compliance Database'!$J$2:$J$630,MATCH(302,'Transfer Engine'!$C$2:$C$630,0)))</f>
        <v/>
      </c>
      <c r="K311">
        <f>IF(ISNA(MATCH(302,'Transfer Engine'!$C$2:$C$630,0)),"",INDEX('Compliance Database'!$K$2:$K$630,MATCH(302,'Transfer Engine'!$C$2:$C$630,0)))</f>
        <v/>
      </c>
      <c r="L311" s="8">
        <f>IF(ISNA(MATCH(302,'Transfer Engine'!$C$2:$C$630,0)),"",INDEX('Compliance Database'!$L$2:$L$630,MATCH(302,'Transfer Engine'!$C$2:$C$630,0)))</f>
        <v/>
      </c>
      <c r="M311" s="8">
        <f>IF(ISNA(MATCH(302,'Transfer Engine'!$C$2:$C$630,0)),"",INDEX('Compliance Database'!$M$2:$M$630,MATCH(302,'Transfer Engine'!$C$2:$C$630,0)))</f>
        <v/>
      </c>
      <c r="N311" s="8">
        <f>IF(ISNA(MATCH(302,'Transfer Engine'!$C$2:$C$630,0)),"",INDEX('Compliance Database'!$N$2:$N$630,MATCH(302,'Transfer Engine'!$C$2:$C$630,0)))</f>
        <v/>
      </c>
      <c r="O311" s="8">
        <f>IF(ISNA(MATCH(302,'Transfer Engine'!$C$2:$C$630,0)),"",INDEX('Compliance Database'!$O$2:$O$630,MATCH(302,'Transfer Engine'!$C$2:$C$630,0)))</f>
        <v/>
      </c>
    </row>
    <row r="312">
      <c r="A312">
        <f>IF(ISNA(MATCH(303,'Transfer Engine'!$C$2:$C$630,0)),"",INDEX('Compliance Database'!$A$2:$A$630,MATCH(303,'Transfer Engine'!$C$2:$C$630,0)))</f>
        <v/>
      </c>
      <c r="B312">
        <f>IF(ISNA(MATCH(303,'Transfer Engine'!$C$2:$C$630,0)),"",INDEX('Compliance Database'!$B$2:$B$630,MATCH(303,'Transfer Engine'!$C$2:$C$630,0)))</f>
        <v/>
      </c>
      <c r="C312">
        <f>IF(ISNA(MATCH(303,'Transfer Engine'!$C$2:$C$630,0)),"",INDEX('Compliance Database'!$C$2:$C$630,MATCH(303,'Transfer Engine'!$C$2:$C$630,0)))</f>
        <v/>
      </c>
      <c r="D312" s="8">
        <f>IF(ISNA(MATCH(303,'Transfer Engine'!$C$2:$C$630,0)),"",INDEX('Compliance Database'!$D$2:$D$630,MATCH(303,'Transfer Engine'!$C$2:$C$630,0)))</f>
        <v/>
      </c>
      <c r="E312">
        <f>IF(ISNA(MATCH(303,'Transfer Engine'!$C$2:$C$630,0)),"",INDEX('Compliance Database'!$E$2:$E$630,MATCH(303,'Transfer Engine'!$C$2:$C$630,0)))</f>
        <v/>
      </c>
      <c r="F312">
        <f>IF(ISNA(MATCH(303,'Transfer Engine'!$C$2:$C$630,0)),"",INDEX('Compliance Database'!$F$2:$F$630,MATCH(303,'Transfer Engine'!$C$2:$C$630,0)))</f>
        <v/>
      </c>
      <c r="G312">
        <f>IF(ISNA(MATCH(303,'Transfer Engine'!$C$2:$C$630,0)),"",INDEX('Compliance Database'!$G$2:$G$630,MATCH(303,'Transfer Engine'!$C$2:$C$630,0)))</f>
        <v/>
      </c>
      <c r="H312">
        <f>IF(ISNA(MATCH(303,'Transfer Engine'!$C$2:$C$630,0)),"",INDEX('Compliance Database'!$H$2:$H$630,MATCH(303,'Transfer Engine'!$C$2:$C$630,0)))</f>
        <v/>
      </c>
      <c r="I312" s="8">
        <f>IF(ISNA(MATCH(303,'Transfer Engine'!$C$2:$C$630,0)),"",INDEX('Compliance Database'!$I$2:$I$630,MATCH(303,'Transfer Engine'!$C$2:$C$630,0)))</f>
        <v/>
      </c>
      <c r="J312" s="8">
        <f>IF(ISNA(MATCH(303,'Transfer Engine'!$C$2:$C$630,0)),"",INDEX('Compliance Database'!$J$2:$J$630,MATCH(303,'Transfer Engine'!$C$2:$C$630,0)))</f>
        <v/>
      </c>
      <c r="K312">
        <f>IF(ISNA(MATCH(303,'Transfer Engine'!$C$2:$C$630,0)),"",INDEX('Compliance Database'!$K$2:$K$630,MATCH(303,'Transfer Engine'!$C$2:$C$630,0)))</f>
        <v/>
      </c>
      <c r="L312" s="8">
        <f>IF(ISNA(MATCH(303,'Transfer Engine'!$C$2:$C$630,0)),"",INDEX('Compliance Database'!$L$2:$L$630,MATCH(303,'Transfer Engine'!$C$2:$C$630,0)))</f>
        <v/>
      </c>
      <c r="M312" s="8">
        <f>IF(ISNA(MATCH(303,'Transfer Engine'!$C$2:$C$630,0)),"",INDEX('Compliance Database'!$M$2:$M$630,MATCH(303,'Transfer Engine'!$C$2:$C$630,0)))</f>
        <v/>
      </c>
      <c r="N312" s="8">
        <f>IF(ISNA(MATCH(303,'Transfer Engine'!$C$2:$C$630,0)),"",INDEX('Compliance Database'!$N$2:$N$630,MATCH(303,'Transfer Engine'!$C$2:$C$630,0)))</f>
        <v/>
      </c>
      <c r="O312" s="8">
        <f>IF(ISNA(MATCH(303,'Transfer Engine'!$C$2:$C$630,0)),"",INDEX('Compliance Database'!$O$2:$O$630,MATCH(303,'Transfer Engine'!$C$2:$C$630,0)))</f>
        <v/>
      </c>
    </row>
    <row r="313">
      <c r="A313">
        <f>IF(ISNA(MATCH(304,'Transfer Engine'!$C$2:$C$630,0)),"",INDEX('Compliance Database'!$A$2:$A$630,MATCH(304,'Transfer Engine'!$C$2:$C$630,0)))</f>
        <v/>
      </c>
      <c r="B313">
        <f>IF(ISNA(MATCH(304,'Transfer Engine'!$C$2:$C$630,0)),"",INDEX('Compliance Database'!$B$2:$B$630,MATCH(304,'Transfer Engine'!$C$2:$C$630,0)))</f>
        <v/>
      </c>
      <c r="C313">
        <f>IF(ISNA(MATCH(304,'Transfer Engine'!$C$2:$C$630,0)),"",INDEX('Compliance Database'!$C$2:$C$630,MATCH(304,'Transfer Engine'!$C$2:$C$630,0)))</f>
        <v/>
      </c>
      <c r="D313" s="8">
        <f>IF(ISNA(MATCH(304,'Transfer Engine'!$C$2:$C$630,0)),"",INDEX('Compliance Database'!$D$2:$D$630,MATCH(304,'Transfer Engine'!$C$2:$C$630,0)))</f>
        <v/>
      </c>
      <c r="E313">
        <f>IF(ISNA(MATCH(304,'Transfer Engine'!$C$2:$C$630,0)),"",INDEX('Compliance Database'!$E$2:$E$630,MATCH(304,'Transfer Engine'!$C$2:$C$630,0)))</f>
        <v/>
      </c>
      <c r="F313">
        <f>IF(ISNA(MATCH(304,'Transfer Engine'!$C$2:$C$630,0)),"",INDEX('Compliance Database'!$F$2:$F$630,MATCH(304,'Transfer Engine'!$C$2:$C$630,0)))</f>
        <v/>
      </c>
      <c r="G313">
        <f>IF(ISNA(MATCH(304,'Transfer Engine'!$C$2:$C$630,0)),"",INDEX('Compliance Database'!$G$2:$G$630,MATCH(304,'Transfer Engine'!$C$2:$C$630,0)))</f>
        <v/>
      </c>
      <c r="H313">
        <f>IF(ISNA(MATCH(304,'Transfer Engine'!$C$2:$C$630,0)),"",INDEX('Compliance Database'!$H$2:$H$630,MATCH(304,'Transfer Engine'!$C$2:$C$630,0)))</f>
        <v/>
      </c>
      <c r="I313" s="8">
        <f>IF(ISNA(MATCH(304,'Transfer Engine'!$C$2:$C$630,0)),"",INDEX('Compliance Database'!$I$2:$I$630,MATCH(304,'Transfer Engine'!$C$2:$C$630,0)))</f>
        <v/>
      </c>
      <c r="J313" s="8">
        <f>IF(ISNA(MATCH(304,'Transfer Engine'!$C$2:$C$630,0)),"",INDEX('Compliance Database'!$J$2:$J$630,MATCH(304,'Transfer Engine'!$C$2:$C$630,0)))</f>
        <v/>
      </c>
      <c r="K313">
        <f>IF(ISNA(MATCH(304,'Transfer Engine'!$C$2:$C$630,0)),"",INDEX('Compliance Database'!$K$2:$K$630,MATCH(304,'Transfer Engine'!$C$2:$C$630,0)))</f>
        <v/>
      </c>
      <c r="L313" s="8">
        <f>IF(ISNA(MATCH(304,'Transfer Engine'!$C$2:$C$630,0)),"",INDEX('Compliance Database'!$L$2:$L$630,MATCH(304,'Transfer Engine'!$C$2:$C$630,0)))</f>
        <v/>
      </c>
      <c r="M313" s="8">
        <f>IF(ISNA(MATCH(304,'Transfer Engine'!$C$2:$C$630,0)),"",INDEX('Compliance Database'!$M$2:$M$630,MATCH(304,'Transfer Engine'!$C$2:$C$630,0)))</f>
        <v/>
      </c>
      <c r="N313" s="8">
        <f>IF(ISNA(MATCH(304,'Transfer Engine'!$C$2:$C$630,0)),"",INDEX('Compliance Database'!$N$2:$N$630,MATCH(304,'Transfer Engine'!$C$2:$C$630,0)))</f>
        <v/>
      </c>
      <c r="O313" s="8">
        <f>IF(ISNA(MATCH(304,'Transfer Engine'!$C$2:$C$630,0)),"",INDEX('Compliance Database'!$O$2:$O$630,MATCH(304,'Transfer Engine'!$C$2:$C$630,0)))</f>
        <v/>
      </c>
    </row>
    <row r="314">
      <c r="A314">
        <f>IF(ISNA(MATCH(305,'Transfer Engine'!$C$2:$C$630,0)),"",INDEX('Compliance Database'!$A$2:$A$630,MATCH(305,'Transfer Engine'!$C$2:$C$630,0)))</f>
        <v/>
      </c>
      <c r="B314">
        <f>IF(ISNA(MATCH(305,'Transfer Engine'!$C$2:$C$630,0)),"",INDEX('Compliance Database'!$B$2:$B$630,MATCH(305,'Transfer Engine'!$C$2:$C$630,0)))</f>
        <v/>
      </c>
      <c r="C314">
        <f>IF(ISNA(MATCH(305,'Transfer Engine'!$C$2:$C$630,0)),"",INDEX('Compliance Database'!$C$2:$C$630,MATCH(305,'Transfer Engine'!$C$2:$C$630,0)))</f>
        <v/>
      </c>
      <c r="D314" s="8">
        <f>IF(ISNA(MATCH(305,'Transfer Engine'!$C$2:$C$630,0)),"",INDEX('Compliance Database'!$D$2:$D$630,MATCH(305,'Transfer Engine'!$C$2:$C$630,0)))</f>
        <v/>
      </c>
      <c r="E314">
        <f>IF(ISNA(MATCH(305,'Transfer Engine'!$C$2:$C$630,0)),"",INDEX('Compliance Database'!$E$2:$E$630,MATCH(305,'Transfer Engine'!$C$2:$C$630,0)))</f>
        <v/>
      </c>
      <c r="F314">
        <f>IF(ISNA(MATCH(305,'Transfer Engine'!$C$2:$C$630,0)),"",INDEX('Compliance Database'!$F$2:$F$630,MATCH(305,'Transfer Engine'!$C$2:$C$630,0)))</f>
        <v/>
      </c>
      <c r="G314">
        <f>IF(ISNA(MATCH(305,'Transfer Engine'!$C$2:$C$630,0)),"",INDEX('Compliance Database'!$G$2:$G$630,MATCH(305,'Transfer Engine'!$C$2:$C$630,0)))</f>
        <v/>
      </c>
      <c r="H314">
        <f>IF(ISNA(MATCH(305,'Transfer Engine'!$C$2:$C$630,0)),"",INDEX('Compliance Database'!$H$2:$H$630,MATCH(305,'Transfer Engine'!$C$2:$C$630,0)))</f>
        <v/>
      </c>
      <c r="I314" s="8">
        <f>IF(ISNA(MATCH(305,'Transfer Engine'!$C$2:$C$630,0)),"",INDEX('Compliance Database'!$I$2:$I$630,MATCH(305,'Transfer Engine'!$C$2:$C$630,0)))</f>
        <v/>
      </c>
      <c r="J314" s="8">
        <f>IF(ISNA(MATCH(305,'Transfer Engine'!$C$2:$C$630,0)),"",INDEX('Compliance Database'!$J$2:$J$630,MATCH(305,'Transfer Engine'!$C$2:$C$630,0)))</f>
        <v/>
      </c>
      <c r="K314">
        <f>IF(ISNA(MATCH(305,'Transfer Engine'!$C$2:$C$630,0)),"",INDEX('Compliance Database'!$K$2:$K$630,MATCH(305,'Transfer Engine'!$C$2:$C$630,0)))</f>
        <v/>
      </c>
      <c r="L314" s="8">
        <f>IF(ISNA(MATCH(305,'Transfer Engine'!$C$2:$C$630,0)),"",INDEX('Compliance Database'!$L$2:$L$630,MATCH(305,'Transfer Engine'!$C$2:$C$630,0)))</f>
        <v/>
      </c>
      <c r="M314" s="8">
        <f>IF(ISNA(MATCH(305,'Transfer Engine'!$C$2:$C$630,0)),"",INDEX('Compliance Database'!$M$2:$M$630,MATCH(305,'Transfer Engine'!$C$2:$C$630,0)))</f>
        <v/>
      </c>
      <c r="N314" s="8">
        <f>IF(ISNA(MATCH(305,'Transfer Engine'!$C$2:$C$630,0)),"",INDEX('Compliance Database'!$N$2:$N$630,MATCH(305,'Transfer Engine'!$C$2:$C$630,0)))</f>
        <v/>
      </c>
      <c r="O314" s="8">
        <f>IF(ISNA(MATCH(305,'Transfer Engine'!$C$2:$C$630,0)),"",INDEX('Compliance Database'!$O$2:$O$630,MATCH(305,'Transfer Engine'!$C$2:$C$630,0)))</f>
        <v/>
      </c>
    </row>
    <row r="315">
      <c r="A315">
        <f>IF(ISNA(MATCH(306,'Transfer Engine'!$C$2:$C$630,0)),"",INDEX('Compliance Database'!$A$2:$A$630,MATCH(306,'Transfer Engine'!$C$2:$C$630,0)))</f>
        <v/>
      </c>
      <c r="B315">
        <f>IF(ISNA(MATCH(306,'Transfer Engine'!$C$2:$C$630,0)),"",INDEX('Compliance Database'!$B$2:$B$630,MATCH(306,'Transfer Engine'!$C$2:$C$630,0)))</f>
        <v/>
      </c>
      <c r="C315">
        <f>IF(ISNA(MATCH(306,'Transfer Engine'!$C$2:$C$630,0)),"",INDEX('Compliance Database'!$C$2:$C$630,MATCH(306,'Transfer Engine'!$C$2:$C$630,0)))</f>
        <v/>
      </c>
      <c r="D315" s="8">
        <f>IF(ISNA(MATCH(306,'Transfer Engine'!$C$2:$C$630,0)),"",INDEX('Compliance Database'!$D$2:$D$630,MATCH(306,'Transfer Engine'!$C$2:$C$630,0)))</f>
        <v/>
      </c>
      <c r="E315">
        <f>IF(ISNA(MATCH(306,'Transfer Engine'!$C$2:$C$630,0)),"",INDEX('Compliance Database'!$E$2:$E$630,MATCH(306,'Transfer Engine'!$C$2:$C$630,0)))</f>
        <v/>
      </c>
      <c r="F315">
        <f>IF(ISNA(MATCH(306,'Transfer Engine'!$C$2:$C$630,0)),"",INDEX('Compliance Database'!$F$2:$F$630,MATCH(306,'Transfer Engine'!$C$2:$C$630,0)))</f>
        <v/>
      </c>
      <c r="G315">
        <f>IF(ISNA(MATCH(306,'Transfer Engine'!$C$2:$C$630,0)),"",INDEX('Compliance Database'!$G$2:$G$630,MATCH(306,'Transfer Engine'!$C$2:$C$630,0)))</f>
        <v/>
      </c>
      <c r="H315">
        <f>IF(ISNA(MATCH(306,'Transfer Engine'!$C$2:$C$630,0)),"",INDEX('Compliance Database'!$H$2:$H$630,MATCH(306,'Transfer Engine'!$C$2:$C$630,0)))</f>
        <v/>
      </c>
      <c r="I315" s="8">
        <f>IF(ISNA(MATCH(306,'Transfer Engine'!$C$2:$C$630,0)),"",INDEX('Compliance Database'!$I$2:$I$630,MATCH(306,'Transfer Engine'!$C$2:$C$630,0)))</f>
        <v/>
      </c>
      <c r="J315" s="8">
        <f>IF(ISNA(MATCH(306,'Transfer Engine'!$C$2:$C$630,0)),"",INDEX('Compliance Database'!$J$2:$J$630,MATCH(306,'Transfer Engine'!$C$2:$C$630,0)))</f>
        <v/>
      </c>
      <c r="K315">
        <f>IF(ISNA(MATCH(306,'Transfer Engine'!$C$2:$C$630,0)),"",INDEX('Compliance Database'!$K$2:$K$630,MATCH(306,'Transfer Engine'!$C$2:$C$630,0)))</f>
        <v/>
      </c>
      <c r="L315" s="8">
        <f>IF(ISNA(MATCH(306,'Transfer Engine'!$C$2:$C$630,0)),"",INDEX('Compliance Database'!$L$2:$L$630,MATCH(306,'Transfer Engine'!$C$2:$C$630,0)))</f>
        <v/>
      </c>
      <c r="M315" s="8">
        <f>IF(ISNA(MATCH(306,'Transfer Engine'!$C$2:$C$630,0)),"",INDEX('Compliance Database'!$M$2:$M$630,MATCH(306,'Transfer Engine'!$C$2:$C$630,0)))</f>
        <v/>
      </c>
      <c r="N315" s="8">
        <f>IF(ISNA(MATCH(306,'Transfer Engine'!$C$2:$C$630,0)),"",INDEX('Compliance Database'!$N$2:$N$630,MATCH(306,'Transfer Engine'!$C$2:$C$630,0)))</f>
        <v/>
      </c>
      <c r="O315" s="8">
        <f>IF(ISNA(MATCH(306,'Transfer Engine'!$C$2:$C$630,0)),"",INDEX('Compliance Database'!$O$2:$O$630,MATCH(306,'Transfer Engine'!$C$2:$C$630,0)))</f>
        <v/>
      </c>
    </row>
    <row r="316">
      <c r="A316">
        <f>IF(ISNA(MATCH(307,'Transfer Engine'!$C$2:$C$630,0)),"",INDEX('Compliance Database'!$A$2:$A$630,MATCH(307,'Transfer Engine'!$C$2:$C$630,0)))</f>
        <v/>
      </c>
      <c r="B316">
        <f>IF(ISNA(MATCH(307,'Transfer Engine'!$C$2:$C$630,0)),"",INDEX('Compliance Database'!$B$2:$B$630,MATCH(307,'Transfer Engine'!$C$2:$C$630,0)))</f>
        <v/>
      </c>
      <c r="C316">
        <f>IF(ISNA(MATCH(307,'Transfer Engine'!$C$2:$C$630,0)),"",INDEX('Compliance Database'!$C$2:$C$630,MATCH(307,'Transfer Engine'!$C$2:$C$630,0)))</f>
        <v/>
      </c>
      <c r="D316" s="8">
        <f>IF(ISNA(MATCH(307,'Transfer Engine'!$C$2:$C$630,0)),"",INDEX('Compliance Database'!$D$2:$D$630,MATCH(307,'Transfer Engine'!$C$2:$C$630,0)))</f>
        <v/>
      </c>
      <c r="E316">
        <f>IF(ISNA(MATCH(307,'Transfer Engine'!$C$2:$C$630,0)),"",INDEX('Compliance Database'!$E$2:$E$630,MATCH(307,'Transfer Engine'!$C$2:$C$630,0)))</f>
        <v/>
      </c>
      <c r="F316">
        <f>IF(ISNA(MATCH(307,'Transfer Engine'!$C$2:$C$630,0)),"",INDEX('Compliance Database'!$F$2:$F$630,MATCH(307,'Transfer Engine'!$C$2:$C$630,0)))</f>
        <v/>
      </c>
      <c r="G316">
        <f>IF(ISNA(MATCH(307,'Transfer Engine'!$C$2:$C$630,0)),"",INDEX('Compliance Database'!$G$2:$G$630,MATCH(307,'Transfer Engine'!$C$2:$C$630,0)))</f>
        <v/>
      </c>
      <c r="H316">
        <f>IF(ISNA(MATCH(307,'Transfer Engine'!$C$2:$C$630,0)),"",INDEX('Compliance Database'!$H$2:$H$630,MATCH(307,'Transfer Engine'!$C$2:$C$630,0)))</f>
        <v/>
      </c>
      <c r="I316" s="8">
        <f>IF(ISNA(MATCH(307,'Transfer Engine'!$C$2:$C$630,0)),"",INDEX('Compliance Database'!$I$2:$I$630,MATCH(307,'Transfer Engine'!$C$2:$C$630,0)))</f>
        <v/>
      </c>
      <c r="J316" s="8">
        <f>IF(ISNA(MATCH(307,'Transfer Engine'!$C$2:$C$630,0)),"",INDEX('Compliance Database'!$J$2:$J$630,MATCH(307,'Transfer Engine'!$C$2:$C$630,0)))</f>
        <v/>
      </c>
      <c r="K316">
        <f>IF(ISNA(MATCH(307,'Transfer Engine'!$C$2:$C$630,0)),"",INDEX('Compliance Database'!$K$2:$K$630,MATCH(307,'Transfer Engine'!$C$2:$C$630,0)))</f>
        <v/>
      </c>
      <c r="L316" s="8">
        <f>IF(ISNA(MATCH(307,'Transfer Engine'!$C$2:$C$630,0)),"",INDEX('Compliance Database'!$L$2:$L$630,MATCH(307,'Transfer Engine'!$C$2:$C$630,0)))</f>
        <v/>
      </c>
      <c r="M316" s="8">
        <f>IF(ISNA(MATCH(307,'Transfer Engine'!$C$2:$C$630,0)),"",INDEX('Compliance Database'!$M$2:$M$630,MATCH(307,'Transfer Engine'!$C$2:$C$630,0)))</f>
        <v/>
      </c>
      <c r="N316" s="8">
        <f>IF(ISNA(MATCH(307,'Transfer Engine'!$C$2:$C$630,0)),"",INDEX('Compliance Database'!$N$2:$N$630,MATCH(307,'Transfer Engine'!$C$2:$C$630,0)))</f>
        <v/>
      </c>
      <c r="O316" s="8">
        <f>IF(ISNA(MATCH(307,'Transfer Engine'!$C$2:$C$630,0)),"",INDEX('Compliance Database'!$O$2:$O$630,MATCH(307,'Transfer Engine'!$C$2:$C$630,0)))</f>
        <v/>
      </c>
    </row>
    <row r="317">
      <c r="A317">
        <f>IF(ISNA(MATCH(308,'Transfer Engine'!$C$2:$C$630,0)),"",INDEX('Compliance Database'!$A$2:$A$630,MATCH(308,'Transfer Engine'!$C$2:$C$630,0)))</f>
        <v/>
      </c>
      <c r="B317">
        <f>IF(ISNA(MATCH(308,'Transfer Engine'!$C$2:$C$630,0)),"",INDEX('Compliance Database'!$B$2:$B$630,MATCH(308,'Transfer Engine'!$C$2:$C$630,0)))</f>
        <v/>
      </c>
      <c r="C317">
        <f>IF(ISNA(MATCH(308,'Transfer Engine'!$C$2:$C$630,0)),"",INDEX('Compliance Database'!$C$2:$C$630,MATCH(308,'Transfer Engine'!$C$2:$C$630,0)))</f>
        <v/>
      </c>
      <c r="D317" s="8">
        <f>IF(ISNA(MATCH(308,'Transfer Engine'!$C$2:$C$630,0)),"",INDEX('Compliance Database'!$D$2:$D$630,MATCH(308,'Transfer Engine'!$C$2:$C$630,0)))</f>
        <v/>
      </c>
      <c r="E317">
        <f>IF(ISNA(MATCH(308,'Transfer Engine'!$C$2:$C$630,0)),"",INDEX('Compliance Database'!$E$2:$E$630,MATCH(308,'Transfer Engine'!$C$2:$C$630,0)))</f>
        <v/>
      </c>
      <c r="F317">
        <f>IF(ISNA(MATCH(308,'Transfer Engine'!$C$2:$C$630,0)),"",INDEX('Compliance Database'!$F$2:$F$630,MATCH(308,'Transfer Engine'!$C$2:$C$630,0)))</f>
        <v/>
      </c>
      <c r="G317">
        <f>IF(ISNA(MATCH(308,'Transfer Engine'!$C$2:$C$630,0)),"",INDEX('Compliance Database'!$G$2:$G$630,MATCH(308,'Transfer Engine'!$C$2:$C$630,0)))</f>
        <v/>
      </c>
      <c r="H317">
        <f>IF(ISNA(MATCH(308,'Transfer Engine'!$C$2:$C$630,0)),"",INDEX('Compliance Database'!$H$2:$H$630,MATCH(308,'Transfer Engine'!$C$2:$C$630,0)))</f>
        <v/>
      </c>
      <c r="I317" s="8">
        <f>IF(ISNA(MATCH(308,'Transfer Engine'!$C$2:$C$630,0)),"",INDEX('Compliance Database'!$I$2:$I$630,MATCH(308,'Transfer Engine'!$C$2:$C$630,0)))</f>
        <v/>
      </c>
      <c r="J317" s="8">
        <f>IF(ISNA(MATCH(308,'Transfer Engine'!$C$2:$C$630,0)),"",INDEX('Compliance Database'!$J$2:$J$630,MATCH(308,'Transfer Engine'!$C$2:$C$630,0)))</f>
        <v/>
      </c>
      <c r="K317">
        <f>IF(ISNA(MATCH(308,'Transfer Engine'!$C$2:$C$630,0)),"",INDEX('Compliance Database'!$K$2:$K$630,MATCH(308,'Transfer Engine'!$C$2:$C$630,0)))</f>
        <v/>
      </c>
      <c r="L317" s="8">
        <f>IF(ISNA(MATCH(308,'Transfer Engine'!$C$2:$C$630,0)),"",INDEX('Compliance Database'!$L$2:$L$630,MATCH(308,'Transfer Engine'!$C$2:$C$630,0)))</f>
        <v/>
      </c>
      <c r="M317" s="8">
        <f>IF(ISNA(MATCH(308,'Transfer Engine'!$C$2:$C$630,0)),"",INDEX('Compliance Database'!$M$2:$M$630,MATCH(308,'Transfer Engine'!$C$2:$C$630,0)))</f>
        <v/>
      </c>
      <c r="N317" s="8">
        <f>IF(ISNA(MATCH(308,'Transfer Engine'!$C$2:$C$630,0)),"",INDEX('Compliance Database'!$N$2:$N$630,MATCH(308,'Transfer Engine'!$C$2:$C$630,0)))</f>
        <v/>
      </c>
      <c r="O317" s="8">
        <f>IF(ISNA(MATCH(308,'Transfer Engine'!$C$2:$C$630,0)),"",INDEX('Compliance Database'!$O$2:$O$630,MATCH(308,'Transfer Engine'!$C$2:$C$630,0)))</f>
        <v/>
      </c>
    </row>
    <row r="318">
      <c r="A318">
        <f>IF(ISNA(MATCH(309,'Transfer Engine'!$C$2:$C$630,0)),"",INDEX('Compliance Database'!$A$2:$A$630,MATCH(309,'Transfer Engine'!$C$2:$C$630,0)))</f>
        <v/>
      </c>
      <c r="B318">
        <f>IF(ISNA(MATCH(309,'Transfer Engine'!$C$2:$C$630,0)),"",INDEX('Compliance Database'!$B$2:$B$630,MATCH(309,'Transfer Engine'!$C$2:$C$630,0)))</f>
        <v/>
      </c>
      <c r="C318">
        <f>IF(ISNA(MATCH(309,'Transfer Engine'!$C$2:$C$630,0)),"",INDEX('Compliance Database'!$C$2:$C$630,MATCH(309,'Transfer Engine'!$C$2:$C$630,0)))</f>
        <v/>
      </c>
      <c r="D318" s="8">
        <f>IF(ISNA(MATCH(309,'Transfer Engine'!$C$2:$C$630,0)),"",INDEX('Compliance Database'!$D$2:$D$630,MATCH(309,'Transfer Engine'!$C$2:$C$630,0)))</f>
        <v/>
      </c>
      <c r="E318">
        <f>IF(ISNA(MATCH(309,'Transfer Engine'!$C$2:$C$630,0)),"",INDEX('Compliance Database'!$E$2:$E$630,MATCH(309,'Transfer Engine'!$C$2:$C$630,0)))</f>
        <v/>
      </c>
      <c r="F318">
        <f>IF(ISNA(MATCH(309,'Transfer Engine'!$C$2:$C$630,0)),"",INDEX('Compliance Database'!$F$2:$F$630,MATCH(309,'Transfer Engine'!$C$2:$C$630,0)))</f>
        <v/>
      </c>
      <c r="G318">
        <f>IF(ISNA(MATCH(309,'Transfer Engine'!$C$2:$C$630,0)),"",INDEX('Compliance Database'!$G$2:$G$630,MATCH(309,'Transfer Engine'!$C$2:$C$630,0)))</f>
        <v/>
      </c>
      <c r="H318">
        <f>IF(ISNA(MATCH(309,'Transfer Engine'!$C$2:$C$630,0)),"",INDEX('Compliance Database'!$H$2:$H$630,MATCH(309,'Transfer Engine'!$C$2:$C$630,0)))</f>
        <v/>
      </c>
      <c r="I318" s="8">
        <f>IF(ISNA(MATCH(309,'Transfer Engine'!$C$2:$C$630,0)),"",INDEX('Compliance Database'!$I$2:$I$630,MATCH(309,'Transfer Engine'!$C$2:$C$630,0)))</f>
        <v/>
      </c>
      <c r="J318" s="8">
        <f>IF(ISNA(MATCH(309,'Transfer Engine'!$C$2:$C$630,0)),"",INDEX('Compliance Database'!$J$2:$J$630,MATCH(309,'Transfer Engine'!$C$2:$C$630,0)))</f>
        <v/>
      </c>
      <c r="K318">
        <f>IF(ISNA(MATCH(309,'Transfer Engine'!$C$2:$C$630,0)),"",INDEX('Compliance Database'!$K$2:$K$630,MATCH(309,'Transfer Engine'!$C$2:$C$630,0)))</f>
        <v/>
      </c>
      <c r="L318" s="8">
        <f>IF(ISNA(MATCH(309,'Transfer Engine'!$C$2:$C$630,0)),"",INDEX('Compliance Database'!$L$2:$L$630,MATCH(309,'Transfer Engine'!$C$2:$C$630,0)))</f>
        <v/>
      </c>
      <c r="M318" s="8">
        <f>IF(ISNA(MATCH(309,'Transfer Engine'!$C$2:$C$630,0)),"",INDEX('Compliance Database'!$M$2:$M$630,MATCH(309,'Transfer Engine'!$C$2:$C$630,0)))</f>
        <v/>
      </c>
      <c r="N318" s="8">
        <f>IF(ISNA(MATCH(309,'Transfer Engine'!$C$2:$C$630,0)),"",INDEX('Compliance Database'!$N$2:$N$630,MATCH(309,'Transfer Engine'!$C$2:$C$630,0)))</f>
        <v/>
      </c>
      <c r="O318" s="8">
        <f>IF(ISNA(MATCH(309,'Transfer Engine'!$C$2:$C$630,0)),"",INDEX('Compliance Database'!$O$2:$O$630,MATCH(309,'Transfer Engine'!$C$2:$C$630,0)))</f>
        <v/>
      </c>
    </row>
    <row r="319">
      <c r="A319">
        <f>IF(ISNA(MATCH(310,'Transfer Engine'!$C$2:$C$630,0)),"",INDEX('Compliance Database'!$A$2:$A$630,MATCH(310,'Transfer Engine'!$C$2:$C$630,0)))</f>
        <v/>
      </c>
      <c r="B319">
        <f>IF(ISNA(MATCH(310,'Transfer Engine'!$C$2:$C$630,0)),"",INDEX('Compliance Database'!$B$2:$B$630,MATCH(310,'Transfer Engine'!$C$2:$C$630,0)))</f>
        <v/>
      </c>
      <c r="C319">
        <f>IF(ISNA(MATCH(310,'Transfer Engine'!$C$2:$C$630,0)),"",INDEX('Compliance Database'!$C$2:$C$630,MATCH(310,'Transfer Engine'!$C$2:$C$630,0)))</f>
        <v/>
      </c>
      <c r="D319" s="8">
        <f>IF(ISNA(MATCH(310,'Transfer Engine'!$C$2:$C$630,0)),"",INDEX('Compliance Database'!$D$2:$D$630,MATCH(310,'Transfer Engine'!$C$2:$C$630,0)))</f>
        <v/>
      </c>
      <c r="E319">
        <f>IF(ISNA(MATCH(310,'Transfer Engine'!$C$2:$C$630,0)),"",INDEX('Compliance Database'!$E$2:$E$630,MATCH(310,'Transfer Engine'!$C$2:$C$630,0)))</f>
        <v/>
      </c>
      <c r="F319">
        <f>IF(ISNA(MATCH(310,'Transfer Engine'!$C$2:$C$630,0)),"",INDEX('Compliance Database'!$F$2:$F$630,MATCH(310,'Transfer Engine'!$C$2:$C$630,0)))</f>
        <v/>
      </c>
      <c r="G319">
        <f>IF(ISNA(MATCH(310,'Transfer Engine'!$C$2:$C$630,0)),"",INDEX('Compliance Database'!$G$2:$G$630,MATCH(310,'Transfer Engine'!$C$2:$C$630,0)))</f>
        <v/>
      </c>
      <c r="H319">
        <f>IF(ISNA(MATCH(310,'Transfer Engine'!$C$2:$C$630,0)),"",INDEX('Compliance Database'!$H$2:$H$630,MATCH(310,'Transfer Engine'!$C$2:$C$630,0)))</f>
        <v/>
      </c>
      <c r="I319" s="8">
        <f>IF(ISNA(MATCH(310,'Transfer Engine'!$C$2:$C$630,0)),"",INDEX('Compliance Database'!$I$2:$I$630,MATCH(310,'Transfer Engine'!$C$2:$C$630,0)))</f>
        <v/>
      </c>
      <c r="J319" s="8">
        <f>IF(ISNA(MATCH(310,'Transfer Engine'!$C$2:$C$630,0)),"",INDEX('Compliance Database'!$J$2:$J$630,MATCH(310,'Transfer Engine'!$C$2:$C$630,0)))</f>
        <v/>
      </c>
      <c r="K319">
        <f>IF(ISNA(MATCH(310,'Transfer Engine'!$C$2:$C$630,0)),"",INDEX('Compliance Database'!$K$2:$K$630,MATCH(310,'Transfer Engine'!$C$2:$C$630,0)))</f>
        <v/>
      </c>
      <c r="L319" s="8">
        <f>IF(ISNA(MATCH(310,'Transfer Engine'!$C$2:$C$630,0)),"",INDEX('Compliance Database'!$L$2:$L$630,MATCH(310,'Transfer Engine'!$C$2:$C$630,0)))</f>
        <v/>
      </c>
      <c r="M319" s="8">
        <f>IF(ISNA(MATCH(310,'Transfer Engine'!$C$2:$C$630,0)),"",INDEX('Compliance Database'!$M$2:$M$630,MATCH(310,'Transfer Engine'!$C$2:$C$630,0)))</f>
        <v/>
      </c>
      <c r="N319" s="8">
        <f>IF(ISNA(MATCH(310,'Transfer Engine'!$C$2:$C$630,0)),"",INDEX('Compliance Database'!$N$2:$N$630,MATCH(310,'Transfer Engine'!$C$2:$C$630,0)))</f>
        <v/>
      </c>
      <c r="O319" s="8">
        <f>IF(ISNA(MATCH(310,'Transfer Engine'!$C$2:$C$630,0)),"",INDEX('Compliance Database'!$O$2:$O$630,MATCH(310,'Transfer Engine'!$C$2:$C$630,0)))</f>
        <v/>
      </c>
    </row>
    <row r="320">
      <c r="A320">
        <f>IF(ISNA(MATCH(311,'Transfer Engine'!$C$2:$C$630,0)),"",INDEX('Compliance Database'!$A$2:$A$630,MATCH(311,'Transfer Engine'!$C$2:$C$630,0)))</f>
        <v/>
      </c>
      <c r="B320">
        <f>IF(ISNA(MATCH(311,'Transfer Engine'!$C$2:$C$630,0)),"",INDEX('Compliance Database'!$B$2:$B$630,MATCH(311,'Transfer Engine'!$C$2:$C$630,0)))</f>
        <v/>
      </c>
      <c r="C320">
        <f>IF(ISNA(MATCH(311,'Transfer Engine'!$C$2:$C$630,0)),"",INDEX('Compliance Database'!$C$2:$C$630,MATCH(311,'Transfer Engine'!$C$2:$C$630,0)))</f>
        <v/>
      </c>
      <c r="D320" s="8">
        <f>IF(ISNA(MATCH(311,'Transfer Engine'!$C$2:$C$630,0)),"",INDEX('Compliance Database'!$D$2:$D$630,MATCH(311,'Transfer Engine'!$C$2:$C$630,0)))</f>
        <v/>
      </c>
      <c r="E320">
        <f>IF(ISNA(MATCH(311,'Transfer Engine'!$C$2:$C$630,0)),"",INDEX('Compliance Database'!$E$2:$E$630,MATCH(311,'Transfer Engine'!$C$2:$C$630,0)))</f>
        <v/>
      </c>
      <c r="F320">
        <f>IF(ISNA(MATCH(311,'Transfer Engine'!$C$2:$C$630,0)),"",INDEX('Compliance Database'!$F$2:$F$630,MATCH(311,'Transfer Engine'!$C$2:$C$630,0)))</f>
        <v/>
      </c>
      <c r="G320">
        <f>IF(ISNA(MATCH(311,'Transfer Engine'!$C$2:$C$630,0)),"",INDEX('Compliance Database'!$G$2:$G$630,MATCH(311,'Transfer Engine'!$C$2:$C$630,0)))</f>
        <v/>
      </c>
      <c r="H320">
        <f>IF(ISNA(MATCH(311,'Transfer Engine'!$C$2:$C$630,0)),"",INDEX('Compliance Database'!$H$2:$H$630,MATCH(311,'Transfer Engine'!$C$2:$C$630,0)))</f>
        <v/>
      </c>
      <c r="I320" s="8">
        <f>IF(ISNA(MATCH(311,'Transfer Engine'!$C$2:$C$630,0)),"",INDEX('Compliance Database'!$I$2:$I$630,MATCH(311,'Transfer Engine'!$C$2:$C$630,0)))</f>
        <v/>
      </c>
      <c r="J320" s="8">
        <f>IF(ISNA(MATCH(311,'Transfer Engine'!$C$2:$C$630,0)),"",INDEX('Compliance Database'!$J$2:$J$630,MATCH(311,'Transfer Engine'!$C$2:$C$630,0)))</f>
        <v/>
      </c>
      <c r="K320">
        <f>IF(ISNA(MATCH(311,'Transfer Engine'!$C$2:$C$630,0)),"",INDEX('Compliance Database'!$K$2:$K$630,MATCH(311,'Transfer Engine'!$C$2:$C$630,0)))</f>
        <v/>
      </c>
      <c r="L320" s="8">
        <f>IF(ISNA(MATCH(311,'Transfer Engine'!$C$2:$C$630,0)),"",INDEX('Compliance Database'!$L$2:$L$630,MATCH(311,'Transfer Engine'!$C$2:$C$630,0)))</f>
        <v/>
      </c>
      <c r="M320" s="8">
        <f>IF(ISNA(MATCH(311,'Transfer Engine'!$C$2:$C$630,0)),"",INDEX('Compliance Database'!$M$2:$M$630,MATCH(311,'Transfer Engine'!$C$2:$C$630,0)))</f>
        <v/>
      </c>
      <c r="N320" s="8">
        <f>IF(ISNA(MATCH(311,'Transfer Engine'!$C$2:$C$630,0)),"",INDEX('Compliance Database'!$N$2:$N$630,MATCH(311,'Transfer Engine'!$C$2:$C$630,0)))</f>
        <v/>
      </c>
      <c r="O320" s="8">
        <f>IF(ISNA(MATCH(311,'Transfer Engine'!$C$2:$C$630,0)),"",INDEX('Compliance Database'!$O$2:$O$630,MATCH(311,'Transfer Engine'!$C$2:$C$630,0)))</f>
        <v/>
      </c>
    </row>
    <row r="321">
      <c r="A321">
        <f>IF(ISNA(MATCH(312,'Transfer Engine'!$C$2:$C$630,0)),"",INDEX('Compliance Database'!$A$2:$A$630,MATCH(312,'Transfer Engine'!$C$2:$C$630,0)))</f>
        <v/>
      </c>
      <c r="B321">
        <f>IF(ISNA(MATCH(312,'Transfer Engine'!$C$2:$C$630,0)),"",INDEX('Compliance Database'!$B$2:$B$630,MATCH(312,'Transfer Engine'!$C$2:$C$630,0)))</f>
        <v/>
      </c>
      <c r="C321">
        <f>IF(ISNA(MATCH(312,'Transfer Engine'!$C$2:$C$630,0)),"",INDEX('Compliance Database'!$C$2:$C$630,MATCH(312,'Transfer Engine'!$C$2:$C$630,0)))</f>
        <v/>
      </c>
      <c r="D321" s="8">
        <f>IF(ISNA(MATCH(312,'Transfer Engine'!$C$2:$C$630,0)),"",INDEX('Compliance Database'!$D$2:$D$630,MATCH(312,'Transfer Engine'!$C$2:$C$630,0)))</f>
        <v/>
      </c>
      <c r="E321">
        <f>IF(ISNA(MATCH(312,'Transfer Engine'!$C$2:$C$630,0)),"",INDEX('Compliance Database'!$E$2:$E$630,MATCH(312,'Transfer Engine'!$C$2:$C$630,0)))</f>
        <v/>
      </c>
      <c r="F321">
        <f>IF(ISNA(MATCH(312,'Transfer Engine'!$C$2:$C$630,0)),"",INDEX('Compliance Database'!$F$2:$F$630,MATCH(312,'Transfer Engine'!$C$2:$C$630,0)))</f>
        <v/>
      </c>
      <c r="G321">
        <f>IF(ISNA(MATCH(312,'Transfer Engine'!$C$2:$C$630,0)),"",INDEX('Compliance Database'!$G$2:$G$630,MATCH(312,'Transfer Engine'!$C$2:$C$630,0)))</f>
        <v/>
      </c>
      <c r="H321">
        <f>IF(ISNA(MATCH(312,'Transfer Engine'!$C$2:$C$630,0)),"",INDEX('Compliance Database'!$H$2:$H$630,MATCH(312,'Transfer Engine'!$C$2:$C$630,0)))</f>
        <v/>
      </c>
      <c r="I321" s="8">
        <f>IF(ISNA(MATCH(312,'Transfer Engine'!$C$2:$C$630,0)),"",INDEX('Compliance Database'!$I$2:$I$630,MATCH(312,'Transfer Engine'!$C$2:$C$630,0)))</f>
        <v/>
      </c>
      <c r="J321" s="8">
        <f>IF(ISNA(MATCH(312,'Transfer Engine'!$C$2:$C$630,0)),"",INDEX('Compliance Database'!$J$2:$J$630,MATCH(312,'Transfer Engine'!$C$2:$C$630,0)))</f>
        <v/>
      </c>
      <c r="K321">
        <f>IF(ISNA(MATCH(312,'Transfer Engine'!$C$2:$C$630,0)),"",INDEX('Compliance Database'!$K$2:$K$630,MATCH(312,'Transfer Engine'!$C$2:$C$630,0)))</f>
        <v/>
      </c>
      <c r="L321" s="8">
        <f>IF(ISNA(MATCH(312,'Transfer Engine'!$C$2:$C$630,0)),"",INDEX('Compliance Database'!$L$2:$L$630,MATCH(312,'Transfer Engine'!$C$2:$C$630,0)))</f>
        <v/>
      </c>
      <c r="M321" s="8">
        <f>IF(ISNA(MATCH(312,'Transfer Engine'!$C$2:$C$630,0)),"",INDEX('Compliance Database'!$M$2:$M$630,MATCH(312,'Transfer Engine'!$C$2:$C$630,0)))</f>
        <v/>
      </c>
      <c r="N321" s="8">
        <f>IF(ISNA(MATCH(312,'Transfer Engine'!$C$2:$C$630,0)),"",INDEX('Compliance Database'!$N$2:$N$630,MATCH(312,'Transfer Engine'!$C$2:$C$630,0)))</f>
        <v/>
      </c>
      <c r="O321" s="8">
        <f>IF(ISNA(MATCH(312,'Transfer Engine'!$C$2:$C$630,0)),"",INDEX('Compliance Database'!$O$2:$O$630,MATCH(312,'Transfer Engine'!$C$2:$C$630,0)))</f>
        <v/>
      </c>
    </row>
    <row r="322">
      <c r="A322">
        <f>IF(ISNA(MATCH(313,'Transfer Engine'!$C$2:$C$630,0)),"",INDEX('Compliance Database'!$A$2:$A$630,MATCH(313,'Transfer Engine'!$C$2:$C$630,0)))</f>
        <v/>
      </c>
      <c r="B322">
        <f>IF(ISNA(MATCH(313,'Transfer Engine'!$C$2:$C$630,0)),"",INDEX('Compliance Database'!$B$2:$B$630,MATCH(313,'Transfer Engine'!$C$2:$C$630,0)))</f>
        <v/>
      </c>
      <c r="C322">
        <f>IF(ISNA(MATCH(313,'Transfer Engine'!$C$2:$C$630,0)),"",INDEX('Compliance Database'!$C$2:$C$630,MATCH(313,'Transfer Engine'!$C$2:$C$630,0)))</f>
        <v/>
      </c>
      <c r="D322" s="8">
        <f>IF(ISNA(MATCH(313,'Transfer Engine'!$C$2:$C$630,0)),"",INDEX('Compliance Database'!$D$2:$D$630,MATCH(313,'Transfer Engine'!$C$2:$C$630,0)))</f>
        <v/>
      </c>
      <c r="E322">
        <f>IF(ISNA(MATCH(313,'Transfer Engine'!$C$2:$C$630,0)),"",INDEX('Compliance Database'!$E$2:$E$630,MATCH(313,'Transfer Engine'!$C$2:$C$630,0)))</f>
        <v/>
      </c>
      <c r="F322">
        <f>IF(ISNA(MATCH(313,'Transfer Engine'!$C$2:$C$630,0)),"",INDEX('Compliance Database'!$F$2:$F$630,MATCH(313,'Transfer Engine'!$C$2:$C$630,0)))</f>
        <v/>
      </c>
      <c r="G322">
        <f>IF(ISNA(MATCH(313,'Transfer Engine'!$C$2:$C$630,0)),"",INDEX('Compliance Database'!$G$2:$G$630,MATCH(313,'Transfer Engine'!$C$2:$C$630,0)))</f>
        <v/>
      </c>
      <c r="H322">
        <f>IF(ISNA(MATCH(313,'Transfer Engine'!$C$2:$C$630,0)),"",INDEX('Compliance Database'!$H$2:$H$630,MATCH(313,'Transfer Engine'!$C$2:$C$630,0)))</f>
        <v/>
      </c>
      <c r="I322" s="8">
        <f>IF(ISNA(MATCH(313,'Transfer Engine'!$C$2:$C$630,0)),"",INDEX('Compliance Database'!$I$2:$I$630,MATCH(313,'Transfer Engine'!$C$2:$C$630,0)))</f>
        <v/>
      </c>
      <c r="J322" s="8">
        <f>IF(ISNA(MATCH(313,'Transfer Engine'!$C$2:$C$630,0)),"",INDEX('Compliance Database'!$J$2:$J$630,MATCH(313,'Transfer Engine'!$C$2:$C$630,0)))</f>
        <v/>
      </c>
      <c r="K322">
        <f>IF(ISNA(MATCH(313,'Transfer Engine'!$C$2:$C$630,0)),"",INDEX('Compliance Database'!$K$2:$K$630,MATCH(313,'Transfer Engine'!$C$2:$C$630,0)))</f>
        <v/>
      </c>
      <c r="L322" s="8">
        <f>IF(ISNA(MATCH(313,'Transfer Engine'!$C$2:$C$630,0)),"",INDEX('Compliance Database'!$L$2:$L$630,MATCH(313,'Transfer Engine'!$C$2:$C$630,0)))</f>
        <v/>
      </c>
      <c r="M322" s="8">
        <f>IF(ISNA(MATCH(313,'Transfer Engine'!$C$2:$C$630,0)),"",INDEX('Compliance Database'!$M$2:$M$630,MATCH(313,'Transfer Engine'!$C$2:$C$630,0)))</f>
        <v/>
      </c>
      <c r="N322" s="8">
        <f>IF(ISNA(MATCH(313,'Transfer Engine'!$C$2:$C$630,0)),"",INDEX('Compliance Database'!$N$2:$N$630,MATCH(313,'Transfer Engine'!$C$2:$C$630,0)))</f>
        <v/>
      </c>
      <c r="O322" s="8">
        <f>IF(ISNA(MATCH(313,'Transfer Engine'!$C$2:$C$630,0)),"",INDEX('Compliance Database'!$O$2:$O$630,MATCH(313,'Transfer Engine'!$C$2:$C$630,0)))</f>
        <v/>
      </c>
    </row>
    <row r="323">
      <c r="A323">
        <f>IF(ISNA(MATCH(314,'Transfer Engine'!$C$2:$C$630,0)),"",INDEX('Compliance Database'!$A$2:$A$630,MATCH(314,'Transfer Engine'!$C$2:$C$630,0)))</f>
        <v/>
      </c>
      <c r="B323">
        <f>IF(ISNA(MATCH(314,'Transfer Engine'!$C$2:$C$630,0)),"",INDEX('Compliance Database'!$B$2:$B$630,MATCH(314,'Transfer Engine'!$C$2:$C$630,0)))</f>
        <v/>
      </c>
      <c r="C323">
        <f>IF(ISNA(MATCH(314,'Transfer Engine'!$C$2:$C$630,0)),"",INDEX('Compliance Database'!$C$2:$C$630,MATCH(314,'Transfer Engine'!$C$2:$C$630,0)))</f>
        <v/>
      </c>
      <c r="D323" s="8">
        <f>IF(ISNA(MATCH(314,'Transfer Engine'!$C$2:$C$630,0)),"",INDEX('Compliance Database'!$D$2:$D$630,MATCH(314,'Transfer Engine'!$C$2:$C$630,0)))</f>
        <v/>
      </c>
      <c r="E323">
        <f>IF(ISNA(MATCH(314,'Transfer Engine'!$C$2:$C$630,0)),"",INDEX('Compliance Database'!$E$2:$E$630,MATCH(314,'Transfer Engine'!$C$2:$C$630,0)))</f>
        <v/>
      </c>
      <c r="F323">
        <f>IF(ISNA(MATCH(314,'Transfer Engine'!$C$2:$C$630,0)),"",INDEX('Compliance Database'!$F$2:$F$630,MATCH(314,'Transfer Engine'!$C$2:$C$630,0)))</f>
        <v/>
      </c>
      <c r="G323">
        <f>IF(ISNA(MATCH(314,'Transfer Engine'!$C$2:$C$630,0)),"",INDEX('Compliance Database'!$G$2:$G$630,MATCH(314,'Transfer Engine'!$C$2:$C$630,0)))</f>
        <v/>
      </c>
      <c r="H323">
        <f>IF(ISNA(MATCH(314,'Transfer Engine'!$C$2:$C$630,0)),"",INDEX('Compliance Database'!$H$2:$H$630,MATCH(314,'Transfer Engine'!$C$2:$C$630,0)))</f>
        <v/>
      </c>
      <c r="I323" s="8">
        <f>IF(ISNA(MATCH(314,'Transfer Engine'!$C$2:$C$630,0)),"",INDEX('Compliance Database'!$I$2:$I$630,MATCH(314,'Transfer Engine'!$C$2:$C$630,0)))</f>
        <v/>
      </c>
      <c r="J323" s="8">
        <f>IF(ISNA(MATCH(314,'Transfer Engine'!$C$2:$C$630,0)),"",INDEX('Compliance Database'!$J$2:$J$630,MATCH(314,'Transfer Engine'!$C$2:$C$630,0)))</f>
        <v/>
      </c>
      <c r="K323">
        <f>IF(ISNA(MATCH(314,'Transfer Engine'!$C$2:$C$630,0)),"",INDEX('Compliance Database'!$K$2:$K$630,MATCH(314,'Transfer Engine'!$C$2:$C$630,0)))</f>
        <v/>
      </c>
      <c r="L323" s="8">
        <f>IF(ISNA(MATCH(314,'Transfer Engine'!$C$2:$C$630,0)),"",INDEX('Compliance Database'!$L$2:$L$630,MATCH(314,'Transfer Engine'!$C$2:$C$630,0)))</f>
        <v/>
      </c>
      <c r="M323" s="8">
        <f>IF(ISNA(MATCH(314,'Transfer Engine'!$C$2:$C$630,0)),"",INDEX('Compliance Database'!$M$2:$M$630,MATCH(314,'Transfer Engine'!$C$2:$C$630,0)))</f>
        <v/>
      </c>
      <c r="N323" s="8">
        <f>IF(ISNA(MATCH(314,'Transfer Engine'!$C$2:$C$630,0)),"",INDEX('Compliance Database'!$N$2:$N$630,MATCH(314,'Transfer Engine'!$C$2:$C$630,0)))</f>
        <v/>
      </c>
      <c r="O323" s="8">
        <f>IF(ISNA(MATCH(314,'Transfer Engine'!$C$2:$C$630,0)),"",INDEX('Compliance Database'!$O$2:$O$630,MATCH(314,'Transfer Engine'!$C$2:$C$630,0)))</f>
        <v/>
      </c>
    </row>
    <row r="324">
      <c r="A324">
        <f>IF(ISNA(MATCH(315,'Transfer Engine'!$C$2:$C$630,0)),"",INDEX('Compliance Database'!$A$2:$A$630,MATCH(315,'Transfer Engine'!$C$2:$C$630,0)))</f>
        <v/>
      </c>
      <c r="B324">
        <f>IF(ISNA(MATCH(315,'Transfer Engine'!$C$2:$C$630,0)),"",INDEX('Compliance Database'!$B$2:$B$630,MATCH(315,'Transfer Engine'!$C$2:$C$630,0)))</f>
        <v/>
      </c>
      <c r="C324">
        <f>IF(ISNA(MATCH(315,'Transfer Engine'!$C$2:$C$630,0)),"",INDEX('Compliance Database'!$C$2:$C$630,MATCH(315,'Transfer Engine'!$C$2:$C$630,0)))</f>
        <v/>
      </c>
      <c r="D324" s="8">
        <f>IF(ISNA(MATCH(315,'Transfer Engine'!$C$2:$C$630,0)),"",INDEX('Compliance Database'!$D$2:$D$630,MATCH(315,'Transfer Engine'!$C$2:$C$630,0)))</f>
        <v/>
      </c>
      <c r="E324">
        <f>IF(ISNA(MATCH(315,'Transfer Engine'!$C$2:$C$630,0)),"",INDEX('Compliance Database'!$E$2:$E$630,MATCH(315,'Transfer Engine'!$C$2:$C$630,0)))</f>
        <v/>
      </c>
      <c r="F324">
        <f>IF(ISNA(MATCH(315,'Transfer Engine'!$C$2:$C$630,0)),"",INDEX('Compliance Database'!$F$2:$F$630,MATCH(315,'Transfer Engine'!$C$2:$C$630,0)))</f>
        <v/>
      </c>
      <c r="G324">
        <f>IF(ISNA(MATCH(315,'Transfer Engine'!$C$2:$C$630,0)),"",INDEX('Compliance Database'!$G$2:$G$630,MATCH(315,'Transfer Engine'!$C$2:$C$630,0)))</f>
        <v/>
      </c>
      <c r="H324">
        <f>IF(ISNA(MATCH(315,'Transfer Engine'!$C$2:$C$630,0)),"",INDEX('Compliance Database'!$H$2:$H$630,MATCH(315,'Transfer Engine'!$C$2:$C$630,0)))</f>
        <v/>
      </c>
      <c r="I324" s="8">
        <f>IF(ISNA(MATCH(315,'Transfer Engine'!$C$2:$C$630,0)),"",INDEX('Compliance Database'!$I$2:$I$630,MATCH(315,'Transfer Engine'!$C$2:$C$630,0)))</f>
        <v/>
      </c>
      <c r="J324" s="8">
        <f>IF(ISNA(MATCH(315,'Transfer Engine'!$C$2:$C$630,0)),"",INDEX('Compliance Database'!$J$2:$J$630,MATCH(315,'Transfer Engine'!$C$2:$C$630,0)))</f>
        <v/>
      </c>
      <c r="K324">
        <f>IF(ISNA(MATCH(315,'Transfer Engine'!$C$2:$C$630,0)),"",INDEX('Compliance Database'!$K$2:$K$630,MATCH(315,'Transfer Engine'!$C$2:$C$630,0)))</f>
        <v/>
      </c>
      <c r="L324" s="8">
        <f>IF(ISNA(MATCH(315,'Transfer Engine'!$C$2:$C$630,0)),"",INDEX('Compliance Database'!$L$2:$L$630,MATCH(315,'Transfer Engine'!$C$2:$C$630,0)))</f>
        <v/>
      </c>
      <c r="M324" s="8">
        <f>IF(ISNA(MATCH(315,'Transfer Engine'!$C$2:$C$630,0)),"",INDEX('Compliance Database'!$M$2:$M$630,MATCH(315,'Transfer Engine'!$C$2:$C$630,0)))</f>
        <v/>
      </c>
      <c r="N324" s="8">
        <f>IF(ISNA(MATCH(315,'Transfer Engine'!$C$2:$C$630,0)),"",INDEX('Compliance Database'!$N$2:$N$630,MATCH(315,'Transfer Engine'!$C$2:$C$630,0)))</f>
        <v/>
      </c>
      <c r="O324" s="8">
        <f>IF(ISNA(MATCH(315,'Transfer Engine'!$C$2:$C$630,0)),"",INDEX('Compliance Database'!$O$2:$O$630,MATCH(315,'Transfer Engine'!$C$2:$C$630,0)))</f>
        <v/>
      </c>
    </row>
    <row r="325">
      <c r="A325">
        <f>IF(ISNA(MATCH(316,'Transfer Engine'!$C$2:$C$630,0)),"",INDEX('Compliance Database'!$A$2:$A$630,MATCH(316,'Transfer Engine'!$C$2:$C$630,0)))</f>
        <v/>
      </c>
      <c r="B325">
        <f>IF(ISNA(MATCH(316,'Transfer Engine'!$C$2:$C$630,0)),"",INDEX('Compliance Database'!$B$2:$B$630,MATCH(316,'Transfer Engine'!$C$2:$C$630,0)))</f>
        <v/>
      </c>
      <c r="C325">
        <f>IF(ISNA(MATCH(316,'Transfer Engine'!$C$2:$C$630,0)),"",INDEX('Compliance Database'!$C$2:$C$630,MATCH(316,'Transfer Engine'!$C$2:$C$630,0)))</f>
        <v/>
      </c>
      <c r="D325" s="8">
        <f>IF(ISNA(MATCH(316,'Transfer Engine'!$C$2:$C$630,0)),"",INDEX('Compliance Database'!$D$2:$D$630,MATCH(316,'Transfer Engine'!$C$2:$C$630,0)))</f>
        <v/>
      </c>
      <c r="E325">
        <f>IF(ISNA(MATCH(316,'Transfer Engine'!$C$2:$C$630,0)),"",INDEX('Compliance Database'!$E$2:$E$630,MATCH(316,'Transfer Engine'!$C$2:$C$630,0)))</f>
        <v/>
      </c>
      <c r="F325">
        <f>IF(ISNA(MATCH(316,'Transfer Engine'!$C$2:$C$630,0)),"",INDEX('Compliance Database'!$F$2:$F$630,MATCH(316,'Transfer Engine'!$C$2:$C$630,0)))</f>
        <v/>
      </c>
      <c r="G325">
        <f>IF(ISNA(MATCH(316,'Transfer Engine'!$C$2:$C$630,0)),"",INDEX('Compliance Database'!$G$2:$G$630,MATCH(316,'Transfer Engine'!$C$2:$C$630,0)))</f>
        <v/>
      </c>
      <c r="H325">
        <f>IF(ISNA(MATCH(316,'Transfer Engine'!$C$2:$C$630,0)),"",INDEX('Compliance Database'!$H$2:$H$630,MATCH(316,'Transfer Engine'!$C$2:$C$630,0)))</f>
        <v/>
      </c>
      <c r="I325" s="8">
        <f>IF(ISNA(MATCH(316,'Transfer Engine'!$C$2:$C$630,0)),"",INDEX('Compliance Database'!$I$2:$I$630,MATCH(316,'Transfer Engine'!$C$2:$C$630,0)))</f>
        <v/>
      </c>
      <c r="J325" s="8">
        <f>IF(ISNA(MATCH(316,'Transfer Engine'!$C$2:$C$630,0)),"",INDEX('Compliance Database'!$J$2:$J$630,MATCH(316,'Transfer Engine'!$C$2:$C$630,0)))</f>
        <v/>
      </c>
      <c r="K325">
        <f>IF(ISNA(MATCH(316,'Transfer Engine'!$C$2:$C$630,0)),"",INDEX('Compliance Database'!$K$2:$K$630,MATCH(316,'Transfer Engine'!$C$2:$C$630,0)))</f>
        <v/>
      </c>
      <c r="L325" s="8">
        <f>IF(ISNA(MATCH(316,'Transfer Engine'!$C$2:$C$630,0)),"",INDEX('Compliance Database'!$L$2:$L$630,MATCH(316,'Transfer Engine'!$C$2:$C$630,0)))</f>
        <v/>
      </c>
      <c r="M325" s="8">
        <f>IF(ISNA(MATCH(316,'Transfer Engine'!$C$2:$C$630,0)),"",INDEX('Compliance Database'!$M$2:$M$630,MATCH(316,'Transfer Engine'!$C$2:$C$630,0)))</f>
        <v/>
      </c>
      <c r="N325" s="8">
        <f>IF(ISNA(MATCH(316,'Transfer Engine'!$C$2:$C$630,0)),"",INDEX('Compliance Database'!$N$2:$N$630,MATCH(316,'Transfer Engine'!$C$2:$C$630,0)))</f>
        <v/>
      </c>
      <c r="O325" s="8">
        <f>IF(ISNA(MATCH(316,'Transfer Engine'!$C$2:$C$630,0)),"",INDEX('Compliance Database'!$O$2:$O$630,MATCH(316,'Transfer Engine'!$C$2:$C$630,0)))</f>
        <v/>
      </c>
    </row>
    <row r="326">
      <c r="A326">
        <f>IF(ISNA(MATCH(317,'Transfer Engine'!$C$2:$C$630,0)),"",INDEX('Compliance Database'!$A$2:$A$630,MATCH(317,'Transfer Engine'!$C$2:$C$630,0)))</f>
        <v/>
      </c>
      <c r="B326">
        <f>IF(ISNA(MATCH(317,'Transfer Engine'!$C$2:$C$630,0)),"",INDEX('Compliance Database'!$B$2:$B$630,MATCH(317,'Transfer Engine'!$C$2:$C$630,0)))</f>
        <v/>
      </c>
      <c r="C326">
        <f>IF(ISNA(MATCH(317,'Transfer Engine'!$C$2:$C$630,0)),"",INDEX('Compliance Database'!$C$2:$C$630,MATCH(317,'Transfer Engine'!$C$2:$C$630,0)))</f>
        <v/>
      </c>
      <c r="D326" s="8">
        <f>IF(ISNA(MATCH(317,'Transfer Engine'!$C$2:$C$630,0)),"",INDEX('Compliance Database'!$D$2:$D$630,MATCH(317,'Transfer Engine'!$C$2:$C$630,0)))</f>
        <v/>
      </c>
      <c r="E326">
        <f>IF(ISNA(MATCH(317,'Transfer Engine'!$C$2:$C$630,0)),"",INDEX('Compliance Database'!$E$2:$E$630,MATCH(317,'Transfer Engine'!$C$2:$C$630,0)))</f>
        <v/>
      </c>
      <c r="F326">
        <f>IF(ISNA(MATCH(317,'Transfer Engine'!$C$2:$C$630,0)),"",INDEX('Compliance Database'!$F$2:$F$630,MATCH(317,'Transfer Engine'!$C$2:$C$630,0)))</f>
        <v/>
      </c>
      <c r="G326">
        <f>IF(ISNA(MATCH(317,'Transfer Engine'!$C$2:$C$630,0)),"",INDEX('Compliance Database'!$G$2:$G$630,MATCH(317,'Transfer Engine'!$C$2:$C$630,0)))</f>
        <v/>
      </c>
      <c r="H326">
        <f>IF(ISNA(MATCH(317,'Transfer Engine'!$C$2:$C$630,0)),"",INDEX('Compliance Database'!$H$2:$H$630,MATCH(317,'Transfer Engine'!$C$2:$C$630,0)))</f>
        <v/>
      </c>
      <c r="I326" s="8">
        <f>IF(ISNA(MATCH(317,'Transfer Engine'!$C$2:$C$630,0)),"",INDEX('Compliance Database'!$I$2:$I$630,MATCH(317,'Transfer Engine'!$C$2:$C$630,0)))</f>
        <v/>
      </c>
      <c r="J326" s="8">
        <f>IF(ISNA(MATCH(317,'Transfer Engine'!$C$2:$C$630,0)),"",INDEX('Compliance Database'!$J$2:$J$630,MATCH(317,'Transfer Engine'!$C$2:$C$630,0)))</f>
        <v/>
      </c>
      <c r="K326">
        <f>IF(ISNA(MATCH(317,'Transfer Engine'!$C$2:$C$630,0)),"",INDEX('Compliance Database'!$K$2:$K$630,MATCH(317,'Transfer Engine'!$C$2:$C$630,0)))</f>
        <v/>
      </c>
      <c r="L326" s="8">
        <f>IF(ISNA(MATCH(317,'Transfer Engine'!$C$2:$C$630,0)),"",INDEX('Compliance Database'!$L$2:$L$630,MATCH(317,'Transfer Engine'!$C$2:$C$630,0)))</f>
        <v/>
      </c>
      <c r="M326" s="8">
        <f>IF(ISNA(MATCH(317,'Transfer Engine'!$C$2:$C$630,0)),"",INDEX('Compliance Database'!$M$2:$M$630,MATCH(317,'Transfer Engine'!$C$2:$C$630,0)))</f>
        <v/>
      </c>
      <c r="N326" s="8">
        <f>IF(ISNA(MATCH(317,'Transfer Engine'!$C$2:$C$630,0)),"",INDEX('Compliance Database'!$N$2:$N$630,MATCH(317,'Transfer Engine'!$C$2:$C$630,0)))</f>
        <v/>
      </c>
      <c r="O326" s="8">
        <f>IF(ISNA(MATCH(317,'Transfer Engine'!$C$2:$C$630,0)),"",INDEX('Compliance Database'!$O$2:$O$630,MATCH(317,'Transfer Engine'!$C$2:$C$630,0)))</f>
        <v/>
      </c>
    </row>
    <row r="327">
      <c r="A327">
        <f>IF(ISNA(MATCH(318,'Transfer Engine'!$C$2:$C$630,0)),"",INDEX('Compliance Database'!$A$2:$A$630,MATCH(318,'Transfer Engine'!$C$2:$C$630,0)))</f>
        <v/>
      </c>
      <c r="B327">
        <f>IF(ISNA(MATCH(318,'Transfer Engine'!$C$2:$C$630,0)),"",INDEX('Compliance Database'!$B$2:$B$630,MATCH(318,'Transfer Engine'!$C$2:$C$630,0)))</f>
        <v/>
      </c>
      <c r="C327">
        <f>IF(ISNA(MATCH(318,'Transfer Engine'!$C$2:$C$630,0)),"",INDEX('Compliance Database'!$C$2:$C$630,MATCH(318,'Transfer Engine'!$C$2:$C$630,0)))</f>
        <v/>
      </c>
      <c r="D327" s="8">
        <f>IF(ISNA(MATCH(318,'Transfer Engine'!$C$2:$C$630,0)),"",INDEX('Compliance Database'!$D$2:$D$630,MATCH(318,'Transfer Engine'!$C$2:$C$630,0)))</f>
        <v/>
      </c>
      <c r="E327">
        <f>IF(ISNA(MATCH(318,'Transfer Engine'!$C$2:$C$630,0)),"",INDEX('Compliance Database'!$E$2:$E$630,MATCH(318,'Transfer Engine'!$C$2:$C$630,0)))</f>
        <v/>
      </c>
      <c r="F327">
        <f>IF(ISNA(MATCH(318,'Transfer Engine'!$C$2:$C$630,0)),"",INDEX('Compliance Database'!$F$2:$F$630,MATCH(318,'Transfer Engine'!$C$2:$C$630,0)))</f>
        <v/>
      </c>
      <c r="G327">
        <f>IF(ISNA(MATCH(318,'Transfer Engine'!$C$2:$C$630,0)),"",INDEX('Compliance Database'!$G$2:$G$630,MATCH(318,'Transfer Engine'!$C$2:$C$630,0)))</f>
        <v/>
      </c>
      <c r="H327">
        <f>IF(ISNA(MATCH(318,'Transfer Engine'!$C$2:$C$630,0)),"",INDEX('Compliance Database'!$H$2:$H$630,MATCH(318,'Transfer Engine'!$C$2:$C$630,0)))</f>
        <v/>
      </c>
      <c r="I327" s="8">
        <f>IF(ISNA(MATCH(318,'Transfer Engine'!$C$2:$C$630,0)),"",INDEX('Compliance Database'!$I$2:$I$630,MATCH(318,'Transfer Engine'!$C$2:$C$630,0)))</f>
        <v/>
      </c>
      <c r="J327" s="8">
        <f>IF(ISNA(MATCH(318,'Transfer Engine'!$C$2:$C$630,0)),"",INDEX('Compliance Database'!$J$2:$J$630,MATCH(318,'Transfer Engine'!$C$2:$C$630,0)))</f>
        <v/>
      </c>
      <c r="K327">
        <f>IF(ISNA(MATCH(318,'Transfer Engine'!$C$2:$C$630,0)),"",INDEX('Compliance Database'!$K$2:$K$630,MATCH(318,'Transfer Engine'!$C$2:$C$630,0)))</f>
        <v/>
      </c>
      <c r="L327" s="8">
        <f>IF(ISNA(MATCH(318,'Transfer Engine'!$C$2:$C$630,0)),"",INDEX('Compliance Database'!$L$2:$L$630,MATCH(318,'Transfer Engine'!$C$2:$C$630,0)))</f>
        <v/>
      </c>
      <c r="M327" s="8">
        <f>IF(ISNA(MATCH(318,'Transfer Engine'!$C$2:$C$630,0)),"",INDEX('Compliance Database'!$M$2:$M$630,MATCH(318,'Transfer Engine'!$C$2:$C$630,0)))</f>
        <v/>
      </c>
      <c r="N327" s="8">
        <f>IF(ISNA(MATCH(318,'Transfer Engine'!$C$2:$C$630,0)),"",INDEX('Compliance Database'!$N$2:$N$630,MATCH(318,'Transfer Engine'!$C$2:$C$630,0)))</f>
        <v/>
      </c>
      <c r="O327" s="8">
        <f>IF(ISNA(MATCH(318,'Transfer Engine'!$C$2:$C$630,0)),"",INDEX('Compliance Database'!$O$2:$O$630,MATCH(318,'Transfer Engine'!$C$2:$C$630,0)))</f>
        <v/>
      </c>
    </row>
    <row r="328">
      <c r="A328">
        <f>IF(ISNA(MATCH(319,'Transfer Engine'!$C$2:$C$630,0)),"",INDEX('Compliance Database'!$A$2:$A$630,MATCH(319,'Transfer Engine'!$C$2:$C$630,0)))</f>
        <v/>
      </c>
      <c r="B328">
        <f>IF(ISNA(MATCH(319,'Transfer Engine'!$C$2:$C$630,0)),"",INDEX('Compliance Database'!$B$2:$B$630,MATCH(319,'Transfer Engine'!$C$2:$C$630,0)))</f>
        <v/>
      </c>
      <c r="C328">
        <f>IF(ISNA(MATCH(319,'Transfer Engine'!$C$2:$C$630,0)),"",INDEX('Compliance Database'!$C$2:$C$630,MATCH(319,'Transfer Engine'!$C$2:$C$630,0)))</f>
        <v/>
      </c>
      <c r="D328" s="8">
        <f>IF(ISNA(MATCH(319,'Transfer Engine'!$C$2:$C$630,0)),"",INDEX('Compliance Database'!$D$2:$D$630,MATCH(319,'Transfer Engine'!$C$2:$C$630,0)))</f>
        <v/>
      </c>
      <c r="E328">
        <f>IF(ISNA(MATCH(319,'Transfer Engine'!$C$2:$C$630,0)),"",INDEX('Compliance Database'!$E$2:$E$630,MATCH(319,'Transfer Engine'!$C$2:$C$630,0)))</f>
        <v/>
      </c>
      <c r="F328">
        <f>IF(ISNA(MATCH(319,'Transfer Engine'!$C$2:$C$630,0)),"",INDEX('Compliance Database'!$F$2:$F$630,MATCH(319,'Transfer Engine'!$C$2:$C$630,0)))</f>
        <v/>
      </c>
      <c r="G328">
        <f>IF(ISNA(MATCH(319,'Transfer Engine'!$C$2:$C$630,0)),"",INDEX('Compliance Database'!$G$2:$G$630,MATCH(319,'Transfer Engine'!$C$2:$C$630,0)))</f>
        <v/>
      </c>
      <c r="H328">
        <f>IF(ISNA(MATCH(319,'Transfer Engine'!$C$2:$C$630,0)),"",INDEX('Compliance Database'!$H$2:$H$630,MATCH(319,'Transfer Engine'!$C$2:$C$630,0)))</f>
        <v/>
      </c>
      <c r="I328" s="8">
        <f>IF(ISNA(MATCH(319,'Transfer Engine'!$C$2:$C$630,0)),"",INDEX('Compliance Database'!$I$2:$I$630,MATCH(319,'Transfer Engine'!$C$2:$C$630,0)))</f>
        <v/>
      </c>
      <c r="J328" s="8">
        <f>IF(ISNA(MATCH(319,'Transfer Engine'!$C$2:$C$630,0)),"",INDEX('Compliance Database'!$J$2:$J$630,MATCH(319,'Transfer Engine'!$C$2:$C$630,0)))</f>
        <v/>
      </c>
      <c r="K328">
        <f>IF(ISNA(MATCH(319,'Transfer Engine'!$C$2:$C$630,0)),"",INDEX('Compliance Database'!$K$2:$K$630,MATCH(319,'Transfer Engine'!$C$2:$C$630,0)))</f>
        <v/>
      </c>
      <c r="L328" s="8">
        <f>IF(ISNA(MATCH(319,'Transfer Engine'!$C$2:$C$630,0)),"",INDEX('Compliance Database'!$L$2:$L$630,MATCH(319,'Transfer Engine'!$C$2:$C$630,0)))</f>
        <v/>
      </c>
      <c r="M328" s="8">
        <f>IF(ISNA(MATCH(319,'Transfer Engine'!$C$2:$C$630,0)),"",INDEX('Compliance Database'!$M$2:$M$630,MATCH(319,'Transfer Engine'!$C$2:$C$630,0)))</f>
        <v/>
      </c>
      <c r="N328" s="8">
        <f>IF(ISNA(MATCH(319,'Transfer Engine'!$C$2:$C$630,0)),"",INDEX('Compliance Database'!$N$2:$N$630,MATCH(319,'Transfer Engine'!$C$2:$C$630,0)))</f>
        <v/>
      </c>
      <c r="O328" s="8">
        <f>IF(ISNA(MATCH(319,'Transfer Engine'!$C$2:$C$630,0)),"",INDEX('Compliance Database'!$O$2:$O$630,MATCH(319,'Transfer Engine'!$C$2:$C$630,0)))</f>
        <v/>
      </c>
    </row>
    <row r="329">
      <c r="A329">
        <f>IF(ISNA(MATCH(320,'Transfer Engine'!$C$2:$C$630,0)),"",INDEX('Compliance Database'!$A$2:$A$630,MATCH(320,'Transfer Engine'!$C$2:$C$630,0)))</f>
        <v/>
      </c>
      <c r="B329">
        <f>IF(ISNA(MATCH(320,'Transfer Engine'!$C$2:$C$630,0)),"",INDEX('Compliance Database'!$B$2:$B$630,MATCH(320,'Transfer Engine'!$C$2:$C$630,0)))</f>
        <v/>
      </c>
      <c r="C329">
        <f>IF(ISNA(MATCH(320,'Transfer Engine'!$C$2:$C$630,0)),"",INDEX('Compliance Database'!$C$2:$C$630,MATCH(320,'Transfer Engine'!$C$2:$C$630,0)))</f>
        <v/>
      </c>
      <c r="D329" s="8">
        <f>IF(ISNA(MATCH(320,'Transfer Engine'!$C$2:$C$630,0)),"",INDEX('Compliance Database'!$D$2:$D$630,MATCH(320,'Transfer Engine'!$C$2:$C$630,0)))</f>
        <v/>
      </c>
      <c r="E329">
        <f>IF(ISNA(MATCH(320,'Transfer Engine'!$C$2:$C$630,0)),"",INDEX('Compliance Database'!$E$2:$E$630,MATCH(320,'Transfer Engine'!$C$2:$C$630,0)))</f>
        <v/>
      </c>
      <c r="F329">
        <f>IF(ISNA(MATCH(320,'Transfer Engine'!$C$2:$C$630,0)),"",INDEX('Compliance Database'!$F$2:$F$630,MATCH(320,'Transfer Engine'!$C$2:$C$630,0)))</f>
        <v/>
      </c>
      <c r="G329">
        <f>IF(ISNA(MATCH(320,'Transfer Engine'!$C$2:$C$630,0)),"",INDEX('Compliance Database'!$G$2:$G$630,MATCH(320,'Transfer Engine'!$C$2:$C$630,0)))</f>
        <v/>
      </c>
      <c r="H329">
        <f>IF(ISNA(MATCH(320,'Transfer Engine'!$C$2:$C$630,0)),"",INDEX('Compliance Database'!$H$2:$H$630,MATCH(320,'Transfer Engine'!$C$2:$C$630,0)))</f>
        <v/>
      </c>
      <c r="I329" s="8">
        <f>IF(ISNA(MATCH(320,'Transfer Engine'!$C$2:$C$630,0)),"",INDEX('Compliance Database'!$I$2:$I$630,MATCH(320,'Transfer Engine'!$C$2:$C$630,0)))</f>
        <v/>
      </c>
      <c r="J329" s="8">
        <f>IF(ISNA(MATCH(320,'Transfer Engine'!$C$2:$C$630,0)),"",INDEX('Compliance Database'!$J$2:$J$630,MATCH(320,'Transfer Engine'!$C$2:$C$630,0)))</f>
        <v/>
      </c>
      <c r="K329">
        <f>IF(ISNA(MATCH(320,'Transfer Engine'!$C$2:$C$630,0)),"",INDEX('Compliance Database'!$K$2:$K$630,MATCH(320,'Transfer Engine'!$C$2:$C$630,0)))</f>
        <v/>
      </c>
      <c r="L329" s="8">
        <f>IF(ISNA(MATCH(320,'Transfer Engine'!$C$2:$C$630,0)),"",INDEX('Compliance Database'!$L$2:$L$630,MATCH(320,'Transfer Engine'!$C$2:$C$630,0)))</f>
        <v/>
      </c>
      <c r="M329" s="8">
        <f>IF(ISNA(MATCH(320,'Transfer Engine'!$C$2:$C$630,0)),"",INDEX('Compliance Database'!$M$2:$M$630,MATCH(320,'Transfer Engine'!$C$2:$C$630,0)))</f>
        <v/>
      </c>
      <c r="N329" s="8">
        <f>IF(ISNA(MATCH(320,'Transfer Engine'!$C$2:$C$630,0)),"",INDEX('Compliance Database'!$N$2:$N$630,MATCH(320,'Transfer Engine'!$C$2:$C$630,0)))</f>
        <v/>
      </c>
      <c r="O329" s="8">
        <f>IF(ISNA(MATCH(320,'Transfer Engine'!$C$2:$C$630,0)),"",INDEX('Compliance Database'!$O$2:$O$630,MATCH(320,'Transfer Engine'!$C$2:$C$630,0)))</f>
        <v/>
      </c>
    </row>
    <row r="330">
      <c r="A330">
        <f>IF(ISNA(MATCH(321,'Transfer Engine'!$C$2:$C$630,0)),"",INDEX('Compliance Database'!$A$2:$A$630,MATCH(321,'Transfer Engine'!$C$2:$C$630,0)))</f>
        <v/>
      </c>
      <c r="B330">
        <f>IF(ISNA(MATCH(321,'Transfer Engine'!$C$2:$C$630,0)),"",INDEX('Compliance Database'!$B$2:$B$630,MATCH(321,'Transfer Engine'!$C$2:$C$630,0)))</f>
        <v/>
      </c>
      <c r="C330">
        <f>IF(ISNA(MATCH(321,'Transfer Engine'!$C$2:$C$630,0)),"",INDEX('Compliance Database'!$C$2:$C$630,MATCH(321,'Transfer Engine'!$C$2:$C$630,0)))</f>
        <v/>
      </c>
      <c r="D330" s="8">
        <f>IF(ISNA(MATCH(321,'Transfer Engine'!$C$2:$C$630,0)),"",INDEX('Compliance Database'!$D$2:$D$630,MATCH(321,'Transfer Engine'!$C$2:$C$630,0)))</f>
        <v/>
      </c>
      <c r="E330">
        <f>IF(ISNA(MATCH(321,'Transfer Engine'!$C$2:$C$630,0)),"",INDEX('Compliance Database'!$E$2:$E$630,MATCH(321,'Transfer Engine'!$C$2:$C$630,0)))</f>
        <v/>
      </c>
      <c r="F330">
        <f>IF(ISNA(MATCH(321,'Transfer Engine'!$C$2:$C$630,0)),"",INDEX('Compliance Database'!$F$2:$F$630,MATCH(321,'Transfer Engine'!$C$2:$C$630,0)))</f>
        <v/>
      </c>
      <c r="G330">
        <f>IF(ISNA(MATCH(321,'Transfer Engine'!$C$2:$C$630,0)),"",INDEX('Compliance Database'!$G$2:$G$630,MATCH(321,'Transfer Engine'!$C$2:$C$630,0)))</f>
        <v/>
      </c>
      <c r="H330">
        <f>IF(ISNA(MATCH(321,'Transfer Engine'!$C$2:$C$630,0)),"",INDEX('Compliance Database'!$H$2:$H$630,MATCH(321,'Transfer Engine'!$C$2:$C$630,0)))</f>
        <v/>
      </c>
      <c r="I330" s="8">
        <f>IF(ISNA(MATCH(321,'Transfer Engine'!$C$2:$C$630,0)),"",INDEX('Compliance Database'!$I$2:$I$630,MATCH(321,'Transfer Engine'!$C$2:$C$630,0)))</f>
        <v/>
      </c>
      <c r="J330" s="8">
        <f>IF(ISNA(MATCH(321,'Transfer Engine'!$C$2:$C$630,0)),"",INDEX('Compliance Database'!$J$2:$J$630,MATCH(321,'Transfer Engine'!$C$2:$C$630,0)))</f>
        <v/>
      </c>
      <c r="K330">
        <f>IF(ISNA(MATCH(321,'Transfer Engine'!$C$2:$C$630,0)),"",INDEX('Compliance Database'!$K$2:$K$630,MATCH(321,'Transfer Engine'!$C$2:$C$630,0)))</f>
        <v/>
      </c>
      <c r="L330" s="8">
        <f>IF(ISNA(MATCH(321,'Transfer Engine'!$C$2:$C$630,0)),"",INDEX('Compliance Database'!$L$2:$L$630,MATCH(321,'Transfer Engine'!$C$2:$C$630,0)))</f>
        <v/>
      </c>
      <c r="M330" s="8">
        <f>IF(ISNA(MATCH(321,'Transfer Engine'!$C$2:$C$630,0)),"",INDEX('Compliance Database'!$M$2:$M$630,MATCH(321,'Transfer Engine'!$C$2:$C$630,0)))</f>
        <v/>
      </c>
      <c r="N330" s="8">
        <f>IF(ISNA(MATCH(321,'Transfer Engine'!$C$2:$C$630,0)),"",INDEX('Compliance Database'!$N$2:$N$630,MATCH(321,'Transfer Engine'!$C$2:$C$630,0)))</f>
        <v/>
      </c>
      <c r="O330" s="8">
        <f>IF(ISNA(MATCH(321,'Transfer Engine'!$C$2:$C$630,0)),"",INDEX('Compliance Database'!$O$2:$O$630,MATCH(321,'Transfer Engine'!$C$2:$C$630,0)))</f>
        <v/>
      </c>
    </row>
    <row r="331">
      <c r="A331">
        <f>IF(ISNA(MATCH(322,'Transfer Engine'!$C$2:$C$630,0)),"",INDEX('Compliance Database'!$A$2:$A$630,MATCH(322,'Transfer Engine'!$C$2:$C$630,0)))</f>
        <v/>
      </c>
      <c r="B331">
        <f>IF(ISNA(MATCH(322,'Transfer Engine'!$C$2:$C$630,0)),"",INDEX('Compliance Database'!$B$2:$B$630,MATCH(322,'Transfer Engine'!$C$2:$C$630,0)))</f>
        <v/>
      </c>
      <c r="C331">
        <f>IF(ISNA(MATCH(322,'Transfer Engine'!$C$2:$C$630,0)),"",INDEX('Compliance Database'!$C$2:$C$630,MATCH(322,'Transfer Engine'!$C$2:$C$630,0)))</f>
        <v/>
      </c>
      <c r="D331" s="8">
        <f>IF(ISNA(MATCH(322,'Transfer Engine'!$C$2:$C$630,0)),"",INDEX('Compliance Database'!$D$2:$D$630,MATCH(322,'Transfer Engine'!$C$2:$C$630,0)))</f>
        <v/>
      </c>
      <c r="E331">
        <f>IF(ISNA(MATCH(322,'Transfer Engine'!$C$2:$C$630,0)),"",INDEX('Compliance Database'!$E$2:$E$630,MATCH(322,'Transfer Engine'!$C$2:$C$630,0)))</f>
        <v/>
      </c>
      <c r="F331">
        <f>IF(ISNA(MATCH(322,'Transfer Engine'!$C$2:$C$630,0)),"",INDEX('Compliance Database'!$F$2:$F$630,MATCH(322,'Transfer Engine'!$C$2:$C$630,0)))</f>
        <v/>
      </c>
      <c r="G331">
        <f>IF(ISNA(MATCH(322,'Transfer Engine'!$C$2:$C$630,0)),"",INDEX('Compliance Database'!$G$2:$G$630,MATCH(322,'Transfer Engine'!$C$2:$C$630,0)))</f>
        <v/>
      </c>
      <c r="H331">
        <f>IF(ISNA(MATCH(322,'Transfer Engine'!$C$2:$C$630,0)),"",INDEX('Compliance Database'!$H$2:$H$630,MATCH(322,'Transfer Engine'!$C$2:$C$630,0)))</f>
        <v/>
      </c>
      <c r="I331" s="8">
        <f>IF(ISNA(MATCH(322,'Transfer Engine'!$C$2:$C$630,0)),"",INDEX('Compliance Database'!$I$2:$I$630,MATCH(322,'Transfer Engine'!$C$2:$C$630,0)))</f>
        <v/>
      </c>
      <c r="J331" s="8">
        <f>IF(ISNA(MATCH(322,'Transfer Engine'!$C$2:$C$630,0)),"",INDEX('Compliance Database'!$J$2:$J$630,MATCH(322,'Transfer Engine'!$C$2:$C$630,0)))</f>
        <v/>
      </c>
      <c r="K331">
        <f>IF(ISNA(MATCH(322,'Transfer Engine'!$C$2:$C$630,0)),"",INDEX('Compliance Database'!$K$2:$K$630,MATCH(322,'Transfer Engine'!$C$2:$C$630,0)))</f>
        <v/>
      </c>
      <c r="L331" s="8">
        <f>IF(ISNA(MATCH(322,'Transfer Engine'!$C$2:$C$630,0)),"",INDEX('Compliance Database'!$L$2:$L$630,MATCH(322,'Transfer Engine'!$C$2:$C$630,0)))</f>
        <v/>
      </c>
      <c r="M331" s="8">
        <f>IF(ISNA(MATCH(322,'Transfer Engine'!$C$2:$C$630,0)),"",INDEX('Compliance Database'!$M$2:$M$630,MATCH(322,'Transfer Engine'!$C$2:$C$630,0)))</f>
        <v/>
      </c>
      <c r="N331" s="8">
        <f>IF(ISNA(MATCH(322,'Transfer Engine'!$C$2:$C$630,0)),"",INDEX('Compliance Database'!$N$2:$N$630,MATCH(322,'Transfer Engine'!$C$2:$C$630,0)))</f>
        <v/>
      </c>
      <c r="O331" s="8">
        <f>IF(ISNA(MATCH(322,'Transfer Engine'!$C$2:$C$630,0)),"",INDEX('Compliance Database'!$O$2:$O$630,MATCH(322,'Transfer Engine'!$C$2:$C$630,0)))</f>
        <v/>
      </c>
    </row>
    <row r="332">
      <c r="A332">
        <f>IF(ISNA(MATCH(323,'Transfer Engine'!$C$2:$C$630,0)),"",INDEX('Compliance Database'!$A$2:$A$630,MATCH(323,'Transfer Engine'!$C$2:$C$630,0)))</f>
        <v/>
      </c>
      <c r="B332">
        <f>IF(ISNA(MATCH(323,'Transfer Engine'!$C$2:$C$630,0)),"",INDEX('Compliance Database'!$B$2:$B$630,MATCH(323,'Transfer Engine'!$C$2:$C$630,0)))</f>
        <v/>
      </c>
      <c r="C332">
        <f>IF(ISNA(MATCH(323,'Transfer Engine'!$C$2:$C$630,0)),"",INDEX('Compliance Database'!$C$2:$C$630,MATCH(323,'Transfer Engine'!$C$2:$C$630,0)))</f>
        <v/>
      </c>
      <c r="D332" s="8">
        <f>IF(ISNA(MATCH(323,'Transfer Engine'!$C$2:$C$630,0)),"",INDEX('Compliance Database'!$D$2:$D$630,MATCH(323,'Transfer Engine'!$C$2:$C$630,0)))</f>
        <v/>
      </c>
      <c r="E332">
        <f>IF(ISNA(MATCH(323,'Transfer Engine'!$C$2:$C$630,0)),"",INDEX('Compliance Database'!$E$2:$E$630,MATCH(323,'Transfer Engine'!$C$2:$C$630,0)))</f>
        <v/>
      </c>
      <c r="F332">
        <f>IF(ISNA(MATCH(323,'Transfer Engine'!$C$2:$C$630,0)),"",INDEX('Compliance Database'!$F$2:$F$630,MATCH(323,'Transfer Engine'!$C$2:$C$630,0)))</f>
        <v/>
      </c>
      <c r="G332">
        <f>IF(ISNA(MATCH(323,'Transfer Engine'!$C$2:$C$630,0)),"",INDEX('Compliance Database'!$G$2:$G$630,MATCH(323,'Transfer Engine'!$C$2:$C$630,0)))</f>
        <v/>
      </c>
      <c r="H332">
        <f>IF(ISNA(MATCH(323,'Transfer Engine'!$C$2:$C$630,0)),"",INDEX('Compliance Database'!$H$2:$H$630,MATCH(323,'Transfer Engine'!$C$2:$C$630,0)))</f>
        <v/>
      </c>
      <c r="I332" s="8">
        <f>IF(ISNA(MATCH(323,'Transfer Engine'!$C$2:$C$630,0)),"",INDEX('Compliance Database'!$I$2:$I$630,MATCH(323,'Transfer Engine'!$C$2:$C$630,0)))</f>
        <v/>
      </c>
      <c r="J332" s="8">
        <f>IF(ISNA(MATCH(323,'Transfer Engine'!$C$2:$C$630,0)),"",INDEX('Compliance Database'!$J$2:$J$630,MATCH(323,'Transfer Engine'!$C$2:$C$630,0)))</f>
        <v/>
      </c>
      <c r="K332">
        <f>IF(ISNA(MATCH(323,'Transfer Engine'!$C$2:$C$630,0)),"",INDEX('Compliance Database'!$K$2:$K$630,MATCH(323,'Transfer Engine'!$C$2:$C$630,0)))</f>
        <v/>
      </c>
      <c r="L332" s="8">
        <f>IF(ISNA(MATCH(323,'Transfer Engine'!$C$2:$C$630,0)),"",INDEX('Compliance Database'!$L$2:$L$630,MATCH(323,'Transfer Engine'!$C$2:$C$630,0)))</f>
        <v/>
      </c>
      <c r="M332" s="8">
        <f>IF(ISNA(MATCH(323,'Transfer Engine'!$C$2:$C$630,0)),"",INDEX('Compliance Database'!$M$2:$M$630,MATCH(323,'Transfer Engine'!$C$2:$C$630,0)))</f>
        <v/>
      </c>
      <c r="N332" s="8">
        <f>IF(ISNA(MATCH(323,'Transfer Engine'!$C$2:$C$630,0)),"",INDEX('Compliance Database'!$N$2:$N$630,MATCH(323,'Transfer Engine'!$C$2:$C$630,0)))</f>
        <v/>
      </c>
      <c r="O332" s="8">
        <f>IF(ISNA(MATCH(323,'Transfer Engine'!$C$2:$C$630,0)),"",INDEX('Compliance Database'!$O$2:$O$630,MATCH(323,'Transfer Engine'!$C$2:$C$630,0)))</f>
        <v/>
      </c>
    </row>
    <row r="333">
      <c r="A333">
        <f>IF(ISNA(MATCH(324,'Transfer Engine'!$C$2:$C$630,0)),"",INDEX('Compliance Database'!$A$2:$A$630,MATCH(324,'Transfer Engine'!$C$2:$C$630,0)))</f>
        <v/>
      </c>
      <c r="B333">
        <f>IF(ISNA(MATCH(324,'Transfer Engine'!$C$2:$C$630,0)),"",INDEX('Compliance Database'!$B$2:$B$630,MATCH(324,'Transfer Engine'!$C$2:$C$630,0)))</f>
        <v/>
      </c>
      <c r="C333">
        <f>IF(ISNA(MATCH(324,'Transfer Engine'!$C$2:$C$630,0)),"",INDEX('Compliance Database'!$C$2:$C$630,MATCH(324,'Transfer Engine'!$C$2:$C$630,0)))</f>
        <v/>
      </c>
      <c r="D333" s="8">
        <f>IF(ISNA(MATCH(324,'Transfer Engine'!$C$2:$C$630,0)),"",INDEX('Compliance Database'!$D$2:$D$630,MATCH(324,'Transfer Engine'!$C$2:$C$630,0)))</f>
        <v/>
      </c>
      <c r="E333">
        <f>IF(ISNA(MATCH(324,'Transfer Engine'!$C$2:$C$630,0)),"",INDEX('Compliance Database'!$E$2:$E$630,MATCH(324,'Transfer Engine'!$C$2:$C$630,0)))</f>
        <v/>
      </c>
      <c r="F333">
        <f>IF(ISNA(MATCH(324,'Transfer Engine'!$C$2:$C$630,0)),"",INDEX('Compliance Database'!$F$2:$F$630,MATCH(324,'Transfer Engine'!$C$2:$C$630,0)))</f>
        <v/>
      </c>
      <c r="G333">
        <f>IF(ISNA(MATCH(324,'Transfer Engine'!$C$2:$C$630,0)),"",INDEX('Compliance Database'!$G$2:$G$630,MATCH(324,'Transfer Engine'!$C$2:$C$630,0)))</f>
        <v/>
      </c>
      <c r="H333">
        <f>IF(ISNA(MATCH(324,'Transfer Engine'!$C$2:$C$630,0)),"",INDEX('Compliance Database'!$H$2:$H$630,MATCH(324,'Transfer Engine'!$C$2:$C$630,0)))</f>
        <v/>
      </c>
      <c r="I333" s="8">
        <f>IF(ISNA(MATCH(324,'Transfer Engine'!$C$2:$C$630,0)),"",INDEX('Compliance Database'!$I$2:$I$630,MATCH(324,'Transfer Engine'!$C$2:$C$630,0)))</f>
        <v/>
      </c>
      <c r="J333" s="8">
        <f>IF(ISNA(MATCH(324,'Transfer Engine'!$C$2:$C$630,0)),"",INDEX('Compliance Database'!$J$2:$J$630,MATCH(324,'Transfer Engine'!$C$2:$C$630,0)))</f>
        <v/>
      </c>
      <c r="K333">
        <f>IF(ISNA(MATCH(324,'Transfer Engine'!$C$2:$C$630,0)),"",INDEX('Compliance Database'!$K$2:$K$630,MATCH(324,'Transfer Engine'!$C$2:$C$630,0)))</f>
        <v/>
      </c>
      <c r="L333" s="8">
        <f>IF(ISNA(MATCH(324,'Transfer Engine'!$C$2:$C$630,0)),"",INDEX('Compliance Database'!$L$2:$L$630,MATCH(324,'Transfer Engine'!$C$2:$C$630,0)))</f>
        <v/>
      </c>
      <c r="M333" s="8">
        <f>IF(ISNA(MATCH(324,'Transfer Engine'!$C$2:$C$630,0)),"",INDEX('Compliance Database'!$M$2:$M$630,MATCH(324,'Transfer Engine'!$C$2:$C$630,0)))</f>
        <v/>
      </c>
      <c r="N333" s="8">
        <f>IF(ISNA(MATCH(324,'Transfer Engine'!$C$2:$C$630,0)),"",INDEX('Compliance Database'!$N$2:$N$630,MATCH(324,'Transfer Engine'!$C$2:$C$630,0)))</f>
        <v/>
      </c>
      <c r="O333" s="8">
        <f>IF(ISNA(MATCH(324,'Transfer Engine'!$C$2:$C$630,0)),"",INDEX('Compliance Database'!$O$2:$O$630,MATCH(324,'Transfer Engine'!$C$2:$C$630,0)))</f>
        <v/>
      </c>
    </row>
    <row r="334">
      <c r="A334">
        <f>IF(ISNA(MATCH(325,'Transfer Engine'!$C$2:$C$630,0)),"",INDEX('Compliance Database'!$A$2:$A$630,MATCH(325,'Transfer Engine'!$C$2:$C$630,0)))</f>
        <v/>
      </c>
      <c r="B334">
        <f>IF(ISNA(MATCH(325,'Transfer Engine'!$C$2:$C$630,0)),"",INDEX('Compliance Database'!$B$2:$B$630,MATCH(325,'Transfer Engine'!$C$2:$C$630,0)))</f>
        <v/>
      </c>
      <c r="C334">
        <f>IF(ISNA(MATCH(325,'Transfer Engine'!$C$2:$C$630,0)),"",INDEX('Compliance Database'!$C$2:$C$630,MATCH(325,'Transfer Engine'!$C$2:$C$630,0)))</f>
        <v/>
      </c>
      <c r="D334" s="8">
        <f>IF(ISNA(MATCH(325,'Transfer Engine'!$C$2:$C$630,0)),"",INDEX('Compliance Database'!$D$2:$D$630,MATCH(325,'Transfer Engine'!$C$2:$C$630,0)))</f>
        <v/>
      </c>
      <c r="E334">
        <f>IF(ISNA(MATCH(325,'Transfer Engine'!$C$2:$C$630,0)),"",INDEX('Compliance Database'!$E$2:$E$630,MATCH(325,'Transfer Engine'!$C$2:$C$630,0)))</f>
        <v/>
      </c>
      <c r="F334">
        <f>IF(ISNA(MATCH(325,'Transfer Engine'!$C$2:$C$630,0)),"",INDEX('Compliance Database'!$F$2:$F$630,MATCH(325,'Transfer Engine'!$C$2:$C$630,0)))</f>
        <v/>
      </c>
      <c r="G334">
        <f>IF(ISNA(MATCH(325,'Transfer Engine'!$C$2:$C$630,0)),"",INDEX('Compliance Database'!$G$2:$G$630,MATCH(325,'Transfer Engine'!$C$2:$C$630,0)))</f>
        <v/>
      </c>
      <c r="H334">
        <f>IF(ISNA(MATCH(325,'Transfer Engine'!$C$2:$C$630,0)),"",INDEX('Compliance Database'!$H$2:$H$630,MATCH(325,'Transfer Engine'!$C$2:$C$630,0)))</f>
        <v/>
      </c>
      <c r="I334" s="8">
        <f>IF(ISNA(MATCH(325,'Transfer Engine'!$C$2:$C$630,0)),"",INDEX('Compliance Database'!$I$2:$I$630,MATCH(325,'Transfer Engine'!$C$2:$C$630,0)))</f>
        <v/>
      </c>
      <c r="J334" s="8">
        <f>IF(ISNA(MATCH(325,'Transfer Engine'!$C$2:$C$630,0)),"",INDEX('Compliance Database'!$J$2:$J$630,MATCH(325,'Transfer Engine'!$C$2:$C$630,0)))</f>
        <v/>
      </c>
      <c r="K334">
        <f>IF(ISNA(MATCH(325,'Transfer Engine'!$C$2:$C$630,0)),"",INDEX('Compliance Database'!$K$2:$K$630,MATCH(325,'Transfer Engine'!$C$2:$C$630,0)))</f>
        <v/>
      </c>
      <c r="L334" s="8">
        <f>IF(ISNA(MATCH(325,'Transfer Engine'!$C$2:$C$630,0)),"",INDEX('Compliance Database'!$L$2:$L$630,MATCH(325,'Transfer Engine'!$C$2:$C$630,0)))</f>
        <v/>
      </c>
      <c r="M334" s="8">
        <f>IF(ISNA(MATCH(325,'Transfer Engine'!$C$2:$C$630,0)),"",INDEX('Compliance Database'!$M$2:$M$630,MATCH(325,'Transfer Engine'!$C$2:$C$630,0)))</f>
        <v/>
      </c>
      <c r="N334" s="8">
        <f>IF(ISNA(MATCH(325,'Transfer Engine'!$C$2:$C$630,0)),"",INDEX('Compliance Database'!$N$2:$N$630,MATCH(325,'Transfer Engine'!$C$2:$C$630,0)))</f>
        <v/>
      </c>
      <c r="O334" s="8">
        <f>IF(ISNA(MATCH(325,'Transfer Engine'!$C$2:$C$630,0)),"",INDEX('Compliance Database'!$O$2:$O$630,MATCH(325,'Transfer Engine'!$C$2:$C$630,0)))</f>
        <v/>
      </c>
    </row>
    <row r="335">
      <c r="A335">
        <f>IF(ISNA(MATCH(326,'Transfer Engine'!$C$2:$C$630,0)),"",INDEX('Compliance Database'!$A$2:$A$630,MATCH(326,'Transfer Engine'!$C$2:$C$630,0)))</f>
        <v/>
      </c>
      <c r="B335">
        <f>IF(ISNA(MATCH(326,'Transfer Engine'!$C$2:$C$630,0)),"",INDEX('Compliance Database'!$B$2:$B$630,MATCH(326,'Transfer Engine'!$C$2:$C$630,0)))</f>
        <v/>
      </c>
      <c r="C335">
        <f>IF(ISNA(MATCH(326,'Transfer Engine'!$C$2:$C$630,0)),"",INDEX('Compliance Database'!$C$2:$C$630,MATCH(326,'Transfer Engine'!$C$2:$C$630,0)))</f>
        <v/>
      </c>
      <c r="D335" s="8">
        <f>IF(ISNA(MATCH(326,'Transfer Engine'!$C$2:$C$630,0)),"",INDEX('Compliance Database'!$D$2:$D$630,MATCH(326,'Transfer Engine'!$C$2:$C$630,0)))</f>
        <v/>
      </c>
      <c r="E335">
        <f>IF(ISNA(MATCH(326,'Transfer Engine'!$C$2:$C$630,0)),"",INDEX('Compliance Database'!$E$2:$E$630,MATCH(326,'Transfer Engine'!$C$2:$C$630,0)))</f>
        <v/>
      </c>
      <c r="F335">
        <f>IF(ISNA(MATCH(326,'Transfer Engine'!$C$2:$C$630,0)),"",INDEX('Compliance Database'!$F$2:$F$630,MATCH(326,'Transfer Engine'!$C$2:$C$630,0)))</f>
        <v/>
      </c>
      <c r="G335">
        <f>IF(ISNA(MATCH(326,'Transfer Engine'!$C$2:$C$630,0)),"",INDEX('Compliance Database'!$G$2:$G$630,MATCH(326,'Transfer Engine'!$C$2:$C$630,0)))</f>
        <v/>
      </c>
      <c r="H335">
        <f>IF(ISNA(MATCH(326,'Transfer Engine'!$C$2:$C$630,0)),"",INDEX('Compliance Database'!$H$2:$H$630,MATCH(326,'Transfer Engine'!$C$2:$C$630,0)))</f>
        <v/>
      </c>
      <c r="I335" s="8">
        <f>IF(ISNA(MATCH(326,'Transfer Engine'!$C$2:$C$630,0)),"",INDEX('Compliance Database'!$I$2:$I$630,MATCH(326,'Transfer Engine'!$C$2:$C$630,0)))</f>
        <v/>
      </c>
      <c r="J335" s="8">
        <f>IF(ISNA(MATCH(326,'Transfer Engine'!$C$2:$C$630,0)),"",INDEX('Compliance Database'!$J$2:$J$630,MATCH(326,'Transfer Engine'!$C$2:$C$630,0)))</f>
        <v/>
      </c>
      <c r="K335">
        <f>IF(ISNA(MATCH(326,'Transfer Engine'!$C$2:$C$630,0)),"",INDEX('Compliance Database'!$K$2:$K$630,MATCH(326,'Transfer Engine'!$C$2:$C$630,0)))</f>
        <v/>
      </c>
      <c r="L335" s="8">
        <f>IF(ISNA(MATCH(326,'Transfer Engine'!$C$2:$C$630,0)),"",INDEX('Compliance Database'!$L$2:$L$630,MATCH(326,'Transfer Engine'!$C$2:$C$630,0)))</f>
        <v/>
      </c>
      <c r="M335" s="8">
        <f>IF(ISNA(MATCH(326,'Transfer Engine'!$C$2:$C$630,0)),"",INDEX('Compliance Database'!$M$2:$M$630,MATCH(326,'Transfer Engine'!$C$2:$C$630,0)))</f>
        <v/>
      </c>
      <c r="N335" s="8">
        <f>IF(ISNA(MATCH(326,'Transfer Engine'!$C$2:$C$630,0)),"",INDEX('Compliance Database'!$N$2:$N$630,MATCH(326,'Transfer Engine'!$C$2:$C$630,0)))</f>
        <v/>
      </c>
      <c r="O335" s="8">
        <f>IF(ISNA(MATCH(326,'Transfer Engine'!$C$2:$C$630,0)),"",INDEX('Compliance Database'!$O$2:$O$630,MATCH(326,'Transfer Engine'!$C$2:$C$630,0)))</f>
        <v/>
      </c>
    </row>
    <row r="336">
      <c r="A336">
        <f>IF(ISNA(MATCH(327,'Transfer Engine'!$C$2:$C$630,0)),"",INDEX('Compliance Database'!$A$2:$A$630,MATCH(327,'Transfer Engine'!$C$2:$C$630,0)))</f>
        <v/>
      </c>
      <c r="B336">
        <f>IF(ISNA(MATCH(327,'Transfer Engine'!$C$2:$C$630,0)),"",INDEX('Compliance Database'!$B$2:$B$630,MATCH(327,'Transfer Engine'!$C$2:$C$630,0)))</f>
        <v/>
      </c>
      <c r="C336">
        <f>IF(ISNA(MATCH(327,'Transfer Engine'!$C$2:$C$630,0)),"",INDEX('Compliance Database'!$C$2:$C$630,MATCH(327,'Transfer Engine'!$C$2:$C$630,0)))</f>
        <v/>
      </c>
      <c r="D336" s="8">
        <f>IF(ISNA(MATCH(327,'Transfer Engine'!$C$2:$C$630,0)),"",INDEX('Compliance Database'!$D$2:$D$630,MATCH(327,'Transfer Engine'!$C$2:$C$630,0)))</f>
        <v/>
      </c>
      <c r="E336">
        <f>IF(ISNA(MATCH(327,'Transfer Engine'!$C$2:$C$630,0)),"",INDEX('Compliance Database'!$E$2:$E$630,MATCH(327,'Transfer Engine'!$C$2:$C$630,0)))</f>
        <v/>
      </c>
      <c r="F336">
        <f>IF(ISNA(MATCH(327,'Transfer Engine'!$C$2:$C$630,0)),"",INDEX('Compliance Database'!$F$2:$F$630,MATCH(327,'Transfer Engine'!$C$2:$C$630,0)))</f>
        <v/>
      </c>
      <c r="G336">
        <f>IF(ISNA(MATCH(327,'Transfer Engine'!$C$2:$C$630,0)),"",INDEX('Compliance Database'!$G$2:$G$630,MATCH(327,'Transfer Engine'!$C$2:$C$630,0)))</f>
        <v/>
      </c>
      <c r="H336">
        <f>IF(ISNA(MATCH(327,'Transfer Engine'!$C$2:$C$630,0)),"",INDEX('Compliance Database'!$H$2:$H$630,MATCH(327,'Transfer Engine'!$C$2:$C$630,0)))</f>
        <v/>
      </c>
      <c r="I336" s="8">
        <f>IF(ISNA(MATCH(327,'Transfer Engine'!$C$2:$C$630,0)),"",INDEX('Compliance Database'!$I$2:$I$630,MATCH(327,'Transfer Engine'!$C$2:$C$630,0)))</f>
        <v/>
      </c>
      <c r="J336" s="8">
        <f>IF(ISNA(MATCH(327,'Transfer Engine'!$C$2:$C$630,0)),"",INDEX('Compliance Database'!$J$2:$J$630,MATCH(327,'Transfer Engine'!$C$2:$C$630,0)))</f>
        <v/>
      </c>
      <c r="K336">
        <f>IF(ISNA(MATCH(327,'Transfer Engine'!$C$2:$C$630,0)),"",INDEX('Compliance Database'!$K$2:$K$630,MATCH(327,'Transfer Engine'!$C$2:$C$630,0)))</f>
        <v/>
      </c>
      <c r="L336" s="8">
        <f>IF(ISNA(MATCH(327,'Transfer Engine'!$C$2:$C$630,0)),"",INDEX('Compliance Database'!$L$2:$L$630,MATCH(327,'Transfer Engine'!$C$2:$C$630,0)))</f>
        <v/>
      </c>
      <c r="M336" s="8">
        <f>IF(ISNA(MATCH(327,'Transfer Engine'!$C$2:$C$630,0)),"",INDEX('Compliance Database'!$M$2:$M$630,MATCH(327,'Transfer Engine'!$C$2:$C$630,0)))</f>
        <v/>
      </c>
      <c r="N336" s="8">
        <f>IF(ISNA(MATCH(327,'Transfer Engine'!$C$2:$C$630,0)),"",INDEX('Compliance Database'!$N$2:$N$630,MATCH(327,'Transfer Engine'!$C$2:$C$630,0)))</f>
        <v/>
      </c>
      <c r="O336" s="8">
        <f>IF(ISNA(MATCH(327,'Transfer Engine'!$C$2:$C$630,0)),"",INDEX('Compliance Database'!$O$2:$O$630,MATCH(327,'Transfer Engine'!$C$2:$C$630,0)))</f>
        <v/>
      </c>
    </row>
    <row r="337">
      <c r="A337">
        <f>IF(ISNA(MATCH(328,'Transfer Engine'!$C$2:$C$630,0)),"",INDEX('Compliance Database'!$A$2:$A$630,MATCH(328,'Transfer Engine'!$C$2:$C$630,0)))</f>
        <v/>
      </c>
      <c r="B337">
        <f>IF(ISNA(MATCH(328,'Transfer Engine'!$C$2:$C$630,0)),"",INDEX('Compliance Database'!$B$2:$B$630,MATCH(328,'Transfer Engine'!$C$2:$C$630,0)))</f>
        <v/>
      </c>
      <c r="C337">
        <f>IF(ISNA(MATCH(328,'Transfer Engine'!$C$2:$C$630,0)),"",INDEX('Compliance Database'!$C$2:$C$630,MATCH(328,'Transfer Engine'!$C$2:$C$630,0)))</f>
        <v/>
      </c>
      <c r="D337" s="8">
        <f>IF(ISNA(MATCH(328,'Transfer Engine'!$C$2:$C$630,0)),"",INDEX('Compliance Database'!$D$2:$D$630,MATCH(328,'Transfer Engine'!$C$2:$C$630,0)))</f>
        <v/>
      </c>
      <c r="E337">
        <f>IF(ISNA(MATCH(328,'Transfer Engine'!$C$2:$C$630,0)),"",INDEX('Compliance Database'!$E$2:$E$630,MATCH(328,'Transfer Engine'!$C$2:$C$630,0)))</f>
        <v/>
      </c>
      <c r="F337">
        <f>IF(ISNA(MATCH(328,'Transfer Engine'!$C$2:$C$630,0)),"",INDEX('Compliance Database'!$F$2:$F$630,MATCH(328,'Transfer Engine'!$C$2:$C$630,0)))</f>
        <v/>
      </c>
      <c r="G337">
        <f>IF(ISNA(MATCH(328,'Transfer Engine'!$C$2:$C$630,0)),"",INDEX('Compliance Database'!$G$2:$G$630,MATCH(328,'Transfer Engine'!$C$2:$C$630,0)))</f>
        <v/>
      </c>
      <c r="H337">
        <f>IF(ISNA(MATCH(328,'Transfer Engine'!$C$2:$C$630,0)),"",INDEX('Compliance Database'!$H$2:$H$630,MATCH(328,'Transfer Engine'!$C$2:$C$630,0)))</f>
        <v/>
      </c>
      <c r="I337" s="8">
        <f>IF(ISNA(MATCH(328,'Transfer Engine'!$C$2:$C$630,0)),"",INDEX('Compliance Database'!$I$2:$I$630,MATCH(328,'Transfer Engine'!$C$2:$C$630,0)))</f>
        <v/>
      </c>
      <c r="J337" s="8">
        <f>IF(ISNA(MATCH(328,'Transfer Engine'!$C$2:$C$630,0)),"",INDEX('Compliance Database'!$J$2:$J$630,MATCH(328,'Transfer Engine'!$C$2:$C$630,0)))</f>
        <v/>
      </c>
      <c r="K337">
        <f>IF(ISNA(MATCH(328,'Transfer Engine'!$C$2:$C$630,0)),"",INDEX('Compliance Database'!$K$2:$K$630,MATCH(328,'Transfer Engine'!$C$2:$C$630,0)))</f>
        <v/>
      </c>
      <c r="L337" s="8">
        <f>IF(ISNA(MATCH(328,'Transfer Engine'!$C$2:$C$630,0)),"",INDEX('Compliance Database'!$L$2:$L$630,MATCH(328,'Transfer Engine'!$C$2:$C$630,0)))</f>
        <v/>
      </c>
      <c r="M337" s="8">
        <f>IF(ISNA(MATCH(328,'Transfer Engine'!$C$2:$C$630,0)),"",INDEX('Compliance Database'!$M$2:$M$630,MATCH(328,'Transfer Engine'!$C$2:$C$630,0)))</f>
        <v/>
      </c>
      <c r="N337" s="8">
        <f>IF(ISNA(MATCH(328,'Transfer Engine'!$C$2:$C$630,0)),"",INDEX('Compliance Database'!$N$2:$N$630,MATCH(328,'Transfer Engine'!$C$2:$C$630,0)))</f>
        <v/>
      </c>
      <c r="O337" s="8">
        <f>IF(ISNA(MATCH(328,'Transfer Engine'!$C$2:$C$630,0)),"",INDEX('Compliance Database'!$O$2:$O$630,MATCH(328,'Transfer Engine'!$C$2:$C$630,0)))</f>
        <v/>
      </c>
    </row>
    <row r="338">
      <c r="A338">
        <f>IF(ISNA(MATCH(329,'Transfer Engine'!$C$2:$C$630,0)),"",INDEX('Compliance Database'!$A$2:$A$630,MATCH(329,'Transfer Engine'!$C$2:$C$630,0)))</f>
        <v/>
      </c>
      <c r="B338">
        <f>IF(ISNA(MATCH(329,'Transfer Engine'!$C$2:$C$630,0)),"",INDEX('Compliance Database'!$B$2:$B$630,MATCH(329,'Transfer Engine'!$C$2:$C$630,0)))</f>
        <v/>
      </c>
      <c r="C338">
        <f>IF(ISNA(MATCH(329,'Transfer Engine'!$C$2:$C$630,0)),"",INDEX('Compliance Database'!$C$2:$C$630,MATCH(329,'Transfer Engine'!$C$2:$C$630,0)))</f>
        <v/>
      </c>
      <c r="D338" s="8">
        <f>IF(ISNA(MATCH(329,'Transfer Engine'!$C$2:$C$630,0)),"",INDEX('Compliance Database'!$D$2:$D$630,MATCH(329,'Transfer Engine'!$C$2:$C$630,0)))</f>
        <v/>
      </c>
      <c r="E338">
        <f>IF(ISNA(MATCH(329,'Transfer Engine'!$C$2:$C$630,0)),"",INDEX('Compliance Database'!$E$2:$E$630,MATCH(329,'Transfer Engine'!$C$2:$C$630,0)))</f>
        <v/>
      </c>
      <c r="F338">
        <f>IF(ISNA(MATCH(329,'Transfer Engine'!$C$2:$C$630,0)),"",INDEX('Compliance Database'!$F$2:$F$630,MATCH(329,'Transfer Engine'!$C$2:$C$630,0)))</f>
        <v/>
      </c>
      <c r="G338">
        <f>IF(ISNA(MATCH(329,'Transfer Engine'!$C$2:$C$630,0)),"",INDEX('Compliance Database'!$G$2:$G$630,MATCH(329,'Transfer Engine'!$C$2:$C$630,0)))</f>
        <v/>
      </c>
      <c r="H338">
        <f>IF(ISNA(MATCH(329,'Transfer Engine'!$C$2:$C$630,0)),"",INDEX('Compliance Database'!$H$2:$H$630,MATCH(329,'Transfer Engine'!$C$2:$C$630,0)))</f>
        <v/>
      </c>
      <c r="I338" s="8">
        <f>IF(ISNA(MATCH(329,'Transfer Engine'!$C$2:$C$630,0)),"",INDEX('Compliance Database'!$I$2:$I$630,MATCH(329,'Transfer Engine'!$C$2:$C$630,0)))</f>
        <v/>
      </c>
      <c r="J338" s="8">
        <f>IF(ISNA(MATCH(329,'Transfer Engine'!$C$2:$C$630,0)),"",INDEX('Compliance Database'!$J$2:$J$630,MATCH(329,'Transfer Engine'!$C$2:$C$630,0)))</f>
        <v/>
      </c>
      <c r="K338">
        <f>IF(ISNA(MATCH(329,'Transfer Engine'!$C$2:$C$630,0)),"",INDEX('Compliance Database'!$K$2:$K$630,MATCH(329,'Transfer Engine'!$C$2:$C$630,0)))</f>
        <v/>
      </c>
      <c r="L338" s="8">
        <f>IF(ISNA(MATCH(329,'Transfer Engine'!$C$2:$C$630,0)),"",INDEX('Compliance Database'!$L$2:$L$630,MATCH(329,'Transfer Engine'!$C$2:$C$630,0)))</f>
        <v/>
      </c>
      <c r="M338" s="8">
        <f>IF(ISNA(MATCH(329,'Transfer Engine'!$C$2:$C$630,0)),"",INDEX('Compliance Database'!$M$2:$M$630,MATCH(329,'Transfer Engine'!$C$2:$C$630,0)))</f>
        <v/>
      </c>
      <c r="N338" s="8">
        <f>IF(ISNA(MATCH(329,'Transfer Engine'!$C$2:$C$630,0)),"",INDEX('Compliance Database'!$N$2:$N$630,MATCH(329,'Transfer Engine'!$C$2:$C$630,0)))</f>
        <v/>
      </c>
      <c r="O338" s="8">
        <f>IF(ISNA(MATCH(329,'Transfer Engine'!$C$2:$C$630,0)),"",INDEX('Compliance Database'!$O$2:$O$630,MATCH(329,'Transfer Engine'!$C$2:$C$630,0)))</f>
        <v/>
      </c>
    </row>
    <row r="339">
      <c r="A339">
        <f>IF(ISNA(MATCH(330,'Transfer Engine'!$C$2:$C$630,0)),"",INDEX('Compliance Database'!$A$2:$A$630,MATCH(330,'Transfer Engine'!$C$2:$C$630,0)))</f>
        <v/>
      </c>
      <c r="B339">
        <f>IF(ISNA(MATCH(330,'Transfer Engine'!$C$2:$C$630,0)),"",INDEX('Compliance Database'!$B$2:$B$630,MATCH(330,'Transfer Engine'!$C$2:$C$630,0)))</f>
        <v/>
      </c>
      <c r="C339">
        <f>IF(ISNA(MATCH(330,'Transfer Engine'!$C$2:$C$630,0)),"",INDEX('Compliance Database'!$C$2:$C$630,MATCH(330,'Transfer Engine'!$C$2:$C$630,0)))</f>
        <v/>
      </c>
      <c r="D339" s="8">
        <f>IF(ISNA(MATCH(330,'Transfer Engine'!$C$2:$C$630,0)),"",INDEX('Compliance Database'!$D$2:$D$630,MATCH(330,'Transfer Engine'!$C$2:$C$630,0)))</f>
        <v/>
      </c>
      <c r="E339">
        <f>IF(ISNA(MATCH(330,'Transfer Engine'!$C$2:$C$630,0)),"",INDEX('Compliance Database'!$E$2:$E$630,MATCH(330,'Transfer Engine'!$C$2:$C$630,0)))</f>
        <v/>
      </c>
      <c r="F339">
        <f>IF(ISNA(MATCH(330,'Transfer Engine'!$C$2:$C$630,0)),"",INDEX('Compliance Database'!$F$2:$F$630,MATCH(330,'Transfer Engine'!$C$2:$C$630,0)))</f>
        <v/>
      </c>
      <c r="G339">
        <f>IF(ISNA(MATCH(330,'Transfer Engine'!$C$2:$C$630,0)),"",INDEX('Compliance Database'!$G$2:$G$630,MATCH(330,'Transfer Engine'!$C$2:$C$630,0)))</f>
        <v/>
      </c>
      <c r="H339">
        <f>IF(ISNA(MATCH(330,'Transfer Engine'!$C$2:$C$630,0)),"",INDEX('Compliance Database'!$H$2:$H$630,MATCH(330,'Transfer Engine'!$C$2:$C$630,0)))</f>
        <v/>
      </c>
      <c r="I339" s="8">
        <f>IF(ISNA(MATCH(330,'Transfer Engine'!$C$2:$C$630,0)),"",INDEX('Compliance Database'!$I$2:$I$630,MATCH(330,'Transfer Engine'!$C$2:$C$630,0)))</f>
        <v/>
      </c>
      <c r="J339" s="8">
        <f>IF(ISNA(MATCH(330,'Transfer Engine'!$C$2:$C$630,0)),"",INDEX('Compliance Database'!$J$2:$J$630,MATCH(330,'Transfer Engine'!$C$2:$C$630,0)))</f>
        <v/>
      </c>
      <c r="K339">
        <f>IF(ISNA(MATCH(330,'Transfer Engine'!$C$2:$C$630,0)),"",INDEX('Compliance Database'!$K$2:$K$630,MATCH(330,'Transfer Engine'!$C$2:$C$630,0)))</f>
        <v/>
      </c>
      <c r="L339" s="8">
        <f>IF(ISNA(MATCH(330,'Transfer Engine'!$C$2:$C$630,0)),"",INDEX('Compliance Database'!$L$2:$L$630,MATCH(330,'Transfer Engine'!$C$2:$C$630,0)))</f>
        <v/>
      </c>
      <c r="M339" s="8">
        <f>IF(ISNA(MATCH(330,'Transfer Engine'!$C$2:$C$630,0)),"",INDEX('Compliance Database'!$M$2:$M$630,MATCH(330,'Transfer Engine'!$C$2:$C$630,0)))</f>
        <v/>
      </c>
      <c r="N339" s="8">
        <f>IF(ISNA(MATCH(330,'Transfer Engine'!$C$2:$C$630,0)),"",INDEX('Compliance Database'!$N$2:$N$630,MATCH(330,'Transfer Engine'!$C$2:$C$630,0)))</f>
        <v/>
      </c>
      <c r="O339" s="8">
        <f>IF(ISNA(MATCH(330,'Transfer Engine'!$C$2:$C$630,0)),"",INDEX('Compliance Database'!$O$2:$O$630,MATCH(330,'Transfer Engine'!$C$2:$C$630,0)))</f>
        <v/>
      </c>
    </row>
    <row r="340">
      <c r="A340">
        <f>IF(ISNA(MATCH(331,'Transfer Engine'!$C$2:$C$630,0)),"",INDEX('Compliance Database'!$A$2:$A$630,MATCH(331,'Transfer Engine'!$C$2:$C$630,0)))</f>
        <v/>
      </c>
      <c r="B340">
        <f>IF(ISNA(MATCH(331,'Transfer Engine'!$C$2:$C$630,0)),"",INDEX('Compliance Database'!$B$2:$B$630,MATCH(331,'Transfer Engine'!$C$2:$C$630,0)))</f>
        <v/>
      </c>
      <c r="C340">
        <f>IF(ISNA(MATCH(331,'Transfer Engine'!$C$2:$C$630,0)),"",INDEX('Compliance Database'!$C$2:$C$630,MATCH(331,'Transfer Engine'!$C$2:$C$630,0)))</f>
        <v/>
      </c>
      <c r="D340" s="8">
        <f>IF(ISNA(MATCH(331,'Transfer Engine'!$C$2:$C$630,0)),"",INDEX('Compliance Database'!$D$2:$D$630,MATCH(331,'Transfer Engine'!$C$2:$C$630,0)))</f>
        <v/>
      </c>
      <c r="E340">
        <f>IF(ISNA(MATCH(331,'Transfer Engine'!$C$2:$C$630,0)),"",INDEX('Compliance Database'!$E$2:$E$630,MATCH(331,'Transfer Engine'!$C$2:$C$630,0)))</f>
        <v/>
      </c>
      <c r="F340">
        <f>IF(ISNA(MATCH(331,'Transfer Engine'!$C$2:$C$630,0)),"",INDEX('Compliance Database'!$F$2:$F$630,MATCH(331,'Transfer Engine'!$C$2:$C$630,0)))</f>
        <v/>
      </c>
      <c r="G340">
        <f>IF(ISNA(MATCH(331,'Transfer Engine'!$C$2:$C$630,0)),"",INDEX('Compliance Database'!$G$2:$G$630,MATCH(331,'Transfer Engine'!$C$2:$C$630,0)))</f>
        <v/>
      </c>
      <c r="H340">
        <f>IF(ISNA(MATCH(331,'Transfer Engine'!$C$2:$C$630,0)),"",INDEX('Compliance Database'!$H$2:$H$630,MATCH(331,'Transfer Engine'!$C$2:$C$630,0)))</f>
        <v/>
      </c>
      <c r="I340" s="8">
        <f>IF(ISNA(MATCH(331,'Transfer Engine'!$C$2:$C$630,0)),"",INDEX('Compliance Database'!$I$2:$I$630,MATCH(331,'Transfer Engine'!$C$2:$C$630,0)))</f>
        <v/>
      </c>
      <c r="J340" s="8">
        <f>IF(ISNA(MATCH(331,'Transfer Engine'!$C$2:$C$630,0)),"",INDEX('Compliance Database'!$J$2:$J$630,MATCH(331,'Transfer Engine'!$C$2:$C$630,0)))</f>
        <v/>
      </c>
      <c r="K340">
        <f>IF(ISNA(MATCH(331,'Transfer Engine'!$C$2:$C$630,0)),"",INDEX('Compliance Database'!$K$2:$K$630,MATCH(331,'Transfer Engine'!$C$2:$C$630,0)))</f>
        <v/>
      </c>
      <c r="L340" s="8">
        <f>IF(ISNA(MATCH(331,'Transfer Engine'!$C$2:$C$630,0)),"",INDEX('Compliance Database'!$L$2:$L$630,MATCH(331,'Transfer Engine'!$C$2:$C$630,0)))</f>
        <v/>
      </c>
      <c r="M340" s="8">
        <f>IF(ISNA(MATCH(331,'Transfer Engine'!$C$2:$C$630,0)),"",INDEX('Compliance Database'!$M$2:$M$630,MATCH(331,'Transfer Engine'!$C$2:$C$630,0)))</f>
        <v/>
      </c>
      <c r="N340" s="8">
        <f>IF(ISNA(MATCH(331,'Transfer Engine'!$C$2:$C$630,0)),"",INDEX('Compliance Database'!$N$2:$N$630,MATCH(331,'Transfer Engine'!$C$2:$C$630,0)))</f>
        <v/>
      </c>
      <c r="O340" s="8">
        <f>IF(ISNA(MATCH(331,'Transfer Engine'!$C$2:$C$630,0)),"",INDEX('Compliance Database'!$O$2:$O$630,MATCH(331,'Transfer Engine'!$C$2:$C$630,0)))</f>
        <v/>
      </c>
    </row>
    <row r="341">
      <c r="A341">
        <f>IF(ISNA(MATCH(332,'Transfer Engine'!$C$2:$C$630,0)),"",INDEX('Compliance Database'!$A$2:$A$630,MATCH(332,'Transfer Engine'!$C$2:$C$630,0)))</f>
        <v/>
      </c>
      <c r="B341">
        <f>IF(ISNA(MATCH(332,'Transfer Engine'!$C$2:$C$630,0)),"",INDEX('Compliance Database'!$B$2:$B$630,MATCH(332,'Transfer Engine'!$C$2:$C$630,0)))</f>
        <v/>
      </c>
      <c r="C341">
        <f>IF(ISNA(MATCH(332,'Transfer Engine'!$C$2:$C$630,0)),"",INDEX('Compliance Database'!$C$2:$C$630,MATCH(332,'Transfer Engine'!$C$2:$C$630,0)))</f>
        <v/>
      </c>
      <c r="D341" s="8">
        <f>IF(ISNA(MATCH(332,'Transfer Engine'!$C$2:$C$630,0)),"",INDEX('Compliance Database'!$D$2:$D$630,MATCH(332,'Transfer Engine'!$C$2:$C$630,0)))</f>
        <v/>
      </c>
      <c r="E341">
        <f>IF(ISNA(MATCH(332,'Transfer Engine'!$C$2:$C$630,0)),"",INDEX('Compliance Database'!$E$2:$E$630,MATCH(332,'Transfer Engine'!$C$2:$C$630,0)))</f>
        <v/>
      </c>
      <c r="F341">
        <f>IF(ISNA(MATCH(332,'Transfer Engine'!$C$2:$C$630,0)),"",INDEX('Compliance Database'!$F$2:$F$630,MATCH(332,'Transfer Engine'!$C$2:$C$630,0)))</f>
        <v/>
      </c>
      <c r="G341">
        <f>IF(ISNA(MATCH(332,'Transfer Engine'!$C$2:$C$630,0)),"",INDEX('Compliance Database'!$G$2:$G$630,MATCH(332,'Transfer Engine'!$C$2:$C$630,0)))</f>
        <v/>
      </c>
      <c r="H341">
        <f>IF(ISNA(MATCH(332,'Transfer Engine'!$C$2:$C$630,0)),"",INDEX('Compliance Database'!$H$2:$H$630,MATCH(332,'Transfer Engine'!$C$2:$C$630,0)))</f>
        <v/>
      </c>
      <c r="I341" s="8">
        <f>IF(ISNA(MATCH(332,'Transfer Engine'!$C$2:$C$630,0)),"",INDEX('Compliance Database'!$I$2:$I$630,MATCH(332,'Transfer Engine'!$C$2:$C$630,0)))</f>
        <v/>
      </c>
      <c r="J341" s="8">
        <f>IF(ISNA(MATCH(332,'Transfer Engine'!$C$2:$C$630,0)),"",INDEX('Compliance Database'!$J$2:$J$630,MATCH(332,'Transfer Engine'!$C$2:$C$630,0)))</f>
        <v/>
      </c>
      <c r="K341">
        <f>IF(ISNA(MATCH(332,'Transfer Engine'!$C$2:$C$630,0)),"",INDEX('Compliance Database'!$K$2:$K$630,MATCH(332,'Transfer Engine'!$C$2:$C$630,0)))</f>
        <v/>
      </c>
      <c r="L341" s="8">
        <f>IF(ISNA(MATCH(332,'Transfer Engine'!$C$2:$C$630,0)),"",INDEX('Compliance Database'!$L$2:$L$630,MATCH(332,'Transfer Engine'!$C$2:$C$630,0)))</f>
        <v/>
      </c>
      <c r="M341" s="8">
        <f>IF(ISNA(MATCH(332,'Transfer Engine'!$C$2:$C$630,0)),"",INDEX('Compliance Database'!$M$2:$M$630,MATCH(332,'Transfer Engine'!$C$2:$C$630,0)))</f>
        <v/>
      </c>
      <c r="N341" s="8">
        <f>IF(ISNA(MATCH(332,'Transfer Engine'!$C$2:$C$630,0)),"",INDEX('Compliance Database'!$N$2:$N$630,MATCH(332,'Transfer Engine'!$C$2:$C$630,0)))</f>
        <v/>
      </c>
      <c r="O341" s="8">
        <f>IF(ISNA(MATCH(332,'Transfer Engine'!$C$2:$C$630,0)),"",INDEX('Compliance Database'!$O$2:$O$630,MATCH(332,'Transfer Engine'!$C$2:$C$630,0)))</f>
        <v/>
      </c>
    </row>
    <row r="342">
      <c r="A342">
        <f>IF(ISNA(MATCH(333,'Transfer Engine'!$C$2:$C$630,0)),"",INDEX('Compliance Database'!$A$2:$A$630,MATCH(333,'Transfer Engine'!$C$2:$C$630,0)))</f>
        <v/>
      </c>
      <c r="B342">
        <f>IF(ISNA(MATCH(333,'Transfer Engine'!$C$2:$C$630,0)),"",INDEX('Compliance Database'!$B$2:$B$630,MATCH(333,'Transfer Engine'!$C$2:$C$630,0)))</f>
        <v/>
      </c>
      <c r="C342">
        <f>IF(ISNA(MATCH(333,'Transfer Engine'!$C$2:$C$630,0)),"",INDEX('Compliance Database'!$C$2:$C$630,MATCH(333,'Transfer Engine'!$C$2:$C$630,0)))</f>
        <v/>
      </c>
      <c r="D342" s="8">
        <f>IF(ISNA(MATCH(333,'Transfer Engine'!$C$2:$C$630,0)),"",INDEX('Compliance Database'!$D$2:$D$630,MATCH(333,'Transfer Engine'!$C$2:$C$630,0)))</f>
        <v/>
      </c>
      <c r="E342">
        <f>IF(ISNA(MATCH(333,'Transfer Engine'!$C$2:$C$630,0)),"",INDEX('Compliance Database'!$E$2:$E$630,MATCH(333,'Transfer Engine'!$C$2:$C$630,0)))</f>
        <v/>
      </c>
      <c r="F342">
        <f>IF(ISNA(MATCH(333,'Transfer Engine'!$C$2:$C$630,0)),"",INDEX('Compliance Database'!$F$2:$F$630,MATCH(333,'Transfer Engine'!$C$2:$C$630,0)))</f>
        <v/>
      </c>
      <c r="G342">
        <f>IF(ISNA(MATCH(333,'Transfer Engine'!$C$2:$C$630,0)),"",INDEX('Compliance Database'!$G$2:$G$630,MATCH(333,'Transfer Engine'!$C$2:$C$630,0)))</f>
        <v/>
      </c>
      <c r="H342">
        <f>IF(ISNA(MATCH(333,'Transfer Engine'!$C$2:$C$630,0)),"",INDEX('Compliance Database'!$H$2:$H$630,MATCH(333,'Transfer Engine'!$C$2:$C$630,0)))</f>
        <v/>
      </c>
      <c r="I342" s="8">
        <f>IF(ISNA(MATCH(333,'Transfer Engine'!$C$2:$C$630,0)),"",INDEX('Compliance Database'!$I$2:$I$630,MATCH(333,'Transfer Engine'!$C$2:$C$630,0)))</f>
        <v/>
      </c>
      <c r="J342" s="8">
        <f>IF(ISNA(MATCH(333,'Transfer Engine'!$C$2:$C$630,0)),"",INDEX('Compliance Database'!$J$2:$J$630,MATCH(333,'Transfer Engine'!$C$2:$C$630,0)))</f>
        <v/>
      </c>
      <c r="K342">
        <f>IF(ISNA(MATCH(333,'Transfer Engine'!$C$2:$C$630,0)),"",INDEX('Compliance Database'!$K$2:$K$630,MATCH(333,'Transfer Engine'!$C$2:$C$630,0)))</f>
        <v/>
      </c>
      <c r="L342" s="8">
        <f>IF(ISNA(MATCH(333,'Transfer Engine'!$C$2:$C$630,0)),"",INDEX('Compliance Database'!$L$2:$L$630,MATCH(333,'Transfer Engine'!$C$2:$C$630,0)))</f>
        <v/>
      </c>
      <c r="M342" s="8">
        <f>IF(ISNA(MATCH(333,'Transfer Engine'!$C$2:$C$630,0)),"",INDEX('Compliance Database'!$M$2:$M$630,MATCH(333,'Transfer Engine'!$C$2:$C$630,0)))</f>
        <v/>
      </c>
      <c r="N342" s="8">
        <f>IF(ISNA(MATCH(333,'Transfer Engine'!$C$2:$C$630,0)),"",INDEX('Compliance Database'!$N$2:$N$630,MATCH(333,'Transfer Engine'!$C$2:$C$630,0)))</f>
        <v/>
      </c>
      <c r="O342" s="8">
        <f>IF(ISNA(MATCH(333,'Transfer Engine'!$C$2:$C$630,0)),"",INDEX('Compliance Database'!$O$2:$O$630,MATCH(333,'Transfer Engine'!$C$2:$C$630,0)))</f>
        <v/>
      </c>
    </row>
    <row r="343">
      <c r="A343">
        <f>IF(ISNA(MATCH(334,'Transfer Engine'!$C$2:$C$630,0)),"",INDEX('Compliance Database'!$A$2:$A$630,MATCH(334,'Transfer Engine'!$C$2:$C$630,0)))</f>
        <v/>
      </c>
      <c r="B343">
        <f>IF(ISNA(MATCH(334,'Transfer Engine'!$C$2:$C$630,0)),"",INDEX('Compliance Database'!$B$2:$B$630,MATCH(334,'Transfer Engine'!$C$2:$C$630,0)))</f>
        <v/>
      </c>
      <c r="C343">
        <f>IF(ISNA(MATCH(334,'Transfer Engine'!$C$2:$C$630,0)),"",INDEX('Compliance Database'!$C$2:$C$630,MATCH(334,'Transfer Engine'!$C$2:$C$630,0)))</f>
        <v/>
      </c>
      <c r="D343" s="8">
        <f>IF(ISNA(MATCH(334,'Transfer Engine'!$C$2:$C$630,0)),"",INDEX('Compliance Database'!$D$2:$D$630,MATCH(334,'Transfer Engine'!$C$2:$C$630,0)))</f>
        <v/>
      </c>
      <c r="E343">
        <f>IF(ISNA(MATCH(334,'Transfer Engine'!$C$2:$C$630,0)),"",INDEX('Compliance Database'!$E$2:$E$630,MATCH(334,'Transfer Engine'!$C$2:$C$630,0)))</f>
        <v/>
      </c>
      <c r="F343">
        <f>IF(ISNA(MATCH(334,'Transfer Engine'!$C$2:$C$630,0)),"",INDEX('Compliance Database'!$F$2:$F$630,MATCH(334,'Transfer Engine'!$C$2:$C$630,0)))</f>
        <v/>
      </c>
      <c r="G343">
        <f>IF(ISNA(MATCH(334,'Transfer Engine'!$C$2:$C$630,0)),"",INDEX('Compliance Database'!$G$2:$G$630,MATCH(334,'Transfer Engine'!$C$2:$C$630,0)))</f>
        <v/>
      </c>
      <c r="H343">
        <f>IF(ISNA(MATCH(334,'Transfer Engine'!$C$2:$C$630,0)),"",INDEX('Compliance Database'!$H$2:$H$630,MATCH(334,'Transfer Engine'!$C$2:$C$630,0)))</f>
        <v/>
      </c>
      <c r="I343" s="8">
        <f>IF(ISNA(MATCH(334,'Transfer Engine'!$C$2:$C$630,0)),"",INDEX('Compliance Database'!$I$2:$I$630,MATCH(334,'Transfer Engine'!$C$2:$C$630,0)))</f>
        <v/>
      </c>
      <c r="J343" s="8">
        <f>IF(ISNA(MATCH(334,'Transfer Engine'!$C$2:$C$630,0)),"",INDEX('Compliance Database'!$J$2:$J$630,MATCH(334,'Transfer Engine'!$C$2:$C$630,0)))</f>
        <v/>
      </c>
      <c r="K343">
        <f>IF(ISNA(MATCH(334,'Transfer Engine'!$C$2:$C$630,0)),"",INDEX('Compliance Database'!$K$2:$K$630,MATCH(334,'Transfer Engine'!$C$2:$C$630,0)))</f>
        <v/>
      </c>
      <c r="L343" s="8">
        <f>IF(ISNA(MATCH(334,'Transfer Engine'!$C$2:$C$630,0)),"",INDEX('Compliance Database'!$L$2:$L$630,MATCH(334,'Transfer Engine'!$C$2:$C$630,0)))</f>
        <v/>
      </c>
      <c r="M343" s="8">
        <f>IF(ISNA(MATCH(334,'Transfer Engine'!$C$2:$C$630,0)),"",INDEX('Compliance Database'!$M$2:$M$630,MATCH(334,'Transfer Engine'!$C$2:$C$630,0)))</f>
        <v/>
      </c>
      <c r="N343" s="8">
        <f>IF(ISNA(MATCH(334,'Transfer Engine'!$C$2:$C$630,0)),"",INDEX('Compliance Database'!$N$2:$N$630,MATCH(334,'Transfer Engine'!$C$2:$C$630,0)))</f>
        <v/>
      </c>
      <c r="O343" s="8">
        <f>IF(ISNA(MATCH(334,'Transfer Engine'!$C$2:$C$630,0)),"",INDEX('Compliance Database'!$O$2:$O$630,MATCH(334,'Transfer Engine'!$C$2:$C$630,0)))</f>
        <v/>
      </c>
    </row>
    <row r="344">
      <c r="A344">
        <f>IF(ISNA(MATCH(335,'Transfer Engine'!$C$2:$C$630,0)),"",INDEX('Compliance Database'!$A$2:$A$630,MATCH(335,'Transfer Engine'!$C$2:$C$630,0)))</f>
        <v/>
      </c>
      <c r="B344">
        <f>IF(ISNA(MATCH(335,'Transfer Engine'!$C$2:$C$630,0)),"",INDEX('Compliance Database'!$B$2:$B$630,MATCH(335,'Transfer Engine'!$C$2:$C$630,0)))</f>
        <v/>
      </c>
      <c r="C344">
        <f>IF(ISNA(MATCH(335,'Transfer Engine'!$C$2:$C$630,0)),"",INDEX('Compliance Database'!$C$2:$C$630,MATCH(335,'Transfer Engine'!$C$2:$C$630,0)))</f>
        <v/>
      </c>
      <c r="D344" s="8">
        <f>IF(ISNA(MATCH(335,'Transfer Engine'!$C$2:$C$630,0)),"",INDEX('Compliance Database'!$D$2:$D$630,MATCH(335,'Transfer Engine'!$C$2:$C$630,0)))</f>
        <v/>
      </c>
      <c r="E344">
        <f>IF(ISNA(MATCH(335,'Transfer Engine'!$C$2:$C$630,0)),"",INDEX('Compliance Database'!$E$2:$E$630,MATCH(335,'Transfer Engine'!$C$2:$C$630,0)))</f>
        <v/>
      </c>
      <c r="F344">
        <f>IF(ISNA(MATCH(335,'Transfer Engine'!$C$2:$C$630,0)),"",INDEX('Compliance Database'!$F$2:$F$630,MATCH(335,'Transfer Engine'!$C$2:$C$630,0)))</f>
        <v/>
      </c>
      <c r="G344">
        <f>IF(ISNA(MATCH(335,'Transfer Engine'!$C$2:$C$630,0)),"",INDEX('Compliance Database'!$G$2:$G$630,MATCH(335,'Transfer Engine'!$C$2:$C$630,0)))</f>
        <v/>
      </c>
      <c r="H344">
        <f>IF(ISNA(MATCH(335,'Transfer Engine'!$C$2:$C$630,0)),"",INDEX('Compliance Database'!$H$2:$H$630,MATCH(335,'Transfer Engine'!$C$2:$C$630,0)))</f>
        <v/>
      </c>
      <c r="I344" s="8">
        <f>IF(ISNA(MATCH(335,'Transfer Engine'!$C$2:$C$630,0)),"",INDEX('Compliance Database'!$I$2:$I$630,MATCH(335,'Transfer Engine'!$C$2:$C$630,0)))</f>
        <v/>
      </c>
      <c r="J344" s="8">
        <f>IF(ISNA(MATCH(335,'Transfer Engine'!$C$2:$C$630,0)),"",INDEX('Compliance Database'!$J$2:$J$630,MATCH(335,'Transfer Engine'!$C$2:$C$630,0)))</f>
        <v/>
      </c>
      <c r="K344">
        <f>IF(ISNA(MATCH(335,'Transfer Engine'!$C$2:$C$630,0)),"",INDEX('Compliance Database'!$K$2:$K$630,MATCH(335,'Transfer Engine'!$C$2:$C$630,0)))</f>
        <v/>
      </c>
      <c r="L344" s="8">
        <f>IF(ISNA(MATCH(335,'Transfer Engine'!$C$2:$C$630,0)),"",INDEX('Compliance Database'!$L$2:$L$630,MATCH(335,'Transfer Engine'!$C$2:$C$630,0)))</f>
        <v/>
      </c>
      <c r="M344" s="8">
        <f>IF(ISNA(MATCH(335,'Transfer Engine'!$C$2:$C$630,0)),"",INDEX('Compliance Database'!$M$2:$M$630,MATCH(335,'Transfer Engine'!$C$2:$C$630,0)))</f>
        <v/>
      </c>
      <c r="N344" s="8">
        <f>IF(ISNA(MATCH(335,'Transfer Engine'!$C$2:$C$630,0)),"",INDEX('Compliance Database'!$N$2:$N$630,MATCH(335,'Transfer Engine'!$C$2:$C$630,0)))</f>
        <v/>
      </c>
      <c r="O344" s="8">
        <f>IF(ISNA(MATCH(335,'Transfer Engine'!$C$2:$C$630,0)),"",INDEX('Compliance Database'!$O$2:$O$630,MATCH(335,'Transfer Engine'!$C$2:$C$630,0)))</f>
        <v/>
      </c>
    </row>
    <row r="345">
      <c r="A345">
        <f>IF(ISNA(MATCH(336,'Transfer Engine'!$C$2:$C$630,0)),"",INDEX('Compliance Database'!$A$2:$A$630,MATCH(336,'Transfer Engine'!$C$2:$C$630,0)))</f>
        <v/>
      </c>
      <c r="B345">
        <f>IF(ISNA(MATCH(336,'Transfer Engine'!$C$2:$C$630,0)),"",INDEX('Compliance Database'!$B$2:$B$630,MATCH(336,'Transfer Engine'!$C$2:$C$630,0)))</f>
        <v/>
      </c>
      <c r="C345">
        <f>IF(ISNA(MATCH(336,'Transfer Engine'!$C$2:$C$630,0)),"",INDEX('Compliance Database'!$C$2:$C$630,MATCH(336,'Transfer Engine'!$C$2:$C$630,0)))</f>
        <v/>
      </c>
      <c r="D345" s="8">
        <f>IF(ISNA(MATCH(336,'Transfer Engine'!$C$2:$C$630,0)),"",INDEX('Compliance Database'!$D$2:$D$630,MATCH(336,'Transfer Engine'!$C$2:$C$630,0)))</f>
        <v/>
      </c>
      <c r="E345">
        <f>IF(ISNA(MATCH(336,'Transfer Engine'!$C$2:$C$630,0)),"",INDEX('Compliance Database'!$E$2:$E$630,MATCH(336,'Transfer Engine'!$C$2:$C$630,0)))</f>
        <v/>
      </c>
      <c r="F345">
        <f>IF(ISNA(MATCH(336,'Transfer Engine'!$C$2:$C$630,0)),"",INDEX('Compliance Database'!$F$2:$F$630,MATCH(336,'Transfer Engine'!$C$2:$C$630,0)))</f>
        <v/>
      </c>
      <c r="G345">
        <f>IF(ISNA(MATCH(336,'Transfer Engine'!$C$2:$C$630,0)),"",INDEX('Compliance Database'!$G$2:$G$630,MATCH(336,'Transfer Engine'!$C$2:$C$630,0)))</f>
        <v/>
      </c>
      <c r="H345">
        <f>IF(ISNA(MATCH(336,'Transfer Engine'!$C$2:$C$630,0)),"",INDEX('Compliance Database'!$H$2:$H$630,MATCH(336,'Transfer Engine'!$C$2:$C$630,0)))</f>
        <v/>
      </c>
      <c r="I345" s="8">
        <f>IF(ISNA(MATCH(336,'Transfer Engine'!$C$2:$C$630,0)),"",INDEX('Compliance Database'!$I$2:$I$630,MATCH(336,'Transfer Engine'!$C$2:$C$630,0)))</f>
        <v/>
      </c>
      <c r="J345" s="8">
        <f>IF(ISNA(MATCH(336,'Transfer Engine'!$C$2:$C$630,0)),"",INDEX('Compliance Database'!$J$2:$J$630,MATCH(336,'Transfer Engine'!$C$2:$C$630,0)))</f>
        <v/>
      </c>
      <c r="K345">
        <f>IF(ISNA(MATCH(336,'Transfer Engine'!$C$2:$C$630,0)),"",INDEX('Compliance Database'!$K$2:$K$630,MATCH(336,'Transfer Engine'!$C$2:$C$630,0)))</f>
        <v/>
      </c>
      <c r="L345" s="8">
        <f>IF(ISNA(MATCH(336,'Transfer Engine'!$C$2:$C$630,0)),"",INDEX('Compliance Database'!$L$2:$L$630,MATCH(336,'Transfer Engine'!$C$2:$C$630,0)))</f>
        <v/>
      </c>
      <c r="M345" s="8">
        <f>IF(ISNA(MATCH(336,'Transfer Engine'!$C$2:$C$630,0)),"",INDEX('Compliance Database'!$M$2:$M$630,MATCH(336,'Transfer Engine'!$C$2:$C$630,0)))</f>
        <v/>
      </c>
      <c r="N345" s="8">
        <f>IF(ISNA(MATCH(336,'Transfer Engine'!$C$2:$C$630,0)),"",INDEX('Compliance Database'!$N$2:$N$630,MATCH(336,'Transfer Engine'!$C$2:$C$630,0)))</f>
        <v/>
      </c>
      <c r="O345" s="8">
        <f>IF(ISNA(MATCH(336,'Transfer Engine'!$C$2:$C$630,0)),"",INDEX('Compliance Database'!$O$2:$O$630,MATCH(336,'Transfer Engine'!$C$2:$C$630,0)))</f>
        <v/>
      </c>
    </row>
    <row r="346">
      <c r="A346">
        <f>IF(ISNA(MATCH(337,'Transfer Engine'!$C$2:$C$630,0)),"",INDEX('Compliance Database'!$A$2:$A$630,MATCH(337,'Transfer Engine'!$C$2:$C$630,0)))</f>
        <v/>
      </c>
      <c r="B346">
        <f>IF(ISNA(MATCH(337,'Transfer Engine'!$C$2:$C$630,0)),"",INDEX('Compliance Database'!$B$2:$B$630,MATCH(337,'Transfer Engine'!$C$2:$C$630,0)))</f>
        <v/>
      </c>
      <c r="C346">
        <f>IF(ISNA(MATCH(337,'Transfer Engine'!$C$2:$C$630,0)),"",INDEX('Compliance Database'!$C$2:$C$630,MATCH(337,'Transfer Engine'!$C$2:$C$630,0)))</f>
        <v/>
      </c>
      <c r="D346" s="8">
        <f>IF(ISNA(MATCH(337,'Transfer Engine'!$C$2:$C$630,0)),"",INDEX('Compliance Database'!$D$2:$D$630,MATCH(337,'Transfer Engine'!$C$2:$C$630,0)))</f>
        <v/>
      </c>
      <c r="E346">
        <f>IF(ISNA(MATCH(337,'Transfer Engine'!$C$2:$C$630,0)),"",INDEX('Compliance Database'!$E$2:$E$630,MATCH(337,'Transfer Engine'!$C$2:$C$630,0)))</f>
        <v/>
      </c>
      <c r="F346">
        <f>IF(ISNA(MATCH(337,'Transfer Engine'!$C$2:$C$630,0)),"",INDEX('Compliance Database'!$F$2:$F$630,MATCH(337,'Transfer Engine'!$C$2:$C$630,0)))</f>
        <v/>
      </c>
      <c r="G346">
        <f>IF(ISNA(MATCH(337,'Transfer Engine'!$C$2:$C$630,0)),"",INDEX('Compliance Database'!$G$2:$G$630,MATCH(337,'Transfer Engine'!$C$2:$C$630,0)))</f>
        <v/>
      </c>
      <c r="H346">
        <f>IF(ISNA(MATCH(337,'Transfer Engine'!$C$2:$C$630,0)),"",INDEX('Compliance Database'!$H$2:$H$630,MATCH(337,'Transfer Engine'!$C$2:$C$630,0)))</f>
        <v/>
      </c>
      <c r="I346" s="8">
        <f>IF(ISNA(MATCH(337,'Transfer Engine'!$C$2:$C$630,0)),"",INDEX('Compliance Database'!$I$2:$I$630,MATCH(337,'Transfer Engine'!$C$2:$C$630,0)))</f>
        <v/>
      </c>
      <c r="J346" s="8">
        <f>IF(ISNA(MATCH(337,'Transfer Engine'!$C$2:$C$630,0)),"",INDEX('Compliance Database'!$J$2:$J$630,MATCH(337,'Transfer Engine'!$C$2:$C$630,0)))</f>
        <v/>
      </c>
      <c r="K346">
        <f>IF(ISNA(MATCH(337,'Transfer Engine'!$C$2:$C$630,0)),"",INDEX('Compliance Database'!$K$2:$K$630,MATCH(337,'Transfer Engine'!$C$2:$C$630,0)))</f>
        <v/>
      </c>
      <c r="L346" s="8">
        <f>IF(ISNA(MATCH(337,'Transfer Engine'!$C$2:$C$630,0)),"",INDEX('Compliance Database'!$L$2:$L$630,MATCH(337,'Transfer Engine'!$C$2:$C$630,0)))</f>
        <v/>
      </c>
      <c r="M346" s="8">
        <f>IF(ISNA(MATCH(337,'Transfer Engine'!$C$2:$C$630,0)),"",INDEX('Compliance Database'!$M$2:$M$630,MATCH(337,'Transfer Engine'!$C$2:$C$630,0)))</f>
        <v/>
      </c>
      <c r="N346" s="8">
        <f>IF(ISNA(MATCH(337,'Transfer Engine'!$C$2:$C$630,0)),"",INDEX('Compliance Database'!$N$2:$N$630,MATCH(337,'Transfer Engine'!$C$2:$C$630,0)))</f>
        <v/>
      </c>
      <c r="O346" s="8">
        <f>IF(ISNA(MATCH(337,'Transfer Engine'!$C$2:$C$630,0)),"",INDEX('Compliance Database'!$O$2:$O$630,MATCH(337,'Transfer Engine'!$C$2:$C$630,0)))</f>
        <v/>
      </c>
    </row>
    <row r="347">
      <c r="A347">
        <f>IF(ISNA(MATCH(338,'Transfer Engine'!$C$2:$C$630,0)),"",INDEX('Compliance Database'!$A$2:$A$630,MATCH(338,'Transfer Engine'!$C$2:$C$630,0)))</f>
        <v/>
      </c>
      <c r="B347">
        <f>IF(ISNA(MATCH(338,'Transfer Engine'!$C$2:$C$630,0)),"",INDEX('Compliance Database'!$B$2:$B$630,MATCH(338,'Transfer Engine'!$C$2:$C$630,0)))</f>
        <v/>
      </c>
      <c r="C347">
        <f>IF(ISNA(MATCH(338,'Transfer Engine'!$C$2:$C$630,0)),"",INDEX('Compliance Database'!$C$2:$C$630,MATCH(338,'Transfer Engine'!$C$2:$C$630,0)))</f>
        <v/>
      </c>
      <c r="D347" s="8">
        <f>IF(ISNA(MATCH(338,'Transfer Engine'!$C$2:$C$630,0)),"",INDEX('Compliance Database'!$D$2:$D$630,MATCH(338,'Transfer Engine'!$C$2:$C$630,0)))</f>
        <v/>
      </c>
      <c r="E347">
        <f>IF(ISNA(MATCH(338,'Transfer Engine'!$C$2:$C$630,0)),"",INDEX('Compliance Database'!$E$2:$E$630,MATCH(338,'Transfer Engine'!$C$2:$C$630,0)))</f>
        <v/>
      </c>
      <c r="F347">
        <f>IF(ISNA(MATCH(338,'Transfer Engine'!$C$2:$C$630,0)),"",INDEX('Compliance Database'!$F$2:$F$630,MATCH(338,'Transfer Engine'!$C$2:$C$630,0)))</f>
        <v/>
      </c>
      <c r="G347">
        <f>IF(ISNA(MATCH(338,'Transfer Engine'!$C$2:$C$630,0)),"",INDEX('Compliance Database'!$G$2:$G$630,MATCH(338,'Transfer Engine'!$C$2:$C$630,0)))</f>
        <v/>
      </c>
      <c r="H347">
        <f>IF(ISNA(MATCH(338,'Transfer Engine'!$C$2:$C$630,0)),"",INDEX('Compliance Database'!$H$2:$H$630,MATCH(338,'Transfer Engine'!$C$2:$C$630,0)))</f>
        <v/>
      </c>
      <c r="I347" s="8">
        <f>IF(ISNA(MATCH(338,'Transfer Engine'!$C$2:$C$630,0)),"",INDEX('Compliance Database'!$I$2:$I$630,MATCH(338,'Transfer Engine'!$C$2:$C$630,0)))</f>
        <v/>
      </c>
      <c r="J347" s="8">
        <f>IF(ISNA(MATCH(338,'Transfer Engine'!$C$2:$C$630,0)),"",INDEX('Compliance Database'!$J$2:$J$630,MATCH(338,'Transfer Engine'!$C$2:$C$630,0)))</f>
        <v/>
      </c>
      <c r="K347">
        <f>IF(ISNA(MATCH(338,'Transfer Engine'!$C$2:$C$630,0)),"",INDEX('Compliance Database'!$K$2:$K$630,MATCH(338,'Transfer Engine'!$C$2:$C$630,0)))</f>
        <v/>
      </c>
      <c r="L347" s="8">
        <f>IF(ISNA(MATCH(338,'Transfer Engine'!$C$2:$C$630,0)),"",INDEX('Compliance Database'!$L$2:$L$630,MATCH(338,'Transfer Engine'!$C$2:$C$630,0)))</f>
        <v/>
      </c>
      <c r="M347" s="8">
        <f>IF(ISNA(MATCH(338,'Transfer Engine'!$C$2:$C$630,0)),"",INDEX('Compliance Database'!$M$2:$M$630,MATCH(338,'Transfer Engine'!$C$2:$C$630,0)))</f>
        <v/>
      </c>
      <c r="N347" s="8">
        <f>IF(ISNA(MATCH(338,'Transfer Engine'!$C$2:$C$630,0)),"",INDEX('Compliance Database'!$N$2:$N$630,MATCH(338,'Transfer Engine'!$C$2:$C$630,0)))</f>
        <v/>
      </c>
      <c r="O347" s="8">
        <f>IF(ISNA(MATCH(338,'Transfer Engine'!$C$2:$C$630,0)),"",INDEX('Compliance Database'!$O$2:$O$630,MATCH(338,'Transfer Engine'!$C$2:$C$630,0)))</f>
        <v/>
      </c>
    </row>
    <row r="348">
      <c r="A348">
        <f>IF(ISNA(MATCH(339,'Transfer Engine'!$C$2:$C$630,0)),"",INDEX('Compliance Database'!$A$2:$A$630,MATCH(339,'Transfer Engine'!$C$2:$C$630,0)))</f>
        <v/>
      </c>
      <c r="B348">
        <f>IF(ISNA(MATCH(339,'Transfer Engine'!$C$2:$C$630,0)),"",INDEX('Compliance Database'!$B$2:$B$630,MATCH(339,'Transfer Engine'!$C$2:$C$630,0)))</f>
        <v/>
      </c>
      <c r="C348">
        <f>IF(ISNA(MATCH(339,'Transfer Engine'!$C$2:$C$630,0)),"",INDEX('Compliance Database'!$C$2:$C$630,MATCH(339,'Transfer Engine'!$C$2:$C$630,0)))</f>
        <v/>
      </c>
      <c r="D348" s="8">
        <f>IF(ISNA(MATCH(339,'Transfer Engine'!$C$2:$C$630,0)),"",INDEX('Compliance Database'!$D$2:$D$630,MATCH(339,'Transfer Engine'!$C$2:$C$630,0)))</f>
        <v/>
      </c>
      <c r="E348">
        <f>IF(ISNA(MATCH(339,'Transfer Engine'!$C$2:$C$630,0)),"",INDEX('Compliance Database'!$E$2:$E$630,MATCH(339,'Transfer Engine'!$C$2:$C$630,0)))</f>
        <v/>
      </c>
      <c r="F348">
        <f>IF(ISNA(MATCH(339,'Transfer Engine'!$C$2:$C$630,0)),"",INDEX('Compliance Database'!$F$2:$F$630,MATCH(339,'Transfer Engine'!$C$2:$C$630,0)))</f>
        <v/>
      </c>
      <c r="G348">
        <f>IF(ISNA(MATCH(339,'Transfer Engine'!$C$2:$C$630,0)),"",INDEX('Compliance Database'!$G$2:$G$630,MATCH(339,'Transfer Engine'!$C$2:$C$630,0)))</f>
        <v/>
      </c>
      <c r="H348">
        <f>IF(ISNA(MATCH(339,'Transfer Engine'!$C$2:$C$630,0)),"",INDEX('Compliance Database'!$H$2:$H$630,MATCH(339,'Transfer Engine'!$C$2:$C$630,0)))</f>
        <v/>
      </c>
      <c r="I348" s="8">
        <f>IF(ISNA(MATCH(339,'Transfer Engine'!$C$2:$C$630,0)),"",INDEX('Compliance Database'!$I$2:$I$630,MATCH(339,'Transfer Engine'!$C$2:$C$630,0)))</f>
        <v/>
      </c>
      <c r="J348" s="8">
        <f>IF(ISNA(MATCH(339,'Transfer Engine'!$C$2:$C$630,0)),"",INDEX('Compliance Database'!$J$2:$J$630,MATCH(339,'Transfer Engine'!$C$2:$C$630,0)))</f>
        <v/>
      </c>
      <c r="K348">
        <f>IF(ISNA(MATCH(339,'Transfer Engine'!$C$2:$C$630,0)),"",INDEX('Compliance Database'!$K$2:$K$630,MATCH(339,'Transfer Engine'!$C$2:$C$630,0)))</f>
        <v/>
      </c>
      <c r="L348" s="8">
        <f>IF(ISNA(MATCH(339,'Transfer Engine'!$C$2:$C$630,0)),"",INDEX('Compliance Database'!$L$2:$L$630,MATCH(339,'Transfer Engine'!$C$2:$C$630,0)))</f>
        <v/>
      </c>
      <c r="M348" s="8">
        <f>IF(ISNA(MATCH(339,'Transfer Engine'!$C$2:$C$630,0)),"",INDEX('Compliance Database'!$M$2:$M$630,MATCH(339,'Transfer Engine'!$C$2:$C$630,0)))</f>
        <v/>
      </c>
      <c r="N348" s="8">
        <f>IF(ISNA(MATCH(339,'Transfer Engine'!$C$2:$C$630,0)),"",INDEX('Compliance Database'!$N$2:$N$630,MATCH(339,'Transfer Engine'!$C$2:$C$630,0)))</f>
        <v/>
      </c>
      <c r="O348" s="8">
        <f>IF(ISNA(MATCH(339,'Transfer Engine'!$C$2:$C$630,0)),"",INDEX('Compliance Database'!$O$2:$O$630,MATCH(339,'Transfer Engine'!$C$2:$C$630,0)))</f>
        <v/>
      </c>
    </row>
    <row r="349">
      <c r="A349">
        <f>IF(ISNA(MATCH(340,'Transfer Engine'!$C$2:$C$630,0)),"",INDEX('Compliance Database'!$A$2:$A$630,MATCH(340,'Transfer Engine'!$C$2:$C$630,0)))</f>
        <v/>
      </c>
      <c r="B349">
        <f>IF(ISNA(MATCH(340,'Transfer Engine'!$C$2:$C$630,0)),"",INDEX('Compliance Database'!$B$2:$B$630,MATCH(340,'Transfer Engine'!$C$2:$C$630,0)))</f>
        <v/>
      </c>
      <c r="C349">
        <f>IF(ISNA(MATCH(340,'Transfer Engine'!$C$2:$C$630,0)),"",INDEX('Compliance Database'!$C$2:$C$630,MATCH(340,'Transfer Engine'!$C$2:$C$630,0)))</f>
        <v/>
      </c>
      <c r="D349" s="8">
        <f>IF(ISNA(MATCH(340,'Transfer Engine'!$C$2:$C$630,0)),"",INDEX('Compliance Database'!$D$2:$D$630,MATCH(340,'Transfer Engine'!$C$2:$C$630,0)))</f>
        <v/>
      </c>
      <c r="E349">
        <f>IF(ISNA(MATCH(340,'Transfer Engine'!$C$2:$C$630,0)),"",INDEX('Compliance Database'!$E$2:$E$630,MATCH(340,'Transfer Engine'!$C$2:$C$630,0)))</f>
        <v/>
      </c>
      <c r="F349">
        <f>IF(ISNA(MATCH(340,'Transfer Engine'!$C$2:$C$630,0)),"",INDEX('Compliance Database'!$F$2:$F$630,MATCH(340,'Transfer Engine'!$C$2:$C$630,0)))</f>
        <v/>
      </c>
      <c r="G349">
        <f>IF(ISNA(MATCH(340,'Transfer Engine'!$C$2:$C$630,0)),"",INDEX('Compliance Database'!$G$2:$G$630,MATCH(340,'Transfer Engine'!$C$2:$C$630,0)))</f>
        <v/>
      </c>
      <c r="H349">
        <f>IF(ISNA(MATCH(340,'Transfer Engine'!$C$2:$C$630,0)),"",INDEX('Compliance Database'!$H$2:$H$630,MATCH(340,'Transfer Engine'!$C$2:$C$630,0)))</f>
        <v/>
      </c>
      <c r="I349" s="8">
        <f>IF(ISNA(MATCH(340,'Transfer Engine'!$C$2:$C$630,0)),"",INDEX('Compliance Database'!$I$2:$I$630,MATCH(340,'Transfer Engine'!$C$2:$C$630,0)))</f>
        <v/>
      </c>
      <c r="J349" s="8">
        <f>IF(ISNA(MATCH(340,'Transfer Engine'!$C$2:$C$630,0)),"",INDEX('Compliance Database'!$J$2:$J$630,MATCH(340,'Transfer Engine'!$C$2:$C$630,0)))</f>
        <v/>
      </c>
      <c r="K349">
        <f>IF(ISNA(MATCH(340,'Transfer Engine'!$C$2:$C$630,0)),"",INDEX('Compliance Database'!$K$2:$K$630,MATCH(340,'Transfer Engine'!$C$2:$C$630,0)))</f>
        <v/>
      </c>
      <c r="L349" s="8">
        <f>IF(ISNA(MATCH(340,'Transfer Engine'!$C$2:$C$630,0)),"",INDEX('Compliance Database'!$L$2:$L$630,MATCH(340,'Transfer Engine'!$C$2:$C$630,0)))</f>
        <v/>
      </c>
      <c r="M349" s="8">
        <f>IF(ISNA(MATCH(340,'Transfer Engine'!$C$2:$C$630,0)),"",INDEX('Compliance Database'!$M$2:$M$630,MATCH(340,'Transfer Engine'!$C$2:$C$630,0)))</f>
        <v/>
      </c>
      <c r="N349" s="8">
        <f>IF(ISNA(MATCH(340,'Transfer Engine'!$C$2:$C$630,0)),"",INDEX('Compliance Database'!$N$2:$N$630,MATCH(340,'Transfer Engine'!$C$2:$C$630,0)))</f>
        <v/>
      </c>
      <c r="O349" s="8">
        <f>IF(ISNA(MATCH(340,'Transfer Engine'!$C$2:$C$630,0)),"",INDEX('Compliance Database'!$O$2:$O$630,MATCH(340,'Transfer Engine'!$C$2:$C$630,0)))</f>
        <v/>
      </c>
    </row>
    <row r="350">
      <c r="A350">
        <f>IF(ISNA(MATCH(341,'Transfer Engine'!$C$2:$C$630,0)),"",INDEX('Compliance Database'!$A$2:$A$630,MATCH(341,'Transfer Engine'!$C$2:$C$630,0)))</f>
        <v/>
      </c>
      <c r="B350">
        <f>IF(ISNA(MATCH(341,'Transfer Engine'!$C$2:$C$630,0)),"",INDEX('Compliance Database'!$B$2:$B$630,MATCH(341,'Transfer Engine'!$C$2:$C$630,0)))</f>
        <v/>
      </c>
      <c r="C350">
        <f>IF(ISNA(MATCH(341,'Transfer Engine'!$C$2:$C$630,0)),"",INDEX('Compliance Database'!$C$2:$C$630,MATCH(341,'Transfer Engine'!$C$2:$C$630,0)))</f>
        <v/>
      </c>
      <c r="D350" s="8">
        <f>IF(ISNA(MATCH(341,'Transfer Engine'!$C$2:$C$630,0)),"",INDEX('Compliance Database'!$D$2:$D$630,MATCH(341,'Transfer Engine'!$C$2:$C$630,0)))</f>
        <v/>
      </c>
      <c r="E350">
        <f>IF(ISNA(MATCH(341,'Transfer Engine'!$C$2:$C$630,0)),"",INDEX('Compliance Database'!$E$2:$E$630,MATCH(341,'Transfer Engine'!$C$2:$C$630,0)))</f>
        <v/>
      </c>
      <c r="F350">
        <f>IF(ISNA(MATCH(341,'Transfer Engine'!$C$2:$C$630,0)),"",INDEX('Compliance Database'!$F$2:$F$630,MATCH(341,'Transfer Engine'!$C$2:$C$630,0)))</f>
        <v/>
      </c>
      <c r="G350">
        <f>IF(ISNA(MATCH(341,'Transfer Engine'!$C$2:$C$630,0)),"",INDEX('Compliance Database'!$G$2:$G$630,MATCH(341,'Transfer Engine'!$C$2:$C$630,0)))</f>
        <v/>
      </c>
      <c r="H350">
        <f>IF(ISNA(MATCH(341,'Transfer Engine'!$C$2:$C$630,0)),"",INDEX('Compliance Database'!$H$2:$H$630,MATCH(341,'Transfer Engine'!$C$2:$C$630,0)))</f>
        <v/>
      </c>
      <c r="I350" s="8">
        <f>IF(ISNA(MATCH(341,'Transfer Engine'!$C$2:$C$630,0)),"",INDEX('Compliance Database'!$I$2:$I$630,MATCH(341,'Transfer Engine'!$C$2:$C$630,0)))</f>
        <v/>
      </c>
      <c r="J350" s="8">
        <f>IF(ISNA(MATCH(341,'Transfer Engine'!$C$2:$C$630,0)),"",INDEX('Compliance Database'!$J$2:$J$630,MATCH(341,'Transfer Engine'!$C$2:$C$630,0)))</f>
        <v/>
      </c>
      <c r="K350">
        <f>IF(ISNA(MATCH(341,'Transfer Engine'!$C$2:$C$630,0)),"",INDEX('Compliance Database'!$K$2:$K$630,MATCH(341,'Transfer Engine'!$C$2:$C$630,0)))</f>
        <v/>
      </c>
      <c r="L350" s="8">
        <f>IF(ISNA(MATCH(341,'Transfer Engine'!$C$2:$C$630,0)),"",INDEX('Compliance Database'!$L$2:$L$630,MATCH(341,'Transfer Engine'!$C$2:$C$630,0)))</f>
        <v/>
      </c>
      <c r="M350" s="8">
        <f>IF(ISNA(MATCH(341,'Transfer Engine'!$C$2:$C$630,0)),"",INDEX('Compliance Database'!$M$2:$M$630,MATCH(341,'Transfer Engine'!$C$2:$C$630,0)))</f>
        <v/>
      </c>
      <c r="N350" s="8">
        <f>IF(ISNA(MATCH(341,'Transfer Engine'!$C$2:$C$630,0)),"",INDEX('Compliance Database'!$N$2:$N$630,MATCH(341,'Transfer Engine'!$C$2:$C$630,0)))</f>
        <v/>
      </c>
      <c r="O350" s="8">
        <f>IF(ISNA(MATCH(341,'Transfer Engine'!$C$2:$C$630,0)),"",INDEX('Compliance Database'!$O$2:$O$630,MATCH(341,'Transfer Engine'!$C$2:$C$630,0)))</f>
        <v/>
      </c>
    </row>
    <row r="351">
      <c r="A351">
        <f>IF(ISNA(MATCH(342,'Transfer Engine'!$C$2:$C$630,0)),"",INDEX('Compliance Database'!$A$2:$A$630,MATCH(342,'Transfer Engine'!$C$2:$C$630,0)))</f>
        <v/>
      </c>
      <c r="B351">
        <f>IF(ISNA(MATCH(342,'Transfer Engine'!$C$2:$C$630,0)),"",INDEX('Compliance Database'!$B$2:$B$630,MATCH(342,'Transfer Engine'!$C$2:$C$630,0)))</f>
        <v/>
      </c>
      <c r="C351">
        <f>IF(ISNA(MATCH(342,'Transfer Engine'!$C$2:$C$630,0)),"",INDEX('Compliance Database'!$C$2:$C$630,MATCH(342,'Transfer Engine'!$C$2:$C$630,0)))</f>
        <v/>
      </c>
      <c r="D351" s="8">
        <f>IF(ISNA(MATCH(342,'Transfer Engine'!$C$2:$C$630,0)),"",INDEX('Compliance Database'!$D$2:$D$630,MATCH(342,'Transfer Engine'!$C$2:$C$630,0)))</f>
        <v/>
      </c>
      <c r="E351">
        <f>IF(ISNA(MATCH(342,'Transfer Engine'!$C$2:$C$630,0)),"",INDEX('Compliance Database'!$E$2:$E$630,MATCH(342,'Transfer Engine'!$C$2:$C$630,0)))</f>
        <v/>
      </c>
      <c r="F351">
        <f>IF(ISNA(MATCH(342,'Transfer Engine'!$C$2:$C$630,0)),"",INDEX('Compliance Database'!$F$2:$F$630,MATCH(342,'Transfer Engine'!$C$2:$C$630,0)))</f>
        <v/>
      </c>
      <c r="G351">
        <f>IF(ISNA(MATCH(342,'Transfer Engine'!$C$2:$C$630,0)),"",INDEX('Compliance Database'!$G$2:$G$630,MATCH(342,'Transfer Engine'!$C$2:$C$630,0)))</f>
        <v/>
      </c>
      <c r="H351">
        <f>IF(ISNA(MATCH(342,'Transfer Engine'!$C$2:$C$630,0)),"",INDEX('Compliance Database'!$H$2:$H$630,MATCH(342,'Transfer Engine'!$C$2:$C$630,0)))</f>
        <v/>
      </c>
      <c r="I351" s="8">
        <f>IF(ISNA(MATCH(342,'Transfer Engine'!$C$2:$C$630,0)),"",INDEX('Compliance Database'!$I$2:$I$630,MATCH(342,'Transfer Engine'!$C$2:$C$630,0)))</f>
        <v/>
      </c>
      <c r="J351" s="8">
        <f>IF(ISNA(MATCH(342,'Transfer Engine'!$C$2:$C$630,0)),"",INDEX('Compliance Database'!$J$2:$J$630,MATCH(342,'Transfer Engine'!$C$2:$C$630,0)))</f>
        <v/>
      </c>
      <c r="K351">
        <f>IF(ISNA(MATCH(342,'Transfer Engine'!$C$2:$C$630,0)),"",INDEX('Compliance Database'!$K$2:$K$630,MATCH(342,'Transfer Engine'!$C$2:$C$630,0)))</f>
        <v/>
      </c>
      <c r="L351" s="8">
        <f>IF(ISNA(MATCH(342,'Transfer Engine'!$C$2:$C$630,0)),"",INDEX('Compliance Database'!$L$2:$L$630,MATCH(342,'Transfer Engine'!$C$2:$C$630,0)))</f>
        <v/>
      </c>
      <c r="M351" s="8">
        <f>IF(ISNA(MATCH(342,'Transfer Engine'!$C$2:$C$630,0)),"",INDEX('Compliance Database'!$M$2:$M$630,MATCH(342,'Transfer Engine'!$C$2:$C$630,0)))</f>
        <v/>
      </c>
      <c r="N351" s="8">
        <f>IF(ISNA(MATCH(342,'Transfer Engine'!$C$2:$C$630,0)),"",INDEX('Compliance Database'!$N$2:$N$630,MATCH(342,'Transfer Engine'!$C$2:$C$630,0)))</f>
        <v/>
      </c>
      <c r="O351" s="8">
        <f>IF(ISNA(MATCH(342,'Transfer Engine'!$C$2:$C$630,0)),"",INDEX('Compliance Database'!$O$2:$O$630,MATCH(342,'Transfer Engine'!$C$2:$C$630,0)))</f>
        <v/>
      </c>
    </row>
    <row r="352">
      <c r="A352">
        <f>IF(ISNA(MATCH(343,'Transfer Engine'!$C$2:$C$630,0)),"",INDEX('Compliance Database'!$A$2:$A$630,MATCH(343,'Transfer Engine'!$C$2:$C$630,0)))</f>
        <v/>
      </c>
      <c r="B352">
        <f>IF(ISNA(MATCH(343,'Transfer Engine'!$C$2:$C$630,0)),"",INDEX('Compliance Database'!$B$2:$B$630,MATCH(343,'Transfer Engine'!$C$2:$C$630,0)))</f>
        <v/>
      </c>
      <c r="C352">
        <f>IF(ISNA(MATCH(343,'Transfer Engine'!$C$2:$C$630,0)),"",INDEX('Compliance Database'!$C$2:$C$630,MATCH(343,'Transfer Engine'!$C$2:$C$630,0)))</f>
        <v/>
      </c>
      <c r="D352" s="8">
        <f>IF(ISNA(MATCH(343,'Transfer Engine'!$C$2:$C$630,0)),"",INDEX('Compliance Database'!$D$2:$D$630,MATCH(343,'Transfer Engine'!$C$2:$C$630,0)))</f>
        <v/>
      </c>
      <c r="E352">
        <f>IF(ISNA(MATCH(343,'Transfer Engine'!$C$2:$C$630,0)),"",INDEX('Compliance Database'!$E$2:$E$630,MATCH(343,'Transfer Engine'!$C$2:$C$630,0)))</f>
        <v/>
      </c>
      <c r="F352">
        <f>IF(ISNA(MATCH(343,'Transfer Engine'!$C$2:$C$630,0)),"",INDEX('Compliance Database'!$F$2:$F$630,MATCH(343,'Transfer Engine'!$C$2:$C$630,0)))</f>
        <v/>
      </c>
      <c r="G352">
        <f>IF(ISNA(MATCH(343,'Transfer Engine'!$C$2:$C$630,0)),"",INDEX('Compliance Database'!$G$2:$G$630,MATCH(343,'Transfer Engine'!$C$2:$C$630,0)))</f>
        <v/>
      </c>
      <c r="H352">
        <f>IF(ISNA(MATCH(343,'Transfer Engine'!$C$2:$C$630,0)),"",INDEX('Compliance Database'!$H$2:$H$630,MATCH(343,'Transfer Engine'!$C$2:$C$630,0)))</f>
        <v/>
      </c>
      <c r="I352" s="8">
        <f>IF(ISNA(MATCH(343,'Transfer Engine'!$C$2:$C$630,0)),"",INDEX('Compliance Database'!$I$2:$I$630,MATCH(343,'Transfer Engine'!$C$2:$C$630,0)))</f>
        <v/>
      </c>
      <c r="J352" s="8">
        <f>IF(ISNA(MATCH(343,'Transfer Engine'!$C$2:$C$630,0)),"",INDEX('Compliance Database'!$J$2:$J$630,MATCH(343,'Transfer Engine'!$C$2:$C$630,0)))</f>
        <v/>
      </c>
      <c r="K352">
        <f>IF(ISNA(MATCH(343,'Transfer Engine'!$C$2:$C$630,0)),"",INDEX('Compliance Database'!$K$2:$K$630,MATCH(343,'Transfer Engine'!$C$2:$C$630,0)))</f>
        <v/>
      </c>
      <c r="L352" s="8">
        <f>IF(ISNA(MATCH(343,'Transfer Engine'!$C$2:$C$630,0)),"",INDEX('Compliance Database'!$L$2:$L$630,MATCH(343,'Transfer Engine'!$C$2:$C$630,0)))</f>
        <v/>
      </c>
      <c r="M352" s="8">
        <f>IF(ISNA(MATCH(343,'Transfer Engine'!$C$2:$C$630,0)),"",INDEX('Compliance Database'!$M$2:$M$630,MATCH(343,'Transfer Engine'!$C$2:$C$630,0)))</f>
        <v/>
      </c>
      <c r="N352" s="8">
        <f>IF(ISNA(MATCH(343,'Transfer Engine'!$C$2:$C$630,0)),"",INDEX('Compliance Database'!$N$2:$N$630,MATCH(343,'Transfer Engine'!$C$2:$C$630,0)))</f>
        <v/>
      </c>
      <c r="O352" s="8">
        <f>IF(ISNA(MATCH(343,'Transfer Engine'!$C$2:$C$630,0)),"",INDEX('Compliance Database'!$O$2:$O$630,MATCH(343,'Transfer Engine'!$C$2:$C$630,0)))</f>
        <v/>
      </c>
    </row>
    <row r="353">
      <c r="A353">
        <f>IF(ISNA(MATCH(344,'Transfer Engine'!$C$2:$C$630,0)),"",INDEX('Compliance Database'!$A$2:$A$630,MATCH(344,'Transfer Engine'!$C$2:$C$630,0)))</f>
        <v/>
      </c>
      <c r="B353">
        <f>IF(ISNA(MATCH(344,'Transfer Engine'!$C$2:$C$630,0)),"",INDEX('Compliance Database'!$B$2:$B$630,MATCH(344,'Transfer Engine'!$C$2:$C$630,0)))</f>
        <v/>
      </c>
      <c r="C353">
        <f>IF(ISNA(MATCH(344,'Transfer Engine'!$C$2:$C$630,0)),"",INDEX('Compliance Database'!$C$2:$C$630,MATCH(344,'Transfer Engine'!$C$2:$C$630,0)))</f>
        <v/>
      </c>
      <c r="D353" s="8">
        <f>IF(ISNA(MATCH(344,'Transfer Engine'!$C$2:$C$630,0)),"",INDEX('Compliance Database'!$D$2:$D$630,MATCH(344,'Transfer Engine'!$C$2:$C$630,0)))</f>
        <v/>
      </c>
      <c r="E353">
        <f>IF(ISNA(MATCH(344,'Transfer Engine'!$C$2:$C$630,0)),"",INDEX('Compliance Database'!$E$2:$E$630,MATCH(344,'Transfer Engine'!$C$2:$C$630,0)))</f>
        <v/>
      </c>
      <c r="F353">
        <f>IF(ISNA(MATCH(344,'Transfer Engine'!$C$2:$C$630,0)),"",INDEX('Compliance Database'!$F$2:$F$630,MATCH(344,'Transfer Engine'!$C$2:$C$630,0)))</f>
        <v/>
      </c>
      <c r="G353">
        <f>IF(ISNA(MATCH(344,'Transfer Engine'!$C$2:$C$630,0)),"",INDEX('Compliance Database'!$G$2:$G$630,MATCH(344,'Transfer Engine'!$C$2:$C$630,0)))</f>
        <v/>
      </c>
      <c r="H353">
        <f>IF(ISNA(MATCH(344,'Transfer Engine'!$C$2:$C$630,0)),"",INDEX('Compliance Database'!$H$2:$H$630,MATCH(344,'Transfer Engine'!$C$2:$C$630,0)))</f>
        <v/>
      </c>
      <c r="I353" s="8">
        <f>IF(ISNA(MATCH(344,'Transfer Engine'!$C$2:$C$630,0)),"",INDEX('Compliance Database'!$I$2:$I$630,MATCH(344,'Transfer Engine'!$C$2:$C$630,0)))</f>
        <v/>
      </c>
      <c r="J353" s="8">
        <f>IF(ISNA(MATCH(344,'Transfer Engine'!$C$2:$C$630,0)),"",INDEX('Compliance Database'!$J$2:$J$630,MATCH(344,'Transfer Engine'!$C$2:$C$630,0)))</f>
        <v/>
      </c>
      <c r="K353">
        <f>IF(ISNA(MATCH(344,'Transfer Engine'!$C$2:$C$630,0)),"",INDEX('Compliance Database'!$K$2:$K$630,MATCH(344,'Transfer Engine'!$C$2:$C$630,0)))</f>
        <v/>
      </c>
      <c r="L353" s="8">
        <f>IF(ISNA(MATCH(344,'Transfer Engine'!$C$2:$C$630,0)),"",INDEX('Compliance Database'!$L$2:$L$630,MATCH(344,'Transfer Engine'!$C$2:$C$630,0)))</f>
        <v/>
      </c>
      <c r="M353" s="8">
        <f>IF(ISNA(MATCH(344,'Transfer Engine'!$C$2:$C$630,0)),"",INDEX('Compliance Database'!$M$2:$M$630,MATCH(344,'Transfer Engine'!$C$2:$C$630,0)))</f>
        <v/>
      </c>
      <c r="N353" s="8">
        <f>IF(ISNA(MATCH(344,'Transfer Engine'!$C$2:$C$630,0)),"",INDEX('Compliance Database'!$N$2:$N$630,MATCH(344,'Transfer Engine'!$C$2:$C$630,0)))</f>
        <v/>
      </c>
      <c r="O353" s="8">
        <f>IF(ISNA(MATCH(344,'Transfer Engine'!$C$2:$C$630,0)),"",INDEX('Compliance Database'!$O$2:$O$630,MATCH(344,'Transfer Engine'!$C$2:$C$630,0)))</f>
        <v/>
      </c>
    </row>
    <row r="354">
      <c r="A354">
        <f>IF(ISNA(MATCH(345,'Transfer Engine'!$C$2:$C$630,0)),"",INDEX('Compliance Database'!$A$2:$A$630,MATCH(345,'Transfer Engine'!$C$2:$C$630,0)))</f>
        <v/>
      </c>
      <c r="B354">
        <f>IF(ISNA(MATCH(345,'Transfer Engine'!$C$2:$C$630,0)),"",INDEX('Compliance Database'!$B$2:$B$630,MATCH(345,'Transfer Engine'!$C$2:$C$630,0)))</f>
        <v/>
      </c>
      <c r="C354">
        <f>IF(ISNA(MATCH(345,'Transfer Engine'!$C$2:$C$630,0)),"",INDEX('Compliance Database'!$C$2:$C$630,MATCH(345,'Transfer Engine'!$C$2:$C$630,0)))</f>
        <v/>
      </c>
      <c r="D354" s="8">
        <f>IF(ISNA(MATCH(345,'Transfer Engine'!$C$2:$C$630,0)),"",INDEX('Compliance Database'!$D$2:$D$630,MATCH(345,'Transfer Engine'!$C$2:$C$630,0)))</f>
        <v/>
      </c>
      <c r="E354">
        <f>IF(ISNA(MATCH(345,'Transfer Engine'!$C$2:$C$630,0)),"",INDEX('Compliance Database'!$E$2:$E$630,MATCH(345,'Transfer Engine'!$C$2:$C$630,0)))</f>
        <v/>
      </c>
      <c r="F354">
        <f>IF(ISNA(MATCH(345,'Transfer Engine'!$C$2:$C$630,0)),"",INDEX('Compliance Database'!$F$2:$F$630,MATCH(345,'Transfer Engine'!$C$2:$C$630,0)))</f>
        <v/>
      </c>
      <c r="G354">
        <f>IF(ISNA(MATCH(345,'Transfer Engine'!$C$2:$C$630,0)),"",INDEX('Compliance Database'!$G$2:$G$630,MATCH(345,'Transfer Engine'!$C$2:$C$630,0)))</f>
        <v/>
      </c>
      <c r="H354">
        <f>IF(ISNA(MATCH(345,'Transfer Engine'!$C$2:$C$630,0)),"",INDEX('Compliance Database'!$H$2:$H$630,MATCH(345,'Transfer Engine'!$C$2:$C$630,0)))</f>
        <v/>
      </c>
      <c r="I354" s="8">
        <f>IF(ISNA(MATCH(345,'Transfer Engine'!$C$2:$C$630,0)),"",INDEX('Compliance Database'!$I$2:$I$630,MATCH(345,'Transfer Engine'!$C$2:$C$630,0)))</f>
        <v/>
      </c>
      <c r="J354" s="8">
        <f>IF(ISNA(MATCH(345,'Transfer Engine'!$C$2:$C$630,0)),"",INDEX('Compliance Database'!$J$2:$J$630,MATCH(345,'Transfer Engine'!$C$2:$C$630,0)))</f>
        <v/>
      </c>
      <c r="K354">
        <f>IF(ISNA(MATCH(345,'Transfer Engine'!$C$2:$C$630,0)),"",INDEX('Compliance Database'!$K$2:$K$630,MATCH(345,'Transfer Engine'!$C$2:$C$630,0)))</f>
        <v/>
      </c>
      <c r="L354" s="8">
        <f>IF(ISNA(MATCH(345,'Transfer Engine'!$C$2:$C$630,0)),"",INDEX('Compliance Database'!$L$2:$L$630,MATCH(345,'Transfer Engine'!$C$2:$C$630,0)))</f>
        <v/>
      </c>
      <c r="M354" s="8">
        <f>IF(ISNA(MATCH(345,'Transfer Engine'!$C$2:$C$630,0)),"",INDEX('Compliance Database'!$M$2:$M$630,MATCH(345,'Transfer Engine'!$C$2:$C$630,0)))</f>
        <v/>
      </c>
      <c r="N354" s="8">
        <f>IF(ISNA(MATCH(345,'Transfer Engine'!$C$2:$C$630,0)),"",INDEX('Compliance Database'!$N$2:$N$630,MATCH(345,'Transfer Engine'!$C$2:$C$630,0)))</f>
        <v/>
      </c>
      <c r="O354" s="8">
        <f>IF(ISNA(MATCH(345,'Transfer Engine'!$C$2:$C$630,0)),"",INDEX('Compliance Database'!$O$2:$O$630,MATCH(345,'Transfer Engine'!$C$2:$C$630,0)))</f>
        <v/>
      </c>
    </row>
    <row r="355">
      <c r="A355">
        <f>IF(ISNA(MATCH(346,'Transfer Engine'!$C$2:$C$630,0)),"",INDEX('Compliance Database'!$A$2:$A$630,MATCH(346,'Transfer Engine'!$C$2:$C$630,0)))</f>
        <v/>
      </c>
      <c r="B355">
        <f>IF(ISNA(MATCH(346,'Transfer Engine'!$C$2:$C$630,0)),"",INDEX('Compliance Database'!$B$2:$B$630,MATCH(346,'Transfer Engine'!$C$2:$C$630,0)))</f>
        <v/>
      </c>
      <c r="C355">
        <f>IF(ISNA(MATCH(346,'Transfer Engine'!$C$2:$C$630,0)),"",INDEX('Compliance Database'!$C$2:$C$630,MATCH(346,'Transfer Engine'!$C$2:$C$630,0)))</f>
        <v/>
      </c>
      <c r="D355" s="8">
        <f>IF(ISNA(MATCH(346,'Transfer Engine'!$C$2:$C$630,0)),"",INDEX('Compliance Database'!$D$2:$D$630,MATCH(346,'Transfer Engine'!$C$2:$C$630,0)))</f>
        <v/>
      </c>
      <c r="E355">
        <f>IF(ISNA(MATCH(346,'Transfer Engine'!$C$2:$C$630,0)),"",INDEX('Compliance Database'!$E$2:$E$630,MATCH(346,'Transfer Engine'!$C$2:$C$630,0)))</f>
        <v/>
      </c>
      <c r="F355">
        <f>IF(ISNA(MATCH(346,'Transfer Engine'!$C$2:$C$630,0)),"",INDEX('Compliance Database'!$F$2:$F$630,MATCH(346,'Transfer Engine'!$C$2:$C$630,0)))</f>
        <v/>
      </c>
      <c r="G355">
        <f>IF(ISNA(MATCH(346,'Transfer Engine'!$C$2:$C$630,0)),"",INDEX('Compliance Database'!$G$2:$G$630,MATCH(346,'Transfer Engine'!$C$2:$C$630,0)))</f>
        <v/>
      </c>
      <c r="H355">
        <f>IF(ISNA(MATCH(346,'Transfer Engine'!$C$2:$C$630,0)),"",INDEX('Compliance Database'!$H$2:$H$630,MATCH(346,'Transfer Engine'!$C$2:$C$630,0)))</f>
        <v/>
      </c>
      <c r="I355" s="8">
        <f>IF(ISNA(MATCH(346,'Transfer Engine'!$C$2:$C$630,0)),"",INDEX('Compliance Database'!$I$2:$I$630,MATCH(346,'Transfer Engine'!$C$2:$C$630,0)))</f>
        <v/>
      </c>
      <c r="J355" s="8">
        <f>IF(ISNA(MATCH(346,'Transfer Engine'!$C$2:$C$630,0)),"",INDEX('Compliance Database'!$J$2:$J$630,MATCH(346,'Transfer Engine'!$C$2:$C$630,0)))</f>
        <v/>
      </c>
      <c r="K355">
        <f>IF(ISNA(MATCH(346,'Transfer Engine'!$C$2:$C$630,0)),"",INDEX('Compliance Database'!$K$2:$K$630,MATCH(346,'Transfer Engine'!$C$2:$C$630,0)))</f>
        <v/>
      </c>
      <c r="L355" s="8">
        <f>IF(ISNA(MATCH(346,'Transfer Engine'!$C$2:$C$630,0)),"",INDEX('Compliance Database'!$L$2:$L$630,MATCH(346,'Transfer Engine'!$C$2:$C$630,0)))</f>
        <v/>
      </c>
      <c r="M355" s="8">
        <f>IF(ISNA(MATCH(346,'Transfer Engine'!$C$2:$C$630,0)),"",INDEX('Compliance Database'!$M$2:$M$630,MATCH(346,'Transfer Engine'!$C$2:$C$630,0)))</f>
        <v/>
      </c>
      <c r="N355" s="8">
        <f>IF(ISNA(MATCH(346,'Transfer Engine'!$C$2:$C$630,0)),"",INDEX('Compliance Database'!$N$2:$N$630,MATCH(346,'Transfer Engine'!$C$2:$C$630,0)))</f>
        <v/>
      </c>
      <c r="O355" s="8">
        <f>IF(ISNA(MATCH(346,'Transfer Engine'!$C$2:$C$630,0)),"",INDEX('Compliance Database'!$O$2:$O$630,MATCH(346,'Transfer Engine'!$C$2:$C$630,0)))</f>
        <v/>
      </c>
    </row>
    <row r="356">
      <c r="A356">
        <f>IF(ISNA(MATCH(347,'Transfer Engine'!$C$2:$C$630,0)),"",INDEX('Compliance Database'!$A$2:$A$630,MATCH(347,'Transfer Engine'!$C$2:$C$630,0)))</f>
        <v/>
      </c>
      <c r="B356">
        <f>IF(ISNA(MATCH(347,'Transfer Engine'!$C$2:$C$630,0)),"",INDEX('Compliance Database'!$B$2:$B$630,MATCH(347,'Transfer Engine'!$C$2:$C$630,0)))</f>
        <v/>
      </c>
      <c r="C356">
        <f>IF(ISNA(MATCH(347,'Transfer Engine'!$C$2:$C$630,0)),"",INDEX('Compliance Database'!$C$2:$C$630,MATCH(347,'Transfer Engine'!$C$2:$C$630,0)))</f>
        <v/>
      </c>
      <c r="D356" s="8">
        <f>IF(ISNA(MATCH(347,'Transfer Engine'!$C$2:$C$630,0)),"",INDEX('Compliance Database'!$D$2:$D$630,MATCH(347,'Transfer Engine'!$C$2:$C$630,0)))</f>
        <v/>
      </c>
      <c r="E356">
        <f>IF(ISNA(MATCH(347,'Transfer Engine'!$C$2:$C$630,0)),"",INDEX('Compliance Database'!$E$2:$E$630,MATCH(347,'Transfer Engine'!$C$2:$C$630,0)))</f>
        <v/>
      </c>
      <c r="F356">
        <f>IF(ISNA(MATCH(347,'Transfer Engine'!$C$2:$C$630,0)),"",INDEX('Compliance Database'!$F$2:$F$630,MATCH(347,'Transfer Engine'!$C$2:$C$630,0)))</f>
        <v/>
      </c>
      <c r="G356">
        <f>IF(ISNA(MATCH(347,'Transfer Engine'!$C$2:$C$630,0)),"",INDEX('Compliance Database'!$G$2:$G$630,MATCH(347,'Transfer Engine'!$C$2:$C$630,0)))</f>
        <v/>
      </c>
      <c r="H356">
        <f>IF(ISNA(MATCH(347,'Transfer Engine'!$C$2:$C$630,0)),"",INDEX('Compliance Database'!$H$2:$H$630,MATCH(347,'Transfer Engine'!$C$2:$C$630,0)))</f>
        <v/>
      </c>
      <c r="I356" s="8">
        <f>IF(ISNA(MATCH(347,'Transfer Engine'!$C$2:$C$630,0)),"",INDEX('Compliance Database'!$I$2:$I$630,MATCH(347,'Transfer Engine'!$C$2:$C$630,0)))</f>
        <v/>
      </c>
      <c r="J356" s="8">
        <f>IF(ISNA(MATCH(347,'Transfer Engine'!$C$2:$C$630,0)),"",INDEX('Compliance Database'!$J$2:$J$630,MATCH(347,'Transfer Engine'!$C$2:$C$630,0)))</f>
        <v/>
      </c>
      <c r="K356">
        <f>IF(ISNA(MATCH(347,'Transfer Engine'!$C$2:$C$630,0)),"",INDEX('Compliance Database'!$K$2:$K$630,MATCH(347,'Transfer Engine'!$C$2:$C$630,0)))</f>
        <v/>
      </c>
      <c r="L356" s="8">
        <f>IF(ISNA(MATCH(347,'Transfer Engine'!$C$2:$C$630,0)),"",INDEX('Compliance Database'!$L$2:$L$630,MATCH(347,'Transfer Engine'!$C$2:$C$630,0)))</f>
        <v/>
      </c>
      <c r="M356" s="8">
        <f>IF(ISNA(MATCH(347,'Transfer Engine'!$C$2:$C$630,0)),"",INDEX('Compliance Database'!$M$2:$M$630,MATCH(347,'Transfer Engine'!$C$2:$C$630,0)))</f>
        <v/>
      </c>
      <c r="N356" s="8">
        <f>IF(ISNA(MATCH(347,'Transfer Engine'!$C$2:$C$630,0)),"",INDEX('Compliance Database'!$N$2:$N$630,MATCH(347,'Transfer Engine'!$C$2:$C$630,0)))</f>
        <v/>
      </c>
      <c r="O356" s="8">
        <f>IF(ISNA(MATCH(347,'Transfer Engine'!$C$2:$C$630,0)),"",INDEX('Compliance Database'!$O$2:$O$630,MATCH(347,'Transfer Engine'!$C$2:$C$630,0)))</f>
        <v/>
      </c>
    </row>
    <row r="357">
      <c r="A357">
        <f>IF(ISNA(MATCH(348,'Transfer Engine'!$C$2:$C$630,0)),"",INDEX('Compliance Database'!$A$2:$A$630,MATCH(348,'Transfer Engine'!$C$2:$C$630,0)))</f>
        <v/>
      </c>
      <c r="B357">
        <f>IF(ISNA(MATCH(348,'Transfer Engine'!$C$2:$C$630,0)),"",INDEX('Compliance Database'!$B$2:$B$630,MATCH(348,'Transfer Engine'!$C$2:$C$630,0)))</f>
        <v/>
      </c>
      <c r="C357">
        <f>IF(ISNA(MATCH(348,'Transfer Engine'!$C$2:$C$630,0)),"",INDEX('Compliance Database'!$C$2:$C$630,MATCH(348,'Transfer Engine'!$C$2:$C$630,0)))</f>
        <v/>
      </c>
      <c r="D357" s="8">
        <f>IF(ISNA(MATCH(348,'Transfer Engine'!$C$2:$C$630,0)),"",INDEX('Compliance Database'!$D$2:$D$630,MATCH(348,'Transfer Engine'!$C$2:$C$630,0)))</f>
        <v/>
      </c>
      <c r="E357">
        <f>IF(ISNA(MATCH(348,'Transfer Engine'!$C$2:$C$630,0)),"",INDEX('Compliance Database'!$E$2:$E$630,MATCH(348,'Transfer Engine'!$C$2:$C$630,0)))</f>
        <v/>
      </c>
      <c r="F357">
        <f>IF(ISNA(MATCH(348,'Transfer Engine'!$C$2:$C$630,0)),"",INDEX('Compliance Database'!$F$2:$F$630,MATCH(348,'Transfer Engine'!$C$2:$C$630,0)))</f>
        <v/>
      </c>
      <c r="G357">
        <f>IF(ISNA(MATCH(348,'Transfer Engine'!$C$2:$C$630,0)),"",INDEX('Compliance Database'!$G$2:$G$630,MATCH(348,'Transfer Engine'!$C$2:$C$630,0)))</f>
        <v/>
      </c>
      <c r="H357">
        <f>IF(ISNA(MATCH(348,'Transfer Engine'!$C$2:$C$630,0)),"",INDEX('Compliance Database'!$H$2:$H$630,MATCH(348,'Transfer Engine'!$C$2:$C$630,0)))</f>
        <v/>
      </c>
      <c r="I357" s="8">
        <f>IF(ISNA(MATCH(348,'Transfer Engine'!$C$2:$C$630,0)),"",INDEX('Compliance Database'!$I$2:$I$630,MATCH(348,'Transfer Engine'!$C$2:$C$630,0)))</f>
        <v/>
      </c>
      <c r="J357" s="8">
        <f>IF(ISNA(MATCH(348,'Transfer Engine'!$C$2:$C$630,0)),"",INDEX('Compliance Database'!$J$2:$J$630,MATCH(348,'Transfer Engine'!$C$2:$C$630,0)))</f>
        <v/>
      </c>
      <c r="K357">
        <f>IF(ISNA(MATCH(348,'Transfer Engine'!$C$2:$C$630,0)),"",INDEX('Compliance Database'!$K$2:$K$630,MATCH(348,'Transfer Engine'!$C$2:$C$630,0)))</f>
        <v/>
      </c>
      <c r="L357" s="8">
        <f>IF(ISNA(MATCH(348,'Transfer Engine'!$C$2:$C$630,0)),"",INDEX('Compliance Database'!$L$2:$L$630,MATCH(348,'Transfer Engine'!$C$2:$C$630,0)))</f>
        <v/>
      </c>
      <c r="M357" s="8">
        <f>IF(ISNA(MATCH(348,'Transfer Engine'!$C$2:$C$630,0)),"",INDEX('Compliance Database'!$M$2:$M$630,MATCH(348,'Transfer Engine'!$C$2:$C$630,0)))</f>
        <v/>
      </c>
      <c r="N357" s="8">
        <f>IF(ISNA(MATCH(348,'Transfer Engine'!$C$2:$C$630,0)),"",INDEX('Compliance Database'!$N$2:$N$630,MATCH(348,'Transfer Engine'!$C$2:$C$630,0)))</f>
        <v/>
      </c>
      <c r="O357" s="8">
        <f>IF(ISNA(MATCH(348,'Transfer Engine'!$C$2:$C$630,0)),"",INDEX('Compliance Database'!$O$2:$O$630,MATCH(348,'Transfer Engine'!$C$2:$C$630,0)))</f>
        <v/>
      </c>
    </row>
    <row r="358">
      <c r="A358">
        <f>IF(ISNA(MATCH(349,'Transfer Engine'!$C$2:$C$630,0)),"",INDEX('Compliance Database'!$A$2:$A$630,MATCH(349,'Transfer Engine'!$C$2:$C$630,0)))</f>
        <v/>
      </c>
      <c r="B358">
        <f>IF(ISNA(MATCH(349,'Transfer Engine'!$C$2:$C$630,0)),"",INDEX('Compliance Database'!$B$2:$B$630,MATCH(349,'Transfer Engine'!$C$2:$C$630,0)))</f>
        <v/>
      </c>
      <c r="C358">
        <f>IF(ISNA(MATCH(349,'Transfer Engine'!$C$2:$C$630,0)),"",INDEX('Compliance Database'!$C$2:$C$630,MATCH(349,'Transfer Engine'!$C$2:$C$630,0)))</f>
        <v/>
      </c>
      <c r="D358" s="8">
        <f>IF(ISNA(MATCH(349,'Transfer Engine'!$C$2:$C$630,0)),"",INDEX('Compliance Database'!$D$2:$D$630,MATCH(349,'Transfer Engine'!$C$2:$C$630,0)))</f>
        <v/>
      </c>
      <c r="E358">
        <f>IF(ISNA(MATCH(349,'Transfer Engine'!$C$2:$C$630,0)),"",INDEX('Compliance Database'!$E$2:$E$630,MATCH(349,'Transfer Engine'!$C$2:$C$630,0)))</f>
        <v/>
      </c>
      <c r="F358">
        <f>IF(ISNA(MATCH(349,'Transfer Engine'!$C$2:$C$630,0)),"",INDEX('Compliance Database'!$F$2:$F$630,MATCH(349,'Transfer Engine'!$C$2:$C$630,0)))</f>
        <v/>
      </c>
      <c r="G358">
        <f>IF(ISNA(MATCH(349,'Transfer Engine'!$C$2:$C$630,0)),"",INDEX('Compliance Database'!$G$2:$G$630,MATCH(349,'Transfer Engine'!$C$2:$C$630,0)))</f>
        <v/>
      </c>
      <c r="H358">
        <f>IF(ISNA(MATCH(349,'Transfer Engine'!$C$2:$C$630,0)),"",INDEX('Compliance Database'!$H$2:$H$630,MATCH(349,'Transfer Engine'!$C$2:$C$630,0)))</f>
        <v/>
      </c>
      <c r="I358" s="8">
        <f>IF(ISNA(MATCH(349,'Transfer Engine'!$C$2:$C$630,0)),"",INDEX('Compliance Database'!$I$2:$I$630,MATCH(349,'Transfer Engine'!$C$2:$C$630,0)))</f>
        <v/>
      </c>
      <c r="J358" s="8">
        <f>IF(ISNA(MATCH(349,'Transfer Engine'!$C$2:$C$630,0)),"",INDEX('Compliance Database'!$J$2:$J$630,MATCH(349,'Transfer Engine'!$C$2:$C$630,0)))</f>
        <v/>
      </c>
      <c r="K358">
        <f>IF(ISNA(MATCH(349,'Transfer Engine'!$C$2:$C$630,0)),"",INDEX('Compliance Database'!$K$2:$K$630,MATCH(349,'Transfer Engine'!$C$2:$C$630,0)))</f>
        <v/>
      </c>
      <c r="L358" s="8">
        <f>IF(ISNA(MATCH(349,'Transfer Engine'!$C$2:$C$630,0)),"",INDEX('Compliance Database'!$L$2:$L$630,MATCH(349,'Transfer Engine'!$C$2:$C$630,0)))</f>
        <v/>
      </c>
      <c r="M358" s="8">
        <f>IF(ISNA(MATCH(349,'Transfer Engine'!$C$2:$C$630,0)),"",INDEX('Compliance Database'!$M$2:$M$630,MATCH(349,'Transfer Engine'!$C$2:$C$630,0)))</f>
        <v/>
      </c>
      <c r="N358" s="8">
        <f>IF(ISNA(MATCH(349,'Transfer Engine'!$C$2:$C$630,0)),"",INDEX('Compliance Database'!$N$2:$N$630,MATCH(349,'Transfer Engine'!$C$2:$C$630,0)))</f>
        <v/>
      </c>
      <c r="O358" s="8">
        <f>IF(ISNA(MATCH(349,'Transfer Engine'!$C$2:$C$630,0)),"",INDEX('Compliance Database'!$O$2:$O$630,MATCH(349,'Transfer Engine'!$C$2:$C$630,0)))</f>
        <v/>
      </c>
    </row>
    <row r="359">
      <c r="A359">
        <f>IF(ISNA(MATCH(350,'Transfer Engine'!$C$2:$C$630,0)),"",INDEX('Compliance Database'!$A$2:$A$630,MATCH(350,'Transfer Engine'!$C$2:$C$630,0)))</f>
        <v/>
      </c>
      <c r="B359">
        <f>IF(ISNA(MATCH(350,'Transfer Engine'!$C$2:$C$630,0)),"",INDEX('Compliance Database'!$B$2:$B$630,MATCH(350,'Transfer Engine'!$C$2:$C$630,0)))</f>
        <v/>
      </c>
      <c r="C359">
        <f>IF(ISNA(MATCH(350,'Transfer Engine'!$C$2:$C$630,0)),"",INDEX('Compliance Database'!$C$2:$C$630,MATCH(350,'Transfer Engine'!$C$2:$C$630,0)))</f>
        <v/>
      </c>
      <c r="D359" s="8">
        <f>IF(ISNA(MATCH(350,'Transfer Engine'!$C$2:$C$630,0)),"",INDEX('Compliance Database'!$D$2:$D$630,MATCH(350,'Transfer Engine'!$C$2:$C$630,0)))</f>
        <v/>
      </c>
      <c r="E359">
        <f>IF(ISNA(MATCH(350,'Transfer Engine'!$C$2:$C$630,0)),"",INDEX('Compliance Database'!$E$2:$E$630,MATCH(350,'Transfer Engine'!$C$2:$C$630,0)))</f>
        <v/>
      </c>
      <c r="F359">
        <f>IF(ISNA(MATCH(350,'Transfer Engine'!$C$2:$C$630,0)),"",INDEX('Compliance Database'!$F$2:$F$630,MATCH(350,'Transfer Engine'!$C$2:$C$630,0)))</f>
        <v/>
      </c>
      <c r="G359">
        <f>IF(ISNA(MATCH(350,'Transfer Engine'!$C$2:$C$630,0)),"",INDEX('Compliance Database'!$G$2:$G$630,MATCH(350,'Transfer Engine'!$C$2:$C$630,0)))</f>
        <v/>
      </c>
      <c r="H359">
        <f>IF(ISNA(MATCH(350,'Transfer Engine'!$C$2:$C$630,0)),"",INDEX('Compliance Database'!$H$2:$H$630,MATCH(350,'Transfer Engine'!$C$2:$C$630,0)))</f>
        <v/>
      </c>
      <c r="I359" s="8">
        <f>IF(ISNA(MATCH(350,'Transfer Engine'!$C$2:$C$630,0)),"",INDEX('Compliance Database'!$I$2:$I$630,MATCH(350,'Transfer Engine'!$C$2:$C$630,0)))</f>
        <v/>
      </c>
      <c r="J359" s="8">
        <f>IF(ISNA(MATCH(350,'Transfer Engine'!$C$2:$C$630,0)),"",INDEX('Compliance Database'!$J$2:$J$630,MATCH(350,'Transfer Engine'!$C$2:$C$630,0)))</f>
        <v/>
      </c>
      <c r="K359">
        <f>IF(ISNA(MATCH(350,'Transfer Engine'!$C$2:$C$630,0)),"",INDEX('Compliance Database'!$K$2:$K$630,MATCH(350,'Transfer Engine'!$C$2:$C$630,0)))</f>
        <v/>
      </c>
      <c r="L359" s="8">
        <f>IF(ISNA(MATCH(350,'Transfer Engine'!$C$2:$C$630,0)),"",INDEX('Compliance Database'!$L$2:$L$630,MATCH(350,'Transfer Engine'!$C$2:$C$630,0)))</f>
        <v/>
      </c>
      <c r="M359" s="8">
        <f>IF(ISNA(MATCH(350,'Transfer Engine'!$C$2:$C$630,0)),"",INDEX('Compliance Database'!$M$2:$M$630,MATCH(350,'Transfer Engine'!$C$2:$C$630,0)))</f>
        <v/>
      </c>
      <c r="N359" s="8">
        <f>IF(ISNA(MATCH(350,'Transfer Engine'!$C$2:$C$630,0)),"",INDEX('Compliance Database'!$N$2:$N$630,MATCH(350,'Transfer Engine'!$C$2:$C$630,0)))</f>
        <v/>
      </c>
      <c r="O359" s="8">
        <f>IF(ISNA(MATCH(350,'Transfer Engine'!$C$2:$C$630,0)),"",INDEX('Compliance Database'!$O$2:$O$630,MATCH(350,'Transfer Engine'!$C$2:$C$630,0)))</f>
        <v/>
      </c>
    </row>
    <row r="360">
      <c r="A360">
        <f>IF(ISNA(MATCH(351,'Transfer Engine'!$C$2:$C$630,0)),"",INDEX('Compliance Database'!$A$2:$A$630,MATCH(351,'Transfer Engine'!$C$2:$C$630,0)))</f>
        <v/>
      </c>
      <c r="B360">
        <f>IF(ISNA(MATCH(351,'Transfer Engine'!$C$2:$C$630,0)),"",INDEX('Compliance Database'!$B$2:$B$630,MATCH(351,'Transfer Engine'!$C$2:$C$630,0)))</f>
        <v/>
      </c>
      <c r="C360">
        <f>IF(ISNA(MATCH(351,'Transfer Engine'!$C$2:$C$630,0)),"",INDEX('Compliance Database'!$C$2:$C$630,MATCH(351,'Transfer Engine'!$C$2:$C$630,0)))</f>
        <v/>
      </c>
      <c r="D360" s="8">
        <f>IF(ISNA(MATCH(351,'Transfer Engine'!$C$2:$C$630,0)),"",INDEX('Compliance Database'!$D$2:$D$630,MATCH(351,'Transfer Engine'!$C$2:$C$630,0)))</f>
        <v/>
      </c>
      <c r="E360">
        <f>IF(ISNA(MATCH(351,'Transfer Engine'!$C$2:$C$630,0)),"",INDEX('Compliance Database'!$E$2:$E$630,MATCH(351,'Transfer Engine'!$C$2:$C$630,0)))</f>
        <v/>
      </c>
      <c r="F360">
        <f>IF(ISNA(MATCH(351,'Transfer Engine'!$C$2:$C$630,0)),"",INDEX('Compliance Database'!$F$2:$F$630,MATCH(351,'Transfer Engine'!$C$2:$C$630,0)))</f>
        <v/>
      </c>
      <c r="G360">
        <f>IF(ISNA(MATCH(351,'Transfer Engine'!$C$2:$C$630,0)),"",INDEX('Compliance Database'!$G$2:$G$630,MATCH(351,'Transfer Engine'!$C$2:$C$630,0)))</f>
        <v/>
      </c>
      <c r="H360">
        <f>IF(ISNA(MATCH(351,'Transfer Engine'!$C$2:$C$630,0)),"",INDEX('Compliance Database'!$H$2:$H$630,MATCH(351,'Transfer Engine'!$C$2:$C$630,0)))</f>
        <v/>
      </c>
      <c r="I360" s="8">
        <f>IF(ISNA(MATCH(351,'Transfer Engine'!$C$2:$C$630,0)),"",INDEX('Compliance Database'!$I$2:$I$630,MATCH(351,'Transfer Engine'!$C$2:$C$630,0)))</f>
        <v/>
      </c>
      <c r="J360" s="8">
        <f>IF(ISNA(MATCH(351,'Transfer Engine'!$C$2:$C$630,0)),"",INDEX('Compliance Database'!$J$2:$J$630,MATCH(351,'Transfer Engine'!$C$2:$C$630,0)))</f>
        <v/>
      </c>
      <c r="K360">
        <f>IF(ISNA(MATCH(351,'Transfer Engine'!$C$2:$C$630,0)),"",INDEX('Compliance Database'!$K$2:$K$630,MATCH(351,'Transfer Engine'!$C$2:$C$630,0)))</f>
        <v/>
      </c>
      <c r="L360" s="8">
        <f>IF(ISNA(MATCH(351,'Transfer Engine'!$C$2:$C$630,0)),"",INDEX('Compliance Database'!$L$2:$L$630,MATCH(351,'Transfer Engine'!$C$2:$C$630,0)))</f>
        <v/>
      </c>
      <c r="M360" s="8">
        <f>IF(ISNA(MATCH(351,'Transfer Engine'!$C$2:$C$630,0)),"",INDEX('Compliance Database'!$M$2:$M$630,MATCH(351,'Transfer Engine'!$C$2:$C$630,0)))</f>
        <v/>
      </c>
      <c r="N360" s="8">
        <f>IF(ISNA(MATCH(351,'Transfer Engine'!$C$2:$C$630,0)),"",INDEX('Compliance Database'!$N$2:$N$630,MATCH(351,'Transfer Engine'!$C$2:$C$630,0)))</f>
        <v/>
      </c>
      <c r="O360" s="8">
        <f>IF(ISNA(MATCH(351,'Transfer Engine'!$C$2:$C$630,0)),"",INDEX('Compliance Database'!$O$2:$O$630,MATCH(351,'Transfer Engine'!$C$2:$C$630,0)))</f>
        <v/>
      </c>
    </row>
    <row r="361">
      <c r="A361">
        <f>IF(ISNA(MATCH(352,'Transfer Engine'!$C$2:$C$630,0)),"",INDEX('Compliance Database'!$A$2:$A$630,MATCH(352,'Transfer Engine'!$C$2:$C$630,0)))</f>
        <v/>
      </c>
      <c r="B361">
        <f>IF(ISNA(MATCH(352,'Transfer Engine'!$C$2:$C$630,0)),"",INDEX('Compliance Database'!$B$2:$B$630,MATCH(352,'Transfer Engine'!$C$2:$C$630,0)))</f>
        <v/>
      </c>
      <c r="C361">
        <f>IF(ISNA(MATCH(352,'Transfer Engine'!$C$2:$C$630,0)),"",INDEX('Compliance Database'!$C$2:$C$630,MATCH(352,'Transfer Engine'!$C$2:$C$630,0)))</f>
        <v/>
      </c>
      <c r="D361" s="8">
        <f>IF(ISNA(MATCH(352,'Transfer Engine'!$C$2:$C$630,0)),"",INDEX('Compliance Database'!$D$2:$D$630,MATCH(352,'Transfer Engine'!$C$2:$C$630,0)))</f>
        <v/>
      </c>
      <c r="E361">
        <f>IF(ISNA(MATCH(352,'Transfer Engine'!$C$2:$C$630,0)),"",INDEX('Compliance Database'!$E$2:$E$630,MATCH(352,'Transfer Engine'!$C$2:$C$630,0)))</f>
        <v/>
      </c>
      <c r="F361">
        <f>IF(ISNA(MATCH(352,'Transfer Engine'!$C$2:$C$630,0)),"",INDEX('Compliance Database'!$F$2:$F$630,MATCH(352,'Transfer Engine'!$C$2:$C$630,0)))</f>
        <v/>
      </c>
      <c r="G361">
        <f>IF(ISNA(MATCH(352,'Transfer Engine'!$C$2:$C$630,0)),"",INDEX('Compliance Database'!$G$2:$G$630,MATCH(352,'Transfer Engine'!$C$2:$C$630,0)))</f>
        <v/>
      </c>
      <c r="H361">
        <f>IF(ISNA(MATCH(352,'Transfer Engine'!$C$2:$C$630,0)),"",INDEX('Compliance Database'!$H$2:$H$630,MATCH(352,'Transfer Engine'!$C$2:$C$630,0)))</f>
        <v/>
      </c>
      <c r="I361" s="8">
        <f>IF(ISNA(MATCH(352,'Transfer Engine'!$C$2:$C$630,0)),"",INDEX('Compliance Database'!$I$2:$I$630,MATCH(352,'Transfer Engine'!$C$2:$C$630,0)))</f>
        <v/>
      </c>
      <c r="J361" s="8">
        <f>IF(ISNA(MATCH(352,'Transfer Engine'!$C$2:$C$630,0)),"",INDEX('Compliance Database'!$J$2:$J$630,MATCH(352,'Transfer Engine'!$C$2:$C$630,0)))</f>
        <v/>
      </c>
      <c r="K361">
        <f>IF(ISNA(MATCH(352,'Transfer Engine'!$C$2:$C$630,0)),"",INDEX('Compliance Database'!$K$2:$K$630,MATCH(352,'Transfer Engine'!$C$2:$C$630,0)))</f>
        <v/>
      </c>
      <c r="L361" s="8">
        <f>IF(ISNA(MATCH(352,'Transfer Engine'!$C$2:$C$630,0)),"",INDEX('Compliance Database'!$L$2:$L$630,MATCH(352,'Transfer Engine'!$C$2:$C$630,0)))</f>
        <v/>
      </c>
      <c r="M361" s="8">
        <f>IF(ISNA(MATCH(352,'Transfer Engine'!$C$2:$C$630,0)),"",INDEX('Compliance Database'!$M$2:$M$630,MATCH(352,'Transfer Engine'!$C$2:$C$630,0)))</f>
        <v/>
      </c>
      <c r="N361" s="8">
        <f>IF(ISNA(MATCH(352,'Transfer Engine'!$C$2:$C$630,0)),"",INDEX('Compliance Database'!$N$2:$N$630,MATCH(352,'Transfer Engine'!$C$2:$C$630,0)))</f>
        <v/>
      </c>
      <c r="O361" s="8">
        <f>IF(ISNA(MATCH(352,'Transfer Engine'!$C$2:$C$630,0)),"",INDEX('Compliance Database'!$O$2:$O$630,MATCH(352,'Transfer Engine'!$C$2:$C$630,0)))</f>
        <v/>
      </c>
    </row>
    <row r="362">
      <c r="A362">
        <f>IF(ISNA(MATCH(353,'Transfer Engine'!$C$2:$C$630,0)),"",INDEX('Compliance Database'!$A$2:$A$630,MATCH(353,'Transfer Engine'!$C$2:$C$630,0)))</f>
        <v/>
      </c>
      <c r="B362">
        <f>IF(ISNA(MATCH(353,'Transfer Engine'!$C$2:$C$630,0)),"",INDEX('Compliance Database'!$B$2:$B$630,MATCH(353,'Transfer Engine'!$C$2:$C$630,0)))</f>
        <v/>
      </c>
      <c r="C362">
        <f>IF(ISNA(MATCH(353,'Transfer Engine'!$C$2:$C$630,0)),"",INDEX('Compliance Database'!$C$2:$C$630,MATCH(353,'Transfer Engine'!$C$2:$C$630,0)))</f>
        <v/>
      </c>
      <c r="D362" s="8">
        <f>IF(ISNA(MATCH(353,'Transfer Engine'!$C$2:$C$630,0)),"",INDEX('Compliance Database'!$D$2:$D$630,MATCH(353,'Transfer Engine'!$C$2:$C$630,0)))</f>
        <v/>
      </c>
      <c r="E362">
        <f>IF(ISNA(MATCH(353,'Transfer Engine'!$C$2:$C$630,0)),"",INDEX('Compliance Database'!$E$2:$E$630,MATCH(353,'Transfer Engine'!$C$2:$C$630,0)))</f>
        <v/>
      </c>
      <c r="F362">
        <f>IF(ISNA(MATCH(353,'Transfer Engine'!$C$2:$C$630,0)),"",INDEX('Compliance Database'!$F$2:$F$630,MATCH(353,'Transfer Engine'!$C$2:$C$630,0)))</f>
        <v/>
      </c>
      <c r="G362">
        <f>IF(ISNA(MATCH(353,'Transfer Engine'!$C$2:$C$630,0)),"",INDEX('Compliance Database'!$G$2:$G$630,MATCH(353,'Transfer Engine'!$C$2:$C$630,0)))</f>
        <v/>
      </c>
      <c r="H362">
        <f>IF(ISNA(MATCH(353,'Transfer Engine'!$C$2:$C$630,0)),"",INDEX('Compliance Database'!$H$2:$H$630,MATCH(353,'Transfer Engine'!$C$2:$C$630,0)))</f>
        <v/>
      </c>
      <c r="I362" s="8">
        <f>IF(ISNA(MATCH(353,'Transfer Engine'!$C$2:$C$630,0)),"",INDEX('Compliance Database'!$I$2:$I$630,MATCH(353,'Transfer Engine'!$C$2:$C$630,0)))</f>
        <v/>
      </c>
      <c r="J362" s="8">
        <f>IF(ISNA(MATCH(353,'Transfer Engine'!$C$2:$C$630,0)),"",INDEX('Compliance Database'!$J$2:$J$630,MATCH(353,'Transfer Engine'!$C$2:$C$630,0)))</f>
        <v/>
      </c>
      <c r="K362">
        <f>IF(ISNA(MATCH(353,'Transfer Engine'!$C$2:$C$630,0)),"",INDEX('Compliance Database'!$K$2:$K$630,MATCH(353,'Transfer Engine'!$C$2:$C$630,0)))</f>
        <v/>
      </c>
      <c r="L362" s="8">
        <f>IF(ISNA(MATCH(353,'Transfer Engine'!$C$2:$C$630,0)),"",INDEX('Compliance Database'!$L$2:$L$630,MATCH(353,'Transfer Engine'!$C$2:$C$630,0)))</f>
        <v/>
      </c>
      <c r="M362" s="8">
        <f>IF(ISNA(MATCH(353,'Transfer Engine'!$C$2:$C$630,0)),"",INDEX('Compliance Database'!$M$2:$M$630,MATCH(353,'Transfer Engine'!$C$2:$C$630,0)))</f>
        <v/>
      </c>
      <c r="N362" s="8">
        <f>IF(ISNA(MATCH(353,'Transfer Engine'!$C$2:$C$630,0)),"",INDEX('Compliance Database'!$N$2:$N$630,MATCH(353,'Transfer Engine'!$C$2:$C$630,0)))</f>
        <v/>
      </c>
      <c r="O362" s="8">
        <f>IF(ISNA(MATCH(353,'Transfer Engine'!$C$2:$C$630,0)),"",INDEX('Compliance Database'!$O$2:$O$630,MATCH(353,'Transfer Engine'!$C$2:$C$630,0)))</f>
        <v/>
      </c>
    </row>
    <row r="363">
      <c r="A363">
        <f>IF(ISNA(MATCH(354,'Transfer Engine'!$C$2:$C$630,0)),"",INDEX('Compliance Database'!$A$2:$A$630,MATCH(354,'Transfer Engine'!$C$2:$C$630,0)))</f>
        <v/>
      </c>
      <c r="B363">
        <f>IF(ISNA(MATCH(354,'Transfer Engine'!$C$2:$C$630,0)),"",INDEX('Compliance Database'!$B$2:$B$630,MATCH(354,'Transfer Engine'!$C$2:$C$630,0)))</f>
        <v/>
      </c>
      <c r="C363">
        <f>IF(ISNA(MATCH(354,'Transfer Engine'!$C$2:$C$630,0)),"",INDEX('Compliance Database'!$C$2:$C$630,MATCH(354,'Transfer Engine'!$C$2:$C$630,0)))</f>
        <v/>
      </c>
      <c r="D363" s="8">
        <f>IF(ISNA(MATCH(354,'Transfer Engine'!$C$2:$C$630,0)),"",INDEX('Compliance Database'!$D$2:$D$630,MATCH(354,'Transfer Engine'!$C$2:$C$630,0)))</f>
        <v/>
      </c>
      <c r="E363">
        <f>IF(ISNA(MATCH(354,'Transfer Engine'!$C$2:$C$630,0)),"",INDEX('Compliance Database'!$E$2:$E$630,MATCH(354,'Transfer Engine'!$C$2:$C$630,0)))</f>
        <v/>
      </c>
      <c r="F363">
        <f>IF(ISNA(MATCH(354,'Transfer Engine'!$C$2:$C$630,0)),"",INDEX('Compliance Database'!$F$2:$F$630,MATCH(354,'Transfer Engine'!$C$2:$C$630,0)))</f>
        <v/>
      </c>
      <c r="G363">
        <f>IF(ISNA(MATCH(354,'Transfer Engine'!$C$2:$C$630,0)),"",INDEX('Compliance Database'!$G$2:$G$630,MATCH(354,'Transfer Engine'!$C$2:$C$630,0)))</f>
        <v/>
      </c>
      <c r="H363">
        <f>IF(ISNA(MATCH(354,'Transfer Engine'!$C$2:$C$630,0)),"",INDEX('Compliance Database'!$H$2:$H$630,MATCH(354,'Transfer Engine'!$C$2:$C$630,0)))</f>
        <v/>
      </c>
      <c r="I363" s="8">
        <f>IF(ISNA(MATCH(354,'Transfer Engine'!$C$2:$C$630,0)),"",INDEX('Compliance Database'!$I$2:$I$630,MATCH(354,'Transfer Engine'!$C$2:$C$630,0)))</f>
        <v/>
      </c>
      <c r="J363" s="8">
        <f>IF(ISNA(MATCH(354,'Transfer Engine'!$C$2:$C$630,0)),"",INDEX('Compliance Database'!$J$2:$J$630,MATCH(354,'Transfer Engine'!$C$2:$C$630,0)))</f>
        <v/>
      </c>
      <c r="K363">
        <f>IF(ISNA(MATCH(354,'Transfer Engine'!$C$2:$C$630,0)),"",INDEX('Compliance Database'!$K$2:$K$630,MATCH(354,'Transfer Engine'!$C$2:$C$630,0)))</f>
        <v/>
      </c>
      <c r="L363" s="8">
        <f>IF(ISNA(MATCH(354,'Transfer Engine'!$C$2:$C$630,0)),"",INDEX('Compliance Database'!$L$2:$L$630,MATCH(354,'Transfer Engine'!$C$2:$C$630,0)))</f>
        <v/>
      </c>
      <c r="M363" s="8">
        <f>IF(ISNA(MATCH(354,'Transfer Engine'!$C$2:$C$630,0)),"",INDEX('Compliance Database'!$M$2:$M$630,MATCH(354,'Transfer Engine'!$C$2:$C$630,0)))</f>
        <v/>
      </c>
      <c r="N363" s="8">
        <f>IF(ISNA(MATCH(354,'Transfer Engine'!$C$2:$C$630,0)),"",INDEX('Compliance Database'!$N$2:$N$630,MATCH(354,'Transfer Engine'!$C$2:$C$630,0)))</f>
        <v/>
      </c>
      <c r="O363" s="8">
        <f>IF(ISNA(MATCH(354,'Transfer Engine'!$C$2:$C$630,0)),"",INDEX('Compliance Database'!$O$2:$O$630,MATCH(354,'Transfer Engine'!$C$2:$C$630,0)))</f>
        <v/>
      </c>
    </row>
    <row r="364">
      <c r="A364">
        <f>IF(ISNA(MATCH(355,'Transfer Engine'!$C$2:$C$630,0)),"",INDEX('Compliance Database'!$A$2:$A$630,MATCH(355,'Transfer Engine'!$C$2:$C$630,0)))</f>
        <v/>
      </c>
      <c r="B364">
        <f>IF(ISNA(MATCH(355,'Transfer Engine'!$C$2:$C$630,0)),"",INDEX('Compliance Database'!$B$2:$B$630,MATCH(355,'Transfer Engine'!$C$2:$C$630,0)))</f>
        <v/>
      </c>
      <c r="C364">
        <f>IF(ISNA(MATCH(355,'Transfer Engine'!$C$2:$C$630,0)),"",INDEX('Compliance Database'!$C$2:$C$630,MATCH(355,'Transfer Engine'!$C$2:$C$630,0)))</f>
        <v/>
      </c>
      <c r="D364" s="8">
        <f>IF(ISNA(MATCH(355,'Transfer Engine'!$C$2:$C$630,0)),"",INDEX('Compliance Database'!$D$2:$D$630,MATCH(355,'Transfer Engine'!$C$2:$C$630,0)))</f>
        <v/>
      </c>
      <c r="E364">
        <f>IF(ISNA(MATCH(355,'Transfer Engine'!$C$2:$C$630,0)),"",INDEX('Compliance Database'!$E$2:$E$630,MATCH(355,'Transfer Engine'!$C$2:$C$630,0)))</f>
        <v/>
      </c>
      <c r="F364">
        <f>IF(ISNA(MATCH(355,'Transfer Engine'!$C$2:$C$630,0)),"",INDEX('Compliance Database'!$F$2:$F$630,MATCH(355,'Transfer Engine'!$C$2:$C$630,0)))</f>
        <v/>
      </c>
      <c r="G364">
        <f>IF(ISNA(MATCH(355,'Transfer Engine'!$C$2:$C$630,0)),"",INDEX('Compliance Database'!$G$2:$G$630,MATCH(355,'Transfer Engine'!$C$2:$C$630,0)))</f>
        <v/>
      </c>
      <c r="H364">
        <f>IF(ISNA(MATCH(355,'Transfer Engine'!$C$2:$C$630,0)),"",INDEX('Compliance Database'!$H$2:$H$630,MATCH(355,'Transfer Engine'!$C$2:$C$630,0)))</f>
        <v/>
      </c>
      <c r="I364" s="8">
        <f>IF(ISNA(MATCH(355,'Transfer Engine'!$C$2:$C$630,0)),"",INDEX('Compliance Database'!$I$2:$I$630,MATCH(355,'Transfer Engine'!$C$2:$C$630,0)))</f>
        <v/>
      </c>
      <c r="J364" s="8">
        <f>IF(ISNA(MATCH(355,'Transfer Engine'!$C$2:$C$630,0)),"",INDEX('Compliance Database'!$J$2:$J$630,MATCH(355,'Transfer Engine'!$C$2:$C$630,0)))</f>
        <v/>
      </c>
      <c r="K364">
        <f>IF(ISNA(MATCH(355,'Transfer Engine'!$C$2:$C$630,0)),"",INDEX('Compliance Database'!$K$2:$K$630,MATCH(355,'Transfer Engine'!$C$2:$C$630,0)))</f>
        <v/>
      </c>
      <c r="L364" s="8">
        <f>IF(ISNA(MATCH(355,'Transfer Engine'!$C$2:$C$630,0)),"",INDEX('Compliance Database'!$L$2:$L$630,MATCH(355,'Transfer Engine'!$C$2:$C$630,0)))</f>
        <v/>
      </c>
      <c r="M364" s="8">
        <f>IF(ISNA(MATCH(355,'Transfer Engine'!$C$2:$C$630,0)),"",INDEX('Compliance Database'!$M$2:$M$630,MATCH(355,'Transfer Engine'!$C$2:$C$630,0)))</f>
        <v/>
      </c>
      <c r="N364" s="8">
        <f>IF(ISNA(MATCH(355,'Transfer Engine'!$C$2:$C$630,0)),"",INDEX('Compliance Database'!$N$2:$N$630,MATCH(355,'Transfer Engine'!$C$2:$C$630,0)))</f>
        <v/>
      </c>
      <c r="O364" s="8">
        <f>IF(ISNA(MATCH(355,'Transfer Engine'!$C$2:$C$630,0)),"",INDEX('Compliance Database'!$O$2:$O$630,MATCH(355,'Transfer Engine'!$C$2:$C$630,0)))</f>
        <v/>
      </c>
    </row>
    <row r="365">
      <c r="A365">
        <f>IF(ISNA(MATCH(356,'Transfer Engine'!$C$2:$C$630,0)),"",INDEX('Compliance Database'!$A$2:$A$630,MATCH(356,'Transfer Engine'!$C$2:$C$630,0)))</f>
        <v/>
      </c>
      <c r="B365">
        <f>IF(ISNA(MATCH(356,'Transfer Engine'!$C$2:$C$630,0)),"",INDEX('Compliance Database'!$B$2:$B$630,MATCH(356,'Transfer Engine'!$C$2:$C$630,0)))</f>
        <v/>
      </c>
      <c r="C365">
        <f>IF(ISNA(MATCH(356,'Transfer Engine'!$C$2:$C$630,0)),"",INDEX('Compliance Database'!$C$2:$C$630,MATCH(356,'Transfer Engine'!$C$2:$C$630,0)))</f>
        <v/>
      </c>
      <c r="D365" s="8">
        <f>IF(ISNA(MATCH(356,'Transfer Engine'!$C$2:$C$630,0)),"",INDEX('Compliance Database'!$D$2:$D$630,MATCH(356,'Transfer Engine'!$C$2:$C$630,0)))</f>
        <v/>
      </c>
      <c r="E365">
        <f>IF(ISNA(MATCH(356,'Transfer Engine'!$C$2:$C$630,0)),"",INDEX('Compliance Database'!$E$2:$E$630,MATCH(356,'Transfer Engine'!$C$2:$C$630,0)))</f>
        <v/>
      </c>
      <c r="F365">
        <f>IF(ISNA(MATCH(356,'Transfer Engine'!$C$2:$C$630,0)),"",INDEX('Compliance Database'!$F$2:$F$630,MATCH(356,'Transfer Engine'!$C$2:$C$630,0)))</f>
        <v/>
      </c>
      <c r="G365">
        <f>IF(ISNA(MATCH(356,'Transfer Engine'!$C$2:$C$630,0)),"",INDEX('Compliance Database'!$G$2:$G$630,MATCH(356,'Transfer Engine'!$C$2:$C$630,0)))</f>
        <v/>
      </c>
      <c r="H365">
        <f>IF(ISNA(MATCH(356,'Transfer Engine'!$C$2:$C$630,0)),"",INDEX('Compliance Database'!$H$2:$H$630,MATCH(356,'Transfer Engine'!$C$2:$C$630,0)))</f>
        <v/>
      </c>
      <c r="I365" s="8">
        <f>IF(ISNA(MATCH(356,'Transfer Engine'!$C$2:$C$630,0)),"",INDEX('Compliance Database'!$I$2:$I$630,MATCH(356,'Transfer Engine'!$C$2:$C$630,0)))</f>
        <v/>
      </c>
      <c r="J365" s="8">
        <f>IF(ISNA(MATCH(356,'Transfer Engine'!$C$2:$C$630,0)),"",INDEX('Compliance Database'!$J$2:$J$630,MATCH(356,'Transfer Engine'!$C$2:$C$630,0)))</f>
        <v/>
      </c>
      <c r="K365">
        <f>IF(ISNA(MATCH(356,'Transfer Engine'!$C$2:$C$630,0)),"",INDEX('Compliance Database'!$K$2:$K$630,MATCH(356,'Transfer Engine'!$C$2:$C$630,0)))</f>
        <v/>
      </c>
      <c r="L365" s="8">
        <f>IF(ISNA(MATCH(356,'Transfer Engine'!$C$2:$C$630,0)),"",INDEX('Compliance Database'!$L$2:$L$630,MATCH(356,'Transfer Engine'!$C$2:$C$630,0)))</f>
        <v/>
      </c>
      <c r="M365" s="8">
        <f>IF(ISNA(MATCH(356,'Transfer Engine'!$C$2:$C$630,0)),"",INDEX('Compliance Database'!$M$2:$M$630,MATCH(356,'Transfer Engine'!$C$2:$C$630,0)))</f>
        <v/>
      </c>
      <c r="N365" s="8">
        <f>IF(ISNA(MATCH(356,'Transfer Engine'!$C$2:$C$630,0)),"",INDEX('Compliance Database'!$N$2:$N$630,MATCH(356,'Transfer Engine'!$C$2:$C$630,0)))</f>
        <v/>
      </c>
      <c r="O365" s="8">
        <f>IF(ISNA(MATCH(356,'Transfer Engine'!$C$2:$C$630,0)),"",INDEX('Compliance Database'!$O$2:$O$630,MATCH(356,'Transfer Engine'!$C$2:$C$630,0)))</f>
        <v/>
      </c>
    </row>
    <row r="366">
      <c r="A366">
        <f>IF(ISNA(MATCH(357,'Transfer Engine'!$C$2:$C$630,0)),"",INDEX('Compliance Database'!$A$2:$A$630,MATCH(357,'Transfer Engine'!$C$2:$C$630,0)))</f>
        <v/>
      </c>
      <c r="B366">
        <f>IF(ISNA(MATCH(357,'Transfer Engine'!$C$2:$C$630,0)),"",INDEX('Compliance Database'!$B$2:$B$630,MATCH(357,'Transfer Engine'!$C$2:$C$630,0)))</f>
        <v/>
      </c>
      <c r="C366">
        <f>IF(ISNA(MATCH(357,'Transfer Engine'!$C$2:$C$630,0)),"",INDEX('Compliance Database'!$C$2:$C$630,MATCH(357,'Transfer Engine'!$C$2:$C$630,0)))</f>
        <v/>
      </c>
      <c r="D366" s="8">
        <f>IF(ISNA(MATCH(357,'Transfer Engine'!$C$2:$C$630,0)),"",INDEX('Compliance Database'!$D$2:$D$630,MATCH(357,'Transfer Engine'!$C$2:$C$630,0)))</f>
        <v/>
      </c>
      <c r="E366">
        <f>IF(ISNA(MATCH(357,'Transfer Engine'!$C$2:$C$630,0)),"",INDEX('Compliance Database'!$E$2:$E$630,MATCH(357,'Transfer Engine'!$C$2:$C$630,0)))</f>
        <v/>
      </c>
      <c r="F366">
        <f>IF(ISNA(MATCH(357,'Transfer Engine'!$C$2:$C$630,0)),"",INDEX('Compliance Database'!$F$2:$F$630,MATCH(357,'Transfer Engine'!$C$2:$C$630,0)))</f>
        <v/>
      </c>
      <c r="G366">
        <f>IF(ISNA(MATCH(357,'Transfer Engine'!$C$2:$C$630,0)),"",INDEX('Compliance Database'!$G$2:$G$630,MATCH(357,'Transfer Engine'!$C$2:$C$630,0)))</f>
        <v/>
      </c>
      <c r="H366">
        <f>IF(ISNA(MATCH(357,'Transfer Engine'!$C$2:$C$630,0)),"",INDEX('Compliance Database'!$H$2:$H$630,MATCH(357,'Transfer Engine'!$C$2:$C$630,0)))</f>
        <v/>
      </c>
      <c r="I366" s="8">
        <f>IF(ISNA(MATCH(357,'Transfer Engine'!$C$2:$C$630,0)),"",INDEX('Compliance Database'!$I$2:$I$630,MATCH(357,'Transfer Engine'!$C$2:$C$630,0)))</f>
        <v/>
      </c>
      <c r="J366" s="8">
        <f>IF(ISNA(MATCH(357,'Transfer Engine'!$C$2:$C$630,0)),"",INDEX('Compliance Database'!$J$2:$J$630,MATCH(357,'Transfer Engine'!$C$2:$C$630,0)))</f>
        <v/>
      </c>
      <c r="K366">
        <f>IF(ISNA(MATCH(357,'Transfer Engine'!$C$2:$C$630,0)),"",INDEX('Compliance Database'!$K$2:$K$630,MATCH(357,'Transfer Engine'!$C$2:$C$630,0)))</f>
        <v/>
      </c>
      <c r="L366" s="8">
        <f>IF(ISNA(MATCH(357,'Transfer Engine'!$C$2:$C$630,0)),"",INDEX('Compliance Database'!$L$2:$L$630,MATCH(357,'Transfer Engine'!$C$2:$C$630,0)))</f>
        <v/>
      </c>
      <c r="M366" s="8">
        <f>IF(ISNA(MATCH(357,'Transfer Engine'!$C$2:$C$630,0)),"",INDEX('Compliance Database'!$M$2:$M$630,MATCH(357,'Transfer Engine'!$C$2:$C$630,0)))</f>
        <v/>
      </c>
      <c r="N366" s="8">
        <f>IF(ISNA(MATCH(357,'Transfer Engine'!$C$2:$C$630,0)),"",INDEX('Compliance Database'!$N$2:$N$630,MATCH(357,'Transfer Engine'!$C$2:$C$630,0)))</f>
        <v/>
      </c>
      <c r="O366" s="8">
        <f>IF(ISNA(MATCH(357,'Transfer Engine'!$C$2:$C$630,0)),"",INDEX('Compliance Database'!$O$2:$O$630,MATCH(357,'Transfer Engine'!$C$2:$C$630,0)))</f>
        <v/>
      </c>
    </row>
    <row r="367">
      <c r="A367">
        <f>IF(ISNA(MATCH(358,'Transfer Engine'!$C$2:$C$630,0)),"",INDEX('Compliance Database'!$A$2:$A$630,MATCH(358,'Transfer Engine'!$C$2:$C$630,0)))</f>
        <v/>
      </c>
      <c r="B367">
        <f>IF(ISNA(MATCH(358,'Transfer Engine'!$C$2:$C$630,0)),"",INDEX('Compliance Database'!$B$2:$B$630,MATCH(358,'Transfer Engine'!$C$2:$C$630,0)))</f>
        <v/>
      </c>
      <c r="C367">
        <f>IF(ISNA(MATCH(358,'Transfer Engine'!$C$2:$C$630,0)),"",INDEX('Compliance Database'!$C$2:$C$630,MATCH(358,'Transfer Engine'!$C$2:$C$630,0)))</f>
        <v/>
      </c>
      <c r="D367" s="8">
        <f>IF(ISNA(MATCH(358,'Transfer Engine'!$C$2:$C$630,0)),"",INDEX('Compliance Database'!$D$2:$D$630,MATCH(358,'Transfer Engine'!$C$2:$C$630,0)))</f>
        <v/>
      </c>
      <c r="E367">
        <f>IF(ISNA(MATCH(358,'Transfer Engine'!$C$2:$C$630,0)),"",INDEX('Compliance Database'!$E$2:$E$630,MATCH(358,'Transfer Engine'!$C$2:$C$630,0)))</f>
        <v/>
      </c>
      <c r="F367">
        <f>IF(ISNA(MATCH(358,'Transfer Engine'!$C$2:$C$630,0)),"",INDEX('Compliance Database'!$F$2:$F$630,MATCH(358,'Transfer Engine'!$C$2:$C$630,0)))</f>
        <v/>
      </c>
      <c r="G367">
        <f>IF(ISNA(MATCH(358,'Transfer Engine'!$C$2:$C$630,0)),"",INDEX('Compliance Database'!$G$2:$G$630,MATCH(358,'Transfer Engine'!$C$2:$C$630,0)))</f>
        <v/>
      </c>
      <c r="H367">
        <f>IF(ISNA(MATCH(358,'Transfer Engine'!$C$2:$C$630,0)),"",INDEX('Compliance Database'!$H$2:$H$630,MATCH(358,'Transfer Engine'!$C$2:$C$630,0)))</f>
        <v/>
      </c>
      <c r="I367" s="8">
        <f>IF(ISNA(MATCH(358,'Transfer Engine'!$C$2:$C$630,0)),"",INDEX('Compliance Database'!$I$2:$I$630,MATCH(358,'Transfer Engine'!$C$2:$C$630,0)))</f>
        <v/>
      </c>
      <c r="J367" s="8">
        <f>IF(ISNA(MATCH(358,'Transfer Engine'!$C$2:$C$630,0)),"",INDEX('Compliance Database'!$J$2:$J$630,MATCH(358,'Transfer Engine'!$C$2:$C$630,0)))</f>
        <v/>
      </c>
      <c r="K367">
        <f>IF(ISNA(MATCH(358,'Transfer Engine'!$C$2:$C$630,0)),"",INDEX('Compliance Database'!$K$2:$K$630,MATCH(358,'Transfer Engine'!$C$2:$C$630,0)))</f>
        <v/>
      </c>
      <c r="L367" s="8">
        <f>IF(ISNA(MATCH(358,'Transfer Engine'!$C$2:$C$630,0)),"",INDEX('Compliance Database'!$L$2:$L$630,MATCH(358,'Transfer Engine'!$C$2:$C$630,0)))</f>
        <v/>
      </c>
      <c r="M367" s="8">
        <f>IF(ISNA(MATCH(358,'Transfer Engine'!$C$2:$C$630,0)),"",INDEX('Compliance Database'!$M$2:$M$630,MATCH(358,'Transfer Engine'!$C$2:$C$630,0)))</f>
        <v/>
      </c>
      <c r="N367" s="8">
        <f>IF(ISNA(MATCH(358,'Transfer Engine'!$C$2:$C$630,0)),"",INDEX('Compliance Database'!$N$2:$N$630,MATCH(358,'Transfer Engine'!$C$2:$C$630,0)))</f>
        <v/>
      </c>
      <c r="O367" s="8">
        <f>IF(ISNA(MATCH(358,'Transfer Engine'!$C$2:$C$630,0)),"",INDEX('Compliance Database'!$O$2:$O$630,MATCH(358,'Transfer Engine'!$C$2:$C$630,0)))</f>
        <v/>
      </c>
    </row>
    <row r="368">
      <c r="A368">
        <f>IF(ISNA(MATCH(359,'Transfer Engine'!$C$2:$C$630,0)),"",INDEX('Compliance Database'!$A$2:$A$630,MATCH(359,'Transfer Engine'!$C$2:$C$630,0)))</f>
        <v/>
      </c>
      <c r="B368">
        <f>IF(ISNA(MATCH(359,'Transfer Engine'!$C$2:$C$630,0)),"",INDEX('Compliance Database'!$B$2:$B$630,MATCH(359,'Transfer Engine'!$C$2:$C$630,0)))</f>
        <v/>
      </c>
      <c r="C368">
        <f>IF(ISNA(MATCH(359,'Transfer Engine'!$C$2:$C$630,0)),"",INDEX('Compliance Database'!$C$2:$C$630,MATCH(359,'Transfer Engine'!$C$2:$C$630,0)))</f>
        <v/>
      </c>
      <c r="D368" s="8">
        <f>IF(ISNA(MATCH(359,'Transfer Engine'!$C$2:$C$630,0)),"",INDEX('Compliance Database'!$D$2:$D$630,MATCH(359,'Transfer Engine'!$C$2:$C$630,0)))</f>
        <v/>
      </c>
      <c r="E368">
        <f>IF(ISNA(MATCH(359,'Transfer Engine'!$C$2:$C$630,0)),"",INDEX('Compliance Database'!$E$2:$E$630,MATCH(359,'Transfer Engine'!$C$2:$C$630,0)))</f>
        <v/>
      </c>
      <c r="F368">
        <f>IF(ISNA(MATCH(359,'Transfer Engine'!$C$2:$C$630,0)),"",INDEX('Compliance Database'!$F$2:$F$630,MATCH(359,'Transfer Engine'!$C$2:$C$630,0)))</f>
        <v/>
      </c>
      <c r="G368">
        <f>IF(ISNA(MATCH(359,'Transfer Engine'!$C$2:$C$630,0)),"",INDEX('Compliance Database'!$G$2:$G$630,MATCH(359,'Transfer Engine'!$C$2:$C$630,0)))</f>
        <v/>
      </c>
      <c r="H368">
        <f>IF(ISNA(MATCH(359,'Transfer Engine'!$C$2:$C$630,0)),"",INDEX('Compliance Database'!$H$2:$H$630,MATCH(359,'Transfer Engine'!$C$2:$C$630,0)))</f>
        <v/>
      </c>
      <c r="I368" s="8">
        <f>IF(ISNA(MATCH(359,'Transfer Engine'!$C$2:$C$630,0)),"",INDEX('Compliance Database'!$I$2:$I$630,MATCH(359,'Transfer Engine'!$C$2:$C$630,0)))</f>
        <v/>
      </c>
      <c r="J368" s="8">
        <f>IF(ISNA(MATCH(359,'Transfer Engine'!$C$2:$C$630,0)),"",INDEX('Compliance Database'!$J$2:$J$630,MATCH(359,'Transfer Engine'!$C$2:$C$630,0)))</f>
        <v/>
      </c>
      <c r="K368">
        <f>IF(ISNA(MATCH(359,'Transfer Engine'!$C$2:$C$630,0)),"",INDEX('Compliance Database'!$K$2:$K$630,MATCH(359,'Transfer Engine'!$C$2:$C$630,0)))</f>
        <v/>
      </c>
      <c r="L368" s="8">
        <f>IF(ISNA(MATCH(359,'Transfer Engine'!$C$2:$C$630,0)),"",INDEX('Compliance Database'!$L$2:$L$630,MATCH(359,'Transfer Engine'!$C$2:$C$630,0)))</f>
        <v/>
      </c>
      <c r="M368" s="8">
        <f>IF(ISNA(MATCH(359,'Transfer Engine'!$C$2:$C$630,0)),"",INDEX('Compliance Database'!$M$2:$M$630,MATCH(359,'Transfer Engine'!$C$2:$C$630,0)))</f>
        <v/>
      </c>
      <c r="N368" s="8">
        <f>IF(ISNA(MATCH(359,'Transfer Engine'!$C$2:$C$630,0)),"",INDEX('Compliance Database'!$N$2:$N$630,MATCH(359,'Transfer Engine'!$C$2:$C$630,0)))</f>
        <v/>
      </c>
      <c r="O368" s="8">
        <f>IF(ISNA(MATCH(359,'Transfer Engine'!$C$2:$C$630,0)),"",INDEX('Compliance Database'!$O$2:$O$630,MATCH(359,'Transfer Engine'!$C$2:$C$630,0)))</f>
        <v/>
      </c>
    </row>
    <row r="369">
      <c r="A369">
        <f>IF(ISNA(MATCH(360,'Transfer Engine'!$C$2:$C$630,0)),"",INDEX('Compliance Database'!$A$2:$A$630,MATCH(360,'Transfer Engine'!$C$2:$C$630,0)))</f>
        <v/>
      </c>
      <c r="B369">
        <f>IF(ISNA(MATCH(360,'Transfer Engine'!$C$2:$C$630,0)),"",INDEX('Compliance Database'!$B$2:$B$630,MATCH(360,'Transfer Engine'!$C$2:$C$630,0)))</f>
        <v/>
      </c>
      <c r="C369">
        <f>IF(ISNA(MATCH(360,'Transfer Engine'!$C$2:$C$630,0)),"",INDEX('Compliance Database'!$C$2:$C$630,MATCH(360,'Transfer Engine'!$C$2:$C$630,0)))</f>
        <v/>
      </c>
      <c r="D369" s="8">
        <f>IF(ISNA(MATCH(360,'Transfer Engine'!$C$2:$C$630,0)),"",INDEX('Compliance Database'!$D$2:$D$630,MATCH(360,'Transfer Engine'!$C$2:$C$630,0)))</f>
        <v/>
      </c>
      <c r="E369">
        <f>IF(ISNA(MATCH(360,'Transfer Engine'!$C$2:$C$630,0)),"",INDEX('Compliance Database'!$E$2:$E$630,MATCH(360,'Transfer Engine'!$C$2:$C$630,0)))</f>
        <v/>
      </c>
      <c r="F369">
        <f>IF(ISNA(MATCH(360,'Transfer Engine'!$C$2:$C$630,0)),"",INDEX('Compliance Database'!$F$2:$F$630,MATCH(360,'Transfer Engine'!$C$2:$C$630,0)))</f>
        <v/>
      </c>
      <c r="G369">
        <f>IF(ISNA(MATCH(360,'Transfer Engine'!$C$2:$C$630,0)),"",INDEX('Compliance Database'!$G$2:$G$630,MATCH(360,'Transfer Engine'!$C$2:$C$630,0)))</f>
        <v/>
      </c>
      <c r="H369">
        <f>IF(ISNA(MATCH(360,'Transfer Engine'!$C$2:$C$630,0)),"",INDEX('Compliance Database'!$H$2:$H$630,MATCH(360,'Transfer Engine'!$C$2:$C$630,0)))</f>
        <v/>
      </c>
      <c r="I369" s="8">
        <f>IF(ISNA(MATCH(360,'Transfer Engine'!$C$2:$C$630,0)),"",INDEX('Compliance Database'!$I$2:$I$630,MATCH(360,'Transfer Engine'!$C$2:$C$630,0)))</f>
        <v/>
      </c>
      <c r="J369" s="8">
        <f>IF(ISNA(MATCH(360,'Transfer Engine'!$C$2:$C$630,0)),"",INDEX('Compliance Database'!$J$2:$J$630,MATCH(360,'Transfer Engine'!$C$2:$C$630,0)))</f>
        <v/>
      </c>
      <c r="K369">
        <f>IF(ISNA(MATCH(360,'Transfer Engine'!$C$2:$C$630,0)),"",INDEX('Compliance Database'!$K$2:$K$630,MATCH(360,'Transfer Engine'!$C$2:$C$630,0)))</f>
        <v/>
      </c>
      <c r="L369" s="8">
        <f>IF(ISNA(MATCH(360,'Transfer Engine'!$C$2:$C$630,0)),"",INDEX('Compliance Database'!$L$2:$L$630,MATCH(360,'Transfer Engine'!$C$2:$C$630,0)))</f>
        <v/>
      </c>
      <c r="M369" s="8">
        <f>IF(ISNA(MATCH(360,'Transfer Engine'!$C$2:$C$630,0)),"",INDEX('Compliance Database'!$M$2:$M$630,MATCH(360,'Transfer Engine'!$C$2:$C$630,0)))</f>
        <v/>
      </c>
      <c r="N369" s="8">
        <f>IF(ISNA(MATCH(360,'Transfer Engine'!$C$2:$C$630,0)),"",INDEX('Compliance Database'!$N$2:$N$630,MATCH(360,'Transfer Engine'!$C$2:$C$630,0)))</f>
        <v/>
      </c>
      <c r="O369" s="8">
        <f>IF(ISNA(MATCH(360,'Transfer Engine'!$C$2:$C$630,0)),"",INDEX('Compliance Database'!$O$2:$O$630,MATCH(360,'Transfer Engine'!$C$2:$C$630,0)))</f>
        <v/>
      </c>
    </row>
    <row r="370">
      <c r="A370">
        <f>IF(ISNA(MATCH(361,'Transfer Engine'!$C$2:$C$630,0)),"",INDEX('Compliance Database'!$A$2:$A$630,MATCH(361,'Transfer Engine'!$C$2:$C$630,0)))</f>
        <v/>
      </c>
      <c r="B370">
        <f>IF(ISNA(MATCH(361,'Transfer Engine'!$C$2:$C$630,0)),"",INDEX('Compliance Database'!$B$2:$B$630,MATCH(361,'Transfer Engine'!$C$2:$C$630,0)))</f>
        <v/>
      </c>
      <c r="C370">
        <f>IF(ISNA(MATCH(361,'Transfer Engine'!$C$2:$C$630,0)),"",INDEX('Compliance Database'!$C$2:$C$630,MATCH(361,'Transfer Engine'!$C$2:$C$630,0)))</f>
        <v/>
      </c>
      <c r="D370" s="8">
        <f>IF(ISNA(MATCH(361,'Transfer Engine'!$C$2:$C$630,0)),"",INDEX('Compliance Database'!$D$2:$D$630,MATCH(361,'Transfer Engine'!$C$2:$C$630,0)))</f>
        <v/>
      </c>
      <c r="E370">
        <f>IF(ISNA(MATCH(361,'Transfer Engine'!$C$2:$C$630,0)),"",INDEX('Compliance Database'!$E$2:$E$630,MATCH(361,'Transfer Engine'!$C$2:$C$630,0)))</f>
        <v/>
      </c>
      <c r="F370">
        <f>IF(ISNA(MATCH(361,'Transfer Engine'!$C$2:$C$630,0)),"",INDEX('Compliance Database'!$F$2:$F$630,MATCH(361,'Transfer Engine'!$C$2:$C$630,0)))</f>
        <v/>
      </c>
      <c r="G370">
        <f>IF(ISNA(MATCH(361,'Transfer Engine'!$C$2:$C$630,0)),"",INDEX('Compliance Database'!$G$2:$G$630,MATCH(361,'Transfer Engine'!$C$2:$C$630,0)))</f>
        <v/>
      </c>
      <c r="H370">
        <f>IF(ISNA(MATCH(361,'Transfer Engine'!$C$2:$C$630,0)),"",INDEX('Compliance Database'!$H$2:$H$630,MATCH(361,'Transfer Engine'!$C$2:$C$630,0)))</f>
        <v/>
      </c>
      <c r="I370" s="8">
        <f>IF(ISNA(MATCH(361,'Transfer Engine'!$C$2:$C$630,0)),"",INDEX('Compliance Database'!$I$2:$I$630,MATCH(361,'Transfer Engine'!$C$2:$C$630,0)))</f>
        <v/>
      </c>
      <c r="J370" s="8">
        <f>IF(ISNA(MATCH(361,'Transfer Engine'!$C$2:$C$630,0)),"",INDEX('Compliance Database'!$J$2:$J$630,MATCH(361,'Transfer Engine'!$C$2:$C$630,0)))</f>
        <v/>
      </c>
      <c r="K370">
        <f>IF(ISNA(MATCH(361,'Transfer Engine'!$C$2:$C$630,0)),"",INDEX('Compliance Database'!$K$2:$K$630,MATCH(361,'Transfer Engine'!$C$2:$C$630,0)))</f>
        <v/>
      </c>
      <c r="L370" s="8">
        <f>IF(ISNA(MATCH(361,'Transfer Engine'!$C$2:$C$630,0)),"",INDEX('Compliance Database'!$L$2:$L$630,MATCH(361,'Transfer Engine'!$C$2:$C$630,0)))</f>
        <v/>
      </c>
      <c r="M370" s="8">
        <f>IF(ISNA(MATCH(361,'Transfer Engine'!$C$2:$C$630,0)),"",INDEX('Compliance Database'!$M$2:$M$630,MATCH(361,'Transfer Engine'!$C$2:$C$630,0)))</f>
        <v/>
      </c>
      <c r="N370" s="8">
        <f>IF(ISNA(MATCH(361,'Transfer Engine'!$C$2:$C$630,0)),"",INDEX('Compliance Database'!$N$2:$N$630,MATCH(361,'Transfer Engine'!$C$2:$C$630,0)))</f>
        <v/>
      </c>
      <c r="O370" s="8">
        <f>IF(ISNA(MATCH(361,'Transfer Engine'!$C$2:$C$630,0)),"",INDEX('Compliance Database'!$O$2:$O$630,MATCH(361,'Transfer Engine'!$C$2:$C$630,0)))</f>
        <v/>
      </c>
    </row>
    <row r="371">
      <c r="A371">
        <f>IF(ISNA(MATCH(362,'Transfer Engine'!$C$2:$C$630,0)),"",INDEX('Compliance Database'!$A$2:$A$630,MATCH(362,'Transfer Engine'!$C$2:$C$630,0)))</f>
        <v/>
      </c>
      <c r="B371">
        <f>IF(ISNA(MATCH(362,'Transfer Engine'!$C$2:$C$630,0)),"",INDEX('Compliance Database'!$B$2:$B$630,MATCH(362,'Transfer Engine'!$C$2:$C$630,0)))</f>
        <v/>
      </c>
      <c r="C371">
        <f>IF(ISNA(MATCH(362,'Transfer Engine'!$C$2:$C$630,0)),"",INDEX('Compliance Database'!$C$2:$C$630,MATCH(362,'Transfer Engine'!$C$2:$C$630,0)))</f>
        <v/>
      </c>
      <c r="D371" s="8">
        <f>IF(ISNA(MATCH(362,'Transfer Engine'!$C$2:$C$630,0)),"",INDEX('Compliance Database'!$D$2:$D$630,MATCH(362,'Transfer Engine'!$C$2:$C$630,0)))</f>
        <v/>
      </c>
      <c r="E371">
        <f>IF(ISNA(MATCH(362,'Transfer Engine'!$C$2:$C$630,0)),"",INDEX('Compliance Database'!$E$2:$E$630,MATCH(362,'Transfer Engine'!$C$2:$C$630,0)))</f>
        <v/>
      </c>
      <c r="F371">
        <f>IF(ISNA(MATCH(362,'Transfer Engine'!$C$2:$C$630,0)),"",INDEX('Compliance Database'!$F$2:$F$630,MATCH(362,'Transfer Engine'!$C$2:$C$630,0)))</f>
        <v/>
      </c>
      <c r="G371">
        <f>IF(ISNA(MATCH(362,'Transfer Engine'!$C$2:$C$630,0)),"",INDEX('Compliance Database'!$G$2:$G$630,MATCH(362,'Transfer Engine'!$C$2:$C$630,0)))</f>
        <v/>
      </c>
      <c r="H371">
        <f>IF(ISNA(MATCH(362,'Transfer Engine'!$C$2:$C$630,0)),"",INDEX('Compliance Database'!$H$2:$H$630,MATCH(362,'Transfer Engine'!$C$2:$C$630,0)))</f>
        <v/>
      </c>
      <c r="I371" s="8">
        <f>IF(ISNA(MATCH(362,'Transfer Engine'!$C$2:$C$630,0)),"",INDEX('Compliance Database'!$I$2:$I$630,MATCH(362,'Transfer Engine'!$C$2:$C$630,0)))</f>
        <v/>
      </c>
      <c r="J371" s="8">
        <f>IF(ISNA(MATCH(362,'Transfer Engine'!$C$2:$C$630,0)),"",INDEX('Compliance Database'!$J$2:$J$630,MATCH(362,'Transfer Engine'!$C$2:$C$630,0)))</f>
        <v/>
      </c>
      <c r="K371">
        <f>IF(ISNA(MATCH(362,'Transfer Engine'!$C$2:$C$630,0)),"",INDEX('Compliance Database'!$K$2:$K$630,MATCH(362,'Transfer Engine'!$C$2:$C$630,0)))</f>
        <v/>
      </c>
      <c r="L371" s="8">
        <f>IF(ISNA(MATCH(362,'Transfer Engine'!$C$2:$C$630,0)),"",INDEX('Compliance Database'!$L$2:$L$630,MATCH(362,'Transfer Engine'!$C$2:$C$630,0)))</f>
        <v/>
      </c>
      <c r="M371" s="8">
        <f>IF(ISNA(MATCH(362,'Transfer Engine'!$C$2:$C$630,0)),"",INDEX('Compliance Database'!$M$2:$M$630,MATCH(362,'Transfer Engine'!$C$2:$C$630,0)))</f>
        <v/>
      </c>
      <c r="N371" s="8">
        <f>IF(ISNA(MATCH(362,'Transfer Engine'!$C$2:$C$630,0)),"",INDEX('Compliance Database'!$N$2:$N$630,MATCH(362,'Transfer Engine'!$C$2:$C$630,0)))</f>
        <v/>
      </c>
      <c r="O371" s="8">
        <f>IF(ISNA(MATCH(362,'Transfer Engine'!$C$2:$C$630,0)),"",INDEX('Compliance Database'!$O$2:$O$630,MATCH(362,'Transfer Engine'!$C$2:$C$630,0)))</f>
        <v/>
      </c>
    </row>
    <row r="372">
      <c r="A372">
        <f>IF(ISNA(MATCH(363,'Transfer Engine'!$C$2:$C$630,0)),"",INDEX('Compliance Database'!$A$2:$A$630,MATCH(363,'Transfer Engine'!$C$2:$C$630,0)))</f>
        <v/>
      </c>
      <c r="B372">
        <f>IF(ISNA(MATCH(363,'Transfer Engine'!$C$2:$C$630,0)),"",INDEX('Compliance Database'!$B$2:$B$630,MATCH(363,'Transfer Engine'!$C$2:$C$630,0)))</f>
        <v/>
      </c>
      <c r="C372">
        <f>IF(ISNA(MATCH(363,'Transfer Engine'!$C$2:$C$630,0)),"",INDEX('Compliance Database'!$C$2:$C$630,MATCH(363,'Transfer Engine'!$C$2:$C$630,0)))</f>
        <v/>
      </c>
      <c r="D372" s="8">
        <f>IF(ISNA(MATCH(363,'Transfer Engine'!$C$2:$C$630,0)),"",INDEX('Compliance Database'!$D$2:$D$630,MATCH(363,'Transfer Engine'!$C$2:$C$630,0)))</f>
        <v/>
      </c>
      <c r="E372">
        <f>IF(ISNA(MATCH(363,'Transfer Engine'!$C$2:$C$630,0)),"",INDEX('Compliance Database'!$E$2:$E$630,MATCH(363,'Transfer Engine'!$C$2:$C$630,0)))</f>
        <v/>
      </c>
      <c r="F372">
        <f>IF(ISNA(MATCH(363,'Transfer Engine'!$C$2:$C$630,0)),"",INDEX('Compliance Database'!$F$2:$F$630,MATCH(363,'Transfer Engine'!$C$2:$C$630,0)))</f>
        <v/>
      </c>
      <c r="G372">
        <f>IF(ISNA(MATCH(363,'Transfer Engine'!$C$2:$C$630,0)),"",INDEX('Compliance Database'!$G$2:$G$630,MATCH(363,'Transfer Engine'!$C$2:$C$630,0)))</f>
        <v/>
      </c>
      <c r="H372">
        <f>IF(ISNA(MATCH(363,'Transfer Engine'!$C$2:$C$630,0)),"",INDEX('Compliance Database'!$H$2:$H$630,MATCH(363,'Transfer Engine'!$C$2:$C$630,0)))</f>
        <v/>
      </c>
      <c r="I372" s="8">
        <f>IF(ISNA(MATCH(363,'Transfer Engine'!$C$2:$C$630,0)),"",INDEX('Compliance Database'!$I$2:$I$630,MATCH(363,'Transfer Engine'!$C$2:$C$630,0)))</f>
        <v/>
      </c>
      <c r="J372" s="8">
        <f>IF(ISNA(MATCH(363,'Transfer Engine'!$C$2:$C$630,0)),"",INDEX('Compliance Database'!$J$2:$J$630,MATCH(363,'Transfer Engine'!$C$2:$C$630,0)))</f>
        <v/>
      </c>
      <c r="K372">
        <f>IF(ISNA(MATCH(363,'Transfer Engine'!$C$2:$C$630,0)),"",INDEX('Compliance Database'!$K$2:$K$630,MATCH(363,'Transfer Engine'!$C$2:$C$630,0)))</f>
        <v/>
      </c>
      <c r="L372" s="8">
        <f>IF(ISNA(MATCH(363,'Transfer Engine'!$C$2:$C$630,0)),"",INDEX('Compliance Database'!$L$2:$L$630,MATCH(363,'Transfer Engine'!$C$2:$C$630,0)))</f>
        <v/>
      </c>
      <c r="M372" s="8">
        <f>IF(ISNA(MATCH(363,'Transfer Engine'!$C$2:$C$630,0)),"",INDEX('Compliance Database'!$M$2:$M$630,MATCH(363,'Transfer Engine'!$C$2:$C$630,0)))</f>
        <v/>
      </c>
      <c r="N372" s="8">
        <f>IF(ISNA(MATCH(363,'Transfer Engine'!$C$2:$C$630,0)),"",INDEX('Compliance Database'!$N$2:$N$630,MATCH(363,'Transfer Engine'!$C$2:$C$630,0)))</f>
        <v/>
      </c>
      <c r="O372" s="8">
        <f>IF(ISNA(MATCH(363,'Transfer Engine'!$C$2:$C$630,0)),"",INDEX('Compliance Database'!$O$2:$O$630,MATCH(363,'Transfer Engine'!$C$2:$C$630,0)))</f>
        <v/>
      </c>
    </row>
    <row r="373">
      <c r="A373">
        <f>IF(ISNA(MATCH(364,'Transfer Engine'!$C$2:$C$630,0)),"",INDEX('Compliance Database'!$A$2:$A$630,MATCH(364,'Transfer Engine'!$C$2:$C$630,0)))</f>
        <v/>
      </c>
      <c r="B373">
        <f>IF(ISNA(MATCH(364,'Transfer Engine'!$C$2:$C$630,0)),"",INDEX('Compliance Database'!$B$2:$B$630,MATCH(364,'Transfer Engine'!$C$2:$C$630,0)))</f>
        <v/>
      </c>
      <c r="C373">
        <f>IF(ISNA(MATCH(364,'Transfer Engine'!$C$2:$C$630,0)),"",INDEX('Compliance Database'!$C$2:$C$630,MATCH(364,'Transfer Engine'!$C$2:$C$630,0)))</f>
        <v/>
      </c>
      <c r="D373" s="8">
        <f>IF(ISNA(MATCH(364,'Transfer Engine'!$C$2:$C$630,0)),"",INDEX('Compliance Database'!$D$2:$D$630,MATCH(364,'Transfer Engine'!$C$2:$C$630,0)))</f>
        <v/>
      </c>
      <c r="E373">
        <f>IF(ISNA(MATCH(364,'Transfer Engine'!$C$2:$C$630,0)),"",INDEX('Compliance Database'!$E$2:$E$630,MATCH(364,'Transfer Engine'!$C$2:$C$630,0)))</f>
        <v/>
      </c>
      <c r="F373">
        <f>IF(ISNA(MATCH(364,'Transfer Engine'!$C$2:$C$630,0)),"",INDEX('Compliance Database'!$F$2:$F$630,MATCH(364,'Transfer Engine'!$C$2:$C$630,0)))</f>
        <v/>
      </c>
      <c r="G373">
        <f>IF(ISNA(MATCH(364,'Transfer Engine'!$C$2:$C$630,0)),"",INDEX('Compliance Database'!$G$2:$G$630,MATCH(364,'Transfer Engine'!$C$2:$C$630,0)))</f>
        <v/>
      </c>
      <c r="H373">
        <f>IF(ISNA(MATCH(364,'Transfer Engine'!$C$2:$C$630,0)),"",INDEX('Compliance Database'!$H$2:$H$630,MATCH(364,'Transfer Engine'!$C$2:$C$630,0)))</f>
        <v/>
      </c>
      <c r="I373" s="8">
        <f>IF(ISNA(MATCH(364,'Transfer Engine'!$C$2:$C$630,0)),"",INDEX('Compliance Database'!$I$2:$I$630,MATCH(364,'Transfer Engine'!$C$2:$C$630,0)))</f>
        <v/>
      </c>
      <c r="J373" s="8">
        <f>IF(ISNA(MATCH(364,'Transfer Engine'!$C$2:$C$630,0)),"",INDEX('Compliance Database'!$J$2:$J$630,MATCH(364,'Transfer Engine'!$C$2:$C$630,0)))</f>
        <v/>
      </c>
      <c r="K373">
        <f>IF(ISNA(MATCH(364,'Transfer Engine'!$C$2:$C$630,0)),"",INDEX('Compliance Database'!$K$2:$K$630,MATCH(364,'Transfer Engine'!$C$2:$C$630,0)))</f>
        <v/>
      </c>
      <c r="L373" s="8">
        <f>IF(ISNA(MATCH(364,'Transfer Engine'!$C$2:$C$630,0)),"",INDEX('Compliance Database'!$L$2:$L$630,MATCH(364,'Transfer Engine'!$C$2:$C$630,0)))</f>
        <v/>
      </c>
      <c r="M373" s="8">
        <f>IF(ISNA(MATCH(364,'Transfer Engine'!$C$2:$C$630,0)),"",INDEX('Compliance Database'!$M$2:$M$630,MATCH(364,'Transfer Engine'!$C$2:$C$630,0)))</f>
        <v/>
      </c>
      <c r="N373" s="8">
        <f>IF(ISNA(MATCH(364,'Transfer Engine'!$C$2:$C$630,0)),"",INDEX('Compliance Database'!$N$2:$N$630,MATCH(364,'Transfer Engine'!$C$2:$C$630,0)))</f>
        <v/>
      </c>
      <c r="O373" s="8">
        <f>IF(ISNA(MATCH(364,'Transfer Engine'!$C$2:$C$630,0)),"",INDEX('Compliance Database'!$O$2:$O$630,MATCH(364,'Transfer Engine'!$C$2:$C$630,0)))</f>
        <v/>
      </c>
    </row>
    <row r="374">
      <c r="A374">
        <f>IF(ISNA(MATCH(365,'Transfer Engine'!$C$2:$C$630,0)),"",INDEX('Compliance Database'!$A$2:$A$630,MATCH(365,'Transfer Engine'!$C$2:$C$630,0)))</f>
        <v/>
      </c>
      <c r="B374">
        <f>IF(ISNA(MATCH(365,'Transfer Engine'!$C$2:$C$630,0)),"",INDEX('Compliance Database'!$B$2:$B$630,MATCH(365,'Transfer Engine'!$C$2:$C$630,0)))</f>
        <v/>
      </c>
      <c r="C374">
        <f>IF(ISNA(MATCH(365,'Transfer Engine'!$C$2:$C$630,0)),"",INDEX('Compliance Database'!$C$2:$C$630,MATCH(365,'Transfer Engine'!$C$2:$C$630,0)))</f>
        <v/>
      </c>
      <c r="D374" s="8">
        <f>IF(ISNA(MATCH(365,'Transfer Engine'!$C$2:$C$630,0)),"",INDEX('Compliance Database'!$D$2:$D$630,MATCH(365,'Transfer Engine'!$C$2:$C$630,0)))</f>
        <v/>
      </c>
      <c r="E374">
        <f>IF(ISNA(MATCH(365,'Transfer Engine'!$C$2:$C$630,0)),"",INDEX('Compliance Database'!$E$2:$E$630,MATCH(365,'Transfer Engine'!$C$2:$C$630,0)))</f>
        <v/>
      </c>
      <c r="F374">
        <f>IF(ISNA(MATCH(365,'Transfer Engine'!$C$2:$C$630,0)),"",INDEX('Compliance Database'!$F$2:$F$630,MATCH(365,'Transfer Engine'!$C$2:$C$630,0)))</f>
        <v/>
      </c>
      <c r="G374">
        <f>IF(ISNA(MATCH(365,'Transfer Engine'!$C$2:$C$630,0)),"",INDEX('Compliance Database'!$G$2:$G$630,MATCH(365,'Transfer Engine'!$C$2:$C$630,0)))</f>
        <v/>
      </c>
      <c r="H374">
        <f>IF(ISNA(MATCH(365,'Transfer Engine'!$C$2:$C$630,0)),"",INDEX('Compliance Database'!$H$2:$H$630,MATCH(365,'Transfer Engine'!$C$2:$C$630,0)))</f>
        <v/>
      </c>
      <c r="I374" s="8">
        <f>IF(ISNA(MATCH(365,'Transfer Engine'!$C$2:$C$630,0)),"",INDEX('Compliance Database'!$I$2:$I$630,MATCH(365,'Transfer Engine'!$C$2:$C$630,0)))</f>
        <v/>
      </c>
      <c r="J374" s="8">
        <f>IF(ISNA(MATCH(365,'Transfer Engine'!$C$2:$C$630,0)),"",INDEX('Compliance Database'!$J$2:$J$630,MATCH(365,'Transfer Engine'!$C$2:$C$630,0)))</f>
        <v/>
      </c>
      <c r="K374">
        <f>IF(ISNA(MATCH(365,'Transfer Engine'!$C$2:$C$630,0)),"",INDEX('Compliance Database'!$K$2:$K$630,MATCH(365,'Transfer Engine'!$C$2:$C$630,0)))</f>
        <v/>
      </c>
      <c r="L374" s="8">
        <f>IF(ISNA(MATCH(365,'Transfer Engine'!$C$2:$C$630,0)),"",INDEX('Compliance Database'!$L$2:$L$630,MATCH(365,'Transfer Engine'!$C$2:$C$630,0)))</f>
        <v/>
      </c>
      <c r="M374" s="8">
        <f>IF(ISNA(MATCH(365,'Transfer Engine'!$C$2:$C$630,0)),"",INDEX('Compliance Database'!$M$2:$M$630,MATCH(365,'Transfer Engine'!$C$2:$C$630,0)))</f>
        <v/>
      </c>
      <c r="N374" s="8">
        <f>IF(ISNA(MATCH(365,'Transfer Engine'!$C$2:$C$630,0)),"",INDEX('Compliance Database'!$N$2:$N$630,MATCH(365,'Transfer Engine'!$C$2:$C$630,0)))</f>
        <v/>
      </c>
      <c r="O374" s="8">
        <f>IF(ISNA(MATCH(365,'Transfer Engine'!$C$2:$C$630,0)),"",INDEX('Compliance Database'!$O$2:$O$630,MATCH(365,'Transfer Engine'!$C$2:$C$630,0)))</f>
        <v/>
      </c>
    </row>
    <row r="375">
      <c r="A375">
        <f>IF(ISNA(MATCH(366,'Transfer Engine'!$C$2:$C$630,0)),"",INDEX('Compliance Database'!$A$2:$A$630,MATCH(366,'Transfer Engine'!$C$2:$C$630,0)))</f>
        <v/>
      </c>
      <c r="B375">
        <f>IF(ISNA(MATCH(366,'Transfer Engine'!$C$2:$C$630,0)),"",INDEX('Compliance Database'!$B$2:$B$630,MATCH(366,'Transfer Engine'!$C$2:$C$630,0)))</f>
        <v/>
      </c>
      <c r="C375">
        <f>IF(ISNA(MATCH(366,'Transfer Engine'!$C$2:$C$630,0)),"",INDEX('Compliance Database'!$C$2:$C$630,MATCH(366,'Transfer Engine'!$C$2:$C$630,0)))</f>
        <v/>
      </c>
      <c r="D375" s="8">
        <f>IF(ISNA(MATCH(366,'Transfer Engine'!$C$2:$C$630,0)),"",INDEX('Compliance Database'!$D$2:$D$630,MATCH(366,'Transfer Engine'!$C$2:$C$630,0)))</f>
        <v/>
      </c>
      <c r="E375">
        <f>IF(ISNA(MATCH(366,'Transfer Engine'!$C$2:$C$630,0)),"",INDEX('Compliance Database'!$E$2:$E$630,MATCH(366,'Transfer Engine'!$C$2:$C$630,0)))</f>
        <v/>
      </c>
      <c r="F375">
        <f>IF(ISNA(MATCH(366,'Transfer Engine'!$C$2:$C$630,0)),"",INDEX('Compliance Database'!$F$2:$F$630,MATCH(366,'Transfer Engine'!$C$2:$C$630,0)))</f>
        <v/>
      </c>
      <c r="G375">
        <f>IF(ISNA(MATCH(366,'Transfer Engine'!$C$2:$C$630,0)),"",INDEX('Compliance Database'!$G$2:$G$630,MATCH(366,'Transfer Engine'!$C$2:$C$630,0)))</f>
        <v/>
      </c>
      <c r="H375">
        <f>IF(ISNA(MATCH(366,'Transfer Engine'!$C$2:$C$630,0)),"",INDEX('Compliance Database'!$H$2:$H$630,MATCH(366,'Transfer Engine'!$C$2:$C$630,0)))</f>
        <v/>
      </c>
      <c r="I375" s="8">
        <f>IF(ISNA(MATCH(366,'Transfer Engine'!$C$2:$C$630,0)),"",INDEX('Compliance Database'!$I$2:$I$630,MATCH(366,'Transfer Engine'!$C$2:$C$630,0)))</f>
        <v/>
      </c>
      <c r="J375" s="8">
        <f>IF(ISNA(MATCH(366,'Transfer Engine'!$C$2:$C$630,0)),"",INDEX('Compliance Database'!$J$2:$J$630,MATCH(366,'Transfer Engine'!$C$2:$C$630,0)))</f>
        <v/>
      </c>
      <c r="K375">
        <f>IF(ISNA(MATCH(366,'Transfer Engine'!$C$2:$C$630,0)),"",INDEX('Compliance Database'!$K$2:$K$630,MATCH(366,'Transfer Engine'!$C$2:$C$630,0)))</f>
        <v/>
      </c>
      <c r="L375" s="8">
        <f>IF(ISNA(MATCH(366,'Transfer Engine'!$C$2:$C$630,0)),"",INDEX('Compliance Database'!$L$2:$L$630,MATCH(366,'Transfer Engine'!$C$2:$C$630,0)))</f>
        <v/>
      </c>
      <c r="M375" s="8">
        <f>IF(ISNA(MATCH(366,'Transfer Engine'!$C$2:$C$630,0)),"",INDEX('Compliance Database'!$M$2:$M$630,MATCH(366,'Transfer Engine'!$C$2:$C$630,0)))</f>
        <v/>
      </c>
      <c r="N375" s="8">
        <f>IF(ISNA(MATCH(366,'Transfer Engine'!$C$2:$C$630,0)),"",INDEX('Compliance Database'!$N$2:$N$630,MATCH(366,'Transfer Engine'!$C$2:$C$630,0)))</f>
        <v/>
      </c>
      <c r="O375" s="8">
        <f>IF(ISNA(MATCH(366,'Transfer Engine'!$C$2:$C$630,0)),"",INDEX('Compliance Database'!$O$2:$O$630,MATCH(366,'Transfer Engine'!$C$2:$C$630,0)))</f>
        <v/>
      </c>
    </row>
    <row r="376">
      <c r="A376">
        <f>IF(ISNA(MATCH(367,'Transfer Engine'!$C$2:$C$630,0)),"",INDEX('Compliance Database'!$A$2:$A$630,MATCH(367,'Transfer Engine'!$C$2:$C$630,0)))</f>
        <v/>
      </c>
      <c r="B376">
        <f>IF(ISNA(MATCH(367,'Transfer Engine'!$C$2:$C$630,0)),"",INDEX('Compliance Database'!$B$2:$B$630,MATCH(367,'Transfer Engine'!$C$2:$C$630,0)))</f>
        <v/>
      </c>
      <c r="C376">
        <f>IF(ISNA(MATCH(367,'Transfer Engine'!$C$2:$C$630,0)),"",INDEX('Compliance Database'!$C$2:$C$630,MATCH(367,'Transfer Engine'!$C$2:$C$630,0)))</f>
        <v/>
      </c>
      <c r="D376" s="8">
        <f>IF(ISNA(MATCH(367,'Transfer Engine'!$C$2:$C$630,0)),"",INDEX('Compliance Database'!$D$2:$D$630,MATCH(367,'Transfer Engine'!$C$2:$C$630,0)))</f>
        <v/>
      </c>
      <c r="E376">
        <f>IF(ISNA(MATCH(367,'Transfer Engine'!$C$2:$C$630,0)),"",INDEX('Compliance Database'!$E$2:$E$630,MATCH(367,'Transfer Engine'!$C$2:$C$630,0)))</f>
        <v/>
      </c>
      <c r="F376">
        <f>IF(ISNA(MATCH(367,'Transfer Engine'!$C$2:$C$630,0)),"",INDEX('Compliance Database'!$F$2:$F$630,MATCH(367,'Transfer Engine'!$C$2:$C$630,0)))</f>
        <v/>
      </c>
      <c r="G376">
        <f>IF(ISNA(MATCH(367,'Transfer Engine'!$C$2:$C$630,0)),"",INDEX('Compliance Database'!$G$2:$G$630,MATCH(367,'Transfer Engine'!$C$2:$C$630,0)))</f>
        <v/>
      </c>
      <c r="H376">
        <f>IF(ISNA(MATCH(367,'Transfer Engine'!$C$2:$C$630,0)),"",INDEX('Compliance Database'!$H$2:$H$630,MATCH(367,'Transfer Engine'!$C$2:$C$630,0)))</f>
        <v/>
      </c>
      <c r="I376" s="8">
        <f>IF(ISNA(MATCH(367,'Transfer Engine'!$C$2:$C$630,0)),"",INDEX('Compliance Database'!$I$2:$I$630,MATCH(367,'Transfer Engine'!$C$2:$C$630,0)))</f>
        <v/>
      </c>
      <c r="J376" s="8">
        <f>IF(ISNA(MATCH(367,'Transfer Engine'!$C$2:$C$630,0)),"",INDEX('Compliance Database'!$J$2:$J$630,MATCH(367,'Transfer Engine'!$C$2:$C$630,0)))</f>
        <v/>
      </c>
      <c r="K376">
        <f>IF(ISNA(MATCH(367,'Transfer Engine'!$C$2:$C$630,0)),"",INDEX('Compliance Database'!$K$2:$K$630,MATCH(367,'Transfer Engine'!$C$2:$C$630,0)))</f>
        <v/>
      </c>
      <c r="L376" s="8">
        <f>IF(ISNA(MATCH(367,'Transfer Engine'!$C$2:$C$630,0)),"",INDEX('Compliance Database'!$L$2:$L$630,MATCH(367,'Transfer Engine'!$C$2:$C$630,0)))</f>
        <v/>
      </c>
      <c r="M376" s="8">
        <f>IF(ISNA(MATCH(367,'Transfer Engine'!$C$2:$C$630,0)),"",INDEX('Compliance Database'!$M$2:$M$630,MATCH(367,'Transfer Engine'!$C$2:$C$630,0)))</f>
        <v/>
      </c>
      <c r="N376" s="8">
        <f>IF(ISNA(MATCH(367,'Transfer Engine'!$C$2:$C$630,0)),"",INDEX('Compliance Database'!$N$2:$N$630,MATCH(367,'Transfer Engine'!$C$2:$C$630,0)))</f>
        <v/>
      </c>
      <c r="O376" s="8">
        <f>IF(ISNA(MATCH(367,'Transfer Engine'!$C$2:$C$630,0)),"",INDEX('Compliance Database'!$O$2:$O$630,MATCH(367,'Transfer Engine'!$C$2:$C$630,0)))</f>
        <v/>
      </c>
    </row>
    <row r="377">
      <c r="A377">
        <f>IF(ISNA(MATCH(368,'Transfer Engine'!$C$2:$C$630,0)),"",INDEX('Compliance Database'!$A$2:$A$630,MATCH(368,'Transfer Engine'!$C$2:$C$630,0)))</f>
        <v/>
      </c>
      <c r="B377">
        <f>IF(ISNA(MATCH(368,'Transfer Engine'!$C$2:$C$630,0)),"",INDEX('Compliance Database'!$B$2:$B$630,MATCH(368,'Transfer Engine'!$C$2:$C$630,0)))</f>
        <v/>
      </c>
      <c r="C377">
        <f>IF(ISNA(MATCH(368,'Transfer Engine'!$C$2:$C$630,0)),"",INDEX('Compliance Database'!$C$2:$C$630,MATCH(368,'Transfer Engine'!$C$2:$C$630,0)))</f>
        <v/>
      </c>
      <c r="D377" s="8">
        <f>IF(ISNA(MATCH(368,'Transfer Engine'!$C$2:$C$630,0)),"",INDEX('Compliance Database'!$D$2:$D$630,MATCH(368,'Transfer Engine'!$C$2:$C$630,0)))</f>
        <v/>
      </c>
      <c r="E377">
        <f>IF(ISNA(MATCH(368,'Transfer Engine'!$C$2:$C$630,0)),"",INDEX('Compliance Database'!$E$2:$E$630,MATCH(368,'Transfer Engine'!$C$2:$C$630,0)))</f>
        <v/>
      </c>
      <c r="F377">
        <f>IF(ISNA(MATCH(368,'Transfer Engine'!$C$2:$C$630,0)),"",INDEX('Compliance Database'!$F$2:$F$630,MATCH(368,'Transfer Engine'!$C$2:$C$630,0)))</f>
        <v/>
      </c>
      <c r="G377">
        <f>IF(ISNA(MATCH(368,'Transfer Engine'!$C$2:$C$630,0)),"",INDEX('Compliance Database'!$G$2:$G$630,MATCH(368,'Transfer Engine'!$C$2:$C$630,0)))</f>
        <v/>
      </c>
      <c r="H377">
        <f>IF(ISNA(MATCH(368,'Transfer Engine'!$C$2:$C$630,0)),"",INDEX('Compliance Database'!$H$2:$H$630,MATCH(368,'Transfer Engine'!$C$2:$C$630,0)))</f>
        <v/>
      </c>
      <c r="I377" s="8">
        <f>IF(ISNA(MATCH(368,'Transfer Engine'!$C$2:$C$630,0)),"",INDEX('Compliance Database'!$I$2:$I$630,MATCH(368,'Transfer Engine'!$C$2:$C$630,0)))</f>
        <v/>
      </c>
      <c r="J377" s="8">
        <f>IF(ISNA(MATCH(368,'Transfer Engine'!$C$2:$C$630,0)),"",INDEX('Compliance Database'!$J$2:$J$630,MATCH(368,'Transfer Engine'!$C$2:$C$630,0)))</f>
        <v/>
      </c>
      <c r="K377">
        <f>IF(ISNA(MATCH(368,'Transfer Engine'!$C$2:$C$630,0)),"",INDEX('Compliance Database'!$K$2:$K$630,MATCH(368,'Transfer Engine'!$C$2:$C$630,0)))</f>
        <v/>
      </c>
      <c r="L377" s="8">
        <f>IF(ISNA(MATCH(368,'Transfer Engine'!$C$2:$C$630,0)),"",INDEX('Compliance Database'!$L$2:$L$630,MATCH(368,'Transfer Engine'!$C$2:$C$630,0)))</f>
        <v/>
      </c>
      <c r="M377" s="8">
        <f>IF(ISNA(MATCH(368,'Transfer Engine'!$C$2:$C$630,0)),"",INDEX('Compliance Database'!$M$2:$M$630,MATCH(368,'Transfer Engine'!$C$2:$C$630,0)))</f>
        <v/>
      </c>
      <c r="N377" s="8">
        <f>IF(ISNA(MATCH(368,'Transfer Engine'!$C$2:$C$630,0)),"",INDEX('Compliance Database'!$N$2:$N$630,MATCH(368,'Transfer Engine'!$C$2:$C$630,0)))</f>
        <v/>
      </c>
      <c r="O377" s="8">
        <f>IF(ISNA(MATCH(368,'Transfer Engine'!$C$2:$C$630,0)),"",INDEX('Compliance Database'!$O$2:$O$630,MATCH(368,'Transfer Engine'!$C$2:$C$630,0)))</f>
        <v/>
      </c>
    </row>
    <row r="378">
      <c r="A378">
        <f>IF(ISNA(MATCH(369,'Transfer Engine'!$C$2:$C$630,0)),"",INDEX('Compliance Database'!$A$2:$A$630,MATCH(369,'Transfer Engine'!$C$2:$C$630,0)))</f>
        <v/>
      </c>
      <c r="B378">
        <f>IF(ISNA(MATCH(369,'Transfer Engine'!$C$2:$C$630,0)),"",INDEX('Compliance Database'!$B$2:$B$630,MATCH(369,'Transfer Engine'!$C$2:$C$630,0)))</f>
        <v/>
      </c>
      <c r="C378">
        <f>IF(ISNA(MATCH(369,'Transfer Engine'!$C$2:$C$630,0)),"",INDEX('Compliance Database'!$C$2:$C$630,MATCH(369,'Transfer Engine'!$C$2:$C$630,0)))</f>
        <v/>
      </c>
      <c r="D378" s="8">
        <f>IF(ISNA(MATCH(369,'Transfer Engine'!$C$2:$C$630,0)),"",INDEX('Compliance Database'!$D$2:$D$630,MATCH(369,'Transfer Engine'!$C$2:$C$630,0)))</f>
        <v/>
      </c>
      <c r="E378">
        <f>IF(ISNA(MATCH(369,'Transfer Engine'!$C$2:$C$630,0)),"",INDEX('Compliance Database'!$E$2:$E$630,MATCH(369,'Transfer Engine'!$C$2:$C$630,0)))</f>
        <v/>
      </c>
      <c r="F378">
        <f>IF(ISNA(MATCH(369,'Transfer Engine'!$C$2:$C$630,0)),"",INDEX('Compliance Database'!$F$2:$F$630,MATCH(369,'Transfer Engine'!$C$2:$C$630,0)))</f>
        <v/>
      </c>
      <c r="G378">
        <f>IF(ISNA(MATCH(369,'Transfer Engine'!$C$2:$C$630,0)),"",INDEX('Compliance Database'!$G$2:$G$630,MATCH(369,'Transfer Engine'!$C$2:$C$630,0)))</f>
        <v/>
      </c>
      <c r="H378">
        <f>IF(ISNA(MATCH(369,'Transfer Engine'!$C$2:$C$630,0)),"",INDEX('Compliance Database'!$H$2:$H$630,MATCH(369,'Transfer Engine'!$C$2:$C$630,0)))</f>
        <v/>
      </c>
      <c r="I378" s="8">
        <f>IF(ISNA(MATCH(369,'Transfer Engine'!$C$2:$C$630,0)),"",INDEX('Compliance Database'!$I$2:$I$630,MATCH(369,'Transfer Engine'!$C$2:$C$630,0)))</f>
        <v/>
      </c>
      <c r="J378" s="8">
        <f>IF(ISNA(MATCH(369,'Transfer Engine'!$C$2:$C$630,0)),"",INDEX('Compliance Database'!$J$2:$J$630,MATCH(369,'Transfer Engine'!$C$2:$C$630,0)))</f>
        <v/>
      </c>
      <c r="K378">
        <f>IF(ISNA(MATCH(369,'Transfer Engine'!$C$2:$C$630,0)),"",INDEX('Compliance Database'!$K$2:$K$630,MATCH(369,'Transfer Engine'!$C$2:$C$630,0)))</f>
        <v/>
      </c>
      <c r="L378" s="8">
        <f>IF(ISNA(MATCH(369,'Transfer Engine'!$C$2:$C$630,0)),"",INDEX('Compliance Database'!$L$2:$L$630,MATCH(369,'Transfer Engine'!$C$2:$C$630,0)))</f>
        <v/>
      </c>
      <c r="M378" s="8">
        <f>IF(ISNA(MATCH(369,'Transfer Engine'!$C$2:$C$630,0)),"",INDEX('Compliance Database'!$M$2:$M$630,MATCH(369,'Transfer Engine'!$C$2:$C$630,0)))</f>
        <v/>
      </c>
      <c r="N378" s="8">
        <f>IF(ISNA(MATCH(369,'Transfer Engine'!$C$2:$C$630,0)),"",INDEX('Compliance Database'!$N$2:$N$630,MATCH(369,'Transfer Engine'!$C$2:$C$630,0)))</f>
        <v/>
      </c>
      <c r="O378" s="8">
        <f>IF(ISNA(MATCH(369,'Transfer Engine'!$C$2:$C$630,0)),"",INDEX('Compliance Database'!$O$2:$O$630,MATCH(369,'Transfer Engine'!$C$2:$C$630,0)))</f>
        <v/>
      </c>
    </row>
    <row r="379">
      <c r="A379">
        <f>IF(ISNA(MATCH(370,'Transfer Engine'!$C$2:$C$630,0)),"",INDEX('Compliance Database'!$A$2:$A$630,MATCH(370,'Transfer Engine'!$C$2:$C$630,0)))</f>
        <v/>
      </c>
      <c r="B379">
        <f>IF(ISNA(MATCH(370,'Transfer Engine'!$C$2:$C$630,0)),"",INDEX('Compliance Database'!$B$2:$B$630,MATCH(370,'Transfer Engine'!$C$2:$C$630,0)))</f>
        <v/>
      </c>
      <c r="C379">
        <f>IF(ISNA(MATCH(370,'Transfer Engine'!$C$2:$C$630,0)),"",INDEX('Compliance Database'!$C$2:$C$630,MATCH(370,'Transfer Engine'!$C$2:$C$630,0)))</f>
        <v/>
      </c>
      <c r="D379" s="8">
        <f>IF(ISNA(MATCH(370,'Transfer Engine'!$C$2:$C$630,0)),"",INDEX('Compliance Database'!$D$2:$D$630,MATCH(370,'Transfer Engine'!$C$2:$C$630,0)))</f>
        <v/>
      </c>
      <c r="E379">
        <f>IF(ISNA(MATCH(370,'Transfer Engine'!$C$2:$C$630,0)),"",INDEX('Compliance Database'!$E$2:$E$630,MATCH(370,'Transfer Engine'!$C$2:$C$630,0)))</f>
        <v/>
      </c>
      <c r="F379">
        <f>IF(ISNA(MATCH(370,'Transfer Engine'!$C$2:$C$630,0)),"",INDEX('Compliance Database'!$F$2:$F$630,MATCH(370,'Transfer Engine'!$C$2:$C$630,0)))</f>
        <v/>
      </c>
      <c r="G379">
        <f>IF(ISNA(MATCH(370,'Transfer Engine'!$C$2:$C$630,0)),"",INDEX('Compliance Database'!$G$2:$G$630,MATCH(370,'Transfer Engine'!$C$2:$C$630,0)))</f>
        <v/>
      </c>
      <c r="H379">
        <f>IF(ISNA(MATCH(370,'Transfer Engine'!$C$2:$C$630,0)),"",INDEX('Compliance Database'!$H$2:$H$630,MATCH(370,'Transfer Engine'!$C$2:$C$630,0)))</f>
        <v/>
      </c>
      <c r="I379" s="8">
        <f>IF(ISNA(MATCH(370,'Transfer Engine'!$C$2:$C$630,0)),"",INDEX('Compliance Database'!$I$2:$I$630,MATCH(370,'Transfer Engine'!$C$2:$C$630,0)))</f>
        <v/>
      </c>
      <c r="J379" s="8">
        <f>IF(ISNA(MATCH(370,'Transfer Engine'!$C$2:$C$630,0)),"",INDEX('Compliance Database'!$J$2:$J$630,MATCH(370,'Transfer Engine'!$C$2:$C$630,0)))</f>
        <v/>
      </c>
      <c r="K379">
        <f>IF(ISNA(MATCH(370,'Transfer Engine'!$C$2:$C$630,0)),"",INDEX('Compliance Database'!$K$2:$K$630,MATCH(370,'Transfer Engine'!$C$2:$C$630,0)))</f>
        <v/>
      </c>
      <c r="L379" s="8">
        <f>IF(ISNA(MATCH(370,'Transfer Engine'!$C$2:$C$630,0)),"",INDEX('Compliance Database'!$L$2:$L$630,MATCH(370,'Transfer Engine'!$C$2:$C$630,0)))</f>
        <v/>
      </c>
      <c r="M379" s="8">
        <f>IF(ISNA(MATCH(370,'Transfer Engine'!$C$2:$C$630,0)),"",INDEX('Compliance Database'!$M$2:$M$630,MATCH(370,'Transfer Engine'!$C$2:$C$630,0)))</f>
        <v/>
      </c>
      <c r="N379" s="8">
        <f>IF(ISNA(MATCH(370,'Transfer Engine'!$C$2:$C$630,0)),"",INDEX('Compliance Database'!$N$2:$N$630,MATCH(370,'Transfer Engine'!$C$2:$C$630,0)))</f>
        <v/>
      </c>
      <c r="O379" s="8">
        <f>IF(ISNA(MATCH(370,'Transfer Engine'!$C$2:$C$630,0)),"",INDEX('Compliance Database'!$O$2:$O$630,MATCH(370,'Transfer Engine'!$C$2:$C$630,0)))</f>
        <v/>
      </c>
    </row>
    <row r="380">
      <c r="A380">
        <f>IF(ISNA(MATCH(371,'Transfer Engine'!$C$2:$C$630,0)),"",INDEX('Compliance Database'!$A$2:$A$630,MATCH(371,'Transfer Engine'!$C$2:$C$630,0)))</f>
        <v/>
      </c>
      <c r="B380">
        <f>IF(ISNA(MATCH(371,'Transfer Engine'!$C$2:$C$630,0)),"",INDEX('Compliance Database'!$B$2:$B$630,MATCH(371,'Transfer Engine'!$C$2:$C$630,0)))</f>
        <v/>
      </c>
      <c r="C380">
        <f>IF(ISNA(MATCH(371,'Transfer Engine'!$C$2:$C$630,0)),"",INDEX('Compliance Database'!$C$2:$C$630,MATCH(371,'Transfer Engine'!$C$2:$C$630,0)))</f>
        <v/>
      </c>
      <c r="D380" s="8">
        <f>IF(ISNA(MATCH(371,'Transfer Engine'!$C$2:$C$630,0)),"",INDEX('Compliance Database'!$D$2:$D$630,MATCH(371,'Transfer Engine'!$C$2:$C$630,0)))</f>
        <v/>
      </c>
      <c r="E380">
        <f>IF(ISNA(MATCH(371,'Transfer Engine'!$C$2:$C$630,0)),"",INDEX('Compliance Database'!$E$2:$E$630,MATCH(371,'Transfer Engine'!$C$2:$C$630,0)))</f>
        <v/>
      </c>
      <c r="F380">
        <f>IF(ISNA(MATCH(371,'Transfer Engine'!$C$2:$C$630,0)),"",INDEX('Compliance Database'!$F$2:$F$630,MATCH(371,'Transfer Engine'!$C$2:$C$630,0)))</f>
        <v/>
      </c>
      <c r="G380">
        <f>IF(ISNA(MATCH(371,'Transfer Engine'!$C$2:$C$630,0)),"",INDEX('Compliance Database'!$G$2:$G$630,MATCH(371,'Transfer Engine'!$C$2:$C$630,0)))</f>
        <v/>
      </c>
      <c r="H380">
        <f>IF(ISNA(MATCH(371,'Transfer Engine'!$C$2:$C$630,0)),"",INDEX('Compliance Database'!$H$2:$H$630,MATCH(371,'Transfer Engine'!$C$2:$C$630,0)))</f>
        <v/>
      </c>
      <c r="I380" s="8">
        <f>IF(ISNA(MATCH(371,'Transfer Engine'!$C$2:$C$630,0)),"",INDEX('Compliance Database'!$I$2:$I$630,MATCH(371,'Transfer Engine'!$C$2:$C$630,0)))</f>
        <v/>
      </c>
      <c r="J380" s="8">
        <f>IF(ISNA(MATCH(371,'Transfer Engine'!$C$2:$C$630,0)),"",INDEX('Compliance Database'!$J$2:$J$630,MATCH(371,'Transfer Engine'!$C$2:$C$630,0)))</f>
        <v/>
      </c>
      <c r="K380">
        <f>IF(ISNA(MATCH(371,'Transfer Engine'!$C$2:$C$630,0)),"",INDEX('Compliance Database'!$K$2:$K$630,MATCH(371,'Transfer Engine'!$C$2:$C$630,0)))</f>
        <v/>
      </c>
      <c r="L380" s="8">
        <f>IF(ISNA(MATCH(371,'Transfer Engine'!$C$2:$C$630,0)),"",INDEX('Compliance Database'!$L$2:$L$630,MATCH(371,'Transfer Engine'!$C$2:$C$630,0)))</f>
        <v/>
      </c>
      <c r="M380" s="8">
        <f>IF(ISNA(MATCH(371,'Transfer Engine'!$C$2:$C$630,0)),"",INDEX('Compliance Database'!$M$2:$M$630,MATCH(371,'Transfer Engine'!$C$2:$C$630,0)))</f>
        <v/>
      </c>
      <c r="N380" s="8">
        <f>IF(ISNA(MATCH(371,'Transfer Engine'!$C$2:$C$630,0)),"",INDEX('Compliance Database'!$N$2:$N$630,MATCH(371,'Transfer Engine'!$C$2:$C$630,0)))</f>
        <v/>
      </c>
      <c r="O380" s="8">
        <f>IF(ISNA(MATCH(371,'Transfer Engine'!$C$2:$C$630,0)),"",INDEX('Compliance Database'!$O$2:$O$630,MATCH(371,'Transfer Engine'!$C$2:$C$630,0)))</f>
        <v/>
      </c>
    </row>
    <row r="381">
      <c r="A381">
        <f>IF(ISNA(MATCH(372,'Transfer Engine'!$C$2:$C$630,0)),"",INDEX('Compliance Database'!$A$2:$A$630,MATCH(372,'Transfer Engine'!$C$2:$C$630,0)))</f>
        <v/>
      </c>
      <c r="B381">
        <f>IF(ISNA(MATCH(372,'Transfer Engine'!$C$2:$C$630,0)),"",INDEX('Compliance Database'!$B$2:$B$630,MATCH(372,'Transfer Engine'!$C$2:$C$630,0)))</f>
        <v/>
      </c>
      <c r="C381">
        <f>IF(ISNA(MATCH(372,'Transfer Engine'!$C$2:$C$630,0)),"",INDEX('Compliance Database'!$C$2:$C$630,MATCH(372,'Transfer Engine'!$C$2:$C$630,0)))</f>
        <v/>
      </c>
      <c r="D381" s="8">
        <f>IF(ISNA(MATCH(372,'Transfer Engine'!$C$2:$C$630,0)),"",INDEX('Compliance Database'!$D$2:$D$630,MATCH(372,'Transfer Engine'!$C$2:$C$630,0)))</f>
        <v/>
      </c>
      <c r="E381">
        <f>IF(ISNA(MATCH(372,'Transfer Engine'!$C$2:$C$630,0)),"",INDEX('Compliance Database'!$E$2:$E$630,MATCH(372,'Transfer Engine'!$C$2:$C$630,0)))</f>
        <v/>
      </c>
      <c r="F381">
        <f>IF(ISNA(MATCH(372,'Transfer Engine'!$C$2:$C$630,0)),"",INDEX('Compliance Database'!$F$2:$F$630,MATCH(372,'Transfer Engine'!$C$2:$C$630,0)))</f>
        <v/>
      </c>
      <c r="G381">
        <f>IF(ISNA(MATCH(372,'Transfer Engine'!$C$2:$C$630,0)),"",INDEX('Compliance Database'!$G$2:$G$630,MATCH(372,'Transfer Engine'!$C$2:$C$630,0)))</f>
        <v/>
      </c>
      <c r="H381">
        <f>IF(ISNA(MATCH(372,'Transfer Engine'!$C$2:$C$630,0)),"",INDEX('Compliance Database'!$H$2:$H$630,MATCH(372,'Transfer Engine'!$C$2:$C$630,0)))</f>
        <v/>
      </c>
      <c r="I381" s="8">
        <f>IF(ISNA(MATCH(372,'Transfer Engine'!$C$2:$C$630,0)),"",INDEX('Compliance Database'!$I$2:$I$630,MATCH(372,'Transfer Engine'!$C$2:$C$630,0)))</f>
        <v/>
      </c>
      <c r="J381" s="8">
        <f>IF(ISNA(MATCH(372,'Transfer Engine'!$C$2:$C$630,0)),"",INDEX('Compliance Database'!$J$2:$J$630,MATCH(372,'Transfer Engine'!$C$2:$C$630,0)))</f>
        <v/>
      </c>
      <c r="K381">
        <f>IF(ISNA(MATCH(372,'Transfer Engine'!$C$2:$C$630,0)),"",INDEX('Compliance Database'!$K$2:$K$630,MATCH(372,'Transfer Engine'!$C$2:$C$630,0)))</f>
        <v/>
      </c>
      <c r="L381" s="8">
        <f>IF(ISNA(MATCH(372,'Transfer Engine'!$C$2:$C$630,0)),"",INDEX('Compliance Database'!$L$2:$L$630,MATCH(372,'Transfer Engine'!$C$2:$C$630,0)))</f>
        <v/>
      </c>
      <c r="M381" s="8">
        <f>IF(ISNA(MATCH(372,'Transfer Engine'!$C$2:$C$630,0)),"",INDEX('Compliance Database'!$M$2:$M$630,MATCH(372,'Transfer Engine'!$C$2:$C$630,0)))</f>
        <v/>
      </c>
      <c r="N381" s="8">
        <f>IF(ISNA(MATCH(372,'Transfer Engine'!$C$2:$C$630,0)),"",INDEX('Compliance Database'!$N$2:$N$630,MATCH(372,'Transfer Engine'!$C$2:$C$630,0)))</f>
        <v/>
      </c>
      <c r="O381" s="8">
        <f>IF(ISNA(MATCH(372,'Transfer Engine'!$C$2:$C$630,0)),"",INDEX('Compliance Database'!$O$2:$O$630,MATCH(372,'Transfer Engine'!$C$2:$C$630,0)))</f>
        <v/>
      </c>
    </row>
    <row r="382">
      <c r="A382">
        <f>IF(ISNA(MATCH(373,'Transfer Engine'!$C$2:$C$630,0)),"",INDEX('Compliance Database'!$A$2:$A$630,MATCH(373,'Transfer Engine'!$C$2:$C$630,0)))</f>
        <v/>
      </c>
      <c r="B382">
        <f>IF(ISNA(MATCH(373,'Transfer Engine'!$C$2:$C$630,0)),"",INDEX('Compliance Database'!$B$2:$B$630,MATCH(373,'Transfer Engine'!$C$2:$C$630,0)))</f>
        <v/>
      </c>
      <c r="C382">
        <f>IF(ISNA(MATCH(373,'Transfer Engine'!$C$2:$C$630,0)),"",INDEX('Compliance Database'!$C$2:$C$630,MATCH(373,'Transfer Engine'!$C$2:$C$630,0)))</f>
        <v/>
      </c>
      <c r="D382" s="8">
        <f>IF(ISNA(MATCH(373,'Transfer Engine'!$C$2:$C$630,0)),"",INDEX('Compliance Database'!$D$2:$D$630,MATCH(373,'Transfer Engine'!$C$2:$C$630,0)))</f>
        <v/>
      </c>
      <c r="E382">
        <f>IF(ISNA(MATCH(373,'Transfer Engine'!$C$2:$C$630,0)),"",INDEX('Compliance Database'!$E$2:$E$630,MATCH(373,'Transfer Engine'!$C$2:$C$630,0)))</f>
        <v/>
      </c>
      <c r="F382">
        <f>IF(ISNA(MATCH(373,'Transfer Engine'!$C$2:$C$630,0)),"",INDEX('Compliance Database'!$F$2:$F$630,MATCH(373,'Transfer Engine'!$C$2:$C$630,0)))</f>
        <v/>
      </c>
      <c r="G382">
        <f>IF(ISNA(MATCH(373,'Transfer Engine'!$C$2:$C$630,0)),"",INDEX('Compliance Database'!$G$2:$G$630,MATCH(373,'Transfer Engine'!$C$2:$C$630,0)))</f>
        <v/>
      </c>
      <c r="H382">
        <f>IF(ISNA(MATCH(373,'Transfer Engine'!$C$2:$C$630,0)),"",INDEX('Compliance Database'!$H$2:$H$630,MATCH(373,'Transfer Engine'!$C$2:$C$630,0)))</f>
        <v/>
      </c>
      <c r="I382" s="8">
        <f>IF(ISNA(MATCH(373,'Transfer Engine'!$C$2:$C$630,0)),"",INDEX('Compliance Database'!$I$2:$I$630,MATCH(373,'Transfer Engine'!$C$2:$C$630,0)))</f>
        <v/>
      </c>
      <c r="J382" s="8">
        <f>IF(ISNA(MATCH(373,'Transfer Engine'!$C$2:$C$630,0)),"",INDEX('Compliance Database'!$J$2:$J$630,MATCH(373,'Transfer Engine'!$C$2:$C$630,0)))</f>
        <v/>
      </c>
      <c r="K382">
        <f>IF(ISNA(MATCH(373,'Transfer Engine'!$C$2:$C$630,0)),"",INDEX('Compliance Database'!$K$2:$K$630,MATCH(373,'Transfer Engine'!$C$2:$C$630,0)))</f>
        <v/>
      </c>
      <c r="L382" s="8">
        <f>IF(ISNA(MATCH(373,'Transfer Engine'!$C$2:$C$630,0)),"",INDEX('Compliance Database'!$L$2:$L$630,MATCH(373,'Transfer Engine'!$C$2:$C$630,0)))</f>
        <v/>
      </c>
      <c r="M382" s="8">
        <f>IF(ISNA(MATCH(373,'Transfer Engine'!$C$2:$C$630,0)),"",INDEX('Compliance Database'!$M$2:$M$630,MATCH(373,'Transfer Engine'!$C$2:$C$630,0)))</f>
        <v/>
      </c>
      <c r="N382" s="8">
        <f>IF(ISNA(MATCH(373,'Transfer Engine'!$C$2:$C$630,0)),"",INDEX('Compliance Database'!$N$2:$N$630,MATCH(373,'Transfer Engine'!$C$2:$C$630,0)))</f>
        <v/>
      </c>
      <c r="O382" s="8">
        <f>IF(ISNA(MATCH(373,'Transfer Engine'!$C$2:$C$630,0)),"",INDEX('Compliance Database'!$O$2:$O$630,MATCH(373,'Transfer Engine'!$C$2:$C$630,0)))</f>
        <v/>
      </c>
    </row>
    <row r="383">
      <c r="A383">
        <f>IF(ISNA(MATCH(374,'Transfer Engine'!$C$2:$C$630,0)),"",INDEX('Compliance Database'!$A$2:$A$630,MATCH(374,'Transfer Engine'!$C$2:$C$630,0)))</f>
        <v/>
      </c>
      <c r="B383">
        <f>IF(ISNA(MATCH(374,'Transfer Engine'!$C$2:$C$630,0)),"",INDEX('Compliance Database'!$B$2:$B$630,MATCH(374,'Transfer Engine'!$C$2:$C$630,0)))</f>
        <v/>
      </c>
      <c r="C383">
        <f>IF(ISNA(MATCH(374,'Transfer Engine'!$C$2:$C$630,0)),"",INDEX('Compliance Database'!$C$2:$C$630,MATCH(374,'Transfer Engine'!$C$2:$C$630,0)))</f>
        <v/>
      </c>
      <c r="D383" s="8">
        <f>IF(ISNA(MATCH(374,'Transfer Engine'!$C$2:$C$630,0)),"",INDEX('Compliance Database'!$D$2:$D$630,MATCH(374,'Transfer Engine'!$C$2:$C$630,0)))</f>
        <v/>
      </c>
      <c r="E383">
        <f>IF(ISNA(MATCH(374,'Transfer Engine'!$C$2:$C$630,0)),"",INDEX('Compliance Database'!$E$2:$E$630,MATCH(374,'Transfer Engine'!$C$2:$C$630,0)))</f>
        <v/>
      </c>
      <c r="F383">
        <f>IF(ISNA(MATCH(374,'Transfer Engine'!$C$2:$C$630,0)),"",INDEX('Compliance Database'!$F$2:$F$630,MATCH(374,'Transfer Engine'!$C$2:$C$630,0)))</f>
        <v/>
      </c>
      <c r="G383">
        <f>IF(ISNA(MATCH(374,'Transfer Engine'!$C$2:$C$630,0)),"",INDEX('Compliance Database'!$G$2:$G$630,MATCH(374,'Transfer Engine'!$C$2:$C$630,0)))</f>
        <v/>
      </c>
      <c r="H383">
        <f>IF(ISNA(MATCH(374,'Transfer Engine'!$C$2:$C$630,0)),"",INDEX('Compliance Database'!$H$2:$H$630,MATCH(374,'Transfer Engine'!$C$2:$C$630,0)))</f>
        <v/>
      </c>
      <c r="I383" s="8">
        <f>IF(ISNA(MATCH(374,'Transfer Engine'!$C$2:$C$630,0)),"",INDEX('Compliance Database'!$I$2:$I$630,MATCH(374,'Transfer Engine'!$C$2:$C$630,0)))</f>
        <v/>
      </c>
      <c r="J383" s="8">
        <f>IF(ISNA(MATCH(374,'Transfer Engine'!$C$2:$C$630,0)),"",INDEX('Compliance Database'!$J$2:$J$630,MATCH(374,'Transfer Engine'!$C$2:$C$630,0)))</f>
        <v/>
      </c>
      <c r="K383">
        <f>IF(ISNA(MATCH(374,'Transfer Engine'!$C$2:$C$630,0)),"",INDEX('Compliance Database'!$K$2:$K$630,MATCH(374,'Transfer Engine'!$C$2:$C$630,0)))</f>
        <v/>
      </c>
      <c r="L383" s="8">
        <f>IF(ISNA(MATCH(374,'Transfer Engine'!$C$2:$C$630,0)),"",INDEX('Compliance Database'!$L$2:$L$630,MATCH(374,'Transfer Engine'!$C$2:$C$630,0)))</f>
        <v/>
      </c>
      <c r="M383" s="8">
        <f>IF(ISNA(MATCH(374,'Transfer Engine'!$C$2:$C$630,0)),"",INDEX('Compliance Database'!$M$2:$M$630,MATCH(374,'Transfer Engine'!$C$2:$C$630,0)))</f>
        <v/>
      </c>
      <c r="N383" s="8">
        <f>IF(ISNA(MATCH(374,'Transfer Engine'!$C$2:$C$630,0)),"",INDEX('Compliance Database'!$N$2:$N$630,MATCH(374,'Transfer Engine'!$C$2:$C$630,0)))</f>
        <v/>
      </c>
      <c r="O383" s="8">
        <f>IF(ISNA(MATCH(374,'Transfer Engine'!$C$2:$C$630,0)),"",INDEX('Compliance Database'!$O$2:$O$630,MATCH(374,'Transfer Engine'!$C$2:$C$630,0)))</f>
        <v/>
      </c>
    </row>
    <row r="384">
      <c r="A384">
        <f>IF(ISNA(MATCH(375,'Transfer Engine'!$C$2:$C$630,0)),"",INDEX('Compliance Database'!$A$2:$A$630,MATCH(375,'Transfer Engine'!$C$2:$C$630,0)))</f>
        <v/>
      </c>
      <c r="B384">
        <f>IF(ISNA(MATCH(375,'Transfer Engine'!$C$2:$C$630,0)),"",INDEX('Compliance Database'!$B$2:$B$630,MATCH(375,'Transfer Engine'!$C$2:$C$630,0)))</f>
        <v/>
      </c>
      <c r="C384">
        <f>IF(ISNA(MATCH(375,'Transfer Engine'!$C$2:$C$630,0)),"",INDEX('Compliance Database'!$C$2:$C$630,MATCH(375,'Transfer Engine'!$C$2:$C$630,0)))</f>
        <v/>
      </c>
      <c r="D384" s="8">
        <f>IF(ISNA(MATCH(375,'Transfer Engine'!$C$2:$C$630,0)),"",INDEX('Compliance Database'!$D$2:$D$630,MATCH(375,'Transfer Engine'!$C$2:$C$630,0)))</f>
        <v/>
      </c>
      <c r="E384">
        <f>IF(ISNA(MATCH(375,'Transfer Engine'!$C$2:$C$630,0)),"",INDEX('Compliance Database'!$E$2:$E$630,MATCH(375,'Transfer Engine'!$C$2:$C$630,0)))</f>
        <v/>
      </c>
      <c r="F384">
        <f>IF(ISNA(MATCH(375,'Transfer Engine'!$C$2:$C$630,0)),"",INDEX('Compliance Database'!$F$2:$F$630,MATCH(375,'Transfer Engine'!$C$2:$C$630,0)))</f>
        <v/>
      </c>
      <c r="G384">
        <f>IF(ISNA(MATCH(375,'Transfer Engine'!$C$2:$C$630,0)),"",INDEX('Compliance Database'!$G$2:$G$630,MATCH(375,'Transfer Engine'!$C$2:$C$630,0)))</f>
        <v/>
      </c>
      <c r="H384">
        <f>IF(ISNA(MATCH(375,'Transfer Engine'!$C$2:$C$630,0)),"",INDEX('Compliance Database'!$H$2:$H$630,MATCH(375,'Transfer Engine'!$C$2:$C$630,0)))</f>
        <v/>
      </c>
      <c r="I384" s="8">
        <f>IF(ISNA(MATCH(375,'Transfer Engine'!$C$2:$C$630,0)),"",INDEX('Compliance Database'!$I$2:$I$630,MATCH(375,'Transfer Engine'!$C$2:$C$630,0)))</f>
        <v/>
      </c>
      <c r="J384" s="8">
        <f>IF(ISNA(MATCH(375,'Transfer Engine'!$C$2:$C$630,0)),"",INDEX('Compliance Database'!$J$2:$J$630,MATCH(375,'Transfer Engine'!$C$2:$C$630,0)))</f>
        <v/>
      </c>
      <c r="K384">
        <f>IF(ISNA(MATCH(375,'Transfer Engine'!$C$2:$C$630,0)),"",INDEX('Compliance Database'!$K$2:$K$630,MATCH(375,'Transfer Engine'!$C$2:$C$630,0)))</f>
        <v/>
      </c>
      <c r="L384" s="8">
        <f>IF(ISNA(MATCH(375,'Transfer Engine'!$C$2:$C$630,0)),"",INDEX('Compliance Database'!$L$2:$L$630,MATCH(375,'Transfer Engine'!$C$2:$C$630,0)))</f>
        <v/>
      </c>
      <c r="M384" s="8">
        <f>IF(ISNA(MATCH(375,'Transfer Engine'!$C$2:$C$630,0)),"",INDEX('Compliance Database'!$M$2:$M$630,MATCH(375,'Transfer Engine'!$C$2:$C$630,0)))</f>
        <v/>
      </c>
      <c r="N384" s="8">
        <f>IF(ISNA(MATCH(375,'Transfer Engine'!$C$2:$C$630,0)),"",INDEX('Compliance Database'!$N$2:$N$630,MATCH(375,'Transfer Engine'!$C$2:$C$630,0)))</f>
        <v/>
      </c>
      <c r="O384" s="8">
        <f>IF(ISNA(MATCH(375,'Transfer Engine'!$C$2:$C$630,0)),"",INDEX('Compliance Database'!$O$2:$O$630,MATCH(375,'Transfer Engine'!$C$2:$C$630,0)))</f>
        <v/>
      </c>
    </row>
    <row r="385">
      <c r="A385">
        <f>IF(ISNA(MATCH(376,'Transfer Engine'!$C$2:$C$630,0)),"",INDEX('Compliance Database'!$A$2:$A$630,MATCH(376,'Transfer Engine'!$C$2:$C$630,0)))</f>
        <v/>
      </c>
      <c r="B385">
        <f>IF(ISNA(MATCH(376,'Transfer Engine'!$C$2:$C$630,0)),"",INDEX('Compliance Database'!$B$2:$B$630,MATCH(376,'Transfer Engine'!$C$2:$C$630,0)))</f>
        <v/>
      </c>
      <c r="C385">
        <f>IF(ISNA(MATCH(376,'Transfer Engine'!$C$2:$C$630,0)),"",INDEX('Compliance Database'!$C$2:$C$630,MATCH(376,'Transfer Engine'!$C$2:$C$630,0)))</f>
        <v/>
      </c>
      <c r="D385" s="8">
        <f>IF(ISNA(MATCH(376,'Transfer Engine'!$C$2:$C$630,0)),"",INDEX('Compliance Database'!$D$2:$D$630,MATCH(376,'Transfer Engine'!$C$2:$C$630,0)))</f>
        <v/>
      </c>
      <c r="E385">
        <f>IF(ISNA(MATCH(376,'Transfer Engine'!$C$2:$C$630,0)),"",INDEX('Compliance Database'!$E$2:$E$630,MATCH(376,'Transfer Engine'!$C$2:$C$630,0)))</f>
        <v/>
      </c>
      <c r="F385">
        <f>IF(ISNA(MATCH(376,'Transfer Engine'!$C$2:$C$630,0)),"",INDEX('Compliance Database'!$F$2:$F$630,MATCH(376,'Transfer Engine'!$C$2:$C$630,0)))</f>
        <v/>
      </c>
      <c r="G385">
        <f>IF(ISNA(MATCH(376,'Transfer Engine'!$C$2:$C$630,0)),"",INDEX('Compliance Database'!$G$2:$G$630,MATCH(376,'Transfer Engine'!$C$2:$C$630,0)))</f>
        <v/>
      </c>
      <c r="H385">
        <f>IF(ISNA(MATCH(376,'Transfer Engine'!$C$2:$C$630,0)),"",INDEX('Compliance Database'!$H$2:$H$630,MATCH(376,'Transfer Engine'!$C$2:$C$630,0)))</f>
        <v/>
      </c>
      <c r="I385" s="8">
        <f>IF(ISNA(MATCH(376,'Transfer Engine'!$C$2:$C$630,0)),"",INDEX('Compliance Database'!$I$2:$I$630,MATCH(376,'Transfer Engine'!$C$2:$C$630,0)))</f>
        <v/>
      </c>
      <c r="J385" s="8">
        <f>IF(ISNA(MATCH(376,'Transfer Engine'!$C$2:$C$630,0)),"",INDEX('Compliance Database'!$J$2:$J$630,MATCH(376,'Transfer Engine'!$C$2:$C$630,0)))</f>
        <v/>
      </c>
      <c r="K385">
        <f>IF(ISNA(MATCH(376,'Transfer Engine'!$C$2:$C$630,0)),"",INDEX('Compliance Database'!$K$2:$K$630,MATCH(376,'Transfer Engine'!$C$2:$C$630,0)))</f>
        <v/>
      </c>
      <c r="L385" s="8">
        <f>IF(ISNA(MATCH(376,'Transfer Engine'!$C$2:$C$630,0)),"",INDEX('Compliance Database'!$L$2:$L$630,MATCH(376,'Transfer Engine'!$C$2:$C$630,0)))</f>
        <v/>
      </c>
      <c r="M385" s="8">
        <f>IF(ISNA(MATCH(376,'Transfer Engine'!$C$2:$C$630,0)),"",INDEX('Compliance Database'!$M$2:$M$630,MATCH(376,'Transfer Engine'!$C$2:$C$630,0)))</f>
        <v/>
      </c>
      <c r="N385" s="8">
        <f>IF(ISNA(MATCH(376,'Transfer Engine'!$C$2:$C$630,0)),"",INDEX('Compliance Database'!$N$2:$N$630,MATCH(376,'Transfer Engine'!$C$2:$C$630,0)))</f>
        <v/>
      </c>
      <c r="O385" s="8">
        <f>IF(ISNA(MATCH(376,'Transfer Engine'!$C$2:$C$630,0)),"",INDEX('Compliance Database'!$O$2:$O$630,MATCH(376,'Transfer Engine'!$C$2:$C$630,0)))</f>
        <v/>
      </c>
    </row>
    <row r="386">
      <c r="A386">
        <f>IF(ISNA(MATCH(377,'Transfer Engine'!$C$2:$C$630,0)),"",INDEX('Compliance Database'!$A$2:$A$630,MATCH(377,'Transfer Engine'!$C$2:$C$630,0)))</f>
        <v/>
      </c>
      <c r="B386">
        <f>IF(ISNA(MATCH(377,'Transfer Engine'!$C$2:$C$630,0)),"",INDEX('Compliance Database'!$B$2:$B$630,MATCH(377,'Transfer Engine'!$C$2:$C$630,0)))</f>
        <v/>
      </c>
      <c r="C386">
        <f>IF(ISNA(MATCH(377,'Transfer Engine'!$C$2:$C$630,0)),"",INDEX('Compliance Database'!$C$2:$C$630,MATCH(377,'Transfer Engine'!$C$2:$C$630,0)))</f>
        <v/>
      </c>
      <c r="D386" s="8">
        <f>IF(ISNA(MATCH(377,'Transfer Engine'!$C$2:$C$630,0)),"",INDEX('Compliance Database'!$D$2:$D$630,MATCH(377,'Transfer Engine'!$C$2:$C$630,0)))</f>
        <v/>
      </c>
      <c r="E386">
        <f>IF(ISNA(MATCH(377,'Transfer Engine'!$C$2:$C$630,0)),"",INDEX('Compliance Database'!$E$2:$E$630,MATCH(377,'Transfer Engine'!$C$2:$C$630,0)))</f>
        <v/>
      </c>
      <c r="F386">
        <f>IF(ISNA(MATCH(377,'Transfer Engine'!$C$2:$C$630,0)),"",INDEX('Compliance Database'!$F$2:$F$630,MATCH(377,'Transfer Engine'!$C$2:$C$630,0)))</f>
        <v/>
      </c>
      <c r="G386">
        <f>IF(ISNA(MATCH(377,'Transfer Engine'!$C$2:$C$630,0)),"",INDEX('Compliance Database'!$G$2:$G$630,MATCH(377,'Transfer Engine'!$C$2:$C$630,0)))</f>
        <v/>
      </c>
      <c r="H386">
        <f>IF(ISNA(MATCH(377,'Transfer Engine'!$C$2:$C$630,0)),"",INDEX('Compliance Database'!$H$2:$H$630,MATCH(377,'Transfer Engine'!$C$2:$C$630,0)))</f>
        <v/>
      </c>
      <c r="I386" s="8">
        <f>IF(ISNA(MATCH(377,'Transfer Engine'!$C$2:$C$630,0)),"",INDEX('Compliance Database'!$I$2:$I$630,MATCH(377,'Transfer Engine'!$C$2:$C$630,0)))</f>
        <v/>
      </c>
      <c r="J386" s="8">
        <f>IF(ISNA(MATCH(377,'Transfer Engine'!$C$2:$C$630,0)),"",INDEX('Compliance Database'!$J$2:$J$630,MATCH(377,'Transfer Engine'!$C$2:$C$630,0)))</f>
        <v/>
      </c>
      <c r="K386">
        <f>IF(ISNA(MATCH(377,'Transfer Engine'!$C$2:$C$630,0)),"",INDEX('Compliance Database'!$K$2:$K$630,MATCH(377,'Transfer Engine'!$C$2:$C$630,0)))</f>
        <v/>
      </c>
      <c r="L386" s="8">
        <f>IF(ISNA(MATCH(377,'Transfer Engine'!$C$2:$C$630,0)),"",INDEX('Compliance Database'!$L$2:$L$630,MATCH(377,'Transfer Engine'!$C$2:$C$630,0)))</f>
        <v/>
      </c>
      <c r="M386" s="8">
        <f>IF(ISNA(MATCH(377,'Transfer Engine'!$C$2:$C$630,0)),"",INDEX('Compliance Database'!$M$2:$M$630,MATCH(377,'Transfer Engine'!$C$2:$C$630,0)))</f>
        <v/>
      </c>
      <c r="N386" s="8">
        <f>IF(ISNA(MATCH(377,'Transfer Engine'!$C$2:$C$630,0)),"",INDEX('Compliance Database'!$N$2:$N$630,MATCH(377,'Transfer Engine'!$C$2:$C$630,0)))</f>
        <v/>
      </c>
      <c r="O386" s="8">
        <f>IF(ISNA(MATCH(377,'Transfer Engine'!$C$2:$C$630,0)),"",INDEX('Compliance Database'!$O$2:$O$630,MATCH(377,'Transfer Engine'!$C$2:$C$630,0)))</f>
        <v/>
      </c>
    </row>
    <row r="387">
      <c r="A387">
        <f>IF(ISNA(MATCH(378,'Transfer Engine'!$C$2:$C$630,0)),"",INDEX('Compliance Database'!$A$2:$A$630,MATCH(378,'Transfer Engine'!$C$2:$C$630,0)))</f>
        <v/>
      </c>
      <c r="B387">
        <f>IF(ISNA(MATCH(378,'Transfer Engine'!$C$2:$C$630,0)),"",INDEX('Compliance Database'!$B$2:$B$630,MATCH(378,'Transfer Engine'!$C$2:$C$630,0)))</f>
        <v/>
      </c>
      <c r="C387">
        <f>IF(ISNA(MATCH(378,'Transfer Engine'!$C$2:$C$630,0)),"",INDEX('Compliance Database'!$C$2:$C$630,MATCH(378,'Transfer Engine'!$C$2:$C$630,0)))</f>
        <v/>
      </c>
      <c r="D387" s="8">
        <f>IF(ISNA(MATCH(378,'Transfer Engine'!$C$2:$C$630,0)),"",INDEX('Compliance Database'!$D$2:$D$630,MATCH(378,'Transfer Engine'!$C$2:$C$630,0)))</f>
        <v/>
      </c>
      <c r="E387">
        <f>IF(ISNA(MATCH(378,'Transfer Engine'!$C$2:$C$630,0)),"",INDEX('Compliance Database'!$E$2:$E$630,MATCH(378,'Transfer Engine'!$C$2:$C$630,0)))</f>
        <v/>
      </c>
      <c r="F387">
        <f>IF(ISNA(MATCH(378,'Transfer Engine'!$C$2:$C$630,0)),"",INDEX('Compliance Database'!$F$2:$F$630,MATCH(378,'Transfer Engine'!$C$2:$C$630,0)))</f>
        <v/>
      </c>
      <c r="G387">
        <f>IF(ISNA(MATCH(378,'Transfer Engine'!$C$2:$C$630,0)),"",INDEX('Compliance Database'!$G$2:$G$630,MATCH(378,'Transfer Engine'!$C$2:$C$630,0)))</f>
        <v/>
      </c>
      <c r="H387">
        <f>IF(ISNA(MATCH(378,'Transfer Engine'!$C$2:$C$630,0)),"",INDEX('Compliance Database'!$H$2:$H$630,MATCH(378,'Transfer Engine'!$C$2:$C$630,0)))</f>
        <v/>
      </c>
      <c r="I387" s="8">
        <f>IF(ISNA(MATCH(378,'Transfer Engine'!$C$2:$C$630,0)),"",INDEX('Compliance Database'!$I$2:$I$630,MATCH(378,'Transfer Engine'!$C$2:$C$630,0)))</f>
        <v/>
      </c>
      <c r="J387" s="8">
        <f>IF(ISNA(MATCH(378,'Transfer Engine'!$C$2:$C$630,0)),"",INDEX('Compliance Database'!$J$2:$J$630,MATCH(378,'Transfer Engine'!$C$2:$C$630,0)))</f>
        <v/>
      </c>
      <c r="K387">
        <f>IF(ISNA(MATCH(378,'Transfer Engine'!$C$2:$C$630,0)),"",INDEX('Compliance Database'!$K$2:$K$630,MATCH(378,'Transfer Engine'!$C$2:$C$630,0)))</f>
        <v/>
      </c>
      <c r="L387" s="8">
        <f>IF(ISNA(MATCH(378,'Transfer Engine'!$C$2:$C$630,0)),"",INDEX('Compliance Database'!$L$2:$L$630,MATCH(378,'Transfer Engine'!$C$2:$C$630,0)))</f>
        <v/>
      </c>
      <c r="M387" s="8">
        <f>IF(ISNA(MATCH(378,'Transfer Engine'!$C$2:$C$630,0)),"",INDEX('Compliance Database'!$M$2:$M$630,MATCH(378,'Transfer Engine'!$C$2:$C$630,0)))</f>
        <v/>
      </c>
      <c r="N387" s="8">
        <f>IF(ISNA(MATCH(378,'Transfer Engine'!$C$2:$C$630,0)),"",INDEX('Compliance Database'!$N$2:$N$630,MATCH(378,'Transfer Engine'!$C$2:$C$630,0)))</f>
        <v/>
      </c>
      <c r="O387" s="8">
        <f>IF(ISNA(MATCH(378,'Transfer Engine'!$C$2:$C$630,0)),"",INDEX('Compliance Database'!$O$2:$O$630,MATCH(378,'Transfer Engine'!$C$2:$C$630,0)))</f>
        <v/>
      </c>
    </row>
    <row r="388">
      <c r="A388">
        <f>IF(ISNA(MATCH(379,'Transfer Engine'!$C$2:$C$630,0)),"",INDEX('Compliance Database'!$A$2:$A$630,MATCH(379,'Transfer Engine'!$C$2:$C$630,0)))</f>
        <v/>
      </c>
      <c r="B388">
        <f>IF(ISNA(MATCH(379,'Transfer Engine'!$C$2:$C$630,0)),"",INDEX('Compliance Database'!$B$2:$B$630,MATCH(379,'Transfer Engine'!$C$2:$C$630,0)))</f>
        <v/>
      </c>
      <c r="C388">
        <f>IF(ISNA(MATCH(379,'Transfer Engine'!$C$2:$C$630,0)),"",INDEX('Compliance Database'!$C$2:$C$630,MATCH(379,'Transfer Engine'!$C$2:$C$630,0)))</f>
        <v/>
      </c>
      <c r="D388" s="8">
        <f>IF(ISNA(MATCH(379,'Transfer Engine'!$C$2:$C$630,0)),"",INDEX('Compliance Database'!$D$2:$D$630,MATCH(379,'Transfer Engine'!$C$2:$C$630,0)))</f>
        <v/>
      </c>
      <c r="E388">
        <f>IF(ISNA(MATCH(379,'Transfer Engine'!$C$2:$C$630,0)),"",INDEX('Compliance Database'!$E$2:$E$630,MATCH(379,'Transfer Engine'!$C$2:$C$630,0)))</f>
        <v/>
      </c>
      <c r="F388">
        <f>IF(ISNA(MATCH(379,'Transfer Engine'!$C$2:$C$630,0)),"",INDEX('Compliance Database'!$F$2:$F$630,MATCH(379,'Transfer Engine'!$C$2:$C$630,0)))</f>
        <v/>
      </c>
      <c r="G388">
        <f>IF(ISNA(MATCH(379,'Transfer Engine'!$C$2:$C$630,0)),"",INDEX('Compliance Database'!$G$2:$G$630,MATCH(379,'Transfer Engine'!$C$2:$C$630,0)))</f>
        <v/>
      </c>
      <c r="H388">
        <f>IF(ISNA(MATCH(379,'Transfer Engine'!$C$2:$C$630,0)),"",INDEX('Compliance Database'!$H$2:$H$630,MATCH(379,'Transfer Engine'!$C$2:$C$630,0)))</f>
        <v/>
      </c>
      <c r="I388" s="8">
        <f>IF(ISNA(MATCH(379,'Transfer Engine'!$C$2:$C$630,0)),"",INDEX('Compliance Database'!$I$2:$I$630,MATCH(379,'Transfer Engine'!$C$2:$C$630,0)))</f>
        <v/>
      </c>
      <c r="J388" s="8">
        <f>IF(ISNA(MATCH(379,'Transfer Engine'!$C$2:$C$630,0)),"",INDEX('Compliance Database'!$J$2:$J$630,MATCH(379,'Transfer Engine'!$C$2:$C$630,0)))</f>
        <v/>
      </c>
      <c r="K388">
        <f>IF(ISNA(MATCH(379,'Transfer Engine'!$C$2:$C$630,0)),"",INDEX('Compliance Database'!$K$2:$K$630,MATCH(379,'Transfer Engine'!$C$2:$C$630,0)))</f>
        <v/>
      </c>
      <c r="L388" s="8">
        <f>IF(ISNA(MATCH(379,'Transfer Engine'!$C$2:$C$630,0)),"",INDEX('Compliance Database'!$L$2:$L$630,MATCH(379,'Transfer Engine'!$C$2:$C$630,0)))</f>
        <v/>
      </c>
      <c r="M388" s="8">
        <f>IF(ISNA(MATCH(379,'Transfer Engine'!$C$2:$C$630,0)),"",INDEX('Compliance Database'!$M$2:$M$630,MATCH(379,'Transfer Engine'!$C$2:$C$630,0)))</f>
        <v/>
      </c>
      <c r="N388" s="8">
        <f>IF(ISNA(MATCH(379,'Transfer Engine'!$C$2:$C$630,0)),"",INDEX('Compliance Database'!$N$2:$N$630,MATCH(379,'Transfer Engine'!$C$2:$C$630,0)))</f>
        <v/>
      </c>
      <c r="O388" s="8">
        <f>IF(ISNA(MATCH(379,'Transfer Engine'!$C$2:$C$630,0)),"",INDEX('Compliance Database'!$O$2:$O$630,MATCH(379,'Transfer Engine'!$C$2:$C$630,0)))</f>
        <v/>
      </c>
    </row>
    <row r="389">
      <c r="A389">
        <f>IF(ISNA(MATCH(380,'Transfer Engine'!$C$2:$C$630,0)),"",INDEX('Compliance Database'!$A$2:$A$630,MATCH(380,'Transfer Engine'!$C$2:$C$630,0)))</f>
        <v/>
      </c>
      <c r="B389">
        <f>IF(ISNA(MATCH(380,'Transfer Engine'!$C$2:$C$630,0)),"",INDEX('Compliance Database'!$B$2:$B$630,MATCH(380,'Transfer Engine'!$C$2:$C$630,0)))</f>
        <v/>
      </c>
      <c r="C389">
        <f>IF(ISNA(MATCH(380,'Transfer Engine'!$C$2:$C$630,0)),"",INDEX('Compliance Database'!$C$2:$C$630,MATCH(380,'Transfer Engine'!$C$2:$C$630,0)))</f>
        <v/>
      </c>
      <c r="D389" s="8">
        <f>IF(ISNA(MATCH(380,'Transfer Engine'!$C$2:$C$630,0)),"",INDEX('Compliance Database'!$D$2:$D$630,MATCH(380,'Transfer Engine'!$C$2:$C$630,0)))</f>
        <v/>
      </c>
      <c r="E389">
        <f>IF(ISNA(MATCH(380,'Transfer Engine'!$C$2:$C$630,0)),"",INDEX('Compliance Database'!$E$2:$E$630,MATCH(380,'Transfer Engine'!$C$2:$C$630,0)))</f>
        <v/>
      </c>
      <c r="F389">
        <f>IF(ISNA(MATCH(380,'Transfer Engine'!$C$2:$C$630,0)),"",INDEX('Compliance Database'!$F$2:$F$630,MATCH(380,'Transfer Engine'!$C$2:$C$630,0)))</f>
        <v/>
      </c>
      <c r="G389">
        <f>IF(ISNA(MATCH(380,'Transfer Engine'!$C$2:$C$630,0)),"",INDEX('Compliance Database'!$G$2:$G$630,MATCH(380,'Transfer Engine'!$C$2:$C$630,0)))</f>
        <v/>
      </c>
      <c r="H389">
        <f>IF(ISNA(MATCH(380,'Transfer Engine'!$C$2:$C$630,0)),"",INDEX('Compliance Database'!$H$2:$H$630,MATCH(380,'Transfer Engine'!$C$2:$C$630,0)))</f>
        <v/>
      </c>
      <c r="I389" s="8">
        <f>IF(ISNA(MATCH(380,'Transfer Engine'!$C$2:$C$630,0)),"",INDEX('Compliance Database'!$I$2:$I$630,MATCH(380,'Transfer Engine'!$C$2:$C$630,0)))</f>
        <v/>
      </c>
      <c r="J389" s="8">
        <f>IF(ISNA(MATCH(380,'Transfer Engine'!$C$2:$C$630,0)),"",INDEX('Compliance Database'!$J$2:$J$630,MATCH(380,'Transfer Engine'!$C$2:$C$630,0)))</f>
        <v/>
      </c>
      <c r="K389">
        <f>IF(ISNA(MATCH(380,'Transfer Engine'!$C$2:$C$630,0)),"",INDEX('Compliance Database'!$K$2:$K$630,MATCH(380,'Transfer Engine'!$C$2:$C$630,0)))</f>
        <v/>
      </c>
      <c r="L389" s="8">
        <f>IF(ISNA(MATCH(380,'Transfer Engine'!$C$2:$C$630,0)),"",INDEX('Compliance Database'!$L$2:$L$630,MATCH(380,'Transfer Engine'!$C$2:$C$630,0)))</f>
        <v/>
      </c>
      <c r="M389" s="8">
        <f>IF(ISNA(MATCH(380,'Transfer Engine'!$C$2:$C$630,0)),"",INDEX('Compliance Database'!$M$2:$M$630,MATCH(380,'Transfer Engine'!$C$2:$C$630,0)))</f>
        <v/>
      </c>
      <c r="N389" s="8">
        <f>IF(ISNA(MATCH(380,'Transfer Engine'!$C$2:$C$630,0)),"",INDEX('Compliance Database'!$N$2:$N$630,MATCH(380,'Transfer Engine'!$C$2:$C$630,0)))</f>
        <v/>
      </c>
      <c r="O389" s="8">
        <f>IF(ISNA(MATCH(380,'Transfer Engine'!$C$2:$C$630,0)),"",INDEX('Compliance Database'!$O$2:$O$630,MATCH(380,'Transfer Engine'!$C$2:$C$630,0)))</f>
        <v/>
      </c>
    </row>
    <row r="390">
      <c r="A390">
        <f>IF(ISNA(MATCH(381,'Transfer Engine'!$C$2:$C$630,0)),"",INDEX('Compliance Database'!$A$2:$A$630,MATCH(381,'Transfer Engine'!$C$2:$C$630,0)))</f>
        <v/>
      </c>
      <c r="B390">
        <f>IF(ISNA(MATCH(381,'Transfer Engine'!$C$2:$C$630,0)),"",INDEX('Compliance Database'!$B$2:$B$630,MATCH(381,'Transfer Engine'!$C$2:$C$630,0)))</f>
        <v/>
      </c>
      <c r="C390">
        <f>IF(ISNA(MATCH(381,'Transfer Engine'!$C$2:$C$630,0)),"",INDEX('Compliance Database'!$C$2:$C$630,MATCH(381,'Transfer Engine'!$C$2:$C$630,0)))</f>
        <v/>
      </c>
      <c r="D390" s="8">
        <f>IF(ISNA(MATCH(381,'Transfer Engine'!$C$2:$C$630,0)),"",INDEX('Compliance Database'!$D$2:$D$630,MATCH(381,'Transfer Engine'!$C$2:$C$630,0)))</f>
        <v/>
      </c>
      <c r="E390">
        <f>IF(ISNA(MATCH(381,'Transfer Engine'!$C$2:$C$630,0)),"",INDEX('Compliance Database'!$E$2:$E$630,MATCH(381,'Transfer Engine'!$C$2:$C$630,0)))</f>
        <v/>
      </c>
      <c r="F390">
        <f>IF(ISNA(MATCH(381,'Transfer Engine'!$C$2:$C$630,0)),"",INDEX('Compliance Database'!$F$2:$F$630,MATCH(381,'Transfer Engine'!$C$2:$C$630,0)))</f>
        <v/>
      </c>
      <c r="G390">
        <f>IF(ISNA(MATCH(381,'Transfer Engine'!$C$2:$C$630,0)),"",INDEX('Compliance Database'!$G$2:$G$630,MATCH(381,'Transfer Engine'!$C$2:$C$630,0)))</f>
        <v/>
      </c>
      <c r="H390">
        <f>IF(ISNA(MATCH(381,'Transfer Engine'!$C$2:$C$630,0)),"",INDEX('Compliance Database'!$H$2:$H$630,MATCH(381,'Transfer Engine'!$C$2:$C$630,0)))</f>
        <v/>
      </c>
      <c r="I390" s="8">
        <f>IF(ISNA(MATCH(381,'Transfer Engine'!$C$2:$C$630,0)),"",INDEX('Compliance Database'!$I$2:$I$630,MATCH(381,'Transfer Engine'!$C$2:$C$630,0)))</f>
        <v/>
      </c>
      <c r="J390" s="8">
        <f>IF(ISNA(MATCH(381,'Transfer Engine'!$C$2:$C$630,0)),"",INDEX('Compliance Database'!$J$2:$J$630,MATCH(381,'Transfer Engine'!$C$2:$C$630,0)))</f>
        <v/>
      </c>
      <c r="K390">
        <f>IF(ISNA(MATCH(381,'Transfer Engine'!$C$2:$C$630,0)),"",INDEX('Compliance Database'!$K$2:$K$630,MATCH(381,'Transfer Engine'!$C$2:$C$630,0)))</f>
        <v/>
      </c>
      <c r="L390" s="8">
        <f>IF(ISNA(MATCH(381,'Transfer Engine'!$C$2:$C$630,0)),"",INDEX('Compliance Database'!$L$2:$L$630,MATCH(381,'Transfer Engine'!$C$2:$C$630,0)))</f>
        <v/>
      </c>
      <c r="M390" s="8">
        <f>IF(ISNA(MATCH(381,'Transfer Engine'!$C$2:$C$630,0)),"",INDEX('Compliance Database'!$M$2:$M$630,MATCH(381,'Transfer Engine'!$C$2:$C$630,0)))</f>
        <v/>
      </c>
      <c r="N390" s="8">
        <f>IF(ISNA(MATCH(381,'Transfer Engine'!$C$2:$C$630,0)),"",INDEX('Compliance Database'!$N$2:$N$630,MATCH(381,'Transfer Engine'!$C$2:$C$630,0)))</f>
        <v/>
      </c>
      <c r="O390" s="8">
        <f>IF(ISNA(MATCH(381,'Transfer Engine'!$C$2:$C$630,0)),"",INDEX('Compliance Database'!$O$2:$O$630,MATCH(381,'Transfer Engine'!$C$2:$C$630,0)))</f>
        <v/>
      </c>
    </row>
    <row r="391">
      <c r="A391">
        <f>IF(ISNA(MATCH(382,'Transfer Engine'!$C$2:$C$630,0)),"",INDEX('Compliance Database'!$A$2:$A$630,MATCH(382,'Transfer Engine'!$C$2:$C$630,0)))</f>
        <v/>
      </c>
      <c r="B391">
        <f>IF(ISNA(MATCH(382,'Transfer Engine'!$C$2:$C$630,0)),"",INDEX('Compliance Database'!$B$2:$B$630,MATCH(382,'Transfer Engine'!$C$2:$C$630,0)))</f>
        <v/>
      </c>
      <c r="C391">
        <f>IF(ISNA(MATCH(382,'Transfer Engine'!$C$2:$C$630,0)),"",INDEX('Compliance Database'!$C$2:$C$630,MATCH(382,'Transfer Engine'!$C$2:$C$630,0)))</f>
        <v/>
      </c>
      <c r="D391" s="8">
        <f>IF(ISNA(MATCH(382,'Transfer Engine'!$C$2:$C$630,0)),"",INDEX('Compliance Database'!$D$2:$D$630,MATCH(382,'Transfer Engine'!$C$2:$C$630,0)))</f>
        <v/>
      </c>
      <c r="E391">
        <f>IF(ISNA(MATCH(382,'Transfer Engine'!$C$2:$C$630,0)),"",INDEX('Compliance Database'!$E$2:$E$630,MATCH(382,'Transfer Engine'!$C$2:$C$630,0)))</f>
        <v/>
      </c>
      <c r="F391">
        <f>IF(ISNA(MATCH(382,'Transfer Engine'!$C$2:$C$630,0)),"",INDEX('Compliance Database'!$F$2:$F$630,MATCH(382,'Transfer Engine'!$C$2:$C$630,0)))</f>
        <v/>
      </c>
      <c r="G391">
        <f>IF(ISNA(MATCH(382,'Transfer Engine'!$C$2:$C$630,0)),"",INDEX('Compliance Database'!$G$2:$G$630,MATCH(382,'Transfer Engine'!$C$2:$C$630,0)))</f>
        <v/>
      </c>
      <c r="H391">
        <f>IF(ISNA(MATCH(382,'Transfer Engine'!$C$2:$C$630,0)),"",INDEX('Compliance Database'!$H$2:$H$630,MATCH(382,'Transfer Engine'!$C$2:$C$630,0)))</f>
        <v/>
      </c>
      <c r="I391" s="8">
        <f>IF(ISNA(MATCH(382,'Transfer Engine'!$C$2:$C$630,0)),"",INDEX('Compliance Database'!$I$2:$I$630,MATCH(382,'Transfer Engine'!$C$2:$C$630,0)))</f>
        <v/>
      </c>
      <c r="J391" s="8">
        <f>IF(ISNA(MATCH(382,'Transfer Engine'!$C$2:$C$630,0)),"",INDEX('Compliance Database'!$J$2:$J$630,MATCH(382,'Transfer Engine'!$C$2:$C$630,0)))</f>
        <v/>
      </c>
      <c r="K391">
        <f>IF(ISNA(MATCH(382,'Transfer Engine'!$C$2:$C$630,0)),"",INDEX('Compliance Database'!$K$2:$K$630,MATCH(382,'Transfer Engine'!$C$2:$C$630,0)))</f>
        <v/>
      </c>
      <c r="L391" s="8">
        <f>IF(ISNA(MATCH(382,'Transfer Engine'!$C$2:$C$630,0)),"",INDEX('Compliance Database'!$L$2:$L$630,MATCH(382,'Transfer Engine'!$C$2:$C$630,0)))</f>
        <v/>
      </c>
      <c r="M391" s="8">
        <f>IF(ISNA(MATCH(382,'Transfer Engine'!$C$2:$C$630,0)),"",INDEX('Compliance Database'!$M$2:$M$630,MATCH(382,'Transfer Engine'!$C$2:$C$630,0)))</f>
        <v/>
      </c>
      <c r="N391" s="8">
        <f>IF(ISNA(MATCH(382,'Transfer Engine'!$C$2:$C$630,0)),"",INDEX('Compliance Database'!$N$2:$N$630,MATCH(382,'Transfer Engine'!$C$2:$C$630,0)))</f>
        <v/>
      </c>
      <c r="O391" s="8">
        <f>IF(ISNA(MATCH(382,'Transfer Engine'!$C$2:$C$630,0)),"",INDEX('Compliance Database'!$O$2:$O$630,MATCH(382,'Transfer Engine'!$C$2:$C$630,0)))</f>
        <v/>
      </c>
    </row>
    <row r="392">
      <c r="A392">
        <f>IF(ISNA(MATCH(383,'Transfer Engine'!$C$2:$C$630,0)),"",INDEX('Compliance Database'!$A$2:$A$630,MATCH(383,'Transfer Engine'!$C$2:$C$630,0)))</f>
        <v/>
      </c>
      <c r="B392">
        <f>IF(ISNA(MATCH(383,'Transfer Engine'!$C$2:$C$630,0)),"",INDEX('Compliance Database'!$B$2:$B$630,MATCH(383,'Transfer Engine'!$C$2:$C$630,0)))</f>
        <v/>
      </c>
      <c r="C392">
        <f>IF(ISNA(MATCH(383,'Transfer Engine'!$C$2:$C$630,0)),"",INDEX('Compliance Database'!$C$2:$C$630,MATCH(383,'Transfer Engine'!$C$2:$C$630,0)))</f>
        <v/>
      </c>
      <c r="D392" s="8">
        <f>IF(ISNA(MATCH(383,'Transfer Engine'!$C$2:$C$630,0)),"",INDEX('Compliance Database'!$D$2:$D$630,MATCH(383,'Transfer Engine'!$C$2:$C$630,0)))</f>
        <v/>
      </c>
      <c r="E392">
        <f>IF(ISNA(MATCH(383,'Transfer Engine'!$C$2:$C$630,0)),"",INDEX('Compliance Database'!$E$2:$E$630,MATCH(383,'Transfer Engine'!$C$2:$C$630,0)))</f>
        <v/>
      </c>
      <c r="F392">
        <f>IF(ISNA(MATCH(383,'Transfer Engine'!$C$2:$C$630,0)),"",INDEX('Compliance Database'!$F$2:$F$630,MATCH(383,'Transfer Engine'!$C$2:$C$630,0)))</f>
        <v/>
      </c>
      <c r="G392">
        <f>IF(ISNA(MATCH(383,'Transfer Engine'!$C$2:$C$630,0)),"",INDEX('Compliance Database'!$G$2:$G$630,MATCH(383,'Transfer Engine'!$C$2:$C$630,0)))</f>
        <v/>
      </c>
      <c r="H392">
        <f>IF(ISNA(MATCH(383,'Transfer Engine'!$C$2:$C$630,0)),"",INDEX('Compliance Database'!$H$2:$H$630,MATCH(383,'Transfer Engine'!$C$2:$C$630,0)))</f>
        <v/>
      </c>
      <c r="I392" s="8">
        <f>IF(ISNA(MATCH(383,'Transfer Engine'!$C$2:$C$630,0)),"",INDEX('Compliance Database'!$I$2:$I$630,MATCH(383,'Transfer Engine'!$C$2:$C$630,0)))</f>
        <v/>
      </c>
      <c r="J392" s="8">
        <f>IF(ISNA(MATCH(383,'Transfer Engine'!$C$2:$C$630,0)),"",INDEX('Compliance Database'!$J$2:$J$630,MATCH(383,'Transfer Engine'!$C$2:$C$630,0)))</f>
        <v/>
      </c>
      <c r="K392">
        <f>IF(ISNA(MATCH(383,'Transfer Engine'!$C$2:$C$630,0)),"",INDEX('Compliance Database'!$K$2:$K$630,MATCH(383,'Transfer Engine'!$C$2:$C$630,0)))</f>
        <v/>
      </c>
      <c r="L392" s="8">
        <f>IF(ISNA(MATCH(383,'Transfer Engine'!$C$2:$C$630,0)),"",INDEX('Compliance Database'!$L$2:$L$630,MATCH(383,'Transfer Engine'!$C$2:$C$630,0)))</f>
        <v/>
      </c>
      <c r="M392" s="8">
        <f>IF(ISNA(MATCH(383,'Transfer Engine'!$C$2:$C$630,0)),"",INDEX('Compliance Database'!$M$2:$M$630,MATCH(383,'Transfer Engine'!$C$2:$C$630,0)))</f>
        <v/>
      </c>
      <c r="N392" s="8">
        <f>IF(ISNA(MATCH(383,'Transfer Engine'!$C$2:$C$630,0)),"",INDEX('Compliance Database'!$N$2:$N$630,MATCH(383,'Transfer Engine'!$C$2:$C$630,0)))</f>
        <v/>
      </c>
      <c r="O392" s="8">
        <f>IF(ISNA(MATCH(383,'Transfer Engine'!$C$2:$C$630,0)),"",INDEX('Compliance Database'!$O$2:$O$630,MATCH(383,'Transfer Engine'!$C$2:$C$630,0)))</f>
        <v/>
      </c>
    </row>
    <row r="393">
      <c r="A393">
        <f>IF(ISNA(MATCH(384,'Transfer Engine'!$C$2:$C$630,0)),"",INDEX('Compliance Database'!$A$2:$A$630,MATCH(384,'Transfer Engine'!$C$2:$C$630,0)))</f>
        <v/>
      </c>
      <c r="B393">
        <f>IF(ISNA(MATCH(384,'Transfer Engine'!$C$2:$C$630,0)),"",INDEX('Compliance Database'!$B$2:$B$630,MATCH(384,'Transfer Engine'!$C$2:$C$630,0)))</f>
        <v/>
      </c>
      <c r="C393">
        <f>IF(ISNA(MATCH(384,'Transfer Engine'!$C$2:$C$630,0)),"",INDEX('Compliance Database'!$C$2:$C$630,MATCH(384,'Transfer Engine'!$C$2:$C$630,0)))</f>
        <v/>
      </c>
      <c r="D393" s="8">
        <f>IF(ISNA(MATCH(384,'Transfer Engine'!$C$2:$C$630,0)),"",INDEX('Compliance Database'!$D$2:$D$630,MATCH(384,'Transfer Engine'!$C$2:$C$630,0)))</f>
        <v/>
      </c>
      <c r="E393">
        <f>IF(ISNA(MATCH(384,'Transfer Engine'!$C$2:$C$630,0)),"",INDEX('Compliance Database'!$E$2:$E$630,MATCH(384,'Transfer Engine'!$C$2:$C$630,0)))</f>
        <v/>
      </c>
      <c r="F393">
        <f>IF(ISNA(MATCH(384,'Transfer Engine'!$C$2:$C$630,0)),"",INDEX('Compliance Database'!$F$2:$F$630,MATCH(384,'Transfer Engine'!$C$2:$C$630,0)))</f>
        <v/>
      </c>
      <c r="G393">
        <f>IF(ISNA(MATCH(384,'Transfer Engine'!$C$2:$C$630,0)),"",INDEX('Compliance Database'!$G$2:$G$630,MATCH(384,'Transfer Engine'!$C$2:$C$630,0)))</f>
        <v/>
      </c>
      <c r="H393">
        <f>IF(ISNA(MATCH(384,'Transfer Engine'!$C$2:$C$630,0)),"",INDEX('Compliance Database'!$H$2:$H$630,MATCH(384,'Transfer Engine'!$C$2:$C$630,0)))</f>
        <v/>
      </c>
      <c r="I393" s="8">
        <f>IF(ISNA(MATCH(384,'Transfer Engine'!$C$2:$C$630,0)),"",INDEX('Compliance Database'!$I$2:$I$630,MATCH(384,'Transfer Engine'!$C$2:$C$630,0)))</f>
        <v/>
      </c>
      <c r="J393" s="8">
        <f>IF(ISNA(MATCH(384,'Transfer Engine'!$C$2:$C$630,0)),"",INDEX('Compliance Database'!$J$2:$J$630,MATCH(384,'Transfer Engine'!$C$2:$C$630,0)))</f>
        <v/>
      </c>
      <c r="K393">
        <f>IF(ISNA(MATCH(384,'Transfer Engine'!$C$2:$C$630,0)),"",INDEX('Compliance Database'!$K$2:$K$630,MATCH(384,'Transfer Engine'!$C$2:$C$630,0)))</f>
        <v/>
      </c>
      <c r="L393" s="8">
        <f>IF(ISNA(MATCH(384,'Transfer Engine'!$C$2:$C$630,0)),"",INDEX('Compliance Database'!$L$2:$L$630,MATCH(384,'Transfer Engine'!$C$2:$C$630,0)))</f>
        <v/>
      </c>
      <c r="M393" s="8">
        <f>IF(ISNA(MATCH(384,'Transfer Engine'!$C$2:$C$630,0)),"",INDEX('Compliance Database'!$M$2:$M$630,MATCH(384,'Transfer Engine'!$C$2:$C$630,0)))</f>
        <v/>
      </c>
      <c r="N393" s="8">
        <f>IF(ISNA(MATCH(384,'Transfer Engine'!$C$2:$C$630,0)),"",INDEX('Compliance Database'!$N$2:$N$630,MATCH(384,'Transfer Engine'!$C$2:$C$630,0)))</f>
        <v/>
      </c>
      <c r="O393" s="8">
        <f>IF(ISNA(MATCH(384,'Transfer Engine'!$C$2:$C$630,0)),"",INDEX('Compliance Database'!$O$2:$O$630,MATCH(384,'Transfer Engine'!$C$2:$C$630,0)))</f>
        <v/>
      </c>
    </row>
    <row r="394">
      <c r="A394">
        <f>IF(ISNA(MATCH(385,'Transfer Engine'!$C$2:$C$630,0)),"",INDEX('Compliance Database'!$A$2:$A$630,MATCH(385,'Transfer Engine'!$C$2:$C$630,0)))</f>
        <v/>
      </c>
      <c r="B394">
        <f>IF(ISNA(MATCH(385,'Transfer Engine'!$C$2:$C$630,0)),"",INDEX('Compliance Database'!$B$2:$B$630,MATCH(385,'Transfer Engine'!$C$2:$C$630,0)))</f>
        <v/>
      </c>
      <c r="C394">
        <f>IF(ISNA(MATCH(385,'Transfer Engine'!$C$2:$C$630,0)),"",INDEX('Compliance Database'!$C$2:$C$630,MATCH(385,'Transfer Engine'!$C$2:$C$630,0)))</f>
        <v/>
      </c>
      <c r="D394" s="8">
        <f>IF(ISNA(MATCH(385,'Transfer Engine'!$C$2:$C$630,0)),"",INDEX('Compliance Database'!$D$2:$D$630,MATCH(385,'Transfer Engine'!$C$2:$C$630,0)))</f>
        <v/>
      </c>
      <c r="E394">
        <f>IF(ISNA(MATCH(385,'Transfer Engine'!$C$2:$C$630,0)),"",INDEX('Compliance Database'!$E$2:$E$630,MATCH(385,'Transfer Engine'!$C$2:$C$630,0)))</f>
        <v/>
      </c>
      <c r="F394">
        <f>IF(ISNA(MATCH(385,'Transfer Engine'!$C$2:$C$630,0)),"",INDEX('Compliance Database'!$F$2:$F$630,MATCH(385,'Transfer Engine'!$C$2:$C$630,0)))</f>
        <v/>
      </c>
      <c r="G394">
        <f>IF(ISNA(MATCH(385,'Transfer Engine'!$C$2:$C$630,0)),"",INDEX('Compliance Database'!$G$2:$G$630,MATCH(385,'Transfer Engine'!$C$2:$C$630,0)))</f>
        <v/>
      </c>
      <c r="H394">
        <f>IF(ISNA(MATCH(385,'Transfer Engine'!$C$2:$C$630,0)),"",INDEX('Compliance Database'!$H$2:$H$630,MATCH(385,'Transfer Engine'!$C$2:$C$630,0)))</f>
        <v/>
      </c>
      <c r="I394" s="8">
        <f>IF(ISNA(MATCH(385,'Transfer Engine'!$C$2:$C$630,0)),"",INDEX('Compliance Database'!$I$2:$I$630,MATCH(385,'Transfer Engine'!$C$2:$C$630,0)))</f>
        <v/>
      </c>
      <c r="J394" s="8">
        <f>IF(ISNA(MATCH(385,'Transfer Engine'!$C$2:$C$630,0)),"",INDEX('Compliance Database'!$J$2:$J$630,MATCH(385,'Transfer Engine'!$C$2:$C$630,0)))</f>
        <v/>
      </c>
      <c r="K394">
        <f>IF(ISNA(MATCH(385,'Transfer Engine'!$C$2:$C$630,0)),"",INDEX('Compliance Database'!$K$2:$K$630,MATCH(385,'Transfer Engine'!$C$2:$C$630,0)))</f>
        <v/>
      </c>
      <c r="L394" s="8">
        <f>IF(ISNA(MATCH(385,'Transfer Engine'!$C$2:$C$630,0)),"",INDEX('Compliance Database'!$L$2:$L$630,MATCH(385,'Transfer Engine'!$C$2:$C$630,0)))</f>
        <v/>
      </c>
      <c r="M394" s="8">
        <f>IF(ISNA(MATCH(385,'Transfer Engine'!$C$2:$C$630,0)),"",INDEX('Compliance Database'!$M$2:$M$630,MATCH(385,'Transfer Engine'!$C$2:$C$630,0)))</f>
        <v/>
      </c>
      <c r="N394" s="8">
        <f>IF(ISNA(MATCH(385,'Transfer Engine'!$C$2:$C$630,0)),"",INDEX('Compliance Database'!$N$2:$N$630,MATCH(385,'Transfer Engine'!$C$2:$C$630,0)))</f>
        <v/>
      </c>
      <c r="O394" s="8">
        <f>IF(ISNA(MATCH(385,'Transfer Engine'!$C$2:$C$630,0)),"",INDEX('Compliance Database'!$O$2:$O$630,MATCH(385,'Transfer Engine'!$C$2:$C$630,0)))</f>
        <v/>
      </c>
    </row>
    <row r="395">
      <c r="A395">
        <f>IF(ISNA(MATCH(386,'Transfer Engine'!$C$2:$C$630,0)),"",INDEX('Compliance Database'!$A$2:$A$630,MATCH(386,'Transfer Engine'!$C$2:$C$630,0)))</f>
        <v/>
      </c>
      <c r="B395">
        <f>IF(ISNA(MATCH(386,'Transfer Engine'!$C$2:$C$630,0)),"",INDEX('Compliance Database'!$B$2:$B$630,MATCH(386,'Transfer Engine'!$C$2:$C$630,0)))</f>
        <v/>
      </c>
      <c r="C395">
        <f>IF(ISNA(MATCH(386,'Transfer Engine'!$C$2:$C$630,0)),"",INDEX('Compliance Database'!$C$2:$C$630,MATCH(386,'Transfer Engine'!$C$2:$C$630,0)))</f>
        <v/>
      </c>
      <c r="D395" s="8">
        <f>IF(ISNA(MATCH(386,'Transfer Engine'!$C$2:$C$630,0)),"",INDEX('Compliance Database'!$D$2:$D$630,MATCH(386,'Transfer Engine'!$C$2:$C$630,0)))</f>
        <v/>
      </c>
      <c r="E395">
        <f>IF(ISNA(MATCH(386,'Transfer Engine'!$C$2:$C$630,0)),"",INDEX('Compliance Database'!$E$2:$E$630,MATCH(386,'Transfer Engine'!$C$2:$C$630,0)))</f>
        <v/>
      </c>
      <c r="F395">
        <f>IF(ISNA(MATCH(386,'Transfer Engine'!$C$2:$C$630,0)),"",INDEX('Compliance Database'!$F$2:$F$630,MATCH(386,'Transfer Engine'!$C$2:$C$630,0)))</f>
        <v/>
      </c>
      <c r="G395">
        <f>IF(ISNA(MATCH(386,'Transfer Engine'!$C$2:$C$630,0)),"",INDEX('Compliance Database'!$G$2:$G$630,MATCH(386,'Transfer Engine'!$C$2:$C$630,0)))</f>
        <v/>
      </c>
      <c r="H395">
        <f>IF(ISNA(MATCH(386,'Transfer Engine'!$C$2:$C$630,0)),"",INDEX('Compliance Database'!$H$2:$H$630,MATCH(386,'Transfer Engine'!$C$2:$C$630,0)))</f>
        <v/>
      </c>
      <c r="I395" s="8">
        <f>IF(ISNA(MATCH(386,'Transfer Engine'!$C$2:$C$630,0)),"",INDEX('Compliance Database'!$I$2:$I$630,MATCH(386,'Transfer Engine'!$C$2:$C$630,0)))</f>
        <v/>
      </c>
      <c r="J395" s="8">
        <f>IF(ISNA(MATCH(386,'Transfer Engine'!$C$2:$C$630,0)),"",INDEX('Compliance Database'!$J$2:$J$630,MATCH(386,'Transfer Engine'!$C$2:$C$630,0)))</f>
        <v/>
      </c>
      <c r="K395">
        <f>IF(ISNA(MATCH(386,'Transfer Engine'!$C$2:$C$630,0)),"",INDEX('Compliance Database'!$K$2:$K$630,MATCH(386,'Transfer Engine'!$C$2:$C$630,0)))</f>
        <v/>
      </c>
      <c r="L395" s="8">
        <f>IF(ISNA(MATCH(386,'Transfer Engine'!$C$2:$C$630,0)),"",INDEX('Compliance Database'!$L$2:$L$630,MATCH(386,'Transfer Engine'!$C$2:$C$630,0)))</f>
        <v/>
      </c>
      <c r="M395" s="8">
        <f>IF(ISNA(MATCH(386,'Transfer Engine'!$C$2:$C$630,0)),"",INDEX('Compliance Database'!$M$2:$M$630,MATCH(386,'Transfer Engine'!$C$2:$C$630,0)))</f>
        <v/>
      </c>
      <c r="N395" s="8">
        <f>IF(ISNA(MATCH(386,'Transfer Engine'!$C$2:$C$630,0)),"",INDEX('Compliance Database'!$N$2:$N$630,MATCH(386,'Transfer Engine'!$C$2:$C$630,0)))</f>
        <v/>
      </c>
      <c r="O395" s="8">
        <f>IF(ISNA(MATCH(386,'Transfer Engine'!$C$2:$C$630,0)),"",INDEX('Compliance Database'!$O$2:$O$630,MATCH(386,'Transfer Engine'!$C$2:$C$630,0)))</f>
        <v/>
      </c>
    </row>
    <row r="396">
      <c r="A396">
        <f>IF(ISNA(MATCH(387,'Transfer Engine'!$C$2:$C$630,0)),"",INDEX('Compliance Database'!$A$2:$A$630,MATCH(387,'Transfer Engine'!$C$2:$C$630,0)))</f>
        <v/>
      </c>
      <c r="B396">
        <f>IF(ISNA(MATCH(387,'Transfer Engine'!$C$2:$C$630,0)),"",INDEX('Compliance Database'!$B$2:$B$630,MATCH(387,'Transfer Engine'!$C$2:$C$630,0)))</f>
        <v/>
      </c>
      <c r="C396">
        <f>IF(ISNA(MATCH(387,'Transfer Engine'!$C$2:$C$630,0)),"",INDEX('Compliance Database'!$C$2:$C$630,MATCH(387,'Transfer Engine'!$C$2:$C$630,0)))</f>
        <v/>
      </c>
      <c r="D396" s="8">
        <f>IF(ISNA(MATCH(387,'Transfer Engine'!$C$2:$C$630,0)),"",INDEX('Compliance Database'!$D$2:$D$630,MATCH(387,'Transfer Engine'!$C$2:$C$630,0)))</f>
        <v/>
      </c>
      <c r="E396">
        <f>IF(ISNA(MATCH(387,'Transfer Engine'!$C$2:$C$630,0)),"",INDEX('Compliance Database'!$E$2:$E$630,MATCH(387,'Transfer Engine'!$C$2:$C$630,0)))</f>
        <v/>
      </c>
      <c r="F396">
        <f>IF(ISNA(MATCH(387,'Transfer Engine'!$C$2:$C$630,0)),"",INDEX('Compliance Database'!$F$2:$F$630,MATCH(387,'Transfer Engine'!$C$2:$C$630,0)))</f>
        <v/>
      </c>
      <c r="G396">
        <f>IF(ISNA(MATCH(387,'Transfer Engine'!$C$2:$C$630,0)),"",INDEX('Compliance Database'!$G$2:$G$630,MATCH(387,'Transfer Engine'!$C$2:$C$630,0)))</f>
        <v/>
      </c>
      <c r="H396">
        <f>IF(ISNA(MATCH(387,'Transfer Engine'!$C$2:$C$630,0)),"",INDEX('Compliance Database'!$H$2:$H$630,MATCH(387,'Transfer Engine'!$C$2:$C$630,0)))</f>
        <v/>
      </c>
      <c r="I396" s="8">
        <f>IF(ISNA(MATCH(387,'Transfer Engine'!$C$2:$C$630,0)),"",INDEX('Compliance Database'!$I$2:$I$630,MATCH(387,'Transfer Engine'!$C$2:$C$630,0)))</f>
        <v/>
      </c>
      <c r="J396" s="8">
        <f>IF(ISNA(MATCH(387,'Transfer Engine'!$C$2:$C$630,0)),"",INDEX('Compliance Database'!$J$2:$J$630,MATCH(387,'Transfer Engine'!$C$2:$C$630,0)))</f>
        <v/>
      </c>
      <c r="K396">
        <f>IF(ISNA(MATCH(387,'Transfer Engine'!$C$2:$C$630,0)),"",INDEX('Compliance Database'!$K$2:$K$630,MATCH(387,'Transfer Engine'!$C$2:$C$630,0)))</f>
        <v/>
      </c>
      <c r="L396" s="8">
        <f>IF(ISNA(MATCH(387,'Transfer Engine'!$C$2:$C$630,0)),"",INDEX('Compliance Database'!$L$2:$L$630,MATCH(387,'Transfer Engine'!$C$2:$C$630,0)))</f>
        <v/>
      </c>
      <c r="M396" s="8">
        <f>IF(ISNA(MATCH(387,'Transfer Engine'!$C$2:$C$630,0)),"",INDEX('Compliance Database'!$M$2:$M$630,MATCH(387,'Transfer Engine'!$C$2:$C$630,0)))</f>
        <v/>
      </c>
      <c r="N396" s="8">
        <f>IF(ISNA(MATCH(387,'Transfer Engine'!$C$2:$C$630,0)),"",INDEX('Compliance Database'!$N$2:$N$630,MATCH(387,'Transfer Engine'!$C$2:$C$630,0)))</f>
        <v/>
      </c>
      <c r="O396" s="8">
        <f>IF(ISNA(MATCH(387,'Transfer Engine'!$C$2:$C$630,0)),"",INDEX('Compliance Database'!$O$2:$O$630,MATCH(387,'Transfer Engine'!$C$2:$C$630,0)))</f>
        <v/>
      </c>
    </row>
    <row r="397">
      <c r="A397">
        <f>IF(ISNA(MATCH(388,'Transfer Engine'!$C$2:$C$630,0)),"",INDEX('Compliance Database'!$A$2:$A$630,MATCH(388,'Transfer Engine'!$C$2:$C$630,0)))</f>
        <v/>
      </c>
      <c r="B397">
        <f>IF(ISNA(MATCH(388,'Transfer Engine'!$C$2:$C$630,0)),"",INDEX('Compliance Database'!$B$2:$B$630,MATCH(388,'Transfer Engine'!$C$2:$C$630,0)))</f>
        <v/>
      </c>
      <c r="C397">
        <f>IF(ISNA(MATCH(388,'Transfer Engine'!$C$2:$C$630,0)),"",INDEX('Compliance Database'!$C$2:$C$630,MATCH(388,'Transfer Engine'!$C$2:$C$630,0)))</f>
        <v/>
      </c>
      <c r="D397" s="8">
        <f>IF(ISNA(MATCH(388,'Transfer Engine'!$C$2:$C$630,0)),"",INDEX('Compliance Database'!$D$2:$D$630,MATCH(388,'Transfer Engine'!$C$2:$C$630,0)))</f>
        <v/>
      </c>
      <c r="E397">
        <f>IF(ISNA(MATCH(388,'Transfer Engine'!$C$2:$C$630,0)),"",INDEX('Compliance Database'!$E$2:$E$630,MATCH(388,'Transfer Engine'!$C$2:$C$630,0)))</f>
        <v/>
      </c>
      <c r="F397">
        <f>IF(ISNA(MATCH(388,'Transfer Engine'!$C$2:$C$630,0)),"",INDEX('Compliance Database'!$F$2:$F$630,MATCH(388,'Transfer Engine'!$C$2:$C$630,0)))</f>
        <v/>
      </c>
      <c r="G397">
        <f>IF(ISNA(MATCH(388,'Transfer Engine'!$C$2:$C$630,0)),"",INDEX('Compliance Database'!$G$2:$G$630,MATCH(388,'Transfer Engine'!$C$2:$C$630,0)))</f>
        <v/>
      </c>
      <c r="H397">
        <f>IF(ISNA(MATCH(388,'Transfer Engine'!$C$2:$C$630,0)),"",INDEX('Compliance Database'!$H$2:$H$630,MATCH(388,'Transfer Engine'!$C$2:$C$630,0)))</f>
        <v/>
      </c>
      <c r="I397" s="8">
        <f>IF(ISNA(MATCH(388,'Transfer Engine'!$C$2:$C$630,0)),"",INDEX('Compliance Database'!$I$2:$I$630,MATCH(388,'Transfer Engine'!$C$2:$C$630,0)))</f>
        <v/>
      </c>
      <c r="J397" s="8">
        <f>IF(ISNA(MATCH(388,'Transfer Engine'!$C$2:$C$630,0)),"",INDEX('Compliance Database'!$J$2:$J$630,MATCH(388,'Transfer Engine'!$C$2:$C$630,0)))</f>
        <v/>
      </c>
      <c r="K397">
        <f>IF(ISNA(MATCH(388,'Transfer Engine'!$C$2:$C$630,0)),"",INDEX('Compliance Database'!$K$2:$K$630,MATCH(388,'Transfer Engine'!$C$2:$C$630,0)))</f>
        <v/>
      </c>
      <c r="L397" s="8">
        <f>IF(ISNA(MATCH(388,'Transfer Engine'!$C$2:$C$630,0)),"",INDEX('Compliance Database'!$L$2:$L$630,MATCH(388,'Transfer Engine'!$C$2:$C$630,0)))</f>
        <v/>
      </c>
      <c r="M397" s="8">
        <f>IF(ISNA(MATCH(388,'Transfer Engine'!$C$2:$C$630,0)),"",INDEX('Compliance Database'!$M$2:$M$630,MATCH(388,'Transfer Engine'!$C$2:$C$630,0)))</f>
        <v/>
      </c>
      <c r="N397" s="8">
        <f>IF(ISNA(MATCH(388,'Transfer Engine'!$C$2:$C$630,0)),"",INDEX('Compliance Database'!$N$2:$N$630,MATCH(388,'Transfer Engine'!$C$2:$C$630,0)))</f>
        <v/>
      </c>
      <c r="O397" s="8">
        <f>IF(ISNA(MATCH(388,'Transfer Engine'!$C$2:$C$630,0)),"",INDEX('Compliance Database'!$O$2:$O$630,MATCH(388,'Transfer Engine'!$C$2:$C$630,0)))</f>
        <v/>
      </c>
    </row>
    <row r="398">
      <c r="A398">
        <f>IF(ISNA(MATCH(389,'Transfer Engine'!$C$2:$C$630,0)),"",INDEX('Compliance Database'!$A$2:$A$630,MATCH(389,'Transfer Engine'!$C$2:$C$630,0)))</f>
        <v/>
      </c>
      <c r="B398">
        <f>IF(ISNA(MATCH(389,'Transfer Engine'!$C$2:$C$630,0)),"",INDEX('Compliance Database'!$B$2:$B$630,MATCH(389,'Transfer Engine'!$C$2:$C$630,0)))</f>
        <v/>
      </c>
      <c r="C398">
        <f>IF(ISNA(MATCH(389,'Transfer Engine'!$C$2:$C$630,0)),"",INDEX('Compliance Database'!$C$2:$C$630,MATCH(389,'Transfer Engine'!$C$2:$C$630,0)))</f>
        <v/>
      </c>
      <c r="D398" s="8">
        <f>IF(ISNA(MATCH(389,'Transfer Engine'!$C$2:$C$630,0)),"",INDEX('Compliance Database'!$D$2:$D$630,MATCH(389,'Transfer Engine'!$C$2:$C$630,0)))</f>
        <v/>
      </c>
      <c r="E398">
        <f>IF(ISNA(MATCH(389,'Transfer Engine'!$C$2:$C$630,0)),"",INDEX('Compliance Database'!$E$2:$E$630,MATCH(389,'Transfer Engine'!$C$2:$C$630,0)))</f>
        <v/>
      </c>
      <c r="F398">
        <f>IF(ISNA(MATCH(389,'Transfer Engine'!$C$2:$C$630,0)),"",INDEX('Compliance Database'!$F$2:$F$630,MATCH(389,'Transfer Engine'!$C$2:$C$630,0)))</f>
        <v/>
      </c>
      <c r="G398">
        <f>IF(ISNA(MATCH(389,'Transfer Engine'!$C$2:$C$630,0)),"",INDEX('Compliance Database'!$G$2:$G$630,MATCH(389,'Transfer Engine'!$C$2:$C$630,0)))</f>
        <v/>
      </c>
      <c r="H398">
        <f>IF(ISNA(MATCH(389,'Transfer Engine'!$C$2:$C$630,0)),"",INDEX('Compliance Database'!$H$2:$H$630,MATCH(389,'Transfer Engine'!$C$2:$C$630,0)))</f>
        <v/>
      </c>
      <c r="I398" s="8">
        <f>IF(ISNA(MATCH(389,'Transfer Engine'!$C$2:$C$630,0)),"",INDEX('Compliance Database'!$I$2:$I$630,MATCH(389,'Transfer Engine'!$C$2:$C$630,0)))</f>
        <v/>
      </c>
      <c r="J398" s="8">
        <f>IF(ISNA(MATCH(389,'Transfer Engine'!$C$2:$C$630,0)),"",INDEX('Compliance Database'!$J$2:$J$630,MATCH(389,'Transfer Engine'!$C$2:$C$630,0)))</f>
        <v/>
      </c>
      <c r="K398">
        <f>IF(ISNA(MATCH(389,'Transfer Engine'!$C$2:$C$630,0)),"",INDEX('Compliance Database'!$K$2:$K$630,MATCH(389,'Transfer Engine'!$C$2:$C$630,0)))</f>
        <v/>
      </c>
      <c r="L398" s="8">
        <f>IF(ISNA(MATCH(389,'Transfer Engine'!$C$2:$C$630,0)),"",INDEX('Compliance Database'!$L$2:$L$630,MATCH(389,'Transfer Engine'!$C$2:$C$630,0)))</f>
        <v/>
      </c>
      <c r="M398" s="8">
        <f>IF(ISNA(MATCH(389,'Transfer Engine'!$C$2:$C$630,0)),"",INDEX('Compliance Database'!$M$2:$M$630,MATCH(389,'Transfer Engine'!$C$2:$C$630,0)))</f>
        <v/>
      </c>
      <c r="N398" s="8">
        <f>IF(ISNA(MATCH(389,'Transfer Engine'!$C$2:$C$630,0)),"",INDEX('Compliance Database'!$N$2:$N$630,MATCH(389,'Transfer Engine'!$C$2:$C$630,0)))</f>
        <v/>
      </c>
      <c r="O398" s="8">
        <f>IF(ISNA(MATCH(389,'Transfer Engine'!$C$2:$C$630,0)),"",INDEX('Compliance Database'!$O$2:$O$630,MATCH(389,'Transfer Engine'!$C$2:$C$630,0)))</f>
        <v/>
      </c>
    </row>
    <row r="399">
      <c r="A399">
        <f>IF(ISNA(MATCH(390,'Transfer Engine'!$C$2:$C$630,0)),"",INDEX('Compliance Database'!$A$2:$A$630,MATCH(390,'Transfer Engine'!$C$2:$C$630,0)))</f>
        <v/>
      </c>
      <c r="B399">
        <f>IF(ISNA(MATCH(390,'Transfer Engine'!$C$2:$C$630,0)),"",INDEX('Compliance Database'!$B$2:$B$630,MATCH(390,'Transfer Engine'!$C$2:$C$630,0)))</f>
        <v/>
      </c>
      <c r="C399">
        <f>IF(ISNA(MATCH(390,'Transfer Engine'!$C$2:$C$630,0)),"",INDEX('Compliance Database'!$C$2:$C$630,MATCH(390,'Transfer Engine'!$C$2:$C$630,0)))</f>
        <v/>
      </c>
      <c r="D399" s="8">
        <f>IF(ISNA(MATCH(390,'Transfer Engine'!$C$2:$C$630,0)),"",INDEX('Compliance Database'!$D$2:$D$630,MATCH(390,'Transfer Engine'!$C$2:$C$630,0)))</f>
        <v/>
      </c>
      <c r="E399">
        <f>IF(ISNA(MATCH(390,'Transfer Engine'!$C$2:$C$630,0)),"",INDEX('Compliance Database'!$E$2:$E$630,MATCH(390,'Transfer Engine'!$C$2:$C$630,0)))</f>
        <v/>
      </c>
      <c r="F399">
        <f>IF(ISNA(MATCH(390,'Transfer Engine'!$C$2:$C$630,0)),"",INDEX('Compliance Database'!$F$2:$F$630,MATCH(390,'Transfer Engine'!$C$2:$C$630,0)))</f>
        <v/>
      </c>
      <c r="G399">
        <f>IF(ISNA(MATCH(390,'Transfer Engine'!$C$2:$C$630,0)),"",INDEX('Compliance Database'!$G$2:$G$630,MATCH(390,'Transfer Engine'!$C$2:$C$630,0)))</f>
        <v/>
      </c>
      <c r="H399">
        <f>IF(ISNA(MATCH(390,'Transfer Engine'!$C$2:$C$630,0)),"",INDEX('Compliance Database'!$H$2:$H$630,MATCH(390,'Transfer Engine'!$C$2:$C$630,0)))</f>
        <v/>
      </c>
      <c r="I399" s="8">
        <f>IF(ISNA(MATCH(390,'Transfer Engine'!$C$2:$C$630,0)),"",INDEX('Compliance Database'!$I$2:$I$630,MATCH(390,'Transfer Engine'!$C$2:$C$630,0)))</f>
        <v/>
      </c>
      <c r="J399" s="8">
        <f>IF(ISNA(MATCH(390,'Transfer Engine'!$C$2:$C$630,0)),"",INDEX('Compliance Database'!$J$2:$J$630,MATCH(390,'Transfer Engine'!$C$2:$C$630,0)))</f>
        <v/>
      </c>
      <c r="K399">
        <f>IF(ISNA(MATCH(390,'Transfer Engine'!$C$2:$C$630,0)),"",INDEX('Compliance Database'!$K$2:$K$630,MATCH(390,'Transfer Engine'!$C$2:$C$630,0)))</f>
        <v/>
      </c>
      <c r="L399" s="8">
        <f>IF(ISNA(MATCH(390,'Transfer Engine'!$C$2:$C$630,0)),"",INDEX('Compliance Database'!$L$2:$L$630,MATCH(390,'Transfer Engine'!$C$2:$C$630,0)))</f>
        <v/>
      </c>
      <c r="M399" s="8">
        <f>IF(ISNA(MATCH(390,'Transfer Engine'!$C$2:$C$630,0)),"",INDEX('Compliance Database'!$M$2:$M$630,MATCH(390,'Transfer Engine'!$C$2:$C$630,0)))</f>
        <v/>
      </c>
      <c r="N399" s="8">
        <f>IF(ISNA(MATCH(390,'Transfer Engine'!$C$2:$C$630,0)),"",INDEX('Compliance Database'!$N$2:$N$630,MATCH(390,'Transfer Engine'!$C$2:$C$630,0)))</f>
        <v/>
      </c>
      <c r="O399" s="8">
        <f>IF(ISNA(MATCH(390,'Transfer Engine'!$C$2:$C$630,0)),"",INDEX('Compliance Database'!$O$2:$O$630,MATCH(390,'Transfer Engine'!$C$2:$C$630,0)))</f>
        <v/>
      </c>
    </row>
    <row r="400">
      <c r="A400">
        <f>IF(ISNA(MATCH(391,'Transfer Engine'!$C$2:$C$630,0)),"",INDEX('Compliance Database'!$A$2:$A$630,MATCH(391,'Transfer Engine'!$C$2:$C$630,0)))</f>
        <v/>
      </c>
      <c r="B400">
        <f>IF(ISNA(MATCH(391,'Transfer Engine'!$C$2:$C$630,0)),"",INDEX('Compliance Database'!$B$2:$B$630,MATCH(391,'Transfer Engine'!$C$2:$C$630,0)))</f>
        <v/>
      </c>
      <c r="C400">
        <f>IF(ISNA(MATCH(391,'Transfer Engine'!$C$2:$C$630,0)),"",INDEX('Compliance Database'!$C$2:$C$630,MATCH(391,'Transfer Engine'!$C$2:$C$630,0)))</f>
        <v/>
      </c>
      <c r="D400" s="8">
        <f>IF(ISNA(MATCH(391,'Transfer Engine'!$C$2:$C$630,0)),"",INDEX('Compliance Database'!$D$2:$D$630,MATCH(391,'Transfer Engine'!$C$2:$C$630,0)))</f>
        <v/>
      </c>
      <c r="E400">
        <f>IF(ISNA(MATCH(391,'Transfer Engine'!$C$2:$C$630,0)),"",INDEX('Compliance Database'!$E$2:$E$630,MATCH(391,'Transfer Engine'!$C$2:$C$630,0)))</f>
        <v/>
      </c>
      <c r="F400">
        <f>IF(ISNA(MATCH(391,'Transfer Engine'!$C$2:$C$630,0)),"",INDEX('Compliance Database'!$F$2:$F$630,MATCH(391,'Transfer Engine'!$C$2:$C$630,0)))</f>
        <v/>
      </c>
      <c r="G400">
        <f>IF(ISNA(MATCH(391,'Transfer Engine'!$C$2:$C$630,0)),"",INDEX('Compliance Database'!$G$2:$G$630,MATCH(391,'Transfer Engine'!$C$2:$C$630,0)))</f>
        <v/>
      </c>
      <c r="H400">
        <f>IF(ISNA(MATCH(391,'Transfer Engine'!$C$2:$C$630,0)),"",INDEX('Compliance Database'!$H$2:$H$630,MATCH(391,'Transfer Engine'!$C$2:$C$630,0)))</f>
        <v/>
      </c>
      <c r="I400" s="8">
        <f>IF(ISNA(MATCH(391,'Transfer Engine'!$C$2:$C$630,0)),"",INDEX('Compliance Database'!$I$2:$I$630,MATCH(391,'Transfer Engine'!$C$2:$C$630,0)))</f>
        <v/>
      </c>
      <c r="J400" s="8">
        <f>IF(ISNA(MATCH(391,'Transfer Engine'!$C$2:$C$630,0)),"",INDEX('Compliance Database'!$J$2:$J$630,MATCH(391,'Transfer Engine'!$C$2:$C$630,0)))</f>
        <v/>
      </c>
      <c r="K400">
        <f>IF(ISNA(MATCH(391,'Transfer Engine'!$C$2:$C$630,0)),"",INDEX('Compliance Database'!$K$2:$K$630,MATCH(391,'Transfer Engine'!$C$2:$C$630,0)))</f>
        <v/>
      </c>
      <c r="L400" s="8">
        <f>IF(ISNA(MATCH(391,'Transfer Engine'!$C$2:$C$630,0)),"",INDEX('Compliance Database'!$L$2:$L$630,MATCH(391,'Transfer Engine'!$C$2:$C$630,0)))</f>
        <v/>
      </c>
      <c r="M400" s="8">
        <f>IF(ISNA(MATCH(391,'Transfer Engine'!$C$2:$C$630,0)),"",INDEX('Compliance Database'!$M$2:$M$630,MATCH(391,'Transfer Engine'!$C$2:$C$630,0)))</f>
        <v/>
      </c>
      <c r="N400" s="8">
        <f>IF(ISNA(MATCH(391,'Transfer Engine'!$C$2:$C$630,0)),"",INDEX('Compliance Database'!$N$2:$N$630,MATCH(391,'Transfer Engine'!$C$2:$C$630,0)))</f>
        <v/>
      </c>
      <c r="O400" s="8">
        <f>IF(ISNA(MATCH(391,'Transfer Engine'!$C$2:$C$630,0)),"",INDEX('Compliance Database'!$O$2:$O$630,MATCH(391,'Transfer Engine'!$C$2:$C$630,0)))</f>
        <v/>
      </c>
    </row>
    <row r="401">
      <c r="A401">
        <f>IF(ISNA(MATCH(392,'Transfer Engine'!$C$2:$C$630,0)),"",INDEX('Compliance Database'!$A$2:$A$630,MATCH(392,'Transfer Engine'!$C$2:$C$630,0)))</f>
        <v/>
      </c>
      <c r="B401">
        <f>IF(ISNA(MATCH(392,'Transfer Engine'!$C$2:$C$630,0)),"",INDEX('Compliance Database'!$B$2:$B$630,MATCH(392,'Transfer Engine'!$C$2:$C$630,0)))</f>
        <v/>
      </c>
      <c r="C401">
        <f>IF(ISNA(MATCH(392,'Transfer Engine'!$C$2:$C$630,0)),"",INDEX('Compliance Database'!$C$2:$C$630,MATCH(392,'Transfer Engine'!$C$2:$C$630,0)))</f>
        <v/>
      </c>
      <c r="D401" s="8">
        <f>IF(ISNA(MATCH(392,'Transfer Engine'!$C$2:$C$630,0)),"",INDEX('Compliance Database'!$D$2:$D$630,MATCH(392,'Transfer Engine'!$C$2:$C$630,0)))</f>
        <v/>
      </c>
      <c r="E401">
        <f>IF(ISNA(MATCH(392,'Transfer Engine'!$C$2:$C$630,0)),"",INDEX('Compliance Database'!$E$2:$E$630,MATCH(392,'Transfer Engine'!$C$2:$C$630,0)))</f>
        <v/>
      </c>
      <c r="F401">
        <f>IF(ISNA(MATCH(392,'Transfer Engine'!$C$2:$C$630,0)),"",INDEX('Compliance Database'!$F$2:$F$630,MATCH(392,'Transfer Engine'!$C$2:$C$630,0)))</f>
        <v/>
      </c>
      <c r="G401">
        <f>IF(ISNA(MATCH(392,'Transfer Engine'!$C$2:$C$630,0)),"",INDEX('Compliance Database'!$G$2:$G$630,MATCH(392,'Transfer Engine'!$C$2:$C$630,0)))</f>
        <v/>
      </c>
      <c r="H401">
        <f>IF(ISNA(MATCH(392,'Transfer Engine'!$C$2:$C$630,0)),"",INDEX('Compliance Database'!$H$2:$H$630,MATCH(392,'Transfer Engine'!$C$2:$C$630,0)))</f>
        <v/>
      </c>
      <c r="I401" s="8">
        <f>IF(ISNA(MATCH(392,'Transfer Engine'!$C$2:$C$630,0)),"",INDEX('Compliance Database'!$I$2:$I$630,MATCH(392,'Transfer Engine'!$C$2:$C$630,0)))</f>
        <v/>
      </c>
      <c r="J401" s="8">
        <f>IF(ISNA(MATCH(392,'Transfer Engine'!$C$2:$C$630,0)),"",INDEX('Compliance Database'!$J$2:$J$630,MATCH(392,'Transfer Engine'!$C$2:$C$630,0)))</f>
        <v/>
      </c>
      <c r="K401">
        <f>IF(ISNA(MATCH(392,'Transfer Engine'!$C$2:$C$630,0)),"",INDEX('Compliance Database'!$K$2:$K$630,MATCH(392,'Transfer Engine'!$C$2:$C$630,0)))</f>
        <v/>
      </c>
      <c r="L401" s="8">
        <f>IF(ISNA(MATCH(392,'Transfer Engine'!$C$2:$C$630,0)),"",INDEX('Compliance Database'!$L$2:$L$630,MATCH(392,'Transfer Engine'!$C$2:$C$630,0)))</f>
        <v/>
      </c>
      <c r="M401" s="8">
        <f>IF(ISNA(MATCH(392,'Transfer Engine'!$C$2:$C$630,0)),"",INDEX('Compliance Database'!$M$2:$M$630,MATCH(392,'Transfer Engine'!$C$2:$C$630,0)))</f>
        <v/>
      </c>
      <c r="N401" s="8">
        <f>IF(ISNA(MATCH(392,'Transfer Engine'!$C$2:$C$630,0)),"",INDEX('Compliance Database'!$N$2:$N$630,MATCH(392,'Transfer Engine'!$C$2:$C$630,0)))</f>
        <v/>
      </c>
      <c r="O401" s="8">
        <f>IF(ISNA(MATCH(392,'Transfer Engine'!$C$2:$C$630,0)),"",INDEX('Compliance Database'!$O$2:$O$630,MATCH(392,'Transfer Engine'!$C$2:$C$630,0)))</f>
        <v/>
      </c>
    </row>
    <row r="402">
      <c r="A402">
        <f>IF(ISNA(MATCH(393,'Transfer Engine'!$C$2:$C$630,0)),"",INDEX('Compliance Database'!$A$2:$A$630,MATCH(393,'Transfer Engine'!$C$2:$C$630,0)))</f>
        <v/>
      </c>
      <c r="B402">
        <f>IF(ISNA(MATCH(393,'Transfer Engine'!$C$2:$C$630,0)),"",INDEX('Compliance Database'!$B$2:$B$630,MATCH(393,'Transfer Engine'!$C$2:$C$630,0)))</f>
        <v/>
      </c>
      <c r="C402">
        <f>IF(ISNA(MATCH(393,'Transfer Engine'!$C$2:$C$630,0)),"",INDEX('Compliance Database'!$C$2:$C$630,MATCH(393,'Transfer Engine'!$C$2:$C$630,0)))</f>
        <v/>
      </c>
      <c r="D402" s="8">
        <f>IF(ISNA(MATCH(393,'Transfer Engine'!$C$2:$C$630,0)),"",INDEX('Compliance Database'!$D$2:$D$630,MATCH(393,'Transfer Engine'!$C$2:$C$630,0)))</f>
        <v/>
      </c>
      <c r="E402">
        <f>IF(ISNA(MATCH(393,'Transfer Engine'!$C$2:$C$630,0)),"",INDEX('Compliance Database'!$E$2:$E$630,MATCH(393,'Transfer Engine'!$C$2:$C$630,0)))</f>
        <v/>
      </c>
      <c r="F402">
        <f>IF(ISNA(MATCH(393,'Transfer Engine'!$C$2:$C$630,0)),"",INDEX('Compliance Database'!$F$2:$F$630,MATCH(393,'Transfer Engine'!$C$2:$C$630,0)))</f>
        <v/>
      </c>
      <c r="G402">
        <f>IF(ISNA(MATCH(393,'Transfer Engine'!$C$2:$C$630,0)),"",INDEX('Compliance Database'!$G$2:$G$630,MATCH(393,'Transfer Engine'!$C$2:$C$630,0)))</f>
        <v/>
      </c>
      <c r="H402">
        <f>IF(ISNA(MATCH(393,'Transfer Engine'!$C$2:$C$630,0)),"",INDEX('Compliance Database'!$H$2:$H$630,MATCH(393,'Transfer Engine'!$C$2:$C$630,0)))</f>
        <v/>
      </c>
      <c r="I402" s="8">
        <f>IF(ISNA(MATCH(393,'Transfer Engine'!$C$2:$C$630,0)),"",INDEX('Compliance Database'!$I$2:$I$630,MATCH(393,'Transfer Engine'!$C$2:$C$630,0)))</f>
        <v/>
      </c>
      <c r="J402" s="8">
        <f>IF(ISNA(MATCH(393,'Transfer Engine'!$C$2:$C$630,0)),"",INDEX('Compliance Database'!$J$2:$J$630,MATCH(393,'Transfer Engine'!$C$2:$C$630,0)))</f>
        <v/>
      </c>
      <c r="K402">
        <f>IF(ISNA(MATCH(393,'Transfer Engine'!$C$2:$C$630,0)),"",INDEX('Compliance Database'!$K$2:$K$630,MATCH(393,'Transfer Engine'!$C$2:$C$630,0)))</f>
        <v/>
      </c>
      <c r="L402" s="8">
        <f>IF(ISNA(MATCH(393,'Transfer Engine'!$C$2:$C$630,0)),"",INDEX('Compliance Database'!$L$2:$L$630,MATCH(393,'Transfer Engine'!$C$2:$C$630,0)))</f>
        <v/>
      </c>
      <c r="M402" s="8">
        <f>IF(ISNA(MATCH(393,'Transfer Engine'!$C$2:$C$630,0)),"",INDEX('Compliance Database'!$M$2:$M$630,MATCH(393,'Transfer Engine'!$C$2:$C$630,0)))</f>
        <v/>
      </c>
      <c r="N402" s="8">
        <f>IF(ISNA(MATCH(393,'Transfer Engine'!$C$2:$C$630,0)),"",INDEX('Compliance Database'!$N$2:$N$630,MATCH(393,'Transfer Engine'!$C$2:$C$630,0)))</f>
        <v/>
      </c>
      <c r="O402" s="8">
        <f>IF(ISNA(MATCH(393,'Transfer Engine'!$C$2:$C$630,0)),"",INDEX('Compliance Database'!$O$2:$O$630,MATCH(393,'Transfer Engine'!$C$2:$C$630,0)))</f>
        <v/>
      </c>
    </row>
    <row r="403">
      <c r="A403">
        <f>IF(ISNA(MATCH(394,'Transfer Engine'!$C$2:$C$630,0)),"",INDEX('Compliance Database'!$A$2:$A$630,MATCH(394,'Transfer Engine'!$C$2:$C$630,0)))</f>
        <v/>
      </c>
      <c r="B403">
        <f>IF(ISNA(MATCH(394,'Transfer Engine'!$C$2:$C$630,0)),"",INDEX('Compliance Database'!$B$2:$B$630,MATCH(394,'Transfer Engine'!$C$2:$C$630,0)))</f>
        <v/>
      </c>
      <c r="C403">
        <f>IF(ISNA(MATCH(394,'Transfer Engine'!$C$2:$C$630,0)),"",INDEX('Compliance Database'!$C$2:$C$630,MATCH(394,'Transfer Engine'!$C$2:$C$630,0)))</f>
        <v/>
      </c>
      <c r="D403" s="8">
        <f>IF(ISNA(MATCH(394,'Transfer Engine'!$C$2:$C$630,0)),"",INDEX('Compliance Database'!$D$2:$D$630,MATCH(394,'Transfer Engine'!$C$2:$C$630,0)))</f>
        <v/>
      </c>
      <c r="E403">
        <f>IF(ISNA(MATCH(394,'Transfer Engine'!$C$2:$C$630,0)),"",INDEX('Compliance Database'!$E$2:$E$630,MATCH(394,'Transfer Engine'!$C$2:$C$630,0)))</f>
        <v/>
      </c>
      <c r="F403">
        <f>IF(ISNA(MATCH(394,'Transfer Engine'!$C$2:$C$630,0)),"",INDEX('Compliance Database'!$F$2:$F$630,MATCH(394,'Transfer Engine'!$C$2:$C$630,0)))</f>
        <v/>
      </c>
      <c r="G403">
        <f>IF(ISNA(MATCH(394,'Transfer Engine'!$C$2:$C$630,0)),"",INDEX('Compliance Database'!$G$2:$G$630,MATCH(394,'Transfer Engine'!$C$2:$C$630,0)))</f>
        <v/>
      </c>
      <c r="H403">
        <f>IF(ISNA(MATCH(394,'Transfer Engine'!$C$2:$C$630,0)),"",INDEX('Compliance Database'!$H$2:$H$630,MATCH(394,'Transfer Engine'!$C$2:$C$630,0)))</f>
        <v/>
      </c>
      <c r="I403" s="8">
        <f>IF(ISNA(MATCH(394,'Transfer Engine'!$C$2:$C$630,0)),"",INDEX('Compliance Database'!$I$2:$I$630,MATCH(394,'Transfer Engine'!$C$2:$C$630,0)))</f>
        <v/>
      </c>
      <c r="J403" s="8">
        <f>IF(ISNA(MATCH(394,'Transfer Engine'!$C$2:$C$630,0)),"",INDEX('Compliance Database'!$J$2:$J$630,MATCH(394,'Transfer Engine'!$C$2:$C$630,0)))</f>
        <v/>
      </c>
      <c r="K403">
        <f>IF(ISNA(MATCH(394,'Transfer Engine'!$C$2:$C$630,0)),"",INDEX('Compliance Database'!$K$2:$K$630,MATCH(394,'Transfer Engine'!$C$2:$C$630,0)))</f>
        <v/>
      </c>
      <c r="L403" s="8">
        <f>IF(ISNA(MATCH(394,'Transfer Engine'!$C$2:$C$630,0)),"",INDEX('Compliance Database'!$L$2:$L$630,MATCH(394,'Transfer Engine'!$C$2:$C$630,0)))</f>
        <v/>
      </c>
      <c r="M403" s="8">
        <f>IF(ISNA(MATCH(394,'Transfer Engine'!$C$2:$C$630,0)),"",INDEX('Compliance Database'!$M$2:$M$630,MATCH(394,'Transfer Engine'!$C$2:$C$630,0)))</f>
        <v/>
      </c>
      <c r="N403" s="8">
        <f>IF(ISNA(MATCH(394,'Transfer Engine'!$C$2:$C$630,0)),"",INDEX('Compliance Database'!$N$2:$N$630,MATCH(394,'Transfer Engine'!$C$2:$C$630,0)))</f>
        <v/>
      </c>
      <c r="O403" s="8">
        <f>IF(ISNA(MATCH(394,'Transfer Engine'!$C$2:$C$630,0)),"",INDEX('Compliance Database'!$O$2:$O$630,MATCH(394,'Transfer Engine'!$C$2:$C$630,0)))</f>
        <v/>
      </c>
    </row>
    <row r="404">
      <c r="A404">
        <f>IF(ISNA(MATCH(395,'Transfer Engine'!$C$2:$C$630,0)),"",INDEX('Compliance Database'!$A$2:$A$630,MATCH(395,'Transfer Engine'!$C$2:$C$630,0)))</f>
        <v/>
      </c>
      <c r="B404">
        <f>IF(ISNA(MATCH(395,'Transfer Engine'!$C$2:$C$630,0)),"",INDEX('Compliance Database'!$B$2:$B$630,MATCH(395,'Transfer Engine'!$C$2:$C$630,0)))</f>
        <v/>
      </c>
      <c r="C404">
        <f>IF(ISNA(MATCH(395,'Transfer Engine'!$C$2:$C$630,0)),"",INDEX('Compliance Database'!$C$2:$C$630,MATCH(395,'Transfer Engine'!$C$2:$C$630,0)))</f>
        <v/>
      </c>
      <c r="D404" s="8">
        <f>IF(ISNA(MATCH(395,'Transfer Engine'!$C$2:$C$630,0)),"",INDEX('Compliance Database'!$D$2:$D$630,MATCH(395,'Transfer Engine'!$C$2:$C$630,0)))</f>
        <v/>
      </c>
      <c r="E404">
        <f>IF(ISNA(MATCH(395,'Transfer Engine'!$C$2:$C$630,0)),"",INDEX('Compliance Database'!$E$2:$E$630,MATCH(395,'Transfer Engine'!$C$2:$C$630,0)))</f>
        <v/>
      </c>
      <c r="F404">
        <f>IF(ISNA(MATCH(395,'Transfer Engine'!$C$2:$C$630,0)),"",INDEX('Compliance Database'!$F$2:$F$630,MATCH(395,'Transfer Engine'!$C$2:$C$630,0)))</f>
        <v/>
      </c>
      <c r="G404">
        <f>IF(ISNA(MATCH(395,'Transfer Engine'!$C$2:$C$630,0)),"",INDEX('Compliance Database'!$G$2:$G$630,MATCH(395,'Transfer Engine'!$C$2:$C$630,0)))</f>
        <v/>
      </c>
      <c r="H404">
        <f>IF(ISNA(MATCH(395,'Transfer Engine'!$C$2:$C$630,0)),"",INDEX('Compliance Database'!$H$2:$H$630,MATCH(395,'Transfer Engine'!$C$2:$C$630,0)))</f>
        <v/>
      </c>
      <c r="I404" s="8">
        <f>IF(ISNA(MATCH(395,'Transfer Engine'!$C$2:$C$630,0)),"",INDEX('Compliance Database'!$I$2:$I$630,MATCH(395,'Transfer Engine'!$C$2:$C$630,0)))</f>
        <v/>
      </c>
      <c r="J404" s="8">
        <f>IF(ISNA(MATCH(395,'Transfer Engine'!$C$2:$C$630,0)),"",INDEX('Compliance Database'!$J$2:$J$630,MATCH(395,'Transfer Engine'!$C$2:$C$630,0)))</f>
        <v/>
      </c>
      <c r="K404">
        <f>IF(ISNA(MATCH(395,'Transfer Engine'!$C$2:$C$630,0)),"",INDEX('Compliance Database'!$K$2:$K$630,MATCH(395,'Transfer Engine'!$C$2:$C$630,0)))</f>
        <v/>
      </c>
      <c r="L404" s="8">
        <f>IF(ISNA(MATCH(395,'Transfer Engine'!$C$2:$C$630,0)),"",INDEX('Compliance Database'!$L$2:$L$630,MATCH(395,'Transfer Engine'!$C$2:$C$630,0)))</f>
        <v/>
      </c>
      <c r="M404" s="8">
        <f>IF(ISNA(MATCH(395,'Transfer Engine'!$C$2:$C$630,0)),"",INDEX('Compliance Database'!$M$2:$M$630,MATCH(395,'Transfer Engine'!$C$2:$C$630,0)))</f>
        <v/>
      </c>
      <c r="N404" s="8">
        <f>IF(ISNA(MATCH(395,'Transfer Engine'!$C$2:$C$630,0)),"",INDEX('Compliance Database'!$N$2:$N$630,MATCH(395,'Transfer Engine'!$C$2:$C$630,0)))</f>
        <v/>
      </c>
      <c r="O404" s="8">
        <f>IF(ISNA(MATCH(395,'Transfer Engine'!$C$2:$C$630,0)),"",INDEX('Compliance Database'!$O$2:$O$630,MATCH(395,'Transfer Engine'!$C$2:$C$630,0)))</f>
        <v/>
      </c>
    </row>
    <row r="405">
      <c r="A405">
        <f>IF(ISNA(MATCH(396,'Transfer Engine'!$C$2:$C$630,0)),"",INDEX('Compliance Database'!$A$2:$A$630,MATCH(396,'Transfer Engine'!$C$2:$C$630,0)))</f>
        <v/>
      </c>
      <c r="B405">
        <f>IF(ISNA(MATCH(396,'Transfer Engine'!$C$2:$C$630,0)),"",INDEX('Compliance Database'!$B$2:$B$630,MATCH(396,'Transfer Engine'!$C$2:$C$630,0)))</f>
        <v/>
      </c>
      <c r="C405">
        <f>IF(ISNA(MATCH(396,'Transfer Engine'!$C$2:$C$630,0)),"",INDEX('Compliance Database'!$C$2:$C$630,MATCH(396,'Transfer Engine'!$C$2:$C$630,0)))</f>
        <v/>
      </c>
      <c r="D405" s="8">
        <f>IF(ISNA(MATCH(396,'Transfer Engine'!$C$2:$C$630,0)),"",INDEX('Compliance Database'!$D$2:$D$630,MATCH(396,'Transfer Engine'!$C$2:$C$630,0)))</f>
        <v/>
      </c>
      <c r="E405">
        <f>IF(ISNA(MATCH(396,'Transfer Engine'!$C$2:$C$630,0)),"",INDEX('Compliance Database'!$E$2:$E$630,MATCH(396,'Transfer Engine'!$C$2:$C$630,0)))</f>
        <v/>
      </c>
      <c r="F405">
        <f>IF(ISNA(MATCH(396,'Transfer Engine'!$C$2:$C$630,0)),"",INDEX('Compliance Database'!$F$2:$F$630,MATCH(396,'Transfer Engine'!$C$2:$C$630,0)))</f>
        <v/>
      </c>
      <c r="G405">
        <f>IF(ISNA(MATCH(396,'Transfer Engine'!$C$2:$C$630,0)),"",INDEX('Compliance Database'!$G$2:$G$630,MATCH(396,'Transfer Engine'!$C$2:$C$630,0)))</f>
        <v/>
      </c>
      <c r="H405">
        <f>IF(ISNA(MATCH(396,'Transfer Engine'!$C$2:$C$630,0)),"",INDEX('Compliance Database'!$H$2:$H$630,MATCH(396,'Transfer Engine'!$C$2:$C$630,0)))</f>
        <v/>
      </c>
      <c r="I405" s="8">
        <f>IF(ISNA(MATCH(396,'Transfer Engine'!$C$2:$C$630,0)),"",INDEX('Compliance Database'!$I$2:$I$630,MATCH(396,'Transfer Engine'!$C$2:$C$630,0)))</f>
        <v/>
      </c>
      <c r="J405" s="8">
        <f>IF(ISNA(MATCH(396,'Transfer Engine'!$C$2:$C$630,0)),"",INDEX('Compliance Database'!$J$2:$J$630,MATCH(396,'Transfer Engine'!$C$2:$C$630,0)))</f>
        <v/>
      </c>
      <c r="K405">
        <f>IF(ISNA(MATCH(396,'Transfer Engine'!$C$2:$C$630,0)),"",INDEX('Compliance Database'!$K$2:$K$630,MATCH(396,'Transfer Engine'!$C$2:$C$630,0)))</f>
        <v/>
      </c>
      <c r="L405" s="8">
        <f>IF(ISNA(MATCH(396,'Transfer Engine'!$C$2:$C$630,0)),"",INDEX('Compliance Database'!$L$2:$L$630,MATCH(396,'Transfer Engine'!$C$2:$C$630,0)))</f>
        <v/>
      </c>
      <c r="M405" s="8">
        <f>IF(ISNA(MATCH(396,'Transfer Engine'!$C$2:$C$630,0)),"",INDEX('Compliance Database'!$M$2:$M$630,MATCH(396,'Transfer Engine'!$C$2:$C$630,0)))</f>
        <v/>
      </c>
      <c r="N405" s="8">
        <f>IF(ISNA(MATCH(396,'Transfer Engine'!$C$2:$C$630,0)),"",INDEX('Compliance Database'!$N$2:$N$630,MATCH(396,'Transfer Engine'!$C$2:$C$630,0)))</f>
        <v/>
      </c>
      <c r="O405" s="8">
        <f>IF(ISNA(MATCH(396,'Transfer Engine'!$C$2:$C$630,0)),"",INDEX('Compliance Database'!$O$2:$O$630,MATCH(396,'Transfer Engine'!$C$2:$C$630,0)))</f>
        <v/>
      </c>
    </row>
    <row r="406">
      <c r="A406">
        <f>IF(ISNA(MATCH(397,'Transfer Engine'!$C$2:$C$630,0)),"",INDEX('Compliance Database'!$A$2:$A$630,MATCH(397,'Transfer Engine'!$C$2:$C$630,0)))</f>
        <v/>
      </c>
      <c r="B406">
        <f>IF(ISNA(MATCH(397,'Transfer Engine'!$C$2:$C$630,0)),"",INDEX('Compliance Database'!$B$2:$B$630,MATCH(397,'Transfer Engine'!$C$2:$C$630,0)))</f>
        <v/>
      </c>
      <c r="C406">
        <f>IF(ISNA(MATCH(397,'Transfer Engine'!$C$2:$C$630,0)),"",INDEX('Compliance Database'!$C$2:$C$630,MATCH(397,'Transfer Engine'!$C$2:$C$630,0)))</f>
        <v/>
      </c>
      <c r="D406" s="8">
        <f>IF(ISNA(MATCH(397,'Transfer Engine'!$C$2:$C$630,0)),"",INDEX('Compliance Database'!$D$2:$D$630,MATCH(397,'Transfer Engine'!$C$2:$C$630,0)))</f>
        <v/>
      </c>
      <c r="E406">
        <f>IF(ISNA(MATCH(397,'Transfer Engine'!$C$2:$C$630,0)),"",INDEX('Compliance Database'!$E$2:$E$630,MATCH(397,'Transfer Engine'!$C$2:$C$630,0)))</f>
        <v/>
      </c>
      <c r="F406">
        <f>IF(ISNA(MATCH(397,'Transfer Engine'!$C$2:$C$630,0)),"",INDEX('Compliance Database'!$F$2:$F$630,MATCH(397,'Transfer Engine'!$C$2:$C$630,0)))</f>
        <v/>
      </c>
      <c r="G406">
        <f>IF(ISNA(MATCH(397,'Transfer Engine'!$C$2:$C$630,0)),"",INDEX('Compliance Database'!$G$2:$G$630,MATCH(397,'Transfer Engine'!$C$2:$C$630,0)))</f>
        <v/>
      </c>
      <c r="H406">
        <f>IF(ISNA(MATCH(397,'Transfer Engine'!$C$2:$C$630,0)),"",INDEX('Compliance Database'!$H$2:$H$630,MATCH(397,'Transfer Engine'!$C$2:$C$630,0)))</f>
        <v/>
      </c>
      <c r="I406" s="8">
        <f>IF(ISNA(MATCH(397,'Transfer Engine'!$C$2:$C$630,0)),"",INDEX('Compliance Database'!$I$2:$I$630,MATCH(397,'Transfer Engine'!$C$2:$C$630,0)))</f>
        <v/>
      </c>
      <c r="J406" s="8">
        <f>IF(ISNA(MATCH(397,'Transfer Engine'!$C$2:$C$630,0)),"",INDEX('Compliance Database'!$J$2:$J$630,MATCH(397,'Transfer Engine'!$C$2:$C$630,0)))</f>
        <v/>
      </c>
      <c r="K406">
        <f>IF(ISNA(MATCH(397,'Transfer Engine'!$C$2:$C$630,0)),"",INDEX('Compliance Database'!$K$2:$K$630,MATCH(397,'Transfer Engine'!$C$2:$C$630,0)))</f>
        <v/>
      </c>
      <c r="L406" s="8">
        <f>IF(ISNA(MATCH(397,'Transfer Engine'!$C$2:$C$630,0)),"",INDEX('Compliance Database'!$L$2:$L$630,MATCH(397,'Transfer Engine'!$C$2:$C$630,0)))</f>
        <v/>
      </c>
      <c r="M406" s="8">
        <f>IF(ISNA(MATCH(397,'Transfer Engine'!$C$2:$C$630,0)),"",INDEX('Compliance Database'!$M$2:$M$630,MATCH(397,'Transfer Engine'!$C$2:$C$630,0)))</f>
        <v/>
      </c>
      <c r="N406" s="8">
        <f>IF(ISNA(MATCH(397,'Transfer Engine'!$C$2:$C$630,0)),"",INDEX('Compliance Database'!$N$2:$N$630,MATCH(397,'Transfer Engine'!$C$2:$C$630,0)))</f>
        <v/>
      </c>
      <c r="O406" s="8">
        <f>IF(ISNA(MATCH(397,'Transfer Engine'!$C$2:$C$630,0)),"",INDEX('Compliance Database'!$O$2:$O$630,MATCH(397,'Transfer Engine'!$C$2:$C$630,0)))</f>
        <v/>
      </c>
    </row>
    <row r="407">
      <c r="A407">
        <f>IF(ISNA(MATCH(398,'Transfer Engine'!$C$2:$C$630,0)),"",INDEX('Compliance Database'!$A$2:$A$630,MATCH(398,'Transfer Engine'!$C$2:$C$630,0)))</f>
        <v/>
      </c>
      <c r="B407">
        <f>IF(ISNA(MATCH(398,'Transfer Engine'!$C$2:$C$630,0)),"",INDEX('Compliance Database'!$B$2:$B$630,MATCH(398,'Transfer Engine'!$C$2:$C$630,0)))</f>
        <v/>
      </c>
      <c r="C407">
        <f>IF(ISNA(MATCH(398,'Transfer Engine'!$C$2:$C$630,0)),"",INDEX('Compliance Database'!$C$2:$C$630,MATCH(398,'Transfer Engine'!$C$2:$C$630,0)))</f>
        <v/>
      </c>
      <c r="D407" s="8">
        <f>IF(ISNA(MATCH(398,'Transfer Engine'!$C$2:$C$630,0)),"",INDEX('Compliance Database'!$D$2:$D$630,MATCH(398,'Transfer Engine'!$C$2:$C$630,0)))</f>
        <v/>
      </c>
      <c r="E407">
        <f>IF(ISNA(MATCH(398,'Transfer Engine'!$C$2:$C$630,0)),"",INDEX('Compliance Database'!$E$2:$E$630,MATCH(398,'Transfer Engine'!$C$2:$C$630,0)))</f>
        <v/>
      </c>
      <c r="F407">
        <f>IF(ISNA(MATCH(398,'Transfer Engine'!$C$2:$C$630,0)),"",INDEX('Compliance Database'!$F$2:$F$630,MATCH(398,'Transfer Engine'!$C$2:$C$630,0)))</f>
        <v/>
      </c>
      <c r="G407">
        <f>IF(ISNA(MATCH(398,'Transfer Engine'!$C$2:$C$630,0)),"",INDEX('Compliance Database'!$G$2:$G$630,MATCH(398,'Transfer Engine'!$C$2:$C$630,0)))</f>
        <v/>
      </c>
      <c r="H407">
        <f>IF(ISNA(MATCH(398,'Transfer Engine'!$C$2:$C$630,0)),"",INDEX('Compliance Database'!$H$2:$H$630,MATCH(398,'Transfer Engine'!$C$2:$C$630,0)))</f>
        <v/>
      </c>
      <c r="I407" s="8">
        <f>IF(ISNA(MATCH(398,'Transfer Engine'!$C$2:$C$630,0)),"",INDEX('Compliance Database'!$I$2:$I$630,MATCH(398,'Transfer Engine'!$C$2:$C$630,0)))</f>
        <v/>
      </c>
      <c r="J407" s="8">
        <f>IF(ISNA(MATCH(398,'Transfer Engine'!$C$2:$C$630,0)),"",INDEX('Compliance Database'!$J$2:$J$630,MATCH(398,'Transfer Engine'!$C$2:$C$630,0)))</f>
        <v/>
      </c>
      <c r="K407">
        <f>IF(ISNA(MATCH(398,'Transfer Engine'!$C$2:$C$630,0)),"",INDEX('Compliance Database'!$K$2:$K$630,MATCH(398,'Transfer Engine'!$C$2:$C$630,0)))</f>
        <v/>
      </c>
      <c r="L407" s="8">
        <f>IF(ISNA(MATCH(398,'Transfer Engine'!$C$2:$C$630,0)),"",INDEX('Compliance Database'!$L$2:$L$630,MATCH(398,'Transfer Engine'!$C$2:$C$630,0)))</f>
        <v/>
      </c>
      <c r="M407" s="8">
        <f>IF(ISNA(MATCH(398,'Transfer Engine'!$C$2:$C$630,0)),"",INDEX('Compliance Database'!$M$2:$M$630,MATCH(398,'Transfer Engine'!$C$2:$C$630,0)))</f>
        <v/>
      </c>
      <c r="N407" s="8">
        <f>IF(ISNA(MATCH(398,'Transfer Engine'!$C$2:$C$630,0)),"",INDEX('Compliance Database'!$N$2:$N$630,MATCH(398,'Transfer Engine'!$C$2:$C$630,0)))</f>
        <v/>
      </c>
      <c r="O407" s="8">
        <f>IF(ISNA(MATCH(398,'Transfer Engine'!$C$2:$C$630,0)),"",INDEX('Compliance Database'!$O$2:$O$630,MATCH(398,'Transfer Engine'!$C$2:$C$630,0)))</f>
        <v/>
      </c>
    </row>
    <row r="408">
      <c r="A408">
        <f>IF(ISNA(MATCH(399,'Transfer Engine'!$C$2:$C$630,0)),"",INDEX('Compliance Database'!$A$2:$A$630,MATCH(399,'Transfer Engine'!$C$2:$C$630,0)))</f>
        <v/>
      </c>
      <c r="B408">
        <f>IF(ISNA(MATCH(399,'Transfer Engine'!$C$2:$C$630,0)),"",INDEX('Compliance Database'!$B$2:$B$630,MATCH(399,'Transfer Engine'!$C$2:$C$630,0)))</f>
        <v/>
      </c>
      <c r="C408">
        <f>IF(ISNA(MATCH(399,'Transfer Engine'!$C$2:$C$630,0)),"",INDEX('Compliance Database'!$C$2:$C$630,MATCH(399,'Transfer Engine'!$C$2:$C$630,0)))</f>
        <v/>
      </c>
      <c r="D408" s="8">
        <f>IF(ISNA(MATCH(399,'Transfer Engine'!$C$2:$C$630,0)),"",INDEX('Compliance Database'!$D$2:$D$630,MATCH(399,'Transfer Engine'!$C$2:$C$630,0)))</f>
        <v/>
      </c>
      <c r="E408">
        <f>IF(ISNA(MATCH(399,'Transfer Engine'!$C$2:$C$630,0)),"",INDEX('Compliance Database'!$E$2:$E$630,MATCH(399,'Transfer Engine'!$C$2:$C$630,0)))</f>
        <v/>
      </c>
      <c r="F408">
        <f>IF(ISNA(MATCH(399,'Transfer Engine'!$C$2:$C$630,0)),"",INDEX('Compliance Database'!$F$2:$F$630,MATCH(399,'Transfer Engine'!$C$2:$C$630,0)))</f>
        <v/>
      </c>
      <c r="G408">
        <f>IF(ISNA(MATCH(399,'Transfer Engine'!$C$2:$C$630,0)),"",INDEX('Compliance Database'!$G$2:$G$630,MATCH(399,'Transfer Engine'!$C$2:$C$630,0)))</f>
        <v/>
      </c>
      <c r="H408">
        <f>IF(ISNA(MATCH(399,'Transfer Engine'!$C$2:$C$630,0)),"",INDEX('Compliance Database'!$H$2:$H$630,MATCH(399,'Transfer Engine'!$C$2:$C$630,0)))</f>
        <v/>
      </c>
      <c r="I408" s="8">
        <f>IF(ISNA(MATCH(399,'Transfer Engine'!$C$2:$C$630,0)),"",INDEX('Compliance Database'!$I$2:$I$630,MATCH(399,'Transfer Engine'!$C$2:$C$630,0)))</f>
        <v/>
      </c>
      <c r="J408" s="8">
        <f>IF(ISNA(MATCH(399,'Transfer Engine'!$C$2:$C$630,0)),"",INDEX('Compliance Database'!$J$2:$J$630,MATCH(399,'Transfer Engine'!$C$2:$C$630,0)))</f>
        <v/>
      </c>
      <c r="K408">
        <f>IF(ISNA(MATCH(399,'Transfer Engine'!$C$2:$C$630,0)),"",INDEX('Compliance Database'!$K$2:$K$630,MATCH(399,'Transfer Engine'!$C$2:$C$630,0)))</f>
        <v/>
      </c>
      <c r="L408" s="8">
        <f>IF(ISNA(MATCH(399,'Transfer Engine'!$C$2:$C$630,0)),"",INDEX('Compliance Database'!$L$2:$L$630,MATCH(399,'Transfer Engine'!$C$2:$C$630,0)))</f>
        <v/>
      </c>
      <c r="M408" s="8">
        <f>IF(ISNA(MATCH(399,'Transfer Engine'!$C$2:$C$630,0)),"",INDEX('Compliance Database'!$M$2:$M$630,MATCH(399,'Transfer Engine'!$C$2:$C$630,0)))</f>
        <v/>
      </c>
      <c r="N408" s="8">
        <f>IF(ISNA(MATCH(399,'Transfer Engine'!$C$2:$C$630,0)),"",INDEX('Compliance Database'!$N$2:$N$630,MATCH(399,'Transfer Engine'!$C$2:$C$630,0)))</f>
        <v/>
      </c>
      <c r="O408" s="8">
        <f>IF(ISNA(MATCH(399,'Transfer Engine'!$C$2:$C$630,0)),"",INDEX('Compliance Database'!$O$2:$O$630,MATCH(399,'Transfer Engine'!$C$2:$C$630,0)))</f>
        <v/>
      </c>
    </row>
    <row r="409">
      <c r="A409">
        <f>IF(ISNA(MATCH(400,'Transfer Engine'!$C$2:$C$630,0)),"",INDEX('Compliance Database'!$A$2:$A$630,MATCH(400,'Transfer Engine'!$C$2:$C$630,0)))</f>
        <v/>
      </c>
      <c r="B409">
        <f>IF(ISNA(MATCH(400,'Transfer Engine'!$C$2:$C$630,0)),"",INDEX('Compliance Database'!$B$2:$B$630,MATCH(400,'Transfer Engine'!$C$2:$C$630,0)))</f>
        <v/>
      </c>
      <c r="C409">
        <f>IF(ISNA(MATCH(400,'Transfer Engine'!$C$2:$C$630,0)),"",INDEX('Compliance Database'!$C$2:$C$630,MATCH(400,'Transfer Engine'!$C$2:$C$630,0)))</f>
        <v/>
      </c>
      <c r="D409" s="8">
        <f>IF(ISNA(MATCH(400,'Transfer Engine'!$C$2:$C$630,0)),"",INDEX('Compliance Database'!$D$2:$D$630,MATCH(400,'Transfer Engine'!$C$2:$C$630,0)))</f>
        <v/>
      </c>
      <c r="E409">
        <f>IF(ISNA(MATCH(400,'Transfer Engine'!$C$2:$C$630,0)),"",INDEX('Compliance Database'!$E$2:$E$630,MATCH(400,'Transfer Engine'!$C$2:$C$630,0)))</f>
        <v/>
      </c>
      <c r="F409">
        <f>IF(ISNA(MATCH(400,'Transfer Engine'!$C$2:$C$630,0)),"",INDEX('Compliance Database'!$F$2:$F$630,MATCH(400,'Transfer Engine'!$C$2:$C$630,0)))</f>
        <v/>
      </c>
      <c r="G409">
        <f>IF(ISNA(MATCH(400,'Transfer Engine'!$C$2:$C$630,0)),"",INDEX('Compliance Database'!$G$2:$G$630,MATCH(400,'Transfer Engine'!$C$2:$C$630,0)))</f>
        <v/>
      </c>
      <c r="H409">
        <f>IF(ISNA(MATCH(400,'Transfer Engine'!$C$2:$C$630,0)),"",INDEX('Compliance Database'!$H$2:$H$630,MATCH(400,'Transfer Engine'!$C$2:$C$630,0)))</f>
        <v/>
      </c>
      <c r="I409" s="8">
        <f>IF(ISNA(MATCH(400,'Transfer Engine'!$C$2:$C$630,0)),"",INDEX('Compliance Database'!$I$2:$I$630,MATCH(400,'Transfer Engine'!$C$2:$C$630,0)))</f>
        <v/>
      </c>
      <c r="J409" s="8">
        <f>IF(ISNA(MATCH(400,'Transfer Engine'!$C$2:$C$630,0)),"",INDEX('Compliance Database'!$J$2:$J$630,MATCH(400,'Transfer Engine'!$C$2:$C$630,0)))</f>
        <v/>
      </c>
      <c r="K409">
        <f>IF(ISNA(MATCH(400,'Transfer Engine'!$C$2:$C$630,0)),"",INDEX('Compliance Database'!$K$2:$K$630,MATCH(400,'Transfer Engine'!$C$2:$C$630,0)))</f>
        <v/>
      </c>
      <c r="L409" s="8">
        <f>IF(ISNA(MATCH(400,'Transfer Engine'!$C$2:$C$630,0)),"",INDEX('Compliance Database'!$L$2:$L$630,MATCH(400,'Transfer Engine'!$C$2:$C$630,0)))</f>
        <v/>
      </c>
      <c r="M409" s="8">
        <f>IF(ISNA(MATCH(400,'Transfer Engine'!$C$2:$C$630,0)),"",INDEX('Compliance Database'!$M$2:$M$630,MATCH(400,'Transfer Engine'!$C$2:$C$630,0)))</f>
        <v/>
      </c>
      <c r="N409" s="8">
        <f>IF(ISNA(MATCH(400,'Transfer Engine'!$C$2:$C$630,0)),"",INDEX('Compliance Database'!$N$2:$N$630,MATCH(400,'Transfer Engine'!$C$2:$C$630,0)))</f>
        <v/>
      </c>
      <c r="O409" s="8">
        <f>IF(ISNA(MATCH(400,'Transfer Engine'!$C$2:$C$630,0)),"",INDEX('Compliance Database'!$O$2:$O$630,MATCH(400,'Transfer Engine'!$C$2:$C$630,0)))</f>
        <v/>
      </c>
    </row>
    <row r="410">
      <c r="A410">
        <f>IF(ISNA(MATCH(401,'Transfer Engine'!$C$2:$C$630,0)),"",INDEX('Compliance Database'!$A$2:$A$630,MATCH(401,'Transfer Engine'!$C$2:$C$630,0)))</f>
        <v/>
      </c>
      <c r="B410">
        <f>IF(ISNA(MATCH(401,'Transfer Engine'!$C$2:$C$630,0)),"",INDEX('Compliance Database'!$B$2:$B$630,MATCH(401,'Transfer Engine'!$C$2:$C$630,0)))</f>
        <v/>
      </c>
      <c r="C410">
        <f>IF(ISNA(MATCH(401,'Transfer Engine'!$C$2:$C$630,0)),"",INDEX('Compliance Database'!$C$2:$C$630,MATCH(401,'Transfer Engine'!$C$2:$C$630,0)))</f>
        <v/>
      </c>
      <c r="D410" s="8">
        <f>IF(ISNA(MATCH(401,'Transfer Engine'!$C$2:$C$630,0)),"",INDEX('Compliance Database'!$D$2:$D$630,MATCH(401,'Transfer Engine'!$C$2:$C$630,0)))</f>
        <v/>
      </c>
      <c r="E410">
        <f>IF(ISNA(MATCH(401,'Transfer Engine'!$C$2:$C$630,0)),"",INDEX('Compliance Database'!$E$2:$E$630,MATCH(401,'Transfer Engine'!$C$2:$C$630,0)))</f>
        <v/>
      </c>
      <c r="F410">
        <f>IF(ISNA(MATCH(401,'Transfer Engine'!$C$2:$C$630,0)),"",INDEX('Compliance Database'!$F$2:$F$630,MATCH(401,'Transfer Engine'!$C$2:$C$630,0)))</f>
        <v/>
      </c>
      <c r="G410">
        <f>IF(ISNA(MATCH(401,'Transfer Engine'!$C$2:$C$630,0)),"",INDEX('Compliance Database'!$G$2:$G$630,MATCH(401,'Transfer Engine'!$C$2:$C$630,0)))</f>
        <v/>
      </c>
      <c r="H410">
        <f>IF(ISNA(MATCH(401,'Transfer Engine'!$C$2:$C$630,0)),"",INDEX('Compliance Database'!$H$2:$H$630,MATCH(401,'Transfer Engine'!$C$2:$C$630,0)))</f>
        <v/>
      </c>
      <c r="I410" s="8">
        <f>IF(ISNA(MATCH(401,'Transfer Engine'!$C$2:$C$630,0)),"",INDEX('Compliance Database'!$I$2:$I$630,MATCH(401,'Transfer Engine'!$C$2:$C$630,0)))</f>
        <v/>
      </c>
      <c r="J410" s="8">
        <f>IF(ISNA(MATCH(401,'Transfer Engine'!$C$2:$C$630,0)),"",INDEX('Compliance Database'!$J$2:$J$630,MATCH(401,'Transfer Engine'!$C$2:$C$630,0)))</f>
        <v/>
      </c>
      <c r="K410">
        <f>IF(ISNA(MATCH(401,'Transfer Engine'!$C$2:$C$630,0)),"",INDEX('Compliance Database'!$K$2:$K$630,MATCH(401,'Transfer Engine'!$C$2:$C$630,0)))</f>
        <v/>
      </c>
      <c r="L410" s="8">
        <f>IF(ISNA(MATCH(401,'Transfer Engine'!$C$2:$C$630,0)),"",INDEX('Compliance Database'!$L$2:$L$630,MATCH(401,'Transfer Engine'!$C$2:$C$630,0)))</f>
        <v/>
      </c>
      <c r="M410" s="8">
        <f>IF(ISNA(MATCH(401,'Transfer Engine'!$C$2:$C$630,0)),"",INDEX('Compliance Database'!$M$2:$M$630,MATCH(401,'Transfer Engine'!$C$2:$C$630,0)))</f>
        <v/>
      </c>
      <c r="N410" s="8">
        <f>IF(ISNA(MATCH(401,'Transfer Engine'!$C$2:$C$630,0)),"",INDEX('Compliance Database'!$N$2:$N$630,MATCH(401,'Transfer Engine'!$C$2:$C$630,0)))</f>
        <v/>
      </c>
      <c r="O410" s="8">
        <f>IF(ISNA(MATCH(401,'Transfer Engine'!$C$2:$C$630,0)),"",INDEX('Compliance Database'!$O$2:$O$630,MATCH(401,'Transfer Engine'!$C$2:$C$630,0)))</f>
        <v/>
      </c>
    </row>
    <row r="411">
      <c r="A411">
        <f>IF(ISNA(MATCH(402,'Transfer Engine'!$C$2:$C$630,0)),"",INDEX('Compliance Database'!$A$2:$A$630,MATCH(402,'Transfer Engine'!$C$2:$C$630,0)))</f>
        <v/>
      </c>
      <c r="B411">
        <f>IF(ISNA(MATCH(402,'Transfer Engine'!$C$2:$C$630,0)),"",INDEX('Compliance Database'!$B$2:$B$630,MATCH(402,'Transfer Engine'!$C$2:$C$630,0)))</f>
        <v/>
      </c>
      <c r="C411">
        <f>IF(ISNA(MATCH(402,'Transfer Engine'!$C$2:$C$630,0)),"",INDEX('Compliance Database'!$C$2:$C$630,MATCH(402,'Transfer Engine'!$C$2:$C$630,0)))</f>
        <v/>
      </c>
      <c r="D411" s="8">
        <f>IF(ISNA(MATCH(402,'Transfer Engine'!$C$2:$C$630,0)),"",INDEX('Compliance Database'!$D$2:$D$630,MATCH(402,'Transfer Engine'!$C$2:$C$630,0)))</f>
        <v/>
      </c>
      <c r="E411">
        <f>IF(ISNA(MATCH(402,'Transfer Engine'!$C$2:$C$630,0)),"",INDEX('Compliance Database'!$E$2:$E$630,MATCH(402,'Transfer Engine'!$C$2:$C$630,0)))</f>
        <v/>
      </c>
      <c r="F411">
        <f>IF(ISNA(MATCH(402,'Transfer Engine'!$C$2:$C$630,0)),"",INDEX('Compliance Database'!$F$2:$F$630,MATCH(402,'Transfer Engine'!$C$2:$C$630,0)))</f>
        <v/>
      </c>
      <c r="G411">
        <f>IF(ISNA(MATCH(402,'Transfer Engine'!$C$2:$C$630,0)),"",INDEX('Compliance Database'!$G$2:$G$630,MATCH(402,'Transfer Engine'!$C$2:$C$630,0)))</f>
        <v/>
      </c>
      <c r="H411">
        <f>IF(ISNA(MATCH(402,'Transfer Engine'!$C$2:$C$630,0)),"",INDEX('Compliance Database'!$H$2:$H$630,MATCH(402,'Transfer Engine'!$C$2:$C$630,0)))</f>
        <v/>
      </c>
      <c r="I411" s="8">
        <f>IF(ISNA(MATCH(402,'Transfer Engine'!$C$2:$C$630,0)),"",INDEX('Compliance Database'!$I$2:$I$630,MATCH(402,'Transfer Engine'!$C$2:$C$630,0)))</f>
        <v/>
      </c>
      <c r="J411" s="8">
        <f>IF(ISNA(MATCH(402,'Transfer Engine'!$C$2:$C$630,0)),"",INDEX('Compliance Database'!$J$2:$J$630,MATCH(402,'Transfer Engine'!$C$2:$C$630,0)))</f>
        <v/>
      </c>
      <c r="K411">
        <f>IF(ISNA(MATCH(402,'Transfer Engine'!$C$2:$C$630,0)),"",INDEX('Compliance Database'!$K$2:$K$630,MATCH(402,'Transfer Engine'!$C$2:$C$630,0)))</f>
        <v/>
      </c>
      <c r="L411" s="8">
        <f>IF(ISNA(MATCH(402,'Transfer Engine'!$C$2:$C$630,0)),"",INDEX('Compliance Database'!$L$2:$L$630,MATCH(402,'Transfer Engine'!$C$2:$C$630,0)))</f>
        <v/>
      </c>
      <c r="M411" s="8">
        <f>IF(ISNA(MATCH(402,'Transfer Engine'!$C$2:$C$630,0)),"",INDEX('Compliance Database'!$M$2:$M$630,MATCH(402,'Transfer Engine'!$C$2:$C$630,0)))</f>
        <v/>
      </c>
      <c r="N411" s="8">
        <f>IF(ISNA(MATCH(402,'Transfer Engine'!$C$2:$C$630,0)),"",INDEX('Compliance Database'!$N$2:$N$630,MATCH(402,'Transfer Engine'!$C$2:$C$630,0)))</f>
        <v/>
      </c>
      <c r="O411" s="8">
        <f>IF(ISNA(MATCH(402,'Transfer Engine'!$C$2:$C$630,0)),"",INDEX('Compliance Database'!$O$2:$O$630,MATCH(402,'Transfer Engine'!$C$2:$C$630,0)))</f>
        <v/>
      </c>
    </row>
    <row r="412">
      <c r="A412">
        <f>IF(ISNA(MATCH(403,'Transfer Engine'!$C$2:$C$630,0)),"",INDEX('Compliance Database'!$A$2:$A$630,MATCH(403,'Transfer Engine'!$C$2:$C$630,0)))</f>
        <v/>
      </c>
      <c r="B412">
        <f>IF(ISNA(MATCH(403,'Transfer Engine'!$C$2:$C$630,0)),"",INDEX('Compliance Database'!$B$2:$B$630,MATCH(403,'Transfer Engine'!$C$2:$C$630,0)))</f>
        <v/>
      </c>
      <c r="C412">
        <f>IF(ISNA(MATCH(403,'Transfer Engine'!$C$2:$C$630,0)),"",INDEX('Compliance Database'!$C$2:$C$630,MATCH(403,'Transfer Engine'!$C$2:$C$630,0)))</f>
        <v/>
      </c>
      <c r="D412" s="8">
        <f>IF(ISNA(MATCH(403,'Transfer Engine'!$C$2:$C$630,0)),"",INDEX('Compliance Database'!$D$2:$D$630,MATCH(403,'Transfer Engine'!$C$2:$C$630,0)))</f>
        <v/>
      </c>
      <c r="E412">
        <f>IF(ISNA(MATCH(403,'Transfer Engine'!$C$2:$C$630,0)),"",INDEX('Compliance Database'!$E$2:$E$630,MATCH(403,'Transfer Engine'!$C$2:$C$630,0)))</f>
        <v/>
      </c>
      <c r="F412">
        <f>IF(ISNA(MATCH(403,'Transfer Engine'!$C$2:$C$630,0)),"",INDEX('Compliance Database'!$F$2:$F$630,MATCH(403,'Transfer Engine'!$C$2:$C$630,0)))</f>
        <v/>
      </c>
      <c r="G412">
        <f>IF(ISNA(MATCH(403,'Transfer Engine'!$C$2:$C$630,0)),"",INDEX('Compliance Database'!$G$2:$G$630,MATCH(403,'Transfer Engine'!$C$2:$C$630,0)))</f>
        <v/>
      </c>
      <c r="H412">
        <f>IF(ISNA(MATCH(403,'Transfer Engine'!$C$2:$C$630,0)),"",INDEX('Compliance Database'!$H$2:$H$630,MATCH(403,'Transfer Engine'!$C$2:$C$630,0)))</f>
        <v/>
      </c>
      <c r="I412" s="8">
        <f>IF(ISNA(MATCH(403,'Transfer Engine'!$C$2:$C$630,0)),"",INDEX('Compliance Database'!$I$2:$I$630,MATCH(403,'Transfer Engine'!$C$2:$C$630,0)))</f>
        <v/>
      </c>
      <c r="J412" s="8">
        <f>IF(ISNA(MATCH(403,'Transfer Engine'!$C$2:$C$630,0)),"",INDEX('Compliance Database'!$J$2:$J$630,MATCH(403,'Transfer Engine'!$C$2:$C$630,0)))</f>
        <v/>
      </c>
      <c r="K412">
        <f>IF(ISNA(MATCH(403,'Transfer Engine'!$C$2:$C$630,0)),"",INDEX('Compliance Database'!$K$2:$K$630,MATCH(403,'Transfer Engine'!$C$2:$C$630,0)))</f>
        <v/>
      </c>
      <c r="L412" s="8">
        <f>IF(ISNA(MATCH(403,'Transfer Engine'!$C$2:$C$630,0)),"",INDEX('Compliance Database'!$L$2:$L$630,MATCH(403,'Transfer Engine'!$C$2:$C$630,0)))</f>
        <v/>
      </c>
      <c r="M412" s="8">
        <f>IF(ISNA(MATCH(403,'Transfer Engine'!$C$2:$C$630,0)),"",INDEX('Compliance Database'!$M$2:$M$630,MATCH(403,'Transfer Engine'!$C$2:$C$630,0)))</f>
        <v/>
      </c>
      <c r="N412" s="8">
        <f>IF(ISNA(MATCH(403,'Transfer Engine'!$C$2:$C$630,0)),"",INDEX('Compliance Database'!$N$2:$N$630,MATCH(403,'Transfer Engine'!$C$2:$C$630,0)))</f>
        <v/>
      </c>
      <c r="O412" s="8">
        <f>IF(ISNA(MATCH(403,'Transfer Engine'!$C$2:$C$630,0)),"",INDEX('Compliance Database'!$O$2:$O$630,MATCH(403,'Transfer Engine'!$C$2:$C$630,0)))</f>
        <v/>
      </c>
    </row>
    <row r="413">
      <c r="A413">
        <f>IF(ISNA(MATCH(404,'Transfer Engine'!$C$2:$C$630,0)),"",INDEX('Compliance Database'!$A$2:$A$630,MATCH(404,'Transfer Engine'!$C$2:$C$630,0)))</f>
        <v/>
      </c>
      <c r="B413">
        <f>IF(ISNA(MATCH(404,'Transfer Engine'!$C$2:$C$630,0)),"",INDEX('Compliance Database'!$B$2:$B$630,MATCH(404,'Transfer Engine'!$C$2:$C$630,0)))</f>
        <v/>
      </c>
      <c r="C413">
        <f>IF(ISNA(MATCH(404,'Transfer Engine'!$C$2:$C$630,0)),"",INDEX('Compliance Database'!$C$2:$C$630,MATCH(404,'Transfer Engine'!$C$2:$C$630,0)))</f>
        <v/>
      </c>
      <c r="D413" s="8">
        <f>IF(ISNA(MATCH(404,'Transfer Engine'!$C$2:$C$630,0)),"",INDEX('Compliance Database'!$D$2:$D$630,MATCH(404,'Transfer Engine'!$C$2:$C$630,0)))</f>
        <v/>
      </c>
      <c r="E413">
        <f>IF(ISNA(MATCH(404,'Transfer Engine'!$C$2:$C$630,0)),"",INDEX('Compliance Database'!$E$2:$E$630,MATCH(404,'Transfer Engine'!$C$2:$C$630,0)))</f>
        <v/>
      </c>
      <c r="F413">
        <f>IF(ISNA(MATCH(404,'Transfer Engine'!$C$2:$C$630,0)),"",INDEX('Compliance Database'!$F$2:$F$630,MATCH(404,'Transfer Engine'!$C$2:$C$630,0)))</f>
        <v/>
      </c>
      <c r="G413">
        <f>IF(ISNA(MATCH(404,'Transfer Engine'!$C$2:$C$630,0)),"",INDEX('Compliance Database'!$G$2:$G$630,MATCH(404,'Transfer Engine'!$C$2:$C$630,0)))</f>
        <v/>
      </c>
      <c r="H413">
        <f>IF(ISNA(MATCH(404,'Transfer Engine'!$C$2:$C$630,0)),"",INDEX('Compliance Database'!$H$2:$H$630,MATCH(404,'Transfer Engine'!$C$2:$C$630,0)))</f>
        <v/>
      </c>
      <c r="I413" s="8">
        <f>IF(ISNA(MATCH(404,'Transfer Engine'!$C$2:$C$630,0)),"",INDEX('Compliance Database'!$I$2:$I$630,MATCH(404,'Transfer Engine'!$C$2:$C$630,0)))</f>
        <v/>
      </c>
      <c r="J413" s="8">
        <f>IF(ISNA(MATCH(404,'Transfer Engine'!$C$2:$C$630,0)),"",INDEX('Compliance Database'!$J$2:$J$630,MATCH(404,'Transfer Engine'!$C$2:$C$630,0)))</f>
        <v/>
      </c>
      <c r="K413">
        <f>IF(ISNA(MATCH(404,'Transfer Engine'!$C$2:$C$630,0)),"",INDEX('Compliance Database'!$K$2:$K$630,MATCH(404,'Transfer Engine'!$C$2:$C$630,0)))</f>
        <v/>
      </c>
      <c r="L413" s="8">
        <f>IF(ISNA(MATCH(404,'Transfer Engine'!$C$2:$C$630,0)),"",INDEX('Compliance Database'!$L$2:$L$630,MATCH(404,'Transfer Engine'!$C$2:$C$630,0)))</f>
        <v/>
      </c>
      <c r="M413" s="8">
        <f>IF(ISNA(MATCH(404,'Transfer Engine'!$C$2:$C$630,0)),"",INDEX('Compliance Database'!$M$2:$M$630,MATCH(404,'Transfer Engine'!$C$2:$C$630,0)))</f>
        <v/>
      </c>
      <c r="N413" s="8">
        <f>IF(ISNA(MATCH(404,'Transfer Engine'!$C$2:$C$630,0)),"",INDEX('Compliance Database'!$N$2:$N$630,MATCH(404,'Transfer Engine'!$C$2:$C$630,0)))</f>
        <v/>
      </c>
      <c r="O413" s="8">
        <f>IF(ISNA(MATCH(404,'Transfer Engine'!$C$2:$C$630,0)),"",INDEX('Compliance Database'!$O$2:$O$630,MATCH(404,'Transfer Engine'!$C$2:$C$630,0)))</f>
        <v/>
      </c>
    </row>
    <row r="414">
      <c r="A414">
        <f>IF(ISNA(MATCH(405,'Transfer Engine'!$C$2:$C$630,0)),"",INDEX('Compliance Database'!$A$2:$A$630,MATCH(405,'Transfer Engine'!$C$2:$C$630,0)))</f>
        <v/>
      </c>
      <c r="B414">
        <f>IF(ISNA(MATCH(405,'Transfer Engine'!$C$2:$C$630,0)),"",INDEX('Compliance Database'!$B$2:$B$630,MATCH(405,'Transfer Engine'!$C$2:$C$630,0)))</f>
        <v/>
      </c>
      <c r="C414">
        <f>IF(ISNA(MATCH(405,'Transfer Engine'!$C$2:$C$630,0)),"",INDEX('Compliance Database'!$C$2:$C$630,MATCH(405,'Transfer Engine'!$C$2:$C$630,0)))</f>
        <v/>
      </c>
      <c r="D414" s="8">
        <f>IF(ISNA(MATCH(405,'Transfer Engine'!$C$2:$C$630,0)),"",INDEX('Compliance Database'!$D$2:$D$630,MATCH(405,'Transfer Engine'!$C$2:$C$630,0)))</f>
        <v/>
      </c>
      <c r="E414">
        <f>IF(ISNA(MATCH(405,'Transfer Engine'!$C$2:$C$630,0)),"",INDEX('Compliance Database'!$E$2:$E$630,MATCH(405,'Transfer Engine'!$C$2:$C$630,0)))</f>
        <v/>
      </c>
      <c r="F414">
        <f>IF(ISNA(MATCH(405,'Transfer Engine'!$C$2:$C$630,0)),"",INDEX('Compliance Database'!$F$2:$F$630,MATCH(405,'Transfer Engine'!$C$2:$C$630,0)))</f>
        <v/>
      </c>
      <c r="G414">
        <f>IF(ISNA(MATCH(405,'Transfer Engine'!$C$2:$C$630,0)),"",INDEX('Compliance Database'!$G$2:$G$630,MATCH(405,'Transfer Engine'!$C$2:$C$630,0)))</f>
        <v/>
      </c>
      <c r="H414">
        <f>IF(ISNA(MATCH(405,'Transfer Engine'!$C$2:$C$630,0)),"",INDEX('Compliance Database'!$H$2:$H$630,MATCH(405,'Transfer Engine'!$C$2:$C$630,0)))</f>
        <v/>
      </c>
      <c r="I414" s="8">
        <f>IF(ISNA(MATCH(405,'Transfer Engine'!$C$2:$C$630,0)),"",INDEX('Compliance Database'!$I$2:$I$630,MATCH(405,'Transfer Engine'!$C$2:$C$630,0)))</f>
        <v/>
      </c>
      <c r="J414" s="8">
        <f>IF(ISNA(MATCH(405,'Transfer Engine'!$C$2:$C$630,0)),"",INDEX('Compliance Database'!$J$2:$J$630,MATCH(405,'Transfer Engine'!$C$2:$C$630,0)))</f>
        <v/>
      </c>
      <c r="K414">
        <f>IF(ISNA(MATCH(405,'Transfer Engine'!$C$2:$C$630,0)),"",INDEX('Compliance Database'!$K$2:$K$630,MATCH(405,'Transfer Engine'!$C$2:$C$630,0)))</f>
        <v/>
      </c>
      <c r="L414" s="8">
        <f>IF(ISNA(MATCH(405,'Transfer Engine'!$C$2:$C$630,0)),"",INDEX('Compliance Database'!$L$2:$L$630,MATCH(405,'Transfer Engine'!$C$2:$C$630,0)))</f>
        <v/>
      </c>
      <c r="M414" s="8">
        <f>IF(ISNA(MATCH(405,'Transfer Engine'!$C$2:$C$630,0)),"",INDEX('Compliance Database'!$M$2:$M$630,MATCH(405,'Transfer Engine'!$C$2:$C$630,0)))</f>
        <v/>
      </c>
      <c r="N414" s="8">
        <f>IF(ISNA(MATCH(405,'Transfer Engine'!$C$2:$C$630,0)),"",INDEX('Compliance Database'!$N$2:$N$630,MATCH(405,'Transfer Engine'!$C$2:$C$630,0)))</f>
        <v/>
      </c>
      <c r="O414" s="8">
        <f>IF(ISNA(MATCH(405,'Transfer Engine'!$C$2:$C$630,0)),"",INDEX('Compliance Database'!$O$2:$O$630,MATCH(405,'Transfer Engine'!$C$2:$C$630,0)))</f>
        <v/>
      </c>
    </row>
    <row r="415">
      <c r="A415">
        <f>IF(ISNA(MATCH(406,'Transfer Engine'!$C$2:$C$630,0)),"",INDEX('Compliance Database'!$A$2:$A$630,MATCH(406,'Transfer Engine'!$C$2:$C$630,0)))</f>
        <v/>
      </c>
      <c r="B415">
        <f>IF(ISNA(MATCH(406,'Transfer Engine'!$C$2:$C$630,0)),"",INDEX('Compliance Database'!$B$2:$B$630,MATCH(406,'Transfer Engine'!$C$2:$C$630,0)))</f>
        <v/>
      </c>
      <c r="C415">
        <f>IF(ISNA(MATCH(406,'Transfer Engine'!$C$2:$C$630,0)),"",INDEX('Compliance Database'!$C$2:$C$630,MATCH(406,'Transfer Engine'!$C$2:$C$630,0)))</f>
        <v/>
      </c>
      <c r="D415" s="8">
        <f>IF(ISNA(MATCH(406,'Transfer Engine'!$C$2:$C$630,0)),"",INDEX('Compliance Database'!$D$2:$D$630,MATCH(406,'Transfer Engine'!$C$2:$C$630,0)))</f>
        <v/>
      </c>
      <c r="E415">
        <f>IF(ISNA(MATCH(406,'Transfer Engine'!$C$2:$C$630,0)),"",INDEX('Compliance Database'!$E$2:$E$630,MATCH(406,'Transfer Engine'!$C$2:$C$630,0)))</f>
        <v/>
      </c>
      <c r="F415">
        <f>IF(ISNA(MATCH(406,'Transfer Engine'!$C$2:$C$630,0)),"",INDEX('Compliance Database'!$F$2:$F$630,MATCH(406,'Transfer Engine'!$C$2:$C$630,0)))</f>
        <v/>
      </c>
      <c r="G415">
        <f>IF(ISNA(MATCH(406,'Transfer Engine'!$C$2:$C$630,0)),"",INDEX('Compliance Database'!$G$2:$G$630,MATCH(406,'Transfer Engine'!$C$2:$C$630,0)))</f>
        <v/>
      </c>
      <c r="H415">
        <f>IF(ISNA(MATCH(406,'Transfer Engine'!$C$2:$C$630,0)),"",INDEX('Compliance Database'!$H$2:$H$630,MATCH(406,'Transfer Engine'!$C$2:$C$630,0)))</f>
        <v/>
      </c>
      <c r="I415" s="8">
        <f>IF(ISNA(MATCH(406,'Transfer Engine'!$C$2:$C$630,0)),"",INDEX('Compliance Database'!$I$2:$I$630,MATCH(406,'Transfer Engine'!$C$2:$C$630,0)))</f>
        <v/>
      </c>
      <c r="J415" s="8">
        <f>IF(ISNA(MATCH(406,'Transfer Engine'!$C$2:$C$630,0)),"",INDEX('Compliance Database'!$J$2:$J$630,MATCH(406,'Transfer Engine'!$C$2:$C$630,0)))</f>
        <v/>
      </c>
      <c r="K415">
        <f>IF(ISNA(MATCH(406,'Transfer Engine'!$C$2:$C$630,0)),"",INDEX('Compliance Database'!$K$2:$K$630,MATCH(406,'Transfer Engine'!$C$2:$C$630,0)))</f>
        <v/>
      </c>
      <c r="L415" s="8">
        <f>IF(ISNA(MATCH(406,'Transfer Engine'!$C$2:$C$630,0)),"",INDEX('Compliance Database'!$L$2:$L$630,MATCH(406,'Transfer Engine'!$C$2:$C$630,0)))</f>
        <v/>
      </c>
      <c r="M415" s="8">
        <f>IF(ISNA(MATCH(406,'Transfer Engine'!$C$2:$C$630,0)),"",INDEX('Compliance Database'!$M$2:$M$630,MATCH(406,'Transfer Engine'!$C$2:$C$630,0)))</f>
        <v/>
      </c>
      <c r="N415" s="8">
        <f>IF(ISNA(MATCH(406,'Transfer Engine'!$C$2:$C$630,0)),"",INDEX('Compliance Database'!$N$2:$N$630,MATCH(406,'Transfer Engine'!$C$2:$C$630,0)))</f>
        <v/>
      </c>
      <c r="O415" s="8">
        <f>IF(ISNA(MATCH(406,'Transfer Engine'!$C$2:$C$630,0)),"",INDEX('Compliance Database'!$O$2:$O$630,MATCH(406,'Transfer Engine'!$C$2:$C$630,0)))</f>
        <v/>
      </c>
    </row>
    <row r="416">
      <c r="A416">
        <f>IF(ISNA(MATCH(407,'Transfer Engine'!$C$2:$C$630,0)),"",INDEX('Compliance Database'!$A$2:$A$630,MATCH(407,'Transfer Engine'!$C$2:$C$630,0)))</f>
        <v/>
      </c>
      <c r="B416">
        <f>IF(ISNA(MATCH(407,'Transfer Engine'!$C$2:$C$630,0)),"",INDEX('Compliance Database'!$B$2:$B$630,MATCH(407,'Transfer Engine'!$C$2:$C$630,0)))</f>
        <v/>
      </c>
      <c r="C416">
        <f>IF(ISNA(MATCH(407,'Transfer Engine'!$C$2:$C$630,0)),"",INDEX('Compliance Database'!$C$2:$C$630,MATCH(407,'Transfer Engine'!$C$2:$C$630,0)))</f>
        <v/>
      </c>
      <c r="D416" s="8">
        <f>IF(ISNA(MATCH(407,'Transfer Engine'!$C$2:$C$630,0)),"",INDEX('Compliance Database'!$D$2:$D$630,MATCH(407,'Transfer Engine'!$C$2:$C$630,0)))</f>
        <v/>
      </c>
      <c r="E416">
        <f>IF(ISNA(MATCH(407,'Transfer Engine'!$C$2:$C$630,0)),"",INDEX('Compliance Database'!$E$2:$E$630,MATCH(407,'Transfer Engine'!$C$2:$C$630,0)))</f>
        <v/>
      </c>
      <c r="F416">
        <f>IF(ISNA(MATCH(407,'Transfer Engine'!$C$2:$C$630,0)),"",INDEX('Compliance Database'!$F$2:$F$630,MATCH(407,'Transfer Engine'!$C$2:$C$630,0)))</f>
        <v/>
      </c>
      <c r="G416">
        <f>IF(ISNA(MATCH(407,'Transfer Engine'!$C$2:$C$630,0)),"",INDEX('Compliance Database'!$G$2:$G$630,MATCH(407,'Transfer Engine'!$C$2:$C$630,0)))</f>
        <v/>
      </c>
      <c r="H416">
        <f>IF(ISNA(MATCH(407,'Transfer Engine'!$C$2:$C$630,0)),"",INDEX('Compliance Database'!$H$2:$H$630,MATCH(407,'Transfer Engine'!$C$2:$C$630,0)))</f>
        <v/>
      </c>
      <c r="I416" s="8">
        <f>IF(ISNA(MATCH(407,'Transfer Engine'!$C$2:$C$630,0)),"",INDEX('Compliance Database'!$I$2:$I$630,MATCH(407,'Transfer Engine'!$C$2:$C$630,0)))</f>
        <v/>
      </c>
      <c r="J416" s="8">
        <f>IF(ISNA(MATCH(407,'Transfer Engine'!$C$2:$C$630,0)),"",INDEX('Compliance Database'!$J$2:$J$630,MATCH(407,'Transfer Engine'!$C$2:$C$630,0)))</f>
        <v/>
      </c>
      <c r="K416">
        <f>IF(ISNA(MATCH(407,'Transfer Engine'!$C$2:$C$630,0)),"",INDEX('Compliance Database'!$K$2:$K$630,MATCH(407,'Transfer Engine'!$C$2:$C$630,0)))</f>
        <v/>
      </c>
      <c r="L416" s="8">
        <f>IF(ISNA(MATCH(407,'Transfer Engine'!$C$2:$C$630,0)),"",INDEX('Compliance Database'!$L$2:$L$630,MATCH(407,'Transfer Engine'!$C$2:$C$630,0)))</f>
        <v/>
      </c>
      <c r="M416" s="8">
        <f>IF(ISNA(MATCH(407,'Transfer Engine'!$C$2:$C$630,0)),"",INDEX('Compliance Database'!$M$2:$M$630,MATCH(407,'Transfer Engine'!$C$2:$C$630,0)))</f>
        <v/>
      </c>
      <c r="N416" s="8">
        <f>IF(ISNA(MATCH(407,'Transfer Engine'!$C$2:$C$630,0)),"",INDEX('Compliance Database'!$N$2:$N$630,MATCH(407,'Transfer Engine'!$C$2:$C$630,0)))</f>
        <v/>
      </c>
      <c r="O416" s="8">
        <f>IF(ISNA(MATCH(407,'Transfer Engine'!$C$2:$C$630,0)),"",INDEX('Compliance Database'!$O$2:$O$630,MATCH(407,'Transfer Engine'!$C$2:$C$630,0)))</f>
        <v/>
      </c>
    </row>
    <row r="417">
      <c r="A417">
        <f>IF(ISNA(MATCH(408,'Transfer Engine'!$C$2:$C$630,0)),"",INDEX('Compliance Database'!$A$2:$A$630,MATCH(408,'Transfer Engine'!$C$2:$C$630,0)))</f>
        <v/>
      </c>
      <c r="B417">
        <f>IF(ISNA(MATCH(408,'Transfer Engine'!$C$2:$C$630,0)),"",INDEX('Compliance Database'!$B$2:$B$630,MATCH(408,'Transfer Engine'!$C$2:$C$630,0)))</f>
        <v/>
      </c>
      <c r="C417">
        <f>IF(ISNA(MATCH(408,'Transfer Engine'!$C$2:$C$630,0)),"",INDEX('Compliance Database'!$C$2:$C$630,MATCH(408,'Transfer Engine'!$C$2:$C$630,0)))</f>
        <v/>
      </c>
      <c r="D417" s="8">
        <f>IF(ISNA(MATCH(408,'Transfer Engine'!$C$2:$C$630,0)),"",INDEX('Compliance Database'!$D$2:$D$630,MATCH(408,'Transfer Engine'!$C$2:$C$630,0)))</f>
        <v/>
      </c>
      <c r="E417">
        <f>IF(ISNA(MATCH(408,'Transfer Engine'!$C$2:$C$630,0)),"",INDEX('Compliance Database'!$E$2:$E$630,MATCH(408,'Transfer Engine'!$C$2:$C$630,0)))</f>
        <v/>
      </c>
      <c r="F417">
        <f>IF(ISNA(MATCH(408,'Transfer Engine'!$C$2:$C$630,0)),"",INDEX('Compliance Database'!$F$2:$F$630,MATCH(408,'Transfer Engine'!$C$2:$C$630,0)))</f>
        <v/>
      </c>
      <c r="G417">
        <f>IF(ISNA(MATCH(408,'Transfer Engine'!$C$2:$C$630,0)),"",INDEX('Compliance Database'!$G$2:$G$630,MATCH(408,'Transfer Engine'!$C$2:$C$630,0)))</f>
        <v/>
      </c>
      <c r="H417">
        <f>IF(ISNA(MATCH(408,'Transfer Engine'!$C$2:$C$630,0)),"",INDEX('Compliance Database'!$H$2:$H$630,MATCH(408,'Transfer Engine'!$C$2:$C$630,0)))</f>
        <v/>
      </c>
      <c r="I417" s="8">
        <f>IF(ISNA(MATCH(408,'Transfer Engine'!$C$2:$C$630,0)),"",INDEX('Compliance Database'!$I$2:$I$630,MATCH(408,'Transfer Engine'!$C$2:$C$630,0)))</f>
        <v/>
      </c>
      <c r="J417" s="8">
        <f>IF(ISNA(MATCH(408,'Transfer Engine'!$C$2:$C$630,0)),"",INDEX('Compliance Database'!$J$2:$J$630,MATCH(408,'Transfer Engine'!$C$2:$C$630,0)))</f>
        <v/>
      </c>
      <c r="K417">
        <f>IF(ISNA(MATCH(408,'Transfer Engine'!$C$2:$C$630,0)),"",INDEX('Compliance Database'!$K$2:$K$630,MATCH(408,'Transfer Engine'!$C$2:$C$630,0)))</f>
        <v/>
      </c>
      <c r="L417" s="8">
        <f>IF(ISNA(MATCH(408,'Transfer Engine'!$C$2:$C$630,0)),"",INDEX('Compliance Database'!$L$2:$L$630,MATCH(408,'Transfer Engine'!$C$2:$C$630,0)))</f>
        <v/>
      </c>
      <c r="M417" s="8">
        <f>IF(ISNA(MATCH(408,'Transfer Engine'!$C$2:$C$630,0)),"",INDEX('Compliance Database'!$M$2:$M$630,MATCH(408,'Transfer Engine'!$C$2:$C$630,0)))</f>
        <v/>
      </c>
      <c r="N417" s="8">
        <f>IF(ISNA(MATCH(408,'Transfer Engine'!$C$2:$C$630,0)),"",INDEX('Compliance Database'!$N$2:$N$630,MATCH(408,'Transfer Engine'!$C$2:$C$630,0)))</f>
        <v/>
      </c>
      <c r="O417" s="8">
        <f>IF(ISNA(MATCH(408,'Transfer Engine'!$C$2:$C$630,0)),"",INDEX('Compliance Database'!$O$2:$O$630,MATCH(408,'Transfer Engine'!$C$2:$C$630,0)))</f>
        <v/>
      </c>
    </row>
    <row r="418">
      <c r="A418">
        <f>IF(ISNA(MATCH(409,'Transfer Engine'!$C$2:$C$630,0)),"",INDEX('Compliance Database'!$A$2:$A$630,MATCH(409,'Transfer Engine'!$C$2:$C$630,0)))</f>
        <v/>
      </c>
      <c r="B418">
        <f>IF(ISNA(MATCH(409,'Transfer Engine'!$C$2:$C$630,0)),"",INDEX('Compliance Database'!$B$2:$B$630,MATCH(409,'Transfer Engine'!$C$2:$C$630,0)))</f>
        <v/>
      </c>
      <c r="C418">
        <f>IF(ISNA(MATCH(409,'Transfer Engine'!$C$2:$C$630,0)),"",INDEX('Compliance Database'!$C$2:$C$630,MATCH(409,'Transfer Engine'!$C$2:$C$630,0)))</f>
        <v/>
      </c>
      <c r="D418" s="8">
        <f>IF(ISNA(MATCH(409,'Transfer Engine'!$C$2:$C$630,0)),"",INDEX('Compliance Database'!$D$2:$D$630,MATCH(409,'Transfer Engine'!$C$2:$C$630,0)))</f>
        <v/>
      </c>
      <c r="E418">
        <f>IF(ISNA(MATCH(409,'Transfer Engine'!$C$2:$C$630,0)),"",INDEX('Compliance Database'!$E$2:$E$630,MATCH(409,'Transfer Engine'!$C$2:$C$630,0)))</f>
        <v/>
      </c>
      <c r="F418">
        <f>IF(ISNA(MATCH(409,'Transfer Engine'!$C$2:$C$630,0)),"",INDEX('Compliance Database'!$F$2:$F$630,MATCH(409,'Transfer Engine'!$C$2:$C$630,0)))</f>
        <v/>
      </c>
      <c r="G418">
        <f>IF(ISNA(MATCH(409,'Transfer Engine'!$C$2:$C$630,0)),"",INDEX('Compliance Database'!$G$2:$G$630,MATCH(409,'Transfer Engine'!$C$2:$C$630,0)))</f>
        <v/>
      </c>
      <c r="H418">
        <f>IF(ISNA(MATCH(409,'Transfer Engine'!$C$2:$C$630,0)),"",INDEX('Compliance Database'!$H$2:$H$630,MATCH(409,'Transfer Engine'!$C$2:$C$630,0)))</f>
        <v/>
      </c>
      <c r="I418" s="8">
        <f>IF(ISNA(MATCH(409,'Transfer Engine'!$C$2:$C$630,0)),"",INDEX('Compliance Database'!$I$2:$I$630,MATCH(409,'Transfer Engine'!$C$2:$C$630,0)))</f>
        <v/>
      </c>
      <c r="J418" s="8">
        <f>IF(ISNA(MATCH(409,'Transfer Engine'!$C$2:$C$630,0)),"",INDEX('Compliance Database'!$J$2:$J$630,MATCH(409,'Transfer Engine'!$C$2:$C$630,0)))</f>
        <v/>
      </c>
      <c r="K418">
        <f>IF(ISNA(MATCH(409,'Transfer Engine'!$C$2:$C$630,0)),"",INDEX('Compliance Database'!$K$2:$K$630,MATCH(409,'Transfer Engine'!$C$2:$C$630,0)))</f>
        <v/>
      </c>
      <c r="L418" s="8">
        <f>IF(ISNA(MATCH(409,'Transfer Engine'!$C$2:$C$630,0)),"",INDEX('Compliance Database'!$L$2:$L$630,MATCH(409,'Transfer Engine'!$C$2:$C$630,0)))</f>
        <v/>
      </c>
      <c r="M418" s="8">
        <f>IF(ISNA(MATCH(409,'Transfer Engine'!$C$2:$C$630,0)),"",INDEX('Compliance Database'!$M$2:$M$630,MATCH(409,'Transfer Engine'!$C$2:$C$630,0)))</f>
        <v/>
      </c>
      <c r="N418" s="8">
        <f>IF(ISNA(MATCH(409,'Transfer Engine'!$C$2:$C$630,0)),"",INDEX('Compliance Database'!$N$2:$N$630,MATCH(409,'Transfer Engine'!$C$2:$C$630,0)))</f>
        <v/>
      </c>
      <c r="O418" s="8">
        <f>IF(ISNA(MATCH(409,'Transfer Engine'!$C$2:$C$630,0)),"",INDEX('Compliance Database'!$O$2:$O$630,MATCH(409,'Transfer Engine'!$C$2:$C$630,0)))</f>
        <v/>
      </c>
    </row>
    <row r="419">
      <c r="A419">
        <f>IF(ISNA(MATCH(410,'Transfer Engine'!$C$2:$C$630,0)),"",INDEX('Compliance Database'!$A$2:$A$630,MATCH(410,'Transfer Engine'!$C$2:$C$630,0)))</f>
        <v/>
      </c>
      <c r="B419">
        <f>IF(ISNA(MATCH(410,'Transfer Engine'!$C$2:$C$630,0)),"",INDEX('Compliance Database'!$B$2:$B$630,MATCH(410,'Transfer Engine'!$C$2:$C$630,0)))</f>
        <v/>
      </c>
      <c r="C419">
        <f>IF(ISNA(MATCH(410,'Transfer Engine'!$C$2:$C$630,0)),"",INDEX('Compliance Database'!$C$2:$C$630,MATCH(410,'Transfer Engine'!$C$2:$C$630,0)))</f>
        <v/>
      </c>
      <c r="D419" s="8">
        <f>IF(ISNA(MATCH(410,'Transfer Engine'!$C$2:$C$630,0)),"",INDEX('Compliance Database'!$D$2:$D$630,MATCH(410,'Transfer Engine'!$C$2:$C$630,0)))</f>
        <v/>
      </c>
      <c r="E419">
        <f>IF(ISNA(MATCH(410,'Transfer Engine'!$C$2:$C$630,0)),"",INDEX('Compliance Database'!$E$2:$E$630,MATCH(410,'Transfer Engine'!$C$2:$C$630,0)))</f>
        <v/>
      </c>
      <c r="F419">
        <f>IF(ISNA(MATCH(410,'Transfer Engine'!$C$2:$C$630,0)),"",INDEX('Compliance Database'!$F$2:$F$630,MATCH(410,'Transfer Engine'!$C$2:$C$630,0)))</f>
        <v/>
      </c>
      <c r="G419">
        <f>IF(ISNA(MATCH(410,'Transfer Engine'!$C$2:$C$630,0)),"",INDEX('Compliance Database'!$G$2:$G$630,MATCH(410,'Transfer Engine'!$C$2:$C$630,0)))</f>
        <v/>
      </c>
      <c r="H419">
        <f>IF(ISNA(MATCH(410,'Transfer Engine'!$C$2:$C$630,0)),"",INDEX('Compliance Database'!$H$2:$H$630,MATCH(410,'Transfer Engine'!$C$2:$C$630,0)))</f>
        <v/>
      </c>
      <c r="I419" s="8">
        <f>IF(ISNA(MATCH(410,'Transfer Engine'!$C$2:$C$630,0)),"",INDEX('Compliance Database'!$I$2:$I$630,MATCH(410,'Transfer Engine'!$C$2:$C$630,0)))</f>
        <v/>
      </c>
      <c r="J419" s="8">
        <f>IF(ISNA(MATCH(410,'Transfer Engine'!$C$2:$C$630,0)),"",INDEX('Compliance Database'!$J$2:$J$630,MATCH(410,'Transfer Engine'!$C$2:$C$630,0)))</f>
        <v/>
      </c>
      <c r="K419">
        <f>IF(ISNA(MATCH(410,'Transfer Engine'!$C$2:$C$630,0)),"",INDEX('Compliance Database'!$K$2:$K$630,MATCH(410,'Transfer Engine'!$C$2:$C$630,0)))</f>
        <v/>
      </c>
      <c r="L419" s="8">
        <f>IF(ISNA(MATCH(410,'Transfer Engine'!$C$2:$C$630,0)),"",INDEX('Compliance Database'!$L$2:$L$630,MATCH(410,'Transfer Engine'!$C$2:$C$630,0)))</f>
        <v/>
      </c>
      <c r="M419" s="8">
        <f>IF(ISNA(MATCH(410,'Transfer Engine'!$C$2:$C$630,0)),"",INDEX('Compliance Database'!$M$2:$M$630,MATCH(410,'Transfer Engine'!$C$2:$C$630,0)))</f>
        <v/>
      </c>
      <c r="N419" s="8">
        <f>IF(ISNA(MATCH(410,'Transfer Engine'!$C$2:$C$630,0)),"",INDEX('Compliance Database'!$N$2:$N$630,MATCH(410,'Transfer Engine'!$C$2:$C$630,0)))</f>
        <v/>
      </c>
      <c r="O419" s="8">
        <f>IF(ISNA(MATCH(410,'Transfer Engine'!$C$2:$C$630,0)),"",INDEX('Compliance Database'!$O$2:$O$630,MATCH(410,'Transfer Engine'!$C$2:$C$630,0)))</f>
        <v/>
      </c>
    </row>
    <row r="420">
      <c r="A420">
        <f>IF(ISNA(MATCH(411,'Transfer Engine'!$C$2:$C$630,0)),"",INDEX('Compliance Database'!$A$2:$A$630,MATCH(411,'Transfer Engine'!$C$2:$C$630,0)))</f>
        <v/>
      </c>
      <c r="B420">
        <f>IF(ISNA(MATCH(411,'Transfer Engine'!$C$2:$C$630,0)),"",INDEX('Compliance Database'!$B$2:$B$630,MATCH(411,'Transfer Engine'!$C$2:$C$630,0)))</f>
        <v/>
      </c>
      <c r="C420">
        <f>IF(ISNA(MATCH(411,'Transfer Engine'!$C$2:$C$630,0)),"",INDEX('Compliance Database'!$C$2:$C$630,MATCH(411,'Transfer Engine'!$C$2:$C$630,0)))</f>
        <v/>
      </c>
      <c r="D420" s="8">
        <f>IF(ISNA(MATCH(411,'Transfer Engine'!$C$2:$C$630,0)),"",INDEX('Compliance Database'!$D$2:$D$630,MATCH(411,'Transfer Engine'!$C$2:$C$630,0)))</f>
        <v/>
      </c>
      <c r="E420">
        <f>IF(ISNA(MATCH(411,'Transfer Engine'!$C$2:$C$630,0)),"",INDEX('Compliance Database'!$E$2:$E$630,MATCH(411,'Transfer Engine'!$C$2:$C$630,0)))</f>
        <v/>
      </c>
      <c r="F420">
        <f>IF(ISNA(MATCH(411,'Transfer Engine'!$C$2:$C$630,0)),"",INDEX('Compliance Database'!$F$2:$F$630,MATCH(411,'Transfer Engine'!$C$2:$C$630,0)))</f>
        <v/>
      </c>
      <c r="G420">
        <f>IF(ISNA(MATCH(411,'Transfer Engine'!$C$2:$C$630,0)),"",INDEX('Compliance Database'!$G$2:$G$630,MATCH(411,'Transfer Engine'!$C$2:$C$630,0)))</f>
        <v/>
      </c>
      <c r="H420">
        <f>IF(ISNA(MATCH(411,'Transfer Engine'!$C$2:$C$630,0)),"",INDEX('Compliance Database'!$H$2:$H$630,MATCH(411,'Transfer Engine'!$C$2:$C$630,0)))</f>
        <v/>
      </c>
      <c r="I420" s="8">
        <f>IF(ISNA(MATCH(411,'Transfer Engine'!$C$2:$C$630,0)),"",INDEX('Compliance Database'!$I$2:$I$630,MATCH(411,'Transfer Engine'!$C$2:$C$630,0)))</f>
        <v/>
      </c>
      <c r="J420" s="8">
        <f>IF(ISNA(MATCH(411,'Transfer Engine'!$C$2:$C$630,0)),"",INDEX('Compliance Database'!$J$2:$J$630,MATCH(411,'Transfer Engine'!$C$2:$C$630,0)))</f>
        <v/>
      </c>
      <c r="K420">
        <f>IF(ISNA(MATCH(411,'Transfer Engine'!$C$2:$C$630,0)),"",INDEX('Compliance Database'!$K$2:$K$630,MATCH(411,'Transfer Engine'!$C$2:$C$630,0)))</f>
        <v/>
      </c>
      <c r="L420" s="8">
        <f>IF(ISNA(MATCH(411,'Transfer Engine'!$C$2:$C$630,0)),"",INDEX('Compliance Database'!$L$2:$L$630,MATCH(411,'Transfer Engine'!$C$2:$C$630,0)))</f>
        <v/>
      </c>
      <c r="M420" s="8">
        <f>IF(ISNA(MATCH(411,'Transfer Engine'!$C$2:$C$630,0)),"",INDEX('Compliance Database'!$M$2:$M$630,MATCH(411,'Transfer Engine'!$C$2:$C$630,0)))</f>
        <v/>
      </c>
      <c r="N420" s="8">
        <f>IF(ISNA(MATCH(411,'Transfer Engine'!$C$2:$C$630,0)),"",INDEX('Compliance Database'!$N$2:$N$630,MATCH(411,'Transfer Engine'!$C$2:$C$630,0)))</f>
        <v/>
      </c>
      <c r="O420" s="8">
        <f>IF(ISNA(MATCH(411,'Transfer Engine'!$C$2:$C$630,0)),"",INDEX('Compliance Database'!$O$2:$O$630,MATCH(411,'Transfer Engine'!$C$2:$C$630,0)))</f>
        <v/>
      </c>
    </row>
    <row r="421">
      <c r="A421">
        <f>IF(ISNA(MATCH(412,'Transfer Engine'!$C$2:$C$630,0)),"",INDEX('Compliance Database'!$A$2:$A$630,MATCH(412,'Transfer Engine'!$C$2:$C$630,0)))</f>
        <v/>
      </c>
      <c r="B421">
        <f>IF(ISNA(MATCH(412,'Transfer Engine'!$C$2:$C$630,0)),"",INDEX('Compliance Database'!$B$2:$B$630,MATCH(412,'Transfer Engine'!$C$2:$C$630,0)))</f>
        <v/>
      </c>
      <c r="C421">
        <f>IF(ISNA(MATCH(412,'Transfer Engine'!$C$2:$C$630,0)),"",INDEX('Compliance Database'!$C$2:$C$630,MATCH(412,'Transfer Engine'!$C$2:$C$630,0)))</f>
        <v/>
      </c>
      <c r="D421" s="8">
        <f>IF(ISNA(MATCH(412,'Transfer Engine'!$C$2:$C$630,0)),"",INDEX('Compliance Database'!$D$2:$D$630,MATCH(412,'Transfer Engine'!$C$2:$C$630,0)))</f>
        <v/>
      </c>
      <c r="E421">
        <f>IF(ISNA(MATCH(412,'Transfer Engine'!$C$2:$C$630,0)),"",INDEX('Compliance Database'!$E$2:$E$630,MATCH(412,'Transfer Engine'!$C$2:$C$630,0)))</f>
        <v/>
      </c>
      <c r="F421">
        <f>IF(ISNA(MATCH(412,'Transfer Engine'!$C$2:$C$630,0)),"",INDEX('Compliance Database'!$F$2:$F$630,MATCH(412,'Transfer Engine'!$C$2:$C$630,0)))</f>
        <v/>
      </c>
      <c r="G421">
        <f>IF(ISNA(MATCH(412,'Transfer Engine'!$C$2:$C$630,0)),"",INDEX('Compliance Database'!$G$2:$G$630,MATCH(412,'Transfer Engine'!$C$2:$C$630,0)))</f>
        <v/>
      </c>
      <c r="H421">
        <f>IF(ISNA(MATCH(412,'Transfer Engine'!$C$2:$C$630,0)),"",INDEX('Compliance Database'!$H$2:$H$630,MATCH(412,'Transfer Engine'!$C$2:$C$630,0)))</f>
        <v/>
      </c>
      <c r="I421" s="8">
        <f>IF(ISNA(MATCH(412,'Transfer Engine'!$C$2:$C$630,0)),"",INDEX('Compliance Database'!$I$2:$I$630,MATCH(412,'Transfer Engine'!$C$2:$C$630,0)))</f>
        <v/>
      </c>
      <c r="J421" s="8">
        <f>IF(ISNA(MATCH(412,'Transfer Engine'!$C$2:$C$630,0)),"",INDEX('Compliance Database'!$J$2:$J$630,MATCH(412,'Transfer Engine'!$C$2:$C$630,0)))</f>
        <v/>
      </c>
      <c r="K421">
        <f>IF(ISNA(MATCH(412,'Transfer Engine'!$C$2:$C$630,0)),"",INDEX('Compliance Database'!$K$2:$K$630,MATCH(412,'Transfer Engine'!$C$2:$C$630,0)))</f>
        <v/>
      </c>
      <c r="L421" s="8">
        <f>IF(ISNA(MATCH(412,'Transfer Engine'!$C$2:$C$630,0)),"",INDEX('Compliance Database'!$L$2:$L$630,MATCH(412,'Transfer Engine'!$C$2:$C$630,0)))</f>
        <v/>
      </c>
      <c r="M421" s="8">
        <f>IF(ISNA(MATCH(412,'Transfer Engine'!$C$2:$C$630,0)),"",INDEX('Compliance Database'!$M$2:$M$630,MATCH(412,'Transfer Engine'!$C$2:$C$630,0)))</f>
        <v/>
      </c>
      <c r="N421" s="8">
        <f>IF(ISNA(MATCH(412,'Transfer Engine'!$C$2:$C$630,0)),"",INDEX('Compliance Database'!$N$2:$N$630,MATCH(412,'Transfer Engine'!$C$2:$C$630,0)))</f>
        <v/>
      </c>
      <c r="O421" s="8">
        <f>IF(ISNA(MATCH(412,'Transfer Engine'!$C$2:$C$630,0)),"",INDEX('Compliance Database'!$O$2:$O$630,MATCH(412,'Transfer Engine'!$C$2:$C$630,0)))</f>
        <v/>
      </c>
    </row>
    <row r="422">
      <c r="A422">
        <f>IF(ISNA(MATCH(413,'Transfer Engine'!$C$2:$C$630,0)),"",INDEX('Compliance Database'!$A$2:$A$630,MATCH(413,'Transfer Engine'!$C$2:$C$630,0)))</f>
        <v/>
      </c>
      <c r="B422">
        <f>IF(ISNA(MATCH(413,'Transfer Engine'!$C$2:$C$630,0)),"",INDEX('Compliance Database'!$B$2:$B$630,MATCH(413,'Transfer Engine'!$C$2:$C$630,0)))</f>
        <v/>
      </c>
      <c r="C422">
        <f>IF(ISNA(MATCH(413,'Transfer Engine'!$C$2:$C$630,0)),"",INDEX('Compliance Database'!$C$2:$C$630,MATCH(413,'Transfer Engine'!$C$2:$C$630,0)))</f>
        <v/>
      </c>
      <c r="D422" s="8">
        <f>IF(ISNA(MATCH(413,'Transfer Engine'!$C$2:$C$630,0)),"",INDEX('Compliance Database'!$D$2:$D$630,MATCH(413,'Transfer Engine'!$C$2:$C$630,0)))</f>
        <v/>
      </c>
      <c r="E422">
        <f>IF(ISNA(MATCH(413,'Transfer Engine'!$C$2:$C$630,0)),"",INDEX('Compliance Database'!$E$2:$E$630,MATCH(413,'Transfer Engine'!$C$2:$C$630,0)))</f>
        <v/>
      </c>
      <c r="F422">
        <f>IF(ISNA(MATCH(413,'Transfer Engine'!$C$2:$C$630,0)),"",INDEX('Compliance Database'!$F$2:$F$630,MATCH(413,'Transfer Engine'!$C$2:$C$630,0)))</f>
        <v/>
      </c>
      <c r="G422">
        <f>IF(ISNA(MATCH(413,'Transfer Engine'!$C$2:$C$630,0)),"",INDEX('Compliance Database'!$G$2:$G$630,MATCH(413,'Transfer Engine'!$C$2:$C$630,0)))</f>
        <v/>
      </c>
      <c r="H422">
        <f>IF(ISNA(MATCH(413,'Transfer Engine'!$C$2:$C$630,0)),"",INDEX('Compliance Database'!$H$2:$H$630,MATCH(413,'Transfer Engine'!$C$2:$C$630,0)))</f>
        <v/>
      </c>
      <c r="I422" s="8">
        <f>IF(ISNA(MATCH(413,'Transfer Engine'!$C$2:$C$630,0)),"",INDEX('Compliance Database'!$I$2:$I$630,MATCH(413,'Transfer Engine'!$C$2:$C$630,0)))</f>
        <v/>
      </c>
      <c r="J422" s="8">
        <f>IF(ISNA(MATCH(413,'Transfer Engine'!$C$2:$C$630,0)),"",INDEX('Compliance Database'!$J$2:$J$630,MATCH(413,'Transfer Engine'!$C$2:$C$630,0)))</f>
        <v/>
      </c>
      <c r="K422">
        <f>IF(ISNA(MATCH(413,'Transfer Engine'!$C$2:$C$630,0)),"",INDEX('Compliance Database'!$K$2:$K$630,MATCH(413,'Transfer Engine'!$C$2:$C$630,0)))</f>
        <v/>
      </c>
      <c r="L422" s="8">
        <f>IF(ISNA(MATCH(413,'Transfer Engine'!$C$2:$C$630,0)),"",INDEX('Compliance Database'!$L$2:$L$630,MATCH(413,'Transfer Engine'!$C$2:$C$630,0)))</f>
        <v/>
      </c>
      <c r="M422" s="8">
        <f>IF(ISNA(MATCH(413,'Transfer Engine'!$C$2:$C$630,0)),"",INDEX('Compliance Database'!$M$2:$M$630,MATCH(413,'Transfer Engine'!$C$2:$C$630,0)))</f>
        <v/>
      </c>
      <c r="N422" s="8">
        <f>IF(ISNA(MATCH(413,'Transfer Engine'!$C$2:$C$630,0)),"",INDEX('Compliance Database'!$N$2:$N$630,MATCH(413,'Transfer Engine'!$C$2:$C$630,0)))</f>
        <v/>
      </c>
      <c r="O422" s="8">
        <f>IF(ISNA(MATCH(413,'Transfer Engine'!$C$2:$C$630,0)),"",INDEX('Compliance Database'!$O$2:$O$630,MATCH(413,'Transfer Engine'!$C$2:$C$630,0)))</f>
        <v/>
      </c>
    </row>
    <row r="423">
      <c r="A423">
        <f>IF(ISNA(MATCH(414,'Transfer Engine'!$C$2:$C$630,0)),"",INDEX('Compliance Database'!$A$2:$A$630,MATCH(414,'Transfer Engine'!$C$2:$C$630,0)))</f>
        <v/>
      </c>
      <c r="B423">
        <f>IF(ISNA(MATCH(414,'Transfer Engine'!$C$2:$C$630,0)),"",INDEX('Compliance Database'!$B$2:$B$630,MATCH(414,'Transfer Engine'!$C$2:$C$630,0)))</f>
        <v/>
      </c>
      <c r="C423">
        <f>IF(ISNA(MATCH(414,'Transfer Engine'!$C$2:$C$630,0)),"",INDEX('Compliance Database'!$C$2:$C$630,MATCH(414,'Transfer Engine'!$C$2:$C$630,0)))</f>
        <v/>
      </c>
      <c r="D423" s="8">
        <f>IF(ISNA(MATCH(414,'Transfer Engine'!$C$2:$C$630,0)),"",INDEX('Compliance Database'!$D$2:$D$630,MATCH(414,'Transfer Engine'!$C$2:$C$630,0)))</f>
        <v/>
      </c>
      <c r="E423">
        <f>IF(ISNA(MATCH(414,'Transfer Engine'!$C$2:$C$630,0)),"",INDEX('Compliance Database'!$E$2:$E$630,MATCH(414,'Transfer Engine'!$C$2:$C$630,0)))</f>
        <v/>
      </c>
      <c r="F423">
        <f>IF(ISNA(MATCH(414,'Transfer Engine'!$C$2:$C$630,0)),"",INDEX('Compliance Database'!$F$2:$F$630,MATCH(414,'Transfer Engine'!$C$2:$C$630,0)))</f>
        <v/>
      </c>
      <c r="G423">
        <f>IF(ISNA(MATCH(414,'Transfer Engine'!$C$2:$C$630,0)),"",INDEX('Compliance Database'!$G$2:$G$630,MATCH(414,'Transfer Engine'!$C$2:$C$630,0)))</f>
        <v/>
      </c>
      <c r="H423">
        <f>IF(ISNA(MATCH(414,'Transfer Engine'!$C$2:$C$630,0)),"",INDEX('Compliance Database'!$H$2:$H$630,MATCH(414,'Transfer Engine'!$C$2:$C$630,0)))</f>
        <v/>
      </c>
      <c r="I423" s="8">
        <f>IF(ISNA(MATCH(414,'Transfer Engine'!$C$2:$C$630,0)),"",INDEX('Compliance Database'!$I$2:$I$630,MATCH(414,'Transfer Engine'!$C$2:$C$630,0)))</f>
        <v/>
      </c>
      <c r="J423" s="8">
        <f>IF(ISNA(MATCH(414,'Transfer Engine'!$C$2:$C$630,0)),"",INDEX('Compliance Database'!$J$2:$J$630,MATCH(414,'Transfer Engine'!$C$2:$C$630,0)))</f>
        <v/>
      </c>
      <c r="K423">
        <f>IF(ISNA(MATCH(414,'Transfer Engine'!$C$2:$C$630,0)),"",INDEX('Compliance Database'!$K$2:$K$630,MATCH(414,'Transfer Engine'!$C$2:$C$630,0)))</f>
        <v/>
      </c>
      <c r="L423" s="8">
        <f>IF(ISNA(MATCH(414,'Transfer Engine'!$C$2:$C$630,0)),"",INDEX('Compliance Database'!$L$2:$L$630,MATCH(414,'Transfer Engine'!$C$2:$C$630,0)))</f>
        <v/>
      </c>
      <c r="M423" s="8">
        <f>IF(ISNA(MATCH(414,'Transfer Engine'!$C$2:$C$630,0)),"",INDEX('Compliance Database'!$M$2:$M$630,MATCH(414,'Transfer Engine'!$C$2:$C$630,0)))</f>
        <v/>
      </c>
      <c r="N423" s="8">
        <f>IF(ISNA(MATCH(414,'Transfer Engine'!$C$2:$C$630,0)),"",INDEX('Compliance Database'!$N$2:$N$630,MATCH(414,'Transfer Engine'!$C$2:$C$630,0)))</f>
        <v/>
      </c>
      <c r="O423" s="8">
        <f>IF(ISNA(MATCH(414,'Transfer Engine'!$C$2:$C$630,0)),"",INDEX('Compliance Database'!$O$2:$O$630,MATCH(414,'Transfer Engine'!$C$2:$C$630,0)))</f>
        <v/>
      </c>
    </row>
    <row r="424">
      <c r="A424">
        <f>IF(ISNA(MATCH(415,'Transfer Engine'!$C$2:$C$630,0)),"",INDEX('Compliance Database'!$A$2:$A$630,MATCH(415,'Transfer Engine'!$C$2:$C$630,0)))</f>
        <v/>
      </c>
      <c r="B424">
        <f>IF(ISNA(MATCH(415,'Transfer Engine'!$C$2:$C$630,0)),"",INDEX('Compliance Database'!$B$2:$B$630,MATCH(415,'Transfer Engine'!$C$2:$C$630,0)))</f>
        <v/>
      </c>
      <c r="C424">
        <f>IF(ISNA(MATCH(415,'Transfer Engine'!$C$2:$C$630,0)),"",INDEX('Compliance Database'!$C$2:$C$630,MATCH(415,'Transfer Engine'!$C$2:$C$630,0)))</f>
        <v/>
      </c>
      <c r="D424" s="8">
        <f>IF(ISNA(MATCH(415,'Transfer Engine'!$C$2:$C$630,0)),"",INDEX('Compliance Database'!$D$2:$D$630,MATCH(415,'Transfer Engine'!$C$2:$C$630,0)))</f>
        <v/>
      </c>
      <c r="E424">
        <f>IF(ISNA(MATCH(415,'Transfer Engine'!$C$2:$C$630,0)),"",INDEX('Compliance Database'!$E$2:$E$630,MATCH(415,'Transfer Engine'!$C$2:$C$630,0)))</f>
        <v/>
      </c>
      <c r="F424">
        <f>IF(ISNA(MATCH(415,'Transfer Engine'!$C$2:$C$630,0)),"",INDEX('Compliance Database'!$F$2:$F$630,MATCH(415,'Transfer Engine'!$C$2:$C$630,0)))</f>
        <v/>
      </c>
      <c r="G424">
        <f>IF(ISNA(MATCH(415,'Transfer Engine'!$C$2:$C$630,0)),"",INDEX('Compliance Database'!$G$2:$G$630,MATCH(415,'Transfer Engine'!$C$2:$C$630,0)))</f>
        <v/>
      </c>
      <c r="H424">
        <f>IF(ISNA(MATCH(415,'Transfer Engine'!$C$2:$C$630,0)),"",INDEX('Compliance Database'!$H$2:$H$630,MATCH(415,'Transfer Engine'!$C$2:$C$630,0)))</f>
        <v/>
      </c>
      <c r="I424" s="8">
        <f>IF(ISNA(MATCH(415,'Transfer Engine'!$C$2:$C$630,0)),"",INDEX('Compliance Database'!$I$2:$I$630,MATCH(415,'Transfer Engine'!$C$2:$C$630,0)))</f>
        <v/>
      </c>
      <c r="J424" s="8">
        <f>IF(ISNA(MATCH(415,'Transfer Engine'!$C$2:$C$630,0)),"",INDEX('Compliance Database'!$J$2:$J$630,MATCH(415,'Transfer Engine'!$C$2:$C$630,0)))</f>
        <v/>
      </c>
      <c r="K424">
        <f>IF(ISNA(MATCH(415,'Transfer Engine'!$C$2:$C$630,0)),"",INDEX('Compliance Database'!$K$2:$K$630,MATCH(415,'Transfer Engine'!$C$2:$C$630,0)))</f>
        <v/>
      </c>
      <c r="L424" s="8">
        <f>IF(ISNA(MATCH(415,'Transfer Engine'!$C$2:$C$630,0)),"",INDEX('Compliance Database'!$L$2:$L$630,MATCH(415,'Transfer Engine'!$C$2:$C$630,0)))</f>
        <v/>
      </c>
      <c r="M424" s="8">
        <f>IF(ISNA(MATCH(415,'Transfer Engine'!$C$2:$C$630,0)),"",INDEX('Compliance Database'!$M$2:$M$630,MATCH(415,'Transfer Engine'!$C$2:$C$630,0)))</f>
        <v/>
      </c>
      <c r="N424" s="8">
        <f>IF(ISNA(MATCH(415,'Transfer Engine'!$C$2:$C$630,0)),"",INDEX('Compliance Database'!$N$2:$N$630,MATCH(415,'Transfer Engine'!$C$2:$C$630,0)))</f>
        <v/>
      </c>
      <c r="O424" s="8">
        <f>IF(ISNA(MATCH(415,'Transfer Engine'!$C$2:$C$630,0)),"",INDEX('Compliance Database'!$O$2:$O$630,MATCH(415,'Transfer Engine'!$C$2:$C$630,0)))</f>
        <v/>
      </c>
    </row>
    <row r="425">
      <c r="A425">
        <f>IF(ISNA(MATCH(416,'Transfer Engine'!$C$2:$C$630,0)),"",INDEX('Compliance Database'!$A$2:$A$630,MATCH(416,'Transfer Engine'!$C$2:$C$630,0)))</f>
        <v/>
      </c>
      <c r="B425">
        <f>IF(ISNA(MATCH(416,'Transfer Engine'!$C$2:$C$630,0)),"",INDEX('Compliance Database'!$B$2:$B$630,MATCH(416,'Transfer Engine'!$C$2:$C$630,0)))</f>
        <v/>
      </c>
      <c r="C425">
        <f>IF(ISNA(MATCH(416,'Transfer Engine'!$C$2:$C$630,0)),"",INDEX('Compliance Database'!$C$2:$C$630,MATCH(416,'Transfer Engine'!$C$2:$C$630,0)))</f>
        <v/>
      </c>
      <c r="D425" s="8">
        <f>IF(ISNA(MATCH(416,'Transfer Engine'!$C$2:$C$630,0)),"",INDEX('Compliance Database'!$D$2:$D$630,MATCH(416,'Transfer Engine'!$C$2:$C$630,0)))</f>
        <v/>
      </c>
      <c r="E425">
        <f>IF(ISNA(MATCH(416,'Transfer Engine'!$C$2:$C$630,0)),"",INDEX('Compliance Database'!$E$2:$E$630,MATCH(416,'Transfer Engine'!$C$2:$C$630,0)))</f>
        <v/>
      </c>
      <c r="F425">
        <f>IF(ISNA(MATCH(416,'Transfer Engine'!$C$2:$C$630,0)),"",INDEX('Compliance Database'!$F$2:$F$630,MATCH(416,'Transfer Engine'!$C$2:$C$630,0)))</f>
        <v/>
      </c>
      <c r="G425">
        <f>IF(ISNA(MATCH(416,'Transfer Engine'!$C$2:$C$630,0)),"",INDEX('Compliance Database'!$G$2:$G$630,MATCH(416,'Transfer Engine'!$C$2:$C$630,0)))</f>
        <v/>
      </c>
      <c r="H425">
        <f>IF(ISNA(MATCH(416,'Transfer Engine'!$C$2:$C$630,0)),"",INDEX('Compliance Database'!$H$2:$H$630,MATCH(416,'Transfer Engine'!$C$2:$C$630,0)))</f>
        <v/>
      </c>
      <c r="I425" s="8">
        <f>IF(ISNA(MATCH(416,'Transfer Engine'!$C$2:$C$630,0)),"",INDEX('Compliance Database'!$I$2:$I$630,MATCH(416,'Transfer Engine'!$C$2:$C$630,0)))</f>
        <v/>
      </c>
      <c r="J425" s="8">
        <f>IF(ISNA(MATCH(416,'Transfer Engine'!$C$2:$C$630,0)),"",INDEX('Compliance Database'!$J$2:$J$630,MATCH(416,'Transfer Engine'!$C$2:$C$630,0)))</f>
        <v/>
      </c>
      <c r="K425">
        <f>IF(ISNA(MATCH(416,'Transfer Engine'!$C$2:$C$630,0)),"",INDEX('Compliance Database'!$K$2:$K$630,MATCH(416,'Transfer Engine'!$C$2:$C$630,0)))</f>
        <v/>
      </c>
      <c r="L425" s="8">
        <f>IF(ISNA(MATCH(416,'Transfer Engine'!$C$2:$C$630,0)),"",INDEX('Compliance Database'!$L$2:$L$630,MATCH(416,'Transfer Engine'!$C$2:$C$630,0)))</f>
        <v/>
      </c>
      <c r="M425" s="8">
        <f>IF(ISNA(MATCH(416,'Transfer Engine'!$C$2:$C$630,0)),"",INDEX('Compliance Database'!$M$2:$M$630,MATCH(416,'Transfer Engine'!$C$2:$C$630,0)))</f>
        <v/>
      </c>
      <c r="N425" s="8">
        <f>IF(ISNA(MATCH(416,'Transfer Engine'!$C$2:$C$630,0)),"",INDEX('Compliance Database'!$N$2:$N$630,MATCH(416,'Transfer Engine'!$C$2:$C$630,0)))</f>
        <v/>
      </c>
      <c r="O425" s="8">
        <f>IF(ISNA(MATCH(416,'Transfer Engine'!$C$2:$C$630,0)),"",INDEX('Compliance Database'!$O$2:$O$630,MATCH(416,'Transfer Engine'!$C$2:$C$630,0)))</f>
        <v/>
      </c>
    </row>
    <row r="426">
      <c r="A426">
        <f>IF(ISNA(MATCH(417,'Transfer Engine'!$C$2:$C$630,0)),"",INDEX('Compliance Database'!$A$2:$A$630,MATCH(417,'Transfer Engine'!$C$2:$C$630,0)))</f>
        <v/>
      </c>
      <c r="B426">
        <f>IF(ISNA(MATCH(417,'Transfer Engine'!$C$2:$C$630,0)),"",INDEX('Compliance Database'!$B$2:$B$630,MATCH(417,'Transfer Engine'!$C$2:$C$630,0)))</f>
        <v/>
      </c>
      <c r="C426">
        <f>IF(ISNA(MATCH(417,'Transfer Engine'!$C$2:$C$630,0)),"",INDEX('Compliance Database'!$C$2:$C$630,MATCH(417,'Transfer Engine'!$C$2:$C$630,0)))</f>
        <v/>
      </c>
      <c r="D426" s="8">
        <f>IF(ISNA(MATCH(417,'Transfer Engine'!$C$2:$C$630,0)),"",INDEX('Compliance Database'!$D$2:$D$630,MATCH(417,'Transfer Engine'!$C$2:$C$630,0)))</f>
        <v/>
      </c>
      <c r="E426">
        <f>IF(ISNA(MATCH(417,'Transfer Engine'!$C$2:$C$630,0)),"",INDEX('Compliance Database'!$E$2:$E$630,MATCH(417,'Transfer Engine'!$C$2:$C$630,0)))</f>
        <v/>
      </c>
      <c r="F426">
        <f>IF(ISNA(MATCH(417,'Transfer Engine'!$C$2:$C$630,0)),"",INDEX('Compliance Database'!$F$2:$F$630,MATCH(417,'Transfer Engine'!$C$2:$C$630,0)))</f>
        <v/>
      </c>
      <c r="G426">
        <f>IF(ISNA(MATCH(417,'Transfer Engine'!$C$2:$C$630,0)),"",INDEX('Compliance Database'!$G$2:$G$630,MATCH(417,'Transfer Engine'!$C$2:$C$630,0)))</f>
        <v/>
      </c>
      <c r="H426">
        <f>IF(ISNA(MATCH(417,'Transfer Engine'!$C$2:$C$630,0)),"",INDEX('Compliance Database'!$H$2:$H$630,MATCH(417,'Transfer Engine'!$C$2:$C$630,0)))</f>
        <v/>
      </c>
      <c r="I426" s="8">
        <f>IF(ISNA(MATCH(417,'Transfer Engine'!$C$2:$C$630,0)),"",INDEX('Compliance Database'!$I$2:$I$630,MATCH(417,'Transfer Engine'!$C$2:$C$630,0)))</f>
        <v/>
      </c>
      <c r="J426" s="8">
        <f>IF(ISNA(MATCH(417,'Transfer Engine'!$C$2:$C$630,0)),"",INDEX('Compliance Database'!$J$2:$J$630,MATCH(417,'Transfer Engine'!$C$2:$C$630,0)))</f>
        <v/>
      </c>
      <c r="K426">
        <f>IF(ISNA(MATCH(417,'Transfer Engine'!$C$2:$C$630,0)),"",INDEX('Compliance Database'!$K$2:$K$630,MATCH(417,'Transfer Engine'!$C$2:$C$630,0)))</f>
        <v/>
      </c>
      <c r="L426" s="8">
        <f>IF(ISNA(MATCH(417,'Transfer Engine'!$C$2:$C$630,0)),"",INDEX('Compliance Database'!$L$2:$L$630,MATCH(417,'Transfer Engine'!$C$2:$C$630,0)))</f>
        <v/>
      </c>
      <c r="M426" s="8">
        <f>IF(ISNA(MATCH(417,'Transfer Engine'!$C$2:$C$630,0)),"",INDEX('Compliance Database'!$M$2:$M$630,MATCH(417,'Transfer Engine'!$C$2:$C$630,0)))</f>
        <v/>
      </c>
      <c r="N426" s="8">
        <f>IF(ISNA(MATCH(417,'Transfer Engine'!$C$2:$C$630,0)),"",INDEX('Compliance Database'!$N$2:$N$630,MATCH(417,'Transfer Engine'!$C$2:$C$630,0)))</f>
        <v/>
      </c>
      <c r="O426" s="8">
        <f>IF(ISNA(MATCH(417,'Transfer Engine'!$C$2:$C$630,0)),"",INDEX('Compliance Database'!$O$2:$O$630,MATCH(417,'Transfer Engine'!$C$2:$C$630,0)))</f>
        <v/>
      </c>
    </row>
    <row r="427">
      <c r="A427">
        <f>IF(ISNA(MATCH(418,'Transfer Engine'!$C$2:$C$630,0)),"",INDEX('Compliance Database'!$A$2:$A$630,MATCH(418,'Transfer Engine'!$C$2:$C$630,0)))</f>
        <v/>
      </c>
      <c r="B427">
        <f>IF(ISNA(MATCH(418,'Transfer Engine'!$C$2:$C$630,0)),"",INDEX('Compliance Database'!$B$2:$B$630,MATCH(418,'Transfer Engine'!$C$2:$C$630,0)))</f>
        <v/>
      </c>
      <c r="C427">
        <f>IF(ISNA(MATCH(418,'Transfer Engine'!$C$2:$C$630,0)),"",INDEX('Compliance Database'!$C$2:$C$630,MATCH(418,'Transfer Engine'!$C$2:$C$630,0)))</f>
        <v/>
      </c>
      <c r="D427" s="8">
        <f>IF(ISNA(MATCH(418,'Transfer Engine'!$C$2:$C$630,0)),"",INDEX('Compliance Database'!$D$2:$D$630,MATCH(418,'Transfer Engine'!$C$2:$C$630,0)))</f>
        <v/>
      </c>
      <c r="E427">
        <f>IF(ISNA(MATCH(418,'Transfer Engine'!$C$2:$C$630,0)),"",INDEX('Compliance Database'!$E$2:$E$630,MATCH(418,'Transfer Engine'!$C$2:$C$630,0)))</f>
        <v/>
      </c>
      <c r="F427">
        <f>IF(ISNA(MATCH(418,'Transfer Engine'!$C$2:$C$630,0)),"",INDEX('Compliance Database'!$F$2:$F$630,MATCH(418,'Transfer Engine'!$C$2:$C$630,0)))</f>
        <v/>
      </c>
      <c r="G427">
        <f>IF(ISNA(MATCH(418,'Transfer Engine'!$C$2:$C$630,0)),"",INDEX('Compliance Database'!$G$2:$G$630,MATCH(418,'Transfer Engine'!$C$2:$C$630,0)))</f>
        <v/>
      </c>
      <c r="H427">
        <f>IF(ISNA(MATCH(418,'Transfer Engine'!$C$2:$C$630,0)),"",INDEX('Compliance Database'!$H$2:$H$630,MATCH(418,'Transfer Engine'!$C$2:$C$630,0)))</f>
        <v/>
      </c>
      <c r="I427" s="8">
        <f>IF(ISNA(MATCH(418,'Transfer Engine'!$C$2:$C$630,0)),"",INDEX('Compliance Database'!$I$2:$I$630,MATCH(418,'Transfer Engine'!$C$2:$C$630,0)))</f>
        <v/>
      </c>
      <c r="J427" s="8">
        <f>IF(ISNA(MATCH(418,'Transfer Engine'!$C$2:$C$630,0)),"",INDEX('Compliance Database'!$J$2:$J$630,MATCH(418,'Transfer Engine'!$C$2:$C$630,0)))</f>
        <v/>
      </c>
      <c r="K427">
        <f>IF(ISNA(MATCH(418,'Transfer Engine'!$C$2:$C$630,0)),"",INDEX('Compliance Database'!$K$2:$K$630,MATCH(418,'Transfer Engine'!$C$2:$C$630,0)))</f>
        <v/>
      </c>
      <c r="L427" s="8">
        <f>IF(ISNA(MATCH(418,'Transfer Engine'!$C$2:$C$630,0)),"",INDEX('Compliance Database'!$L$2:$L$630,MATCH(418,'Transfer Engine'!$C$2:$C$630,0)))</f>
        <v/>
      </c>
      <c r="M427" s="8">
        <f>IF(ISNA(MATCH(418,'Transfer Engine'!$C$2:$C$630,0)),"",INDEX('Compliance Database'!$M$2:$M$630,MATCH(418,'Transfer Engine'!$C$2:$C$630,0)))</f>
        <v/>
      </c>
      <c r="N427" s="8">
        <f>IF(ISNA(MATCH(418,'Transfer Engine'!$C$2:$C$630,0)),"",INDEX('Compliance Database'!$N$2:$N$630,MATCH(418,'Transfer Engine'!$C$2:$C$630,0)))</f>
        <v/>
      </c>
      <c r="O427" s="8">
        <f>IF(ISNA(MATCH(418,'Transfer Engine'!$C$2:$C$630,0)),"",INDEX('Compliance Database'!$O$2:$O$630,MATCH(418,'Transfer Engine'!$C$2:$C$630,0)))</f>
        <v/>
      </c>
    </row>
    <row r="428">
      <c r="A428">
        <f>IF(ISNA(MATCH(419,'Transfer Engine'!$C$2:$C$630,0)),"",INDEX('Compliance Database'!$A$2:$A$630,MATCH(419,'Transfer Engine'!$C$2:$C$630,0)))</f>
        <v/>
      </c>
      <c r="B428">
        <f>IF(ISNA(MATCH(419,'Transfer Engine'!$C$2:$C$630,0)),"",INDEX('Compliance Database'!$B$2:$B$630,MATCH(419,'Transfer Engine'!$C$2:$C$630,0)))</f>
        <v/>
      </c>
      <c r="C428">
        <f>IF(ISNA(MATCH(419,'Transfer Engine'!$C$2:$C$630,0)),"",INDEX('Compliance Database'!$C$2:$C$630,MATCH(419,'Transfer Engine'!$C$2:$C$630,0)))</f>
        <v/>
      </c>
      <c r="D428" s="8">
        <f>IF(ISNA(MATCH(419,'Transfer Engine'!$C$2:$C$630,0)),"",INDEX('Compliance Database'!$D$2:$D$630,MATCH(419,'Transfer Engine'!$C$2:$C$630,0)))</f>
        <v/>
      </c>
      <c r="E428">
        <f>IF(ISNA(MATCH(419,'Transfer Engine'!$C$2:$C$630,0)),"",INDEX('Compliance Database'!$E$2:$E$630,MATCH(419,'Transfer Engine'!$C$2:$C$630,0)))</f>
        <v/>
      </c>
      <c r="F428">
        <f>IF(ISNA(MATCH(419,'Transfer Engine'!$C$2:$C$630,0)),"",INDEX('Compliance Database'!$F$2:$F$630,MATCH(419,'Transfer Engine'!$C$2:$C$630,0)))</f>
        <v/>
      </c>
      <c r="G428">
        <f>IF(ISNA(MATCH(419,'Transfer Engine'!$C$2:$C$630,0)),"",INDEX('Compliance Database'!$G$2:$G$630,MATCH(419,'Transfer Engine'!$C$2:$C$630,0)))</f>
        <v/>
      </c>
      <c r="H428">
        <f>IF(ISNA(MATCH(419,'Transfer Engine'!$C$2:$C$630,0)),"",INDEX('Compliance Database'!$H$2:$H$630,MATCH(419,'Transfer Engine'!$C$2:$C$630,0)))</f>
        <v/>
      </c>
      <c r="I428" s="8">
        <f>IF(ISNA(MATCH(419,'Transfer Engine'!$C$2:$C$630,0)),"",INDEX('Compliance Database'!$I$2:$I$630,MATCH(419,'Transfer Engine'!$C$2:$C$630,0)))</f>
        <v/>
      </c>
      <c r="J428" s="8">
        <f>IF(ISNA(MATCH(419,'Transfer Engine'!$C$2:$C$630,0)),"",INDEX('Compliance Database'!$J$2:$J$630,MATCH(419,'Transfer Engine'!$C$2:$C$630,0)))</f>
        <v/>
      </c>
      <c r="K428">
        <f>IF(ISNA(MATCH(419,'Transfer Engine'!$C$2:$C$630,0)),"",INDEX('Compliance Database'!$K$2:$K$630,MATCH(419,'Transfer Engine'!$C$2:$C$630,0)))</f>
        <v/>
      </c>
      <c r="L428" s="8">
        <f>IF(ISNA(MATCH(419,'Transfer Engine'!$C$2:$C$630,0)),"",INDEX('Compliance Database'!$L$2:$L$630,MATCH(419,'Transfer Engine'!$C$2:$C$630,0)))</f>
        <v/>
      </c>
      <c r="M428" s="8">
        <f>IF(ISNA(MATCH(419,'Transfer Engine'!$C$2:$C$630,0)),"",INDEX('Compliance Database'!$M$2:$M$630,MATCH(419,'Transfer Engine'!$C$2:$C$630,0)))</f>
        <v/>
      </c>
      <c r="N428" s="8">
        <f>IF(ISNA(MATCH(419,'Transfer Engine'!$C$2:$C$630,0)),"",INDEX('Compliance Database'!$N$2:$N$630,MATCH(419,'Transfer Engine'!$C$2:$C$630,0)))</f>
        <v/>
      </c>
      <c r="O428" s="8">
        <f>IF(ISNA(MATCH(419,'Transfer Engine'!$C$2:$C$630,0)),"",INDEX('Compliance Database'!$O$2:$O$630,MATCH(419,'Transfer Engine'!$C$2:$C$630,0)))</f>
        <v/>
      </c>
    </row>
    <row r="429">
      <c r="A429">
        <f>IF(ISNA(MATCH(420,'Transfer Engine'!$C$2:$C$630,0)),"",INDEX('Compliance Database'!$A$2:$A$630,MATCH(420,'Transfer Engine'!$C$2:$C$630,0)))</f>
        <v/>
      </c>
      <c r="B429">
        <f>IF(ISNA(MATCH(420,'Transfer Engine'!$C$2:$C$630,0)),"",INDEX('Compliance Database'!$B$2:$B$630,MATCH(420,'Transfer Engine'!$C$2:$C$630,0)))</f>
        <v/>
      </c>
      <c r="C429">
        <f>IF(ISNA(MATCH(420,'Transfer Engine'!$C$2:$C$630,0)),"",INDEX('Compliance Database'!$C$2:$C$630,MATCH(420,'Transfer Engine'!$C$2:$C$630,0)))</f>
        <v/>
      </c>
      <c r="D429" s="8">
        <f>IF(ISNA(MATCH(420,'Transfer Engine'!$C$2:$C$630,0)),"",INDEX('Compliance Database'!$D$2:$D$630,MATCH(420,'Transfer Engine'!$C$2:$C$630,0)))</f>
        <v/>
      </c>
      <c r="E429">
        <f>IF(ISNA(MATCH(420,'Transfer Engine'!$C$2:$C$630,0)),"",INDEX('Compliance Database'!$E$2:$E$630,MATCH(420,'Transfer Engine'!$C$2:$C$630,0)))</f>
        <v/>
      </c>
      <c r="F429">
        <f>IF(ISNA(MATCH(420,'Transfer Engine'!$C$2:$C$630,0)),"",INDEX('Compliance Database'!$F$2:$F$630,MATCH(420,'Transfer Engine'!$C$2:$C$630,0)))</f>
        <v/>
      </c>
      <c r="G429">
        <f>IF(ISNA(MATCH(420,'Transfer Engine'!$C$2:$C$630,0)),"",INDEX('Compliance Database'!$G$2:$G$630,MATCH(420,'Transfer Engine'!$C$2:$C$630,0)))</f>
        <v/>
      </c>
      <c r="H429">
        <f>IF(ISNA(MATCH(420,'Transfer Engine'!$C$2:$C$630,0)),"",INDEX('Compliance Database'!$H$2:$H$630,MATCH(420,'Transfer Engine'!$C$2:$C$630,0)))</f>
        <v/>
      </c>
      <c r="I429" s="8">
        <f>IF(ISNA(MATCH(420,'Transfer Engine'!$C$2:$C$630,0)),"",INDEX('Compliance Database'!$I$2:$I$630,MATCH(420,'Transfer Engine'!$C$2:$C$630,0)))</f>
        <v/>
      </c>
      <c r="J429" s="8">
        <f>IF(ISNA(MATCH(420,'Transfer Engine'!$C$2:$C$630,0)),"",INDEX('Compliance Database'!$J$2:$J$630,MATCH(420,'Transfer Engine'!$C$2:$C$630,0)))</f>
        <v/>
      </c>
      <c r="K429">
        <f>IF(ISNA(MATCH(420,'Transfer Engine'!$C$2:$C$630,0)),"",INDEX('Compliance Database'!$K$2:$K$630,MATCH(420,'Transfer Engine'!$C$2:$C$630,0)))</f>
        <v/>
      </c>
      <c r="L429" s="8">
        <f>IF(ISNA(MATCH(420,'Transfer Engine'!$C$2:$C$630,0)),"",INDEX('Compliance Database'!$L$2:$L$630,MATCH(420,'Transfer Engine'!$C$2:$C$630,0)))</f>
        <v/>
      </c>
      <c r="M429" s="8">
        <f>IF(ISNA(MATCH(420,'Transfer Engine'!$C$2:$C$630,0)),"",INDEX('Compliance Database'!$M$2:$M$630,MATCH(420,'Transfer Engine'!$C$2:$C$630,0)))</f>
        <v/>
      </c>
      <c r="N429" s="8">
        <f>IF(ISNA(MATCH(420,'Transfer Engine'!$C$2:$C$630,0)),"",INDEX('Compliance Database'!$N$2:$N$630,MATCH(420,'Transfer Engine'!$C$2:$C$630,0)))</f>
        <v/>
      </c>
      <c r="O429" s="8">
        <f>IF(ISNA(MATCH(420,'Transfer Engine'!$C$2:$C$630,0)),"",INDEX('Compliance Database'!$O$2:$O$630,MATCH(420,'Transfer Engine'!$C$2:$C$630,0)))</f>
        <v/>
      </c>
    </row>
    <row r="430">
      <c r="A430">
        <f>IF(ISNA(MATCH(421,'Transfer Engine'!$C$2:$C$630,0)),"",INDEX('Compliance Database'!$A$2:$A$630,MATCH(421,'Transfer Engine'!$C$2:$C$630,0)))</f>
        <v/>
      </c>
      <c r="B430">
        <f>IF(ISNA(MATCH(421,'Transfer Engine'!$C$2:$C$630,0)),"",INDEX('Compliance Database'!$B$2:$B$630,MATCH(421,'Transfer Engine'!$C$2:$C$630,0)))</f>
        <v/>
      </c>
      <c r="C430">
        <f>IF(ISNA(MATCH(421,'Transfer Engine'!$C$2:$C$630,0)),"",INDEX('Compliance Database'!$C$2:$C$630,MATCH(421,'Transfer Engine'!$C$2:$C$630,0)))</f>
        <v/>
      </c>
      <c r="D430" s="8">
        <f>IF(ISNA(MATCH(421,'Transfer Engine'!$C$2:$C$630,0)),"",INDEX('Compliance Database'!$D$2:$D$630,MATCH(421,'Transfer Engine'!$C$2:$C$630,0)))</f>
        <v/>
      </c>
      <c r="E430">
        <f>IF(ISNA(MATCH(421,'Transfer Engine'!$C$2:$C$630,0)),"",INDEX('Compliance Database'!$E$2:$E$630,MATCH(421,'Transfer Engine'!$C$2:$C$630,0)))</f>
        <v/>
      </c>
      <c r="F430">
        <f>IF(ISNA(MATCH(421,'Transfer Engine'!$C$2:$C$630,0)),"",INDEX('Compliance Database'!$F$2:$F$630,MATCH(421,'Transfer Engine'!$C$2:$C$630,0)))</f>
        <v/>
      </c>
      <c r="G430">
        <f>IF(ISNA(MATCH(421,'Transfer Engine'!$C$2:$C$630,0)),"",INDEX('Compliance Database'!$G$2:$G$630,MATCH(421,'Transfer Engine'!$C$2:$C$630,0)))</f>
        <v/>
      </c>
      <c r="H430">
        <f>IF(ISNA(MATCH(421,'Transfer Engine'!$C$2:$C$630,0)),"",INDEX('Compliance Database'!$H$2:$H$630,MATCH(421,'Transfer Engine'!$C$2:$C$630,0)))</f>
        <v/>
      </c>
      <c r="I430" s="8">
        <f>IF(ISNA(MATCH(421,'Transfer Engine'!$C$2:$C$630,0)),"",INDEX('Compliance Database'!$I$2:$I$630,MATCH(421,'Transfer Engine'!$C$2:$C$630,0)))</f>
        <v/>
      </c>
      <c r="J430" s="8">
        <f>IF(ISNA(MATCH(421,'Transfer Engine'!$C$2:$C$630,0)),"",INDEX('Compliance Database'!$J$2:$J$630,MATCH(421,'Transfer Engine'!$C$2:$C$630,0)))</f>
        <v/>
      </c>
      <c r="K430">
        <f>IF(ISNA(MATCH(421,'Transfer Engine'!$C$2:$C$630,0)),"",INDEX('Compliance Database'!$K$2:$K$630,MATCH(421,'Transfer Engine'!$C$2:$C$630,0)))</f>
        <v/>
      </c>
      <c r="L430" s="8">
        <f>IF(ISNA(MATCH(421,'Transfer Engine'!$C$2:$C$630,0)),"",INDEX('Compliance Database'!$L$2:$L$630,MATCH(421,'Transfer Engine'!$C$2:$C$630,0)))</f>
        <v/>
      </c>
      <c r="M430" s="8">
        <f>IF(ISNA(MATCH(421,'Transfer Engine'!$C$2:$C$630,0)),"",INDEX('Compliance Database'!$M$2:$M$630,MATCH(421,'Transfer Engine'!$C$2:$C$630,0)))</f>
        <v/>
      </c>
      <c r="N430" s="8">
        <f>IF(ISNA(MATCH(421,'Transfer Engine'!$C$2:$C$630,0)),"",INDEX('Compliance Database'!$N$2:$N$630,MATCH(421,'Transfer Engine'!$C$2:$C$630,0)))</f>
        <v/>
      </c>
      <c r="O430" s="8">
        <f>IF(ISNA(MATCH(421,'Transfer Engine'!$C$2:$C$630,0)),"",INDEX('Compliance Database'!$O$2:$O$630,MATCH(421,'Transfer Engine'!$C$2:$C$630,0)))</f>
        <v/>
      </c>
    </row>
    <row r="431">
      <c r="A431">
        <f>IF(ISNA(MATCH(422,'Transfer Engine'!$C$2:$C$630,0)),"",INDEX('Compliance Database'!$A$2:$A$630,MATCH(422,'Transfer Engine'!$C$2:$C$630,0)))</f>
        <v/>
      </c>
      <c r="B431">
        <f>IF(ISNA(MATCH(422,'Transfer Engine'!$C$2:$C$630,0)),"",INDEX('Compliance Database'!$B$2:$B$630,MATCH(422,'Transfer Engine'!$C$2:$C$630,0)))</f>
        <v/>
      </c>
      <c r="C431">
        <f>IF(ISNA(MATCH(422,'Transfer Engine'!$C$2:$C$630,0)),"",INDEX('Compliance Database'!$C$2:$C$630,MATCH(422,'Transfer Engine'!$C$2:$C$630,0)))</f>
        <v/>
      </c>
      <c r="D431" s="8">
        <f>IF(ISNA(MATCH(422,'Transfer Engine'!$C$2:$C$630,0)),"",INDEX('Compliance Database'!$D$2:$D$630,MATCH(422,'Transfer Engine'!$C$2:$C$630,0)))</f>
        <v/>
      </c>
      <c r="E431">
        <f>IF(ISNA(MATCH(422,'Transfer Engine'!$C$2:$C$630,0)),"",INDEX('Compliance Database'!$E$2:$E$630,MATCH(422,'Transfer Engine'!$C$2:$C$630,0)))</f>
        <v/>
      </c>
      <c r="F431">
        <f>IF(ISNA(MATCH(422,'Transfer Engine'!$C$2:$C$630,0)),"",INDEX('Compliance Database'!$F$2:$F$630,MATCH(422,'Transfer Engine'!$C$2:$C$630,0)))</f>
        <v/>
      </c>
      <c r="G431">
        <f>IF(ISNA(MATCH(422,'Transfer Engine'!$C$2:$C$630,0)),"",INDEX('Compliance Database'!$G$2:$G$630,MATCH(422,'Transfer Engine'!$C$2:$C$630,0)))</f>
        <v/>
      </c>
      <c r="H431">
        <f>IF(ISNA(MATCH(422,'Transfer Engine'!$C$2:$C$630,0)),"",INDEX('Compliance Database'!$H$2:$H$630,MATCH(422,'Transfer Engine'!$C$2:$C$630,0)))</f>
        <v/>
      </c>
      <c r="I431" s="8">
        <f>IF(ISNA(MATCH(422,'Transfer Engine'!$C$2:$C$630,0)),"",INDEX('Compliance Database'!$I$2:$I$630,MATCH(422,'Transfer Engine'!$C$2:$C$630,0)))</f>
        <v/>
      </c>
      <c r="J431" s="8">
        <f>IF(ISNA(MATCH(422,'Transfer Engine'!$C$2:$C$630,0)),"",INDEX('Compliance Database'!$J$2:$J$630,MATCH(422,'Transfer Engine'!$C$2:$C$630,0)))</f>
        <v/>
      </c>
      <c r="K431">
        <f>IF(ISNA(MATCH(422,'Transfer Engine'!$C$2:$C$630,0)),"",INDEX('Compliance Database'!$K$2:$K$630,MATCH(422,'Transfer Engine'!$C$2:$C$630,0)))</f>
        <v/>
      </c>
      <c r="L431" s="8">
        <f>IF(ISNA(MATCH(422,'Transfer Engine'!$C$2:$C$630,0)),"",INDEX('Compliance Database'!$L$2:$L$630,MATCH(422,'Transfer Engine'!$C$2:$C$630,0)))</f>
        <v/>
      </c>
      <c r="M431" s="8">
        <f>IF(ISNA(MATCH(422,'Transfer Engine'!$C$2:$C$630,0)),"",INDEX('Compliance Database'!$M$2:$M$630,MATCH(422,'Transfer Engine'!$C$2:$C$630,0)))</f>
        <v/>
      </c>
      <c r="N431" s="8">
        <f>IF(ISNA(MATCH(422,'Transfer Engine'!$C$2:$C$630,0)),"",INDEX('Compliance Database'!$N$2:$N$630,MATCH(422,'Transfer Engine'!$C$2:$C$630,0)))</f>
        <v/>
      </c>
      <c r="O431" s="8">
        <f>IF(ISNA(MATCH(422,'Transfer Engine'!$C$2:$C$630,0)),"",INDEX('Compliance Database'!$O$2:$O$630,MATCH(422,'Transfer Engine'!$C$2:$C$630,0)))</f>
        <v/>
      </c>
    </row>
    <row r="432">
      <c r="A432">
        <f>IF(ISNA(MATCH(423,'Transfer Engine'!$C$2:$C$630,0)),"",INDEX('Compliance Database'!$A$2:$A$630,MATCH(423,'Transfer Engine'!$C$2:$C$630,0)))</f>
        <v/>
      </c>
      <c r="B432">
        <f>IF(ISNA(MATCH(423,'Transfer Engine'!$C$2:$C$630,0)),"",INDEX('Compliance Database'!$B$2:$B$630,MATCH(423,'Transfer Engine'!$C$2:$C$630,0)))</f>
        <v/>
      </c>
      <c r="C432">
        <f>IF(ISNA(MATCH(423,'Transfer Engine'!$C$2:$C$630,0)),"",INDEX('Compliance Database'!$C$2:$C$630,MATCH(423,'Transfer Engine'!$C$2:$C$630,0)))</f>
        <v/>
      </c>
      <c r="D432" s="8">
        <f>IF(ISNA(MATCH(423,'Transfer Engine'!$C$2:$C$630,0)),"",INDEX('Compliance Database'!$D$2:$D$630,MATCH(423,'Transfer Engine'!$C$2:$C$630,0)))</f>
        <v/>
      </c>
      <c r="E432">
        <f>IF(ISNA(MATCH(423,'Transfer Engine'!$C$2:$C$630,0)),"",INDEX('Compliance Database'!$E$2:$E$630,MATCH(423,'Transfer Engine'!$C$2:$C$630,0)))</f>
        <v/>
      </c>
      <c r="F432">
        <f>IF(ISNA(MATCH(423,'Transfer Engine'!$C$2:$C$630,0)),"",INDEX('Compliance Database'!$F$2:$F$630,MATCH(423,'Transfer Engine'!$C$2:$C$630,0)))</f>
        <v/>
      </c>
      <c r="G432">
        <f>IF(ISNA(MATCH(423,'Transfer Engine'!$C$2:$C$630,0)),"",INDEX('Compliance Database'!$G$2:$G$630,MATCH(423,'Transfer Engine'!$C$2:$C$630,0)))</f>
        <v/>
      </c>
      <c r="H432">
        <f>IF(ISNA(MATCH(423,'Transfer Engine'!$C$2:$C$630,0)),"",INDEX('Compliance Database'!$H$2:$H$630,MATCH(423,'Transfer Engine'!$C$2:$C$630,0)))</f>
        <v/>
      </c>
      <c r="I432" s="8">
        <f>IF(ISNA(MATCH(423,'Transfer Engine'!$C$2:$C$630,0)),"",INDEX('Compliance Database'!$I$2:$I$630,MATCH(423,'Transfer Engine'!$C$2:$C$630,0)))</f>
        <v/>
      </c>
      <c r="J432" s="8">
        <f>IF(ISNA(MATCH(423,'Transfer Engine'!$C$2:$C$630,0)),"",INDEX('Compliance Database'!$J$2:$J$630,MATCH(423,'Transfer Engine'!$C$2:$C$630,0)))</f>
        <v/>
      </c>
      <c r="K432">
        <f>IF(ISNA(MATCH(423,'Transfer Engine'!$C$2:$C$630,0)),"",INDEX('Compliance Database'!$K$2:$K$630,MATCH(423,'Transfer Engine'!$C$2:$C$630,0)))</f>
        <v/>
      </c>
      <c r="L432" s="8">
        <f>IF(ISNA(MATCH(423,'Transfer Engine'!$C$2:$C$630,0)),"",INDEX('Compliance Database'!$L$2:$L$630,MATCH(423,'Transfer Engine'!$C$2:$C$630,0)))</f>
        <v/>
      </c>
      <c r="M432" s="8">
        <f>IF(ISNA(MATCH(423,'Transfer Engine'!$C$2:$C$630,0)),"",INDEX('Compliance Database'!$M$2:$M$630,MATCH(423,'Transfer Engine'!$C$2:$C$630,0)))</f>
        <v/>
      </c>
      <c r="N432" s="8">
        <f>IF(ISNA(MATCH(423,'Transfer Engine'!$C$2:$C$630,0)),"",INDEX('Compliance Database'!$N$2:$N$630,MATCH(423,'Transfer Engine'!$C$2:$C$630,0)))</f>
        <v/>
      </c>
      <c r="O432" s="8">
        <f>IF(ISNA(MATCH(423,'Transfer Engine'!$C$2:$C$630,0)),"",INDEX('Compliance Database'!$O$2:$O$630,MATCH(423,'Transfer Engine'!$C$2:$C$630,0)))</f>
        <v/>
      </c>
    </row>
    <row r="433">
      <c r="A433">
        <f>IF(ISNA(MATCH(424,'Transfer Engine'!$C$2:$C$630,0)),"",INDEX('Compliance Database'!$A$2:$A$630,MATCH(424,'Transfer Engine'!$C$2:$C$630,0)))</f>
        <v/>
      </c>
      <c r="B433">
        <f>IF(ISNA(MATCH(424,'Transfer Engine'!$C$2:$C$630,0)),"",INDEX('Compliance Database'!$B$2:$B$630,MATCH(424,'Transfer Engine'!$C$2:$C$630,0)))</f>
        <v/>
      </c>
      <c r="C433">
        <f>IF(ISNA(MATCH(424,'Transfer Engine'!$C$2:$C$630,0)),"",INDEX('Compliance Database'!$C$2:$C$630,MATCH(424,'Transfer Engine'!$C$2:$C$630,0)))</f>
        <v/>
      </c>
      <c r="D433" s="8">
        <f>IF(ISNA(MATCH(424,'Transfer Engine'!$C$2:$C$630,0)),"",INDEX('Compliance Database'!$D$2:$D$630,MATCH(424,'Transfer Engine'!$C$2:$C$630,0)))</f>
        <v/>
      </c>
      <c r="E433">
        <f>IF(ISNA(MATCH(424,'Transfer Engine'!$C$2:$C$630,0)),"",INDEX('Compliance Database'!$E$2:$E$630,MATCH(424,'Transfer Engine'!$C$2:$C$630,0)))</f>
        <v/>
      </c>
      <c r="F433">
        <f>IF(ISNA(MATCH(424,'Transfer Engine'!$C$2:$C$630,0)),"",INDEX('Compliance Database'!$F$2:$F$630,MATCH(424,'Transfer Engine'!$C$2:$C$630,0)))</f>
        <v/>
      </c>
      <c r="G433">
        <f>IF(ISNA(MATCH(424,'Transfer Engine'!$C$2:$C$630,0)),"",INDEX('Compliance Database'!$G$2:$G$630,MATCH(424,'Transfer Engine'!$C$2:$C$630,0)))</f>
        <v/>
      </c>
      <c r="H433">
        <f>IF(ISNA(MATCH(424,'Transfer Engine'!$C$2:$C$630,0)),"",INDEX('Compliance Database'!$H$2:$H$630,MATCH(424,'Transfer Engine'!$C$2:$C$630,0)))</f>
        <v/>
      </c>
      <c r="I433" s="8">
        <f>IF(ISNA(MATCH(424,'Transfer Engine'!$C$2:$C$630,0)),"",INDEX('Compliance Database'!$I$2:$I$630,MATCH(424,'Transfer Engine'!$C$2:$C$630,0)))</f>
        <v/>
      </c>
      <c r="J433" s="8">
        <f>IF(ISNA(MATCH(424,'Transfer Engine'!$C$2:$C$630,0)),"",INDEX('Compliance Database'!$J$2:$J$630,MATCH(424,'Transfer Engine'!$C$2:$C$630,0)))</f>
        <v/>
      </c>
      <c r="K433">
        <f>IF(ISNA(MATCH(424,'Transfer Engine'!$C$2:$C$630,0)),"",INDEX('Compliance Database'!$K$2:$K$630,MATCH(424,'Transfer Engine'!$C$2:$C$630,0)))</f>
        <v/>
      </c>
      <c r="L433" s="8">
        <f>IF(ISNA(MATCH(424,'Transfer Engine'!$C$2:$C$630,0)),"",INDEX('Compliance Database'!$L$2:$L$630,MATCH(424,'Transfer Engine'!$C$2:$C$630,0)))</f>
        <v/>
      </c>
      <c r="M433" s="8">
        <f>IF(ISNA(MATCH(424,'Transfer Engine'!$C$2:$C$630,0)),"",INDEX('Compliance Database'!$M$2:$M$630,MATCH(424,'Transfer Engine'!$C$2:$C$630,0)))</f>
        <v/>
      </c>
      <c r="N433" s="8">
        <f>IF(ISNA(MATCH(424,'Transfer Engine'!$C$2:$C$630,0)),"",INDEX('Compliance Database'!$N$2:$N$630,MATCH(424,'Transfer Engine'!$C$2:$C$630,0)))</f>
        <v/>
      </c>
      <c r="O433" s="8">
        <f>IF(ISNA(MATCH(424,'Transfer Engine'!$C$2:$C$630,0)),"",INDEX('Compliance Database'!$O$2:$O$630,MATCH(424,'Transfer Engine'!$C$2:$C$630,0)))</f>
        <v/>
      </c>
    </row>
    <row r="434">
      <c r="A434">
        <f>IF(ISNA(MATCH(425,'Transfer Engine'!$C$2:$C$630,0)),"",INDEX('Compliance Database'!$A$2:$A$630,MATCH(425,'Transfer Engine'!$C$2:$C$630,0)))</f>
        <v/>
      </c>
      <c r="B434">
        <f>IF(ISNA(MATCH(425,'Transfer Engine'!$C$2:$C$630,0)),"",INDEX('Compliance Database'!$B$2:$B$630,MATCH(425,'Transfer Engine'!$C$2:$C$630,0)))</f>
        <v/>
      </c>
      <c r="C434">
        <f>IF(ISNA(MATCH(425,'Transfer Engine'!$C$2:$C$630,0)),"",INDEX('Compliance Database'!$C$2:$C$630,MATCH(425,'Transfer Engine'!$C$2:$C$630,0)))</f>
        <v/>
      </c>
      <c r="D434" s="8">
        <f>IF(ISNA(MATCH(425,'Transfer Engine'!$C$2:$C$630,0)),"",INDEX('Compliance Database'!$D$2:$D$630,MATCH(425,'Transfer Engine'!$C$2:$C$630,0)))</f>
        <v/>
      </c>
      <c r="E434">
        <f>IF(ISNA(MATCH(425,'Transfer Engine'!$C$2:$C$630,0)),"",INDEX('Compliance Database'!$E$2:$E$630,MATCH(425,'Transfer Engine'!$C$2:$C$630,0)))</f>
        <v/>
      </c>
      <c r="F434">
        <f>IF(ISNA(MATCH(425,'Transfer Engine'!$C$2:$C$630,0)),"",INDEX('Compliance Database'!$F$2:$F$630,MATCH(425,'Transfer Engine'!$C$2:$C$630,0)))</f>
        <v/>
      </c>
      <c r="G434">
        <f>IF(ISNA(MATCH(425,'Transfer Engine'!$C$2:$C$630,0)),"",INDEX('Compliance Database'!$G$2:$G$630,MATCH(425,'Transfer Engine'!$C$2:$C$630,0)))</f>
        <v/>
      </c>
      <c r="H434">
        <f>IF(ISNA(MATCH(425,'Transfer Engine'!$C$2:$C$630,0)),"",INDEX('Compliance Database'!$H$2:$H$630,MATCH(425,'Transfer Engine'!$C$2:$C$630,0)))</f>
        <v/>
      </c>
      <c r="I434" s="8">
        <f>IF(ISNA(MATCH(425,'Transfer Engine'!$C$2:$C$630,0)),"",INDEX('Compliance Database'!$I$2:$I$630,MATCH(425,'Transfer Engine'!$C$2:$C$630,0)))</f>
        <v/>
      </c>
      <c r="J434" s="8">
        <f>IF(ISNA(MATCH(425,'Transfer Engine'!$C$2:$C$630,0)),"",INDEX('Compliance Database'!$J$2:$J$630,MATCH(425,'Transfer Engine'!$C$2:$C$630,0)))</f>
        <v/>
      </c>
      <c r="K434">
        <f>IF(ISNA(MATCH(425,'Transfer Engine'!$C$2:$C$630,0)),"",INDEX('Compliance Database'!$K$2:$K$630,MATCH(425,'Transfer Engine'!$C$2:$C$630,0)))</f>
        <v/>
      </c>
      <c r="L434" s="8">
        <f>IF(ISNA(MATCH(425,'Transfer Engine'!$C$2:$C$630,0)),"",INDEX('Compliance Database'!$L$2:$L$630,MATCH(425,'Transfer Engine'!$C$2:$C$630,0)))</f>
        <v/>
      </c>
      <c r="M434" s="8">
        <f>IF(ISNA(MATCH(425,'Transfer Engine'!$C$2:$C$630,0)),"",INDEX('Compliance Database'!$M$2:$M$630,MATCH(425,'Transfer Engine'!$C$2:$C$630,0)))</f>
        <v/>
      </c>
      <c r="N434" s="8">
        <f>IF(ISNA(MATCH(425,'Transfer Engine'!$C$2:$C$630,0)),"",INDEX('Compliance Database'!$N$2:$N$630,MATCH(425,'Transfer Engine'!$C$2:$C$630,0)))</f>
        <v/>
      </c>
      <c r="O434" s="8">
        <f>IF(ISNA(MATCH(425,'Transfer Engine'!$C$2:$C$630,0)),"",INDEX('Compliance Database'!$O$2:$O$630,MATCH(425,'Transfer Engine'!$C$2:$C$630,0)))</f>
        <v/>
      </c>
    </row>
    <row r="435">
      <c r="A435">
        <f>IF(ISNA(MATCH(426,'Transfer Engine'!$C$2:$C$630,0)),"",INDEX('Compliance Database'!$A$2:$A$630,MATCH(426,'Transfer Engine'!$C$2:$C$630,0)))</f>
        <v/>
      </c>
      <c r="B435">
        <f>IF(ISNA(MATCH(426,'Transfer Engine'!$C$2:$C$630,0)),"",INDEX('Compliance Database'!$B$2:$B$630,MATCH(426,'Transfer Engine'!$C$2:$C$630,0)))</f>
        <v/>
      </c>
      <c r="C435">
        <f>IF(ISNA(MATCH(426,'Transfer Engine'!$C$2:$C$630,0)),"",INDEX('Compliance Database'!$C$2:$C$630,MATCH(426,'Transfer Engine'!$C$2:$C$630,0)))</f>
        <v/>
      </c>
      <c r="D435" s="8">
        <f>IF(ISNA(MATCH(426,'Transfer Engine'!$C$2:$C$630,0)),"",INDEX('Compliance Database'!$D$2:$D$630,MATCH(426,'Transfer Engine'!$C$2:$C$630,0)))</f>
        <v/>
      </c>
      <c r="E435">
        <f>IF(ISNA(MATCH(426,'Transfer Engine'!$C$2:$C$630,0)),"",INDEX('Compliance Database'!$E$2:$E$630,MATCH(426,'Transfer Engine'!$C$2:$C$630,0)))</f>
        <v/>
      </c>
      <c r="F435">
        <f>IF(ISNA(MATCH(426,'Transfer Engine'!$C$2:$C$630,0)),"",INDEX('Compliance Database'!$F$2:$F$630,MATCH(426,'Transfer Engine'!$C$2:$C$630,0)))</f>
        <v/>
      </c>
      <c r="G435">
        <f>IF(ISNA(MATCH(426,'Transfer Engine'!$C$2:$C$630,0)),"",INDEX('Compliance Database'!$G$2:$G$630,MATCH(426,'Transfer Engine'!$C$2:$C$630,0)))</f>
        <v/>
      </c>
      <c r="H435">
        <f>IF(ISNA(MATCH(426,'Transfer Engine'!$C$2:$C$630,0)),"",INDEX('Compliance Database'!$H$2:$H$630,MATCH(426,'Transfer Engine'!$C$2:$C$630,0)))</f>
        <v/>
      </c>
      <c r="I435" s="8">
        <f>IF(ISNA(MATCH(426,'Transfer Engine'!$C$2:$C$630,0)),"",INDEX('Compliance Database'!$I$2:$I$630,MATCH(426,'Transfer Engine'!$C$2:$C$630,0)))</f>
        <v/>
      </c>
      <c r="J435" s="8">
        <f>IF(ISNA(MATCH(426,'Transfer Engine'!$C$2:$C$630,0)),"",INDEX('Compliance Database'!$J$2:$J$630,MATCH(426,'Transfer Engine'!$C$2:$C$630,0)))</f>
        <v/>
      </c>
      <c r="K435">
        <f>IF(ISNA(MATCH(426,'Transfer Engine'!$C$2:$C$630,0)),"",INDEX('Compliance Database'!$K$2:$K$630,MATCH(426,'Transfer Engine'!$C$2:$C$630,0)))</f>
        <v/>
      </c>
      <c r="L435" s="8">
        <f>IF(ISNA(MATCH(426,'Transfer Engine'!$C$2:$C$630,0)),"",INDEX('Compliance Database'!$L$2:$L$630,MATCH(426,'Transfer Engine'!$C$2:$C$630,0)))</f>
        <v/>
      </c>
      <c r="M435" s="8">
        <f>IF(ISNA(MATCH(426,'Transfer Engine'!$C$2:$C$630,0)),"",INDEX('Compliance Database'!$M$2:$M$630,MATCH(426,'Transfer Engine'!$C$2:$C$630,0)))</f>
        <v/>
      </c>
      <c r="N435" s="8">
        <f>IF(ISNA(MATCH(426,'Transfer Engine'!$C$2:$C$630,0)),"",INDEX('Compliance Database'!$N$2:$N$630,MATCH(426,'Transfer Engine'!$C$2:$C$630,0)))</f>
        <v/>
      </c>
      <c r="O435" s="8">
        <f>IF(ISNA(MATCH(426,'Transfer Engine'!$C$2:$C$630,0)),"",INDEX('Compliance Database'!$O$2:$O$630,MATCH(426,'Transfer Engine'!$C$2:$C$630,0)))</f>
        <v/>
      </c>
    </row>
    <row r="436">
      <c r="A436">
        <f>IF(ISNA(MATCH(427,'Transfer Engine'!$C$2:$C$630,0)),"",INDEX('Compliance Database'!$A$2:$A$630,MATCH(427,'Transfer Engine'!$C$2:$C$630,0)))</f>
        <v/>
      </c>
      <c r="B436">
        <f>IF(ISNA(MATCH(427,'Transfer Engine'!$C$2:$C$630,0)),"",INDEX('Compliance Database'!$B$2:$B$630,MATCH(427,'Transfer Engine'!$C$2:$C$630,0)))</f>
        <v/>
      </c>
      <c r="C436">
        <f>IF(ISNA(MATCH(427,'Transfer Engine'!$C$2:$C$630,0)),"",INDEX('Compliance Database'!$C$2:$C$630,MATCH(427,'Transfer Engine'!$C$2:$C$630,0)))</f>
        <v/>
      </c>
      <c r="D436" s="8">
        <f>IF(ISNA(MATCH(427,'Transfer Engine'!$C$2:$C$630,0)),"",INDEX('Compliance Database'!$D$2:$D$630,MATCH(427,'Transfer Engine'!$C$2:$C$630,0)))</f>
        <v/>
      </c>
      <c r="E436">
        <f>IF(ISNA(MATCH(427,'Transfer Engine'!$C$2:$C$630,0)),"",INDEX('Compliance Database'!$E$2:$E$630,MATCH(427,'Transfer Engine'!$C$2:$C$630,0)))</f>
        <v/>
      </c>
      <c r="F436">
        <f>IF(ISNA(MATCH(427,'Transfer Engine'!$C$2:$C$630,0)),"",INDEX('Compliance Database'!$F$2:$F$630,MATCH(427,'Transfer Engine'!$C$2:$C$630,0)))</f>
        <v/>
      </c>
      <c r="G436">
        <f>IF(ISNA(MATCH(427,'Transfer Engine'!$C$2:$C$630,0)),"",INDEX('Compliance Database'!$G$2:$G$630,MATCH(427,'Transfer Engine'!$C$2:$C$630,0)))</f>
        <v/>
      </c>
      <c r="H436">
        <f>IF(ISNA(MATCH(427,'Transfer Engine'!$C$2:$C$630,0)),"",INDEX('Compliance Database'!$H$2:$H$630,MATCH(427,'Transfer Engine'!$C$2:$C$630,0)))</f>
        <v/>
      </c>
      <c r="I436" s="8">
        <f>IF(ISNA(MATCH(427,'Transfer Engine'!$C$2:$C$630,0)),"",INDEX('Compliance Database'!$I$2:$I$630,MATCH(427,'Transfer Engine'!$C$2:$C$630,0)))</f>
        <v/>
      </c>
      <c r="J436" s="8">
        <f>IF(ISNA(MATCH(427,'Transfer Engine'!$C$2:$C$630,0)),"",INDEX('Compliance Database'!$J$2:$J$630,MATCH(427,'Transfer Engine'!$C$2:$C$630,0)))</f>
        <v/>
      </c>
      <c r="K436">
        <f>IF(ISNA(MATCH(427,'Transfer Engine'!$C$2:$C$630,0)),"",INDEX('Compliance Database'!$K$2:$K$630,MATCH(427,'Transfer Engine'!$C$2:$C$630,0)))</f>
        <v/>
      </c>
      <c r="L436" s="8">
        <f>IF(ISNA(MATCH(427,'Transfer Engine'!$C$2:$C$630,0)),"",INDEX('Compliance Database'!$L$2:$L$630,MATCH(427,'Transfer Engine'!$C$2:$C$630,0)))</f>
        <v/>
      </c>
      <c r="M436" s="8">
        <f>IF(ISNA(MATCH(427,'Transfer Engine'!$C$2:$C$630,0)),"",INDEX('Compliance Database'!$M$2:$M$630,MATCH(427,'Transfer Engine'!$C$2:$C$630,0)))</f>
        <v/>
      </c>
      <c r="N436" s="8">
        <f>IF(ISNA(MATCH(427,'Transfer Engine'!$C$2:$C$630,0)),"",INDEX('Compliance Database'!$N$2:$N$630,MATCH(427,'Transfer Engine'!$C$2:$C$630,0)))</f>
        <v/>
      </c>
      <c r="O436" s="8">
        <f>IF(ISNA(MATCH(427,'Transfer Engine'!$C$2:$C$630,0)),"",INDEX('Compliance Database'!$O$2:$O$630,MATCH(427,'Transfer Engine'!$C$2:$C$630,0)))</f>
        <v/>
      </c>
    </row>
    <row r="437">
      <c r="A437">
        <f>IF(ISNA(MATCH(428,'Transfer Engine'!$C$2:$C$630,0)),"",INDEX('Compliance Database'!$A$2:$A$630,MATCH(428,'Transfer Engine'!$C$2:$C$630,0)))</f>
        <v/>
      </c>
      <c r="B437">
        <f>IF(ISNA(MATCH(428,'Transfer Engine'!$C$2:$C$630,0)),"",INDEX('Compliance Database'!$B$2:$B$630,MATCH(428,'Transfer Engine'!$C$2:$C$630,0)))</f>
        <v/>
      </c>
      <c r="C437">
        <f>IF(ISNA(MATCH(428,'Transfer Engine'!$C$2:$C$630,0)),"",INDEX('Compliance Database'!$C$2:$C$630,MATCH(428,'Transfer Engine'!$C$2:$C$630,0)))</f>
        <v/>
      </c>
      <c r="D437" s="8">
        <f>IF(ISNA(MATCH(428,'Transfer Engine'!$C$2:$C$630,0)),"",INDEX('Compliance Database'!$D$2:$D$630,MATCH(428,'Transfer Engine'!$C$2:$C$630,0)))</f>
        <v/>
      </c>
      <c r="E437">
        <f>IF(ISNA(MATCH(428,'Transfer Engine'!$C$2:$C$630,0)),"",INDEX('Compliance Database'!$E$2:$E$630,MATCH(428,'Transfer Engine'!$C$2:$C$630,0)))</f>
        <v/>
      </c>
      <c r="F437">
        <f>IF(ISNA(MATCH(428,'Transfer Engine'!$C$2:$C$630,0)),"",INDEX('Compliance Database'!$F$2:$F$630,MATCH(428,'Transfer Engine'!$C$2:$C$630,0)))</f>
        <v/>
      </c>
      <c r="G437">
        <f>IF(ISNA(MATCH(428,'Transfer Engine'!$C$2:$C$630,0)),"",INDEX('Compliance Database'!$G$2:$G$630,MATCH(428,'Transfer Engine'!$C$2:$C$630,0)))</f>
        <v/>
      </c>
      <c r="H437">
        <f>IF(ISNA(MATCH(428,'Transfer Engine'!$C$2:$C$630,0)),"",INDEX('Compliance Database'!$H$2:$H$630,MATCH(428,'Transfer Engine'!$C$2:$C$630,0)))</f>
        <v/>
      </c>
      <c r="I437" s="8">
        <f>IF(ISNA(MATCH(428,'Transfer Engine'!$C$2:$C$630,0)),"",INDEX('Compliance Database'!$I$2:$I$630,MATCH(428,'Transfer Engine'!$C$2:$C$630,0)))</f>
        <v/>
      </c>
      <c r="J437" s="8">
        <f>IF(ISNA(MATCH(428,'Transfer Engine'!$C$2:$C$630,0)),"",INDEX('Compliance Database'!$J$2:$J$630,MATCH(428,'Transfer Engine'!$C$2:$C$630,0)))</f>
        <v/>
      </c>
      <c r="K437">
        <f>IF(ISNA(MATCH(428,'Transfer Engine'!$C$2:$C$630,0)),"",INDEX('Compliance Database'!$K$2:$K$630,MATCH(428,'Transfer Engine'!$C$2:$C$630,0)))</f>
        <v/>
      </c>
      <c r="L437" s="8">
        <f>IF(ISNA(MATCH(428,'Transfer Engine'!$C$2:$C$630,0)),"",INDEX('Compliance Database'!$L$2:$L$630,MATCH(428,'Transfer Engine'!$C$2:$C$630,0)))</f>
        <v/>
      </c>
      <c r="M437" s="8">
        <f>IF(ISNA(MATCH(428,'Transfer Engine'!$C$2:$C$630,0)),"",INDEX('Compliance Database'!$M$2:$M$630,MATCH(428,'Transfer Engine'!$C$2:$C$630,0)))</f>
        <v/>
      </c>
      <c r="N437" s="8">
        <f>IF(ISNA(MATCH(428,'Transfer Engine'!$C$2:$C$630,0)),"",INDEX('Compliance Database'!$N$2:$N$630,MATCH(428,'Transfer Engine'!$C$2:$C$630,0)))</f>
        <v/>
      </c>
      <c r="O437" s="8">
        <f>IF(ISNA(MATCH(428,'Transfer Engine'!$C$2:$C$630,0)),"",INDEX('Compliance Database'!$O$2:$O$630,MATCH(428,'Transfer Engine'!$C$2:$C$630,0)))</f>
        <v/>
      </c>
    </row>
    <row r="438">
      <c r="A438">
        <f>IF(ISNA(MATCH(429,'Transfer Engine'!$C$2:$C$630,0)),"",INDEX('Compliance Database'!$A$2:$A$630,MATCH(429,'Transfer Engine'!$C$2:$C$630,0)))</f>
        <v/>
      </c>
      <c r="B438">
        <f>IF(ISNA(MATCH(429,'Transfer Engine'!$C$2:$C$630,0)),"",INDEX('Compliance Database'!$B$2:$B$630,MATCH(429,'Transfer Engine'!$C$2:$C$630,0)))</f>
        <v/>
      </c>
      <c r="C438">
        <f>IF(ISNA(MATCH(429,'Transfer Engine'!$C$2:$C$630,0)),"",INDEX('Compliance Database'!$C$2:$C$630,MATCH(429,'Transfer Engine'!$C$2:$C$630,0)))</f>
        <v/>
      </c>
      <c r="D438" s="8">
        <f>IF(ISNA(MATCH(429,'Transfer Engine'!$C$2:$C$630,0)),"",INDEX('Compliance Database'!$D$2:$D$630,MATCH(429,'Transfer Engine'!$C$2:$C$630,0)))</f>
        <v/>
      </c>
      <c r="E438">
        <f>IF(ISNA(MATCH(429,'Transfer Engine'!$C$2:$C$630,0)),"",INDEX('Compliance Database'!$E$2:$E$630,MATCH(429,'Transfer Engine'!$C$2:$C$630,0)))</f>
        <v/>
      </c>
      <c r="F438">
        <f>IF(ISNA(MATCH(429,'Transfer Engine'!$C$2:$C$630,0)),"",INDEX('Compliance Database'!$F$2:$F$630,MATCH(429,'Transfer Engine'!$C$2:$C$630,0)))</f>
        <v/>
      </c>
      <c r="G438">
        <f>IF(ISNA(MATCH(429,'Transfer Engine'!$C$2:$C$630,0)),"",INDEX('Compliance Database'!$G$2:$G$630,MATCH(429,'Transfer Engine'!$C$2:$C$630,0)))</f>
        <v/>
      </c>
      <c r="H438">
        <f>IF(ISNA(MATCH(429,'Transfer Engine'!$C$2:$C$630,0)),"",INDEX('Compliance Database'!$H$2:$H$630,MATCH(429,'Transfer Engine'!$C$2:$C$630,0)))</f>
        <v/>
      </c>
      <c r="I438" s="8">
        <f>IF(ISNA(MATCH(429,'Transfer Engine'!$C$2:$C$630,0)),"",INDEX('Compliance Database'!$I$2:$I$630,MATCH(429,'Transfer Engine'!$C$2:$C$630,0)))</f>
        <v/>
      </c>
      <c r="J438" s="8">
        <f>IF(ISNA(MATCH(429,'Transfer Engine'!$C$2:$C$630,0)),"",INDEX('Compliance Database'!$J$2:$J$630,MATCH(429,'Transfer Engine'!$C$2:$C$630,0)))</f>
        <v/>
      </c>
      <c r="K438">
        <f>IF(ISNA(MATCH(429,'Transfer Engine'!$C$2:$C$630,0)),"",INDEX('Compliance Database'!$K$2:$K$630,MATCH(429,'Transfer Engine'!$C$2:$C$630,0)))</f>
        <v/>
      </c>
      <c r="L438" s="8">
        <f>IF(ISNA(MATCH(429,'Transfer Engine'!$C$2:$C$630,0)),"",INDEX('Compliance Database'!$L$2:$L$630,MATCH(429,'Transfer Engine'!$C$2:$C$630,0)))</f>
        <v/>
      </c>
      <c r="M438" s="8">
        <f>IF(ISNA(MATCH(429,'Transfer Engine'!$C$2:$C$630,0)),"",INDEX('Compliance Database'!$M$2:$M$630,MATCH(429,'Transfer Engine'!$C$2:$C$630,0)))</f>
        <v/>
      </c>
      <c r="N438" s="8">
        <f>IF(ISNA(MATCH(429,'Transfer Engine'!$C$2:$C$630,0)),"",INDEX('Compliance Database'!$N$2:$N$630,MATCH(429,'Transfer Engine'!$C$2:$C$630,0)))</f>
        <v/>
      </c>
      <c r="O438" s="8">
        <f>IF(ISNA(MATCH(429,'Transfer Engine'!$C$2:$C$630,0)),"",INDEX('Compliance Database'!$O$2:$O$630,MATCH(429,'Transfer Engine'!$C$2:$C$630,0)))</f>
        <v/>
      </c>
    </row>
    <row r="439">
      <c r="A439">
        <f>IF(ISNA(MATCH(430,'Transfer Engine'!$C$2:$C$630,0)),"",INDEX('Compliance Database'!$A$2:$A$630,MATCH(430,'Transfer Engine'!$C$2:$C$630,0)))</f>
        <v/>
      </c>
      <c r="B439">
        <f>IF(ISNA(MATCH(430,'Transfer Engine'!$C$2:$C$630,0)),"",INDEX('Compliance Database'!$B$2:$B$630,MATCH(430,'Transfer Engine'!$C$2:$C$630,0)))</f>
        <v/>
      </c>
      <c r="C439">
        <f>IF(ISNA(MATCH(430,'Transfer Engine'!$C$2:$C$630,0)),"",INDEX('Compliance Database'!$C$2:$C$630,MATCH(430,'Transfer Engine'!$C$2:$C$630,0)))</f>
        <v/>
      </c>
      <c r="D439" s="8">
        <f>IF(ISNA(MATCH(430,'Transfer Engine'!$C$2:$C$630,0)),"",INDEX('Compliance Database'!$D$2:$D$630,MATCH(430,'Transfer Engine'!$C$2:$C$630,0)))</f>
        <v/>
      </c>
      <c r="E439">
        <f>IF(ISNA(MATCH(430,'Transfer Engine'!$C$2:$C$630,0)),"",INDEX('Compliance Database'!$E$2:$E$630,MATCH(430,'Transfer Engine'!$C$2:$C$630,0)))</f>
        <v/>
      </c>
      <c r="F439">
        <f>IF(ISNA(MATCH(430,'Transfer Engine'!$C$2:$C$630,0)),"",INDEX('Compliance Database'!$F$2:$F$630,MATCH(430,'Transfer Engine'!$C$2:$C$630,0)))</f>
        <v/>
      </c>
      <c r="G439">
        <f>IF(ISNA(MATCH(430,'Transfer Engine'!$C$2:$C$630,0)),"",INDEX('Compliance Database'!$G$2:$G$630,MATCH(430,'Transfer Engine'!$C$2:$C$630,0)))</f>
        <v/>
      </c>
      <c r="H439">
        <f>IF(ISNA(MATCH(430,'Transfer Engine'!$C$2:$C$630,0)),"",INDEX('Compliance Database'!$H$2:$H$630,MATCH(430,'Transfer Engine'!$C$2:$C$630,0)))</f>
        <v/>
      </c>
      <c r="I439" s="8">
        <f>IF(ISNA(MATCH(430,'Transfer Engine'!$C$2:$C$630,0)),"",INDEX('Compliance Database'!$I$2:$I$630,MATCH(430,'Transfer Engine'!$C$2:$C$630,0)))</f>
        <v/>
      </c>
      <c r="J439" s="8">
        <f>IF(ISNA(MATCH(430,'Transfer Engine'!$C$2:$C$630,0)),"",INDEX('Compliance Database'!$J$2:$J$630,MATCH(430,'Transfer Engine'!$C$2:$C$630,0)))</f>
        <v/>
      </c>
      <c r="K439">
        <f>IF(ISNA(MATCH(430,'Transfer Engine'!$C$2:$C$630,0)),"",INDEX('Compliance Database'!$K$2:$K$630,MATCH(430,'Transfer Engine'!$C$2:$C$630,0)))</f>
        <v/>
      </c>
      <c r="L439" s="8">
        <f>IF(ISNA(MATCH(430,'Transfer Engine'!$C$2:$C$630,0)),"",INDEX('Compliance Database'!$L$2:$L$630,MATCH(430,'Transfer Engine'!$C$2:$C$630,0)))</f>
        <v/>
      </c>
      <c r="M439" s="8">
        <f>IF(ISNA(MATCH(430,'Transfer Engine'!$C$2:$C$630,0)),"",INDEX('Compliance Database'!$M$2:$M$630,MATCH(430,'Transfer Engine'!$C$2:$C$630,0)))</f>
        <v/>
      </c>
      <c r="N439" s="8">
        <f>IF(ISNA(MATCH(430,'Transfer Engine'!$C$2:$C$630,0)),"",INDEX('Compliance Database'!$N$2:$N$630,MATCH(430,'Transfer Engine'!$C$2:$C$630,0)))</f>
        <v/>
      </c>
      <c r="O439" s="8">
        <f>IF(ISNA(MATCH(430,'Transfer Engine'!$C$2:$C$630,0)),"",INDEX('Compliance Database'!$O$2:$O$630,MATCH(430,'Transfer Engine'!$C$2:$C$630,0)))</f>
        <v/>
      </c>
    </row>
    <row r="440">
      <c r="A440">
        <f>IF(ISNA(MATCH(431,'Transfer Engine'!$C$2:$C$630,0)),"",INDEX('Compliance Database'!$A$2:$A$630,MATCH(431,'Transfer Engine'!$C$2:$C$630,0)))</f>
        <v/>
      </c>
      <c r="B440">
        <f>IF(ISNA(MATCH(431,'Transfer Engine'!$C$2:$C$630,0)),"",INDEX('Compliance Database'!$B$2:$B$630,MATCH(431,'Transfer Engine'!$C$2:$C$630,0)))</f>
        <v/>
      </c>
      <c r="C440">
        <f>IF(ISNA(MATCH(431,'Transfer Engine'!$C$2:$C$630,0)),"",INDEX('Compliance Database'!$C$2:$C$630,MATCH(431,'Transfer Engine'!$C$2:$C$630,0)))</f>
        <v/>
      </c>
      <c r="D440" s="8">
        <f>IF(ISNA(MATCH(431,'Transfer Engine'!$C$2:$C$630,0)),"",INDEX('Compliance Database'!$D$2:$D$630,MATCH(431,'Transfer Engine'!$C$2:$C$630,0)))</f>
        <v/>
      </c>
      <c r="E440">
        <f>IF(ISNA(MATCH(431,'Transfer Engine'!$C$2:$C$630,0)),"",INDEX('Compliance Database'!$E$2:$E$630,MATCH(431,'Transfer Engine'!$C$2:$C$630,0)))</f>
        <v/>
      </c>
      <c r="F440">
        <f>IF(ISNA(MATCH(431,'Transfer Engine'!$C$2:$C$630,0)),"",INDEX('Compliance Database'!$F$2:$F$630,MATCH(431,'Transfer Engine'!$C$2:$C$630,0)))</f>
        <v/>
      </c>
      <c r="G440">
        <f>IF(ISNA(MATCH(431,'Transfer Engine'!$C$2:$C$630,0)),"",INDEX('Compliance Database'!$G$2:$G$630,MATCH(431,'Transfer Engine'!$C$2:$C$630,0)))</f>
        <v/>
      </c>
      <c r="H440">
        <f>IF(ISNA(MATCH(431,'Transfer Engine'!$C$2:$C$630,0)),"",INDEX('Compliance Database'!$H$2:$H$630,MATCH(431,'Transfer Engine'!$C$2:$C$630,0)))</f>
        <v/>
      </c>
      <c r="I440" s="8">
        <f>IF(ISNA(MATCH(431,'Transfer Engine'!$C$2:$C$630,0)),"",INDEX('Compliance Database'!$I$2:$I$630,MATCH(431,'Transfer Engine'!$C$2:$C$630,0)))</f>
        <v/>
      </c>
      <c r="J440" s="8">
        <f>IF(ISNA(MATCH(431,'Transfer Engine'!$C$2:$C$630,0)),"",INDEX('Compliance Database'!$J$2:$J$630,MATCH(431,'Transfer Engine'!$C$2:$C$630,0)))</f>
        <v/>
      </c>
      <c r="K440">
        <f>IF(ISNA(MATCH(431,'Transfer Engine'!$C$2:$C$630,0)),"",INDEX('Compliance Database'!$K$2:$K$630,MATCH(431,'Transfer Engine'!$C$2:$C$630,0)))</f>
        <v/>
      </c>
      <c r="L440" s="8">
        <f>IF(ISNA(MATCH(431,'Transfer Engine'!$C$2:$C$630,0)),"",INDEX('Compliance Database'!$L$2:$L$630,MATCH(431,'Transfer Engine'!$C$2:$C$630,0)))</f>
        <v/>
      </c>
      <c r="M440" s="8">
        <f>IF(ISNA(MATCH(431,'Transfer Engine'!$C$2:$C$630,0)),"",INDEX('Compliance Database'!$M$2:$M$630,MATCH(431,'Transfer Engine'!$C$2:$C$630,0)))</f>
        <v/>
      </c>
      <c r="N440" s="8">
        <f>IF(ISNA(MATCH(431,'Transfer Engine'!$C$2:$C$630,0)),"",INDEX('Compliance Database'!$N$2:$N$630,MATCH(431,'Transfer Engine'!$C$2:$C$630,0)))</f>
        <v/>
      </c>
      <c r="O440" s="8">
        <f>IF(ISNA(MATCH(431,'Transfer Engine'!$C$2:$C$630,0)),"",INDEX('Compliance Database'!$O$2:$O$630,MATCH(431,'Transfer Engine'!$C$2:$C$630,0)))</f>
        <v/>
      </c>
    </row>
    <row r="441">
      <c r="A441">
        <f>IF(ISNA(MATCH(432,'Transfer Engine'!$C$2:$C$630,0)),"",INDEX('Compliance Database'!$A$2:$A$630,MATCH(432,'Transfer Engine'!$C$2:$C$630,0)))</f>
        <v/>
      </c>
      <c r="B441">
        <f>IF(ISNA(MATCH(432,'Transfer Engine'!$C$2:$C$630,0)),"",INDEX('Compliance Database'!$B$2:$B$630,MATCH(432,'Transfer Engine'!$C$2:$C$630,0)))</f>
        <v/>
      </c>
      <c r="C441">
        <f>IF(ISNA(MATCH(432,'Transfer Engine'!$C$2:$C$630,0)),"",INDEX('Compliance Database'!$C$2:$C$630,MATCH(432,'Transfer Engine'!$C$2:$C$630,0)))</f>
        <v/>
      </c>
      <c r="D441" s="8">
        <f>IF(ISNA(MATCH(432,'Transfer Engine'!$C$2:$C$630,0)),"",INDEX('Compliance Database'!$D$2:$D$630,MATCH(432,'Transfer Engine'!$C$2:$C$630,0)))</f>
        <v/>
      </c>
      <c r="E441">
        <f>IF(ISNA(MATCH(432,'Transfer Engine'!$C$2:$C$630,0)),"",INDEX('Compliance Database'!$E$2:$E$630,MATCH(432,'Transfer Engine'!$C$2:$C$630,0)))</f>
        <v/>
      </c>
      <c r="F441">
        <f>IF(ISNA(MATCH(432,'Transfer Engine'!$C$2:$C$630,0)),"",INDEX('Compliance Database'!$F$2:$F$630,MATCH(432,'Transfer Engine'!$C$2:$C$630,0)))</f>
        <v/>
      </c>
      <c r="G441">
        <f>IF(ISNA(MATCH(432,'Transfer Engine'!$C$2:$C$630,0)),"",INDEX('Compliance Database'!$G$2:$G$630,MATCH(432,'Transfer Engine'!$C$2:$C$630,0)))</f>
        <v/>
      </c>
      <c r="H441">
        <f>IF(ISNA(MATCH(432,'Transfer Engine'!$C$2:$C$630,0)),"",INDEX('Compliance Database'!$H$2:$H$630,MATCH(432,'Transfer Engine'!$C$2:$C$630,0)))</f>
        <v/>
      </c>
      <c r="I441" s="8">
        <f>IF(ISNA(MATCH(432,'Transfer Engine'!$C$2:$C$630,0)),"",INDEX('Compliance Database'!$I$2:$I$630,MATCH(432,'Transfer Engine'!$C$2:$C$630,0)))</f>
        <v/>
      </c>
      <c r="J441" s="8">
        <f>IF(ISNA(MATCH(432,'Transfer Engine'!$C$2:$C$630,0)),"",INDEX('Compliance Database'!$J$2:$J$630,MATCH(432,'Transfer Engine'!$C$2:$C$630,0)))</f>
        <v/>
      </c>
      <c r="K441">
        <f>IF(ISNA(MATCH(432,'Transfer Engine'!$C$2:$C$630,0)),"",INDEX('Compliance Database'!$K$2:$K$630,MATCH(432,'Transfer Engine'!$C$2:$C$630,0)))</f>
        <v/>
      </c>
      <c r="L441" s="8">
        <f>IF(ISNA(MATCH(432,'Transfer Engine'!$C$2:$C$630,0)),"",INDEX('Compliance Database'!$L$2:$L$630,MATCH(432,'Transfer Engine'!$C$2:$C$630,0)))</f>
        <v/>
      </c>
      <c r="M441" s="8">
        <f>IF(ISNA(MATCH(432,'Transfer Engine'!$C$2:$C$630,0)),"",INDEX('Compliance Database'!$M$2:$M$630,MATCH(432,'Transfer Engine'!$C$2:$C$630,0)))</f>
        <v/>
      </c>
      <c r="N441" s="8">
        <f>IF(ISNA(MATCH(432,'Transfer Engine'!$C$2:$C$630,0)),"",INDEX('Compliance Database'!$N$2:$N$630,MATCH(432,'Transfer Engine'!$C$2:$C$630,0)))</f>
        <v/>
      </c>
      <c r="O441" s="8">
        <f>IF(ISNA(MATCH(432,'Transfer Engine'!$C$2:$C$630,0)),"",INDEX('Compliance Database'!$O$2:$O$630,MATCH(432,'Transfer Engine'!$C$2:$C$630,0)))</f>
        <v/>
      </c>
    </row>
    <row r="442">
      <c r="A442">
        <f>IF(ISNA(MATCH(433,'Transfer Engine'!$C$2:$C$630,0)),"",INDEX('Compliance Database'!$A$2:$A$630,MATCH(433,'Transfer Engine'!$C$2:$C$630,0)))</f>
        <v/>
      </c>
      <c r="B442">
        <f>IF(ISNA(MATCH(433,'Transfer Engine'!$C$2:$C$630,0)),"",INDEX('Compliance Database'!$B$2:$B$630,MATCH(433,'Transfer Engine'!$C$2:$C$630,0)))</f>
        <v/>
      </c>
      <c r="C442">
        <f>IF(ISNA(MATCH(433,'Transfer Engine'!$C$2:$C$630,0)),"",INDEX('Compliance Database'!$C$2:$C$630,MATCH(433,'Transfer Engine'!$C$2:$C$630,0)))</f>
        <v/>
      </c>
      <c r="D442" s="8">
        <f>IF(ISNA(MATCH(433,'Transfer Engine'!$C$2:$C$630,0)),"",INDEX('Compliance Database'!$D$2:$D$630,MATCH(433,'Transfer Engine'!$C$2:$C$630,0)))</f>
        <v/>
      </c>
      <c r="E442">
        <f>IF(ISNA(MATCH(433,'Transfer Engine'!$C$2:$C$630,0)),"",INDEX('Compliance Database'!$E$2:$E$630,MATCH(433,'Transfer Engine'!$C$2:$C$630,0)))</f>
        <v/>
      </c>
      <c r="F442">
        <f>IF(ISNA(MATCH(433,'Transfer Engine'!$C$2:$C$630,0)),"",INDEX('Compliance Database'!$F$2:$F$630,MATCH(433,'Transfer Engine'!$C$2:$C$630,0)))</f>
        <v/>
      </c>
      <c r="G442">
        <f>IF(ISNA(MATCH(433,'Transfer Engine'!$C$2:$C$630,0)),"",INDEX('Compliance Database'!$G$2:$G$630,MATCH(433,'Transfer Engine'!$C$2:$C$630,0)))</f>
        <v/>
      </c>
      <c r="H442">
        <f>IF(ISNA(MATCH(433,'Transfer Engine'!$C$2:$C$630,0)),"",INDEX('Compliance Database'!$H$2:$H$630,MATCH(433,'Transfer Engine'!$C$2:$C$630,0)))</f>
        <v/>
      </c>
      <c r="I442" s="8">
        <f>IF(ISNA(MATCH(433,'Transfer Engine'!$C$2:$C$630,0)),"",INDEX('Compliance Database'!$I$2:$I$630,MATCH(433,'Transfer Engine'!$C$2:$C$630,0)))</f>
        <v/>
      </c>
      <c r="J442" s="8">
        <f>IF(ISNA(MATCH(433,'Transfer Engine'!$C$2:$C$630,0)),"",INDEX('Compliance Database'!$J$2:$J$630,MATCH(433,'Transfer Engine'!$C$2:$C$630,0)))</f>
        <v/>
      </c>
      <c r="K442">
        <f>IF(ISNA(MATCH(433,'Transfer Engine'!$C$2:$C$630,0)),"",INDEX('Compliance Database'!$K$2:$K$630,MATCH(433,'Transfer Engine'!$C$2:$C$630,0)))</f>
        <v/>
      </c>
      <c r="L442" s="8">
        <f>IF(ISNA(MATCH(433,'Transfer Engine'!$C$2:$C$630,0)),"",INDEX('Compliance Database'!$L$2:$L$630,MATCH(433,'Transfer Engine'!$C$2:$C$630,0)))</f>
        <v/>
      </c>
      <c r="M442" s="8">
        <f>IF(ISNA(MATCH(433,'Transfer Engine'!$C$2:$C$630,0)),"",INDEX('Compliance Database'!$M$2:$M$630,MATCH(433,'Transfer Engine'!$C$2:$C$630,0)))</f>
        <v/>
      </c>
      <c r="N442" s="8">
        <f>IF(ISNA(MATCH(433,'Transfer Engine'!$C$2:$C$630,0)),"",INDEX('Compliance Database'!$N$2:$N$630,MATCH(433,'Transfer Engine'!$C$2:$C$630,0)))</f>
        <v/>
      </c>
      <c r="O442" s="8">
        <f>IF(ISNA(MATCH(433,'Transfer Engine'!$C$2:$C$630,0)),"",INDEX('Compliance Database'!$O$2:$O$630,MATCH(433,'Transfer Engine'!$C$2:$C$630,0)))</f>
        <v/>
      </c>
    </row>
    <row r="443">
      <c r="A443">
        <f>IF(ISNA(MATCH(434,'Transfer Engine'!$C$2:$C$630,0)),"",INDEX('Compliance Database'!$A$2:$A$630,MATCH(434,'Transfer Engine'!$C$2:$C$630,0)))</f>
        <v/>
      </c>
      <c r="B443">
        <f>IF(ISNA(MATCH(434,'Transfer Engine'!$C$2:$C$630,0)),"",INDEX('Compliance Database'!$B$2:$B$630,MATCH(434,'Transfer Engine'!$C$2:$C$630,0)))</f>
        <v/>
      </c>
      <c r="C443">
        <f>IF(ISNA(MATCH(434,'Transfer Engine'!$C$2:$C$630,0)),"",INDEX('Compliance Database'!$C$2:$C$630,MATCH(434,'Transfer Engine'!$C$2:$C$630,0)))</f>
        <v/>
      </c>
      <c r="D443" s="8">
        <f>IF(ISNA(MATCH(434,'Transfer Engine'!$C$2:$C$630,0)),"",INDEX('Compliance Database'!$D$2:$D$630,MATCH(434,'Transfer Engine'!$C$2:$C$630,0)))</f>
        <v/>
      </c>
      <c r="E443">
        <f>IF(ISNA(MATCH(434,'Transfer Engine'!$C$2:$C$630,0)),"",INDEX('Compliance Database'!$E$2:$E$630,MATCH(434,'Transfer Engine'!$C$2:$C$630,0)))</f>
        <v/>
      </c>
      <c r="F443">
        <f>IF(ISNA(MATCH(434,'Transfer Engine'!$C$2:$C$630,0)),"",INDEX('Compliance Database'!$F$2:$F$630,MATCH(434,'Transfer Engine'!$C$2:$C$630,0)))</f>
        <v/>
      </c>
      <c r="G443">
        <f>IF(ISNA(MATCH(434,'Transfer Engine'!$C$2:$C$630,0)),"",INDEX('Compliance Database'!$G$2:$G$630,MATCH(434,'Transfer Engine'!$C$2:$C$630,0)))</f>
        <v/>
      </c>
      <c r="H443">
        <f>IF(ISNA(MATCH(434,'Transfer Engine'!$C$2:$C$630,0)),"",INDEX('Compliance Database'!$H$2:$H$630,MATCH(434,'Transfer Engine'!$C$2:$C$630,0)))</f>
        <v/>
      </c>
      <c r="I443" s="8">
        <f>IF(ISNA(MATCH(434,'Transfer Engine'!$C$2:$C$630,0)),"",INDEX('Compliance Database'!$I$2:$I$630,MATCH(434,'Transfer Engine'!$C$2:$C$630,0)))</f>
        <v/>
      </c>
      <c r="J443" s="8">
        <f>IF(ISNA(MATCH(434,'Transfer Engine'!$C$2:$C$630,0)),"",INDEX('Compliance Database'!$J$2:$J$630,MATCH(434,'Transfer Engine'!$C$2:$C$630,0)))</f>
        <v/>
      </c>
      <c r="K443">
        <f>IF(ISNA(MATCH(434,'Transfer Engine'!$C$2:$C$630,0)),"",INDEX('Compliance Database'!$K$2:$K$630,MATCH(434,'Transfer Engine'!$C$2:$C$630,0)))</f>
        <v/>
      </c>
      <c r="L443" s="8">
        <f>IF(ISNA(MATCH(434,'Transfer Engine'!$C$2:$C$630,0)),"",INDEX('Compliance Database'!$L$2:$L$630,MATCH(434,'Transfer Engine'!$C$2:$C$630,0)))</f>
        <v/>
      </c>
      <c r="M443" s="8">
        <f>IF(ISNA(MATCH(434,'Transfer Engine'!$C$2:$C$630,0)),"",INDEX('Compliance Database'!$M$2:$M$630,MATCH(434,'Transfer Engine'!$C$2:$C$630,0)))</f>
        <v/>
      </c>
      <c r="N443" s="8">
        <f>IF(ISNA(MATCH(434,'Transfer Engine'!$C$2:$C$630,0)),"",INDEX('Compliance Database'!$N$2:$N$630,MATCH(434,'Transfer Engine'!$C$2:$C$630,0)))</f>
        <v/>
      </c>
      <c r="O443" s="8">
        <f>IF(ISNA(MATCH(434,'Transfer Engine'!$C$2:$C$630,0)),"",INDEX('Compliance Database'!$O$2:$O$630,MATCH(434,'Transfer Engine'!$C$2:$C$630,0)))</f>
        <v/>
      </c>
    </row>
    <row r="444">
      <c r="A444">
        <f>IF(ISNA(MATCH(435,'Transfer Engine'!$C$2:$C$630,0)),"",INDEX('Compliance Database'!$A$2:$A$630,MATCH(435,'Transfer Engine'!$C$2:$C$630,0)))</f>
        <v/>
      </c>
      <c r="B444">
        <f>IF(ISNA(MATCH(435,'Transfer Engine'!$C$2:$C$630,0)),"",INDEX('Compliance Database'!$B$2:$B$630,MATCH(435,'Transfer Engine'!$C$2:$C$630,0)))</f>
        <v/>
      </c>
      <c r="C444">
        <f>IF(ISNA(MATCH(435,'Transfer Engine'!$C$2:$C$630,0)),"",INDEX('Compliance Database'!$C$2:$C$630,MATCH(435,'Transfer Engine'!$C$2:$C$630,0)))</f>
        <v/>
      </c>
      <c r="D444" s="8">
        <f>IF(ISNA(MATCH(435,'Transfer Engine'!$C$2:$C$630,0)),"",INDEX('Compliance Database'!$D$2:$D$630,MATCH(435,'Transfer Engine'!$C$2:$C$630,0)))</f>
        <v/>
      </c>
      <c r="E444">
        <f>IF(ISNA(MATCH(435,'Transfer Engine'!$C$2:$C$630,0)),"",INDEX('Compliance Database'!$E$2:$E$630,MATCH(435,'Transfer Engine'!$C$2:$C$630,0)))</f>
        <v/>
      </c>
      <c r="F444">
        <f>IF(ISNA(MATCH(435,'Transfer Engine'!$C$2:$C$630,0)),"",INDEX('Compliance Database'!$F$2:$F$630,MATCH(435,'Transfer Engine'!$C$2:$C$630,0)))</f>
        <v/>
      </c>
      <c r="G444">
        <f>IF(ISNA(MATCH(435,'Transfer Engine'!$C$2:$C$630,0)),"",INDEX('Compliance Database'!$G$2:$G$630,MATCH(435,'Transfer Engine'!$C$2:$C$630,0)))</f>
        <v/>
      </c>
      <c r="H444">
        <f>IF(ISNA(MATCH(435,'Transfer Engine'!$C$2:$C$630,0)),"",INDEX('Compliance Database'!$H$2:$H$630,MATCH(435,'Transfer Engine'!$C$2:$C$630,0)))</f>
        <v/>
      </c>
      <c r="I444" s="8">
        <f>IF(ISNA(MATCH(435,'Transfer Engine'!$C$2:$C$630,0)),"",INDEX('Compliance Database'!$I$2:$I$630,MATCH(435,'Transfer Engine'!$C$2:$C$630,0)))</f>
        <v/>
      </c>
      <c r="J444" s="8">
        <f>IF(ISNA(MATCH(435,'Transfer Engine'!$C$2:$C$630,0)),"",INDEX('Compliance Database'!$J$2:$J$630,MATCH(435,'Transfer Engine'!$C$2:$C$630,0)))</f>
        <v/>
      </c>
      <c r="K444">
        <f>IF(ISNA(MATCH(435,'Transfer Engine'!$C$2:$C$630,0)),"",INDEX('Compliance Database'!$K$2:$K$630,MATCH(435,'Transfer Engine'!$C$2:$C$630,0)))</f>
        <v/>
      </c>
      <c r="L444" s="8">
        <f>IF(ISNA(MATCH(435,'Transfer Engine'!$C$2:$C$630,0)),"",INDEX('Compliance Database'!$L$2:$L$630,MATCH(435,'Transfer Engine'!$C$2:$C$630,0)))</f>
        <v/>
      </c>
      <c r="M444" s="8">
        <f>IF(ISNA(MATCH(435,'Transfer Engine'!$C$2:$C$630,0)),"",INDEX('Compliance Database'!$M$2:$M$630,MATCH(435,'Transfer Engine'!$C$2:$C$630,0)))</f>
        <v/>
      </c>
      <c r="N444" s="8">
        <f>IF(ISNA(MATCH(435,'Transfer Engine'!$C$2:$C$630,0)),"",INDEX('Compliance Database'!$N$2:$N$630,MATCH(435,'Transfer Engine'!$C$2:$C$630,0)))</f>
        <v/>
      </c>
      <c r="O444" s="8">
        <f>IF(ISNA(MATCH(435,'Transfer Engine'!$C$2:$C$630,0)),"",INDEX('Compliance Database'!$O$2:$O$630,MATCH(435,'Transfer Engine'!$C$2:$C$630,0)))</f>
        <v/>
      </c>
    </row>
    <row r="445">
      <c r="A445">
        <f>IF(ISNA(MATCH(436,'Transfer Engine'!$C$2:$C$630,0)),"",INDEX('Compliance Database'!$A$2:$A$630,MATCH(436,'Transfer Engine'!$C$2:$C$630,0)))</f>
        <v/>
      </c>
      <c r="B445">
        <f>IF(ISNA(MATCH(436,'Transfer Engine'!$C$2:$C$630,0)),"",INDEX('Compliance Database'!$B$2:$B$630,MATCH(436,'Transfer Engine'!$C$2:$C$630,0)))</f>
        <v/>
      </c>
      <c r="C445">
        <f>IF(ISNA(MATCH(436,'Transfer Engine'!$C$2:$C$630,0)),"",INDEX('Compliance Database'!$C$2:$C$630,MATCH(436,'Transfer Engine'!$C$2:$C$630,0)))</f>
        <v/>
      </c>
      <c r="D445" s="8">
        <f>IF(ISNA(MATCH(436,'Transfer Engine'!$C$2:$C$630,0)),"",INDEX('Compliance Database'!$D$2:$D$630,MATCH(436,'Transfer Engine'!$C$2:$C$630,0)))</f>
        <v/>
      </c>
      <c r="E445">
        <f>IF(ISNA(MATCH(436,'Transfer Engine'!$C$2:$C$630,0)),"",INDEX('Compliance Database'!$E$2:$E$630,MATCH(436,'Transfer Engine'!$C$2:$C$630,0)))</f>
        <v/>
      </c>
      <c r="F445">
        <f>IF(ISNA(MATCH(436,'Transfer Engine'!$C$2:$C$630,0)),"",INDEX('Compliance Database'!$F$2:$F$630,MATCH(436,'Transfer Engine'!$C$2:$C$630,0)))</f>
        <v/>
      </c>
      <c r="G445">
        <f>IF(ISNA(MATCH(436,'Transfer Engine'!$C$2:$C$630,0)),"",INDEX('Compliance Database'!$G$2:$G$630,MATCH(436,'Transfer Engine'!$C$2:$C$630,0)))</f>
        <v/>
      </c>
      <c r="H445">
        <f>IF(ISNA(MATCH(436,'Transfer Engine'!$C$2:$C$630,0)),"",INDEX('Compliance Database'!$H$2:$H$630,MATCH(436,'Transfer Engine'!$C$2:$C$630,0)))</f>
        <v/>
      </c>
      <c r="I445" s="8">
        <f>IF(ISNA(MATCH(436,'Transfer Engine'!$C$2:$C$630,0)),"",INDEX('Compliance Database'!$I$2:$I$630,MATCH(436,'Transfer Engine'!$C$2:$C$630,0)))</f>
        <v/>
      </c>
      <c r="J445" s="8">
        <f>IF(ISNA(MATCH(436,'Transfer Engine'!$C$2:$C$630,0)),"",INDEX('Compliance Database'!$J$2:$J$630,MATCH(436,'Transfer Engine'!$C$2:$C$630,0)))</f>
        <v/>
      </c>
      <c r="K445">
        <f>IF(ISNA(MATCH(436,'Transfer Engine'!$C$2:$C$630,0)),"",INDEX('Compliance Database'!$K$2:$K$630,MATCH(436,'Transfer Engine'!$C$2:$C$630,0)))</f>
        <v/>
      </c>
      <c r="L445" s="8">
        <f>IF(ISNA(MATCH(436,'Transfer Engine'!$C$2:$C$630,0)),"",INDEX('Compliance Database'!$L$2:$L$630,MATCH(436,'Transfer Engine'!$C$2:$C$630,0)))</f>
        <v/>
      </c>
      <c r="M445" s="8">
        <f>IF(ISNA(MATCH(436,'Transfer Engine'!$C$2:$C$630,0)),"",INDEX('Compliance Database'!$M$2:$M$630,MATCH(436,'Transfer Engine'!$C$2:$C$630,0)))</f>
        <v/>
      </c>
      <c r="N445" s="8">
        <f>IF(ISNA(MATCH(436,'Transfer Engine'!$C$2:$C$630,0)),"",INDEX('Compliance Database'!$N$2:$N$630,MATCH(436,'Transfer Engine'!$C$2:$C$630,0)))</f>
        <v/>
      </c>
      <c r="O445" s="8">
        <f>IF(ISNA(MATCH(436,'Transfer Engine'!$C$2:$C$630,0)),"",INDEX('Compliance Database'!$O$2:$O$630,MATCH(436,'Transfer Engine'!$C$2:$C$630,0)))</f>
        <v/>
      </c>
    </row>
    <row r="446">
      <c r="A446">
        <f>IF(ISNA(MATCH(437,'Transfer Engine'!$C$2:$C$630,0)),"",INDEX('Compliance Database'!$A$2:$A$630,MATCH(437,'Transfer Engine'!$C$2:$C$630,0)))</f>
        <v/>
      </c>
      <c r="B446">
        <f>IF(ISNA(MATCH(437,'Transfer Engine'!$C$2:$C$630,0)),"",INDEX('Compliance Database'!$B$2:$B$630,MATCH(437,'Transfer Engine'!$C$2:$C$630,0)))</f>
        <v/>
      </c>
      <c r="C446">
        <f>IF(ISNA(MATCH(437,'Transfer Engine'!$C$2:$C$630,0)),"",INDEX('Compliance Database'!$C$2:$C$630,MATCH(437,'Transfer Engine'!$C$2:$C$630,0)))</f>
        <v/>
      </c>
      <c r="D446" s="8">
        <f>IF(ISNA(MATCH(437,'Transfer Engine'!$C$2:$C$630,0)),"",INDEX('Compliance Database'!$D$2:$D$630,MATCH(437,'Transfer Engine'!$C$2:$C$630,0)))</f>
        <v/>
      </c>
      <c r="E446">
        <f>IF(ISNA(MATCH(437,'Transfer Engine'!$C$2:$C$630,0)),"",INDEX('Compliance Database'!$E$2:$E$630,MATCH(437,'Transfer Engine'!$C$2:$C$630,0)))</f>
        <v/>
      </c>
      <c r="F446">
        <f>IF(ISNA(MATCH(437,'Transfer Engine'!$C$2:$C$630,0)),"",INDEX('Compliance Database'!$F$2:$F$630,MATCH(437,'Transfer Engine'!$C$2:$C$630,0)))</f>
        <v/>
      </c>
      <c r="G446">
        <f>IF(ISNA(MATCH(437,'Transfer Engine'!$C$2:$C$630,0)),"",INDEX('Compliance Database'!$G$2:$G$630,MATCH(437,'Transfer Engine'!$C$2:$C$630,0)))</f>
        <v/>
      </c>
      <c r="H446">
        <f>IF(ISNA(MATCH(437,'Transfer Engine'!$C$2:$C$630,0)),"",INDEX('Compliance Database'!$H$2:$H$630,MATCH(437,'Transfer Engine'!$C$2:$C$630,0)))</f>
        <v/>
      </c>
      <c r="I446" s="8">
        <f>IF(ISNA(MATCH(437,'Transfer Engine'!$C$2:$C$630,0)),"",INDEX('Compliance Database'!$I$2:$I$630,MATCH(437,'Transfer Engine'!$C$2:$C$630,0)))</f>
        <v/>
      </c>
      <c r="J446" s="8">
        <f>IF(ISNA(MATCH(437,'Transfer Engine'!$C$2:$C$630,0)),"",INDEX('Compliance Database'!$J$2:$J$630,MATCH(437,'Transfer Engine'!$C$2:$C$630,0)))</f>
        <v/>
      </c>
      <c r="K446">
        <f>IF(ISNA(MATCH(437,'Transfer Engine'!$C$2:$C$630,0)),"",INDEX('Compliance Database'!$K$2:$K$630,MATCH(437,'Transfer Engine'!$C$2:$C$630,0)))</f>
        <v/>
      </c>
      <c r="L446" s="8">
        <f>IF(ISNA(MATCH(437,'Transfer Engine'!$C$2:$C$630,0)),"",INDEX('Compliance Database'!$L$2:$L$630,MATCH(437,'Transfer Engine'!$C$2:$C$630,0)))</f>
        <v/>
      </c>
      <c r="M446" s="8">
        <f>IF(ISNA(MATCH(437,'Transfer Engine'!$C$2:$C$630,0)),"",INDEX('Compliance Database'!$M$2:$M$630,MATCH(437,'Transfer Engine'!$C$2:$C$630,0)))</f>
        <v/>
      </c>
      <c r="N446" s="8">
        <f>IF(ISNA(MATCH(437,'Transfer Engine'!$C$2:$C$630,0)),"",INDEX('Compliance Database'!$N$2:$N$630,MATCH(437,'Transfer Engine'!$C$2:$C$630,0)))</f>
        <v/>
      </c>
      <c r="O446" s="8">
        <f>IF(ISNA(MATCH(437,'Transfer Engine'!$C$2:$C$630,0)),"",INDEX('Compliance Database'!$O$2:$O$630,MATCH(437,'Transfer Engine'!$C$2:$C$630,0)))</f>
        <v/>
      </c>
    </row>
    <row r="447">
      <c r="A447">
        <f>IF(ISNA(MATCH(438,'Transfer Engine'!$C$2:$C$630,0)),"",INDEX('Compliance Database'!$A$2:$A$630,MATCH(438,'Transfer Engine'!$C$2:$C$630,0)))</f>
        <v/>
      </c>
      <c r="B447">
        <f>IF(ISNA(MATCH(438,'Transfer Engine'!$C$2:$C$630,0)),"",INDEX('Compliance Database'!$B$2:$B$630,MATCH(438,'Transfer Engine'!$C$2:$C$630,0)))</f>
        <v/>
      </c>
      <c r="C447">
        <f>IF(ISNA(MATCH(438,'Transfer Engine'!$C$2:$C$630,0)),"",INDEX('Compliance Database'!$C$2:$C$630,MATCH(438,'Transfer Engine'!$C$2:$C$630,0)))</f>
        <v/>
      </c>
      <c r="D447" s="8">
        <f>IF(ISNA(MATCH(438,'Transfer Engine'!$C$2:$C$630,0)),"",INDEX('Compliance Database'!$D$2:$D$630,MATCH(438,'Transfer Engine'!$C$2:$C$630,0)))</f>
        <v/>
      </c>
      <c r="E447">
        <f>IF(ISNA(MATCH(438,'Transfer Engine'!$C$2:$C$630,0)),"",INDEX('Compliance Database'!$E$2:$E$630,MATCH(438,'Transfer Engine'!$C$2:$C$630,0)))</f>
        <v/>
      </c>
      <c r="F447">
        <f>IF(ISNA(MATCH(438,'Transfer Engine'!$C$2:$C$630,0)),"",INDEX('Compliance Database'!$F$2:$F$630,MATCH(438,'Transfer Engine'!$C$2:$C$630,0)))</f>
        <v/>
      </c>
      <c r="G447">
        <f>IF(ISNA(MATCH(438,'Transfer Engine'!$C$2:$C$630,0)),"",INDEX('Compliance Database'!$G$2:$G$630,MATCH(438,'Transfer Engine'!$C$2:$C$630,0)))</f>
        <v/>
      </c>
      <c r="H447">
        <f>IF(ISNA(MATCH(438,'Transfer Engine'!$C$2:$C$630,0)),"",INDEX('Compliance Database'!$H$2:$H$630,MATCH(438,'Transfer Engine'!$C$2:$C$630,0)))</f>
        <v/>
      </c>
      <c r="I447" s="8">
        <f>IF(ISNA(MATCH(438,'Transfer Engine'!$C$2:$C$630,0)),"",INDEX('Compliance Database'!$I$2:$I$630,MATCH(438,'Transfer Engine'!$C$2:$C$630,0)))</f>
        <v/>
      </c>
      <c r="J447" s="8">
        <f>IF(ISNA(MATCH(438,'Transfer Engine'!$C$2:$C$630,0)),"",INDEX('Compliance Database'!$J$2:$J$630,MATCH(438,'Transfer Engine'!$C$2:$C$630,0)))</f>
        <v/>
      </c>
      <c r="K447">
        <f>IF(ISNA(MATCH(438,'Transfer Engine'!$C$2:$C$630,0)),"",INDEX('Compliance Database'!$K$2:$K$630,MATCH(438,'Transfer Engine'!$C$2:$C$630,0)))</f>
        <v/>
      </c>
      <c r="L447" s="8">
        <f>IF(ISNA(MATCH(438,'Transfer Engine'!$C$2:$C$630,0)),"",INDEX('Compliance Database'!$L$2:$L$630,MATCH(438,'Transfer Engine'!$C$2:$C$630,0)))</f>
        <v/>
      </c>
      <c r="M447" s="8">
        <f>IF(ISNA(MATCH(438,'Transfer Engine'!$C$2:$C$630,0)),"",INDEX('Compliance Database'!$M$2:$M$630,MATCH(438,'Transfer Engine'!$C$2:$C$630,0)))</f>
        <v/>
      </c>
      <c r="N447" s="8">
        <f>IF(ISNA(MATCH(438,'Transfer Engine'!$C$2:$C$630,0)),"",INDEX('Compliance Database'!$N$2:$N$630,MATCH(438,'Transfer Engine'!$C$2:$C$630,0)))</f>
        <v/>
      </c>
      <c r="O447" s="8">
        <f>IF(ISNA(MATCH(438,'Transfer Engine'!$C$2:$C$630,0)),"",INDEX('Compliance Database'!$O$2:$O$630,MATCH(438,'Transfer Engine'!$C$2:$C$630,0)))</f>
        <v/>
      </c>
    </row>
    <row r="448">
      <c r="A448">
        <f>IF(ISNA(MATCH(439,'Transfer Engine'!$C$2:$C$630,0)),"",INDEX('Compliance Database'!$A$2:$A$630,MATCH(439,'Transfer Engine'!$C$2:$C$630,0)))</f>
        <v/>
      </c>
      <c r="B448">
        <f>IF(ISNA(MATCH(439,'Transfer Engine'!$C$2:$C$630,0)),"",INDEX('Compliance Database'!$B$2:$B$630,MATCH(439,'Transfer Engine'!$C$2:$C$630,0)))</f>
        <v/>
      </c>
      <c r="C448">
        <f>IF(ISNA(MATCH(439,'Transfer Engine'!$C$2:$C$630,0)),"",INDEX('Compliance Database'!$C$2:$C$630,MATCH(439,'Transfer Engine'!$C$2:$C$630,0)))</f>
        <v/>
      </c>
      <c r="D448" s="8">
        <f>IF(ISNA(MATCH(439,'Transfer Engine'!$C$2:$C$630,0)),"",INDEX('Compliance Database'!$D$2:$D$630,MATCH(439,'Transfer Engine'!$C$2:$C$630,0)))</f>
        <v/>
      </c>
      <c r="E448">
        <f>IF(ISNA(MATCH(439,'Transfer Engine'!$C$2:$C$630,0)),"",INDEX('Compliance Database'!$E$2:$E$630,MATCH(439,'Transfer Engine'!$C$2:$C$630,0)))</f>
        <v/>
      </c>
      <c r="F448">
        <f>IF(ISNA(MATCH(439,'Transfer Engine'!$C$2:$C$630,0)),"",INDEX('Compliance Database'!$F$2:$F$630,MATCH(439,'Transfer Engine'!$C$2:$C$630,0)))</f>
        <v/>
      </c>
      <c r="G448">
        <f>IF(ISNA(MATCH(439,'Transfer Engine'!$C$2:$C$630,0)),"",INDEX('Compliance Database'!$G$2:$G$630,MATCH(439,'Transfer Engine'!$C$2:$C$630,0)))</f>
        <v/>
      </c>
      <c r="H448">
        <f>IF(ISNA(MATCH(439,'Transfer Engine'!$C$2:$C$630,0)),"",INDEX('Compliance Database'!$H$2:$H$630,MATCH(439,'Transfer Engine'!$C$2:$C$630,0)))</f>
        <v/>
      </c>
      <c r="I448" s="8">
        <f>IF(ISNA(MATCH(439,'Transfer Engine'!$C$2:$C$630,0)),"",INDEX('Compliance Database'!$I$2:$I$630,MATCH(439,'Transfer Engine'!$C$2:$C$630,0)))</f>
        <v/>
      </c>
      <c r="J448" s="8">
        <f>IF(ISNA(MATCH(439,'Transfer Engine'!$C$2:$C$630,0)),"",INDEX('Compliance Database'!$J$2:$J$630,MATCH(439,'Transfer Engine'!$C$2:$C$630,0)))</f>
        <v/>
      </c>
      <c r="K448">
        <f>IF(ISNA(MATCH(439,'Transfer Engine'!$C$2:$C$630,0)),"",INDEX('Compliance Database'!$K$2:$K$630,MATCH(439,'Transfer Engine'!$C$2:$C$630,0)))</f>
        <v/>
      </c>
      <c r="L448" s="8">
        <f>IF(ISNA(MATCH(439,'Transfer Engine'!$C$2:$C$630,0)),"",INDEX('Compliance Database'!$L$2:$L$630,MATCH(439,'Transfer Engine'!$C$2:$C$630,0)))</f>
        <v/>
      </c>
      <c r="M448" s="8">
        <f>IF(ISNA(MATCH(439,'Transfer Engine'!$C$2:$C$630,0)),"",INDEX('Compliance Database'!$M$2:$M$630,MATCH(439,'Transfer Engine'!$C$2:$C$630,0)))</f>
        <v/>
      </c>
      <c r="N448" s="8">
        <f>IF(ISNA(MATCH(439,'Transfer Engine'!$C$2:$C$630,0)),"",INDEX('Compliance Database'!$N$2:$N$630,MATCH(439,'Transfer Engine'!$C$2:$C$630,0)))</f>
        <v/>
      </c>
      <c r="O448" s="8">
        <f>IF(ISNA(MATCH(439,'Transfer Engine'!$C$2:$C$630,0)),"",INDEX('Compliance Database'!$O$2:$O$630,MATCH(439,'Transfer Engine'!$C$2:$C$630,0)))</f>
        <v/>
      </c>
    </row>
    <row r="449">
      <c r="A449">
        <f>IF(ISNA(MATCH(440,'Transfer Engine'!$C$2:$C$630,0)),"",INDEX('Compliance Database'!$A$2:$A$630,MATCH(440,'Transfer Engine'!$C$2:$C$630,0)))</f>
        <v/>
      </c>
      <c r="B449">
        <f>IF(ISNA(MATCH(440,'Transfer Engine'!$C$2:$C$630,0)),"",INDEX('Compliance Database'!$B$2:$B$630,MATCH(440,'Transfer Engine'!$C$2:$C$630,0)))</f>
        <v/>
      </c>
      <c r="C449">
        <f>IF(ISNA(MATCH(440,'Transfer Engine'!$C$2:$C$630,0)),"",INDEX('Compliance Database'!$C$2:$C$630,MATCH(440,'Transfer Engine'!$C$2:$C$630,0)))</f>
        <v/>
      </c>
      <c r="D449" s="8">
        <f>IF(ISNA(MATCH(440,'Transfer Engine'!$C$2:$C$630,0)),"",INDEX('Compliance Database'!$D$2:$D$630,MATCH(440,'Transfer Engine'!$C$2:$C$630,0)))</f>
        <v/>
      </c>
      <c r="E449">
        <f>IF(ISNA(MATCH(440,'Transfer Engine'!$C$2:$C$630,0)),"",INDEX('Compliance Database'!$E$2:$E$630,MATCH(440,'Transfer Engine'!$C$2:$C$630,0)))</f>
        <v/>
      </c>
      <c r="F449">
        <f>IF(ISNA(MATCH(440,'Transfer Engine'!$C$2:$C$630,0)),"",INDEX('Compliance Database'!$F$2:$F$630,MATCH(440,'Transfer Engine'!$C$2:$C$630,0)))</f>
        <v/>
      </c>
      <c r="G449">
        <f>IF(ISNA(MATCH(440,'Transfer Engine'!$C$2:$C$630,0)),"",INDEX('Compliance Database'!$G$2:$G$630,MATCH(440,'Transfer Engine'!$C$2:$C$630,0)))</f>
        <v/>
      </c>
      <c r="H449">
        <f>IF(ISNA(MATCH(440,'Transfer Engine'!$C$2:$C$630,0)),"",INDEX('Compliance Database'!$H$2:$H$630,MATCH(440,'Transfer Engine'!$C$2:$C$630,0)))</f>
        <v/>
      </c>
      <c r="I449" s="8">
        <f>IF(ISNA(MATCH(440,'Transfer Engine'!$C$2:$C$630,0)),"",INDEX('Compliance Database'!$I$2:$I$630,MATCH(440,'Transfer Engine'!$C$2:$C$630,0)))</f>
        <v/>
      </c>
      <c r="J449" s="8">
        <f>IF(ISNA(MATCH(440,'Transfer Engine'!$C$2:$C$630,0)),"",INDEX('Compliance Database'!$J$2:$J$630,MATCH(440,'Transfer Engine'!$C$2:$C$630,0)))</f>
        <v/>
      </c>
      <c r="K449">
        <f>IF(ISNA(MATCH(440,'Transfer Engine'!$C$2:$C$630,0)),"",INDEX('Compliance Database'!$K$2:$K$630,MATCH(440,'Transfer Engine'!$C$2:$C$630,0)))</f>
        <v/>
      </c>
      <c r="L449" s="8">
        <f>IF(ISNA(MATCH(440,'Transfer Engine'!$C$2:$C$630,0)),"",INDEX('Compliance Database'!$L$2:$L$630,MATCH(440,'Transfer Engine'!$C$2:$C$630,0)))</f>
        <v/>
      </c>
      <c r="M449" s="8">
        <f>IF(ISNA(MATCH(440,'Transfer Engine'!$C$2:$C$630,0)),"",INDEX('Compliance Database'!$M$2:$M$630,MATCH(440,'Transfer Engine'!$C$2:$C$630,0)))</f>
        <v/>
      </c>
      <c r="N449" s="8">
        <f>IF(ISNA(MATCH(440,'Transfer Engine'!$C$2:$C$630,0)),"",INDEX('Compliance Database'!$N$2:$N$630,MATCH(440,'Transfer Engine'!$C$2:$C$630,0)))</f>
        <v/>
      </c>
      <c r="O449" s="8">
        <f>IF(ISNA(MATCH(440,'Transfer Engine'!$C$2:$C$630,0)),"",INDEX('Compliance Database'!$O$2:$O$630,MATCH(440,'Transfer Engine'!$C$2:$C$630,0)))</f>
        <v/>
      </c>
    </row>
    <row r="450">
      <c r="A450">
        <f>IF(ISNA(MATCH(441,'Transfer Engine'!$C$2:$C$630,0)),"",INDEX('Compliance Database'!$A$2:$A$630,MATCH(441,'Transfer Engine'!$C$2:$C$630,0)))</f>
        <v/>
      </c>
      <c r="B450">
        <f>IF(ISNA(MATCH(441,'Transfer Engine'!$C$2:$C$630,0)),"",INDEX('Compliance Database'!$B$2:$B$630,MATCH(441,'Transfer Engine'!$C$2:$C$630,0)))</f>
        <v/>
      </c>
      <c r="C450">
        <f>IF(ISNA(MATCH(441,'Transfer Engine'!$C$2:$C$630,0)),"",INDEX('Compliance Database'!$C$2:$C$630,MATCH(441,'Transfer Engine'!$C$2:$C$630,0)))</f>
        <v/>
      </c>
      <c r="D450" s="8">
        <f>IF(ISNA(MATCH(441,'Transfer Engine'!$C$2:$C$630,0)),"",INDEX('Compliance Database'!$D$2:$D$630,MATCH(441,'Transfer Engine'!$C$2:$C$630,0)))</f>
        <v/>
      </c>
      <c r="E450">
        <f>IF(ISNA(MATCH(441,'Transfer Engine'!$C$2:$C$630,0)),"",INDEX('Compliance Database'!$E$2:$E$630,MATCH(441,'Transfer Engine'!$C$2:$C$630,0)))</f>
        <v/>
      </c>
      <c r="F450">
        <f>IF(ISNA(MATCH(441,'Transfer Engine'!$C$2:$C$630,0)),"",INDEX('Compliance Database'!$F$2:$F$630,MATCH(441,'Transfer Engine'!$C$2:$C$630,0)))</f>
        <v/>
      </c>
      <c r="G450">
        <f>IF(ISNA(MATCH(441,'Transfer Engine'!$C$2:$C$630,0)),"",INDEX('Compliance Database'!$G$2:$G$630,MATCH(441,'Transfer Engine'!$C$2:$C$630,0)))</f>
        <v/>
      </c>
      <c r="H450">
        <f>IF(ISNA(MATCH(441,'Transfer Engine'!$C$2:$C$630,0)),"",INDEX('Compliance Database'!$H$2:$H$630,MATCH(441,'Transfer Engine'!$C$2:$C$630,0)))</f>
        <v/>
      </c>
      <c r="I450" s="8">
        <f>IF(ISNA(MATCH(441,'Transfer Engine'!$C$2:$C$630,0)),"",INDEX('Compliance Database'!$I$2:$I$630,MATCH(441,'Transfer Engine'!$C$2:$C$630,0)))</f>
        <v/>
      </c>
      <c r="J450" s="8">
        <f>IF(ISNA(MATCH(441,'Transfer Engine'!$C$2:$C$630,0)),"",INDEX('Compliance Database'!$J$2:$J$630,MATCH(441,'Transfer Engine'!$C$2:$C$630,0)))</f>
        <v/>
      </c>
      <c r="K450">
        <f>IF(ISNA(MATCH(441,'Transfer Engine'!$C$2:$C$630,0)),"",INDEX('Compliance Database'!$K$2:$K$630,MATCH(441,'Transfer Engine'!$C$2:$C$630,0)))</f>
        <v/>
      </c>
      <c r="L450" s="8">
        <f>IF(ISNA(MATCH(441,'Transfer Engine'!$C$2:$C$630,0)),"",INDEX('Compliance Database'!$L$2:$L$630,MATCH(441,'Transfer Engine'!$C$2:$C$630,0)))</f>
        <v/>
      </c>
      <c r="M450" s="8">
        <f>IF(ISNA(MATCH(441,'Transfer Engine'!$C$2:$C$630,0)),"",INDEX('Compliance Database'!$M$2:$M$630,MATCH(441,'Transfer Engine'!$C$2:$C$630,0)))</f>
        <v/>
      </c>
      <c r="N450" s="8">
        <f>IF(ISNA(MATCH(441,'Transfer Engine'!$C$2:$C$630,0)),"",INDEX('Compliance Database'!$N$2:$N$630,MATCH(441,'Transfer Engine'!$C$2:$C$630,0)))</f>
        <v/>
      </c>
      <c r="O450" s="8">
        <f>IF(ISNA(MATCH(441,'Transfer Engine'!$C$2:$C$630,0)),"",INDEX('Compliance Database'!$O$2:$O$630,MATCH(441,'Transfer Engine'!$C$2:$C$630,0)))</f>
        <v/>
      </c>
    </row>
    <row r="451">
      <c r="A451">
        <f>IF(ISNA(MATCH(442,'Transfer Engine'!$C$2:$C$630,0)),"",INDEX('Compliance Database'!$A$2:$A$630,MATCH(442,'Transfer Engine'!$C$2:$C$630,0)))</f>
        <v/>
      </c>
      <c r="B451">
        <f>IF(ISNA(MATCH(442,'Transfer Engine'!$C$2:$C$630,0)),"",INDEX('Compliance Database'!$B$2:$B$630,MATCH(442,'Transfer Engine'!$C$2:$C$630,0)))</f>
        <v/>
      </c>
      <c r="C451">
        <f>IF(ISNA(MATCH(442,'Transfer Engine'!$C$2:$C$630,0)),"",INDEX('Compliance Database'!$C$2:$C$630,MATCH(442,'Transfer Engine'!$C$2:$C$630,0)))</f>
        <v/>
      </c>
      <c r="D451" s="8">
        <f>IF(ISNA(MATCH(442,'Transfer Engine'!$C$2:$C$630,0)),"",INDEX('Compliance Database'!$D$2:$D$630,MATCH(442,'Transfer Engine'!$C$2:$C$630,0)))</f>
        <v/>
      </c>
      <c r="E451">
        <f>IF(ISNA(MATCH(442,'Transfer Engine'!$C$2:$C$630,0)),"",INDEX('Compliance Database'!$E$2:$E$630,MATCH(442,'Transfer Engine'!$C$2:$C$630,0)))</f>
        <v/>
      </c>
      <c r="F451">
        <f>IF(ISNA(MATCH(442,'Transfer Engine'!$C$2:$C$630,0)),"",INDEX('Compliance Database'!$F$2:$F$630,MATCH(442,'Transfer Engine'!$C$2:$C$630,0)))</f>
        <v/>
      </c>
      <c r="G451">
        <f>IF(ISNA(MATCH(442,'Transfer Engine'!$C$2:$C$630,0)),"",INDEX('Compliance Database'!$G$2:$G$630,MATCH(442,'Transfer Engine'!$C$2:$C$630,0)))</f>
        <v/>
      </c>
      <c r="H451">
        <f>IF(ISNA(MATCH(442,'Transfer Engine'!$C$2:$C$630,0)),"",INDEX('Compliance Database'!$H$2:$H$630,MATCH(442,'Transfer Engine'!$C$2:$C$630,0)))</f>
        <v/>
      </c>
      <c r="I451" s="8">
        <f>IF(ISNA(MATCH(442,'Transfer Engine'!$C$2:$C$630,0)),"",INDEX('Compliance Database'!$I$2:$I$630,MATCH(442,'Transfer Engine'!$C$2:$C$630,0)))</f>
        <v/>
      </c>
      <c r="J451" s="8">
        <f>IF(ISNA(MATCH(442,'Transfer Engine'!$C$2:$C$630,0)),"",INDEX('Compliance Database'!$J$2:$J$630,MATCH(442,'Transfer Engine'!$C$2:$C$630,0)))</f>
        <v/>
      </c>
      <c r="K451">
        <f>IF(ISNA(MATCH(442,'Transfer Engine'!$C$2:$C$630,0)),"",INDEX('Compliance Database'!$K$2:$K$630,MATCH(442,'Transfer Engine'!$C$2:$C$630,0)))</f>
        <v/>
      </c>
      <c r="L451" s="8">
        <f>IF(ISNA(MATCH(442,'Transfer Engine'!$C$2:$C$630,0)),"",INDEX('Compliance Database'!$L$2:$L$630,MATCH(442,'Transfer Engine'!$C$2:$C$630,0)))</f>
        <v/>
      </c>
      <c r="M451" s="8">
        <f>IF(ISNA(MATCH(442,'Transfer Engine'!$C$2:$C$630,0)),"",INDEX('Compliance Database'!$M$2:$M$630,MATCH(442,'Transfer Engine'!$C$2:$C$630,0)))</f>
        <v/>
      </c>
      <c r="N451" s="8">
        <f>IF(ISNA(MATCH(442,'Transfer Engine'!$C$2:$C$630,0)),"",INDEX('Compliance Database'!$N$2:$N$630,MATCH(442,'Transfer Engine'!$C$2:$C$630,0)))</f>
        <v/>
      </c>
      <c r="O451" s="8">
        <f>IF(ISNA(MATCH(442,'Transfer Engine'!$C$2:$C$630,0)),"",INDEX('Compliance Database'!$O$2:$O$630,MATCH(442,'Transfer Engine'!$C$2:$C$630,0)))</f>
        <v/>
      </c>
    </row>
    <row r="452">
      <c r="A452">
        <f>IF(ISNA(MATCH(443,'Transfer Engine'!$C$2:$C$630,0)),"",INDEX('Compliance Database'!$A$2:$A$630,MATCH(443,'Transfer Engine'!$C$2:$C$630,0)))</f>
        <v/>
      </c>
      <c r="B452">
        <f>IF(ISNA(MATCH(443,'Transfer Engine'!$C$2:$C$630,0)),"",INDEX('Compliance Database'!$B$2:$B$630,MATCH(443,'Transfer Engine'!$C$2:$C$630,0)))</f>
        <v/>
      </c>
      <c r="C452">
        <f>IF(ISNA(MATCH(443,'Transfer Engine'!$C$2:$C$630,0)),"",INDEX('Compliance Database'!$C$2:$C$630,MATCH(443,'Transfer Engine'!$C$2:$C$630,0)))</f>
        <v/>
      </c>
      <c r="D452" s="8">
        <f>IF(ISNA(MATCH(443,'Transfer Engine'!$C$2:$C$630,0)),"",INDEX('Compliance Database'!$D$2:$D$630,MATCH(443,'Transfer Engine'!$C$2:$C$630,0)))</f>
        <v/>
      </c>
      <c r="E452">
        <f>IF(ISNA(MATCH(443,'Transfer Engine'!$C$2:$C$630,0)),"",INDEX('Compliance Database'!$E$2:$E$630,MATCH(443,'Transfer Engine'!$C$2:$C$630,0)))</f>
        <v/>
      </c>
      <c r="F452">
        <f>IF(ISNA(MATCH(443,'Transfer Engine'!$C$2:$C$630,0)),"",INDEX('Compliance Database'!$F$2:$F$630,MATCH(443,'Transfer Engine'!$C$2:$C$630,0)))</f>
        <v/>
      </c>
      <c r="G452">
        <f>IF(ISNA(MATCH(443,'Transfer Engine'!$C$2:$C$630,0)),"",INDEX('Compliance Database'!$G$2:$G$630,MATCH(443,'Transfer Engine'!$C$2:$C$630,0)))</f>
        <v/>
      </c>
      <c r="H452">
        <f>IF(ISNA(MATCH(443,'Transfer Engine'!$C$2:$C$630,0)),"",INDEX('Compliance Database'!$H$2:$H$630,MATCH(443,'Transfer Engine'!$C$2:$C$630,0)))</f>
        <v/>
      </c>
      <c r="I452" s="8">
        <f>IF(ISNA(MATCH(443,'Transfer Engine'!$C$2:$C$630,0)),"",INDEX('Compliance Database'!$I$2:$I$630,MATCH(443,'Transfer Engine'!$C$2:$C$630,0)))</f>
        <v/>
      </c>
      <c r="J452" s="8">
        <f>IF(ISNA(MATCH(443,'Transfer Engine'!$C$2:$C$630,0)),"",INDEX('Compliance Database'!$J$2:$J$630,MATCH(443,'Transfer Engine'!$C$2:$C$630,0)))</f>
        <v/>
      </c>
      <c r="K452">
        <f>IF(ISNA(MATCH(443,'Transfer Engine'!$C$2:$C$630,0)),"",INDEX('Compliance Database'!$K$2:$K$630,MATCH(443,'Transfer Engine'!$C$2:$C$630,0)))</f>
        <v/>
      </c>
      <c r="L452" s="8">
        <f>IF(ISNA(MATCH(443,'Transfer Engine'!$C$2:$C$630,0)),"",INDEX('Compliance Database'!$L$2:$L$630,MATCH(443,'Transfer Engine'!$C$2:$C$630,0)))</f>
        <v/>
      </c>
      <c r="M452" s="8">
        <f>IF(ISNA(MATCH(443,'Transfer Engine'!$C$2:$C$630,0)),"",INDEX('Compliance Database'!$M$2:$M$630,MATCH(443,'Transfer Engine'!$C$2:$C$630,0)))</f>
        <v/>
      </c>
      <c r="N452" s="8">
        <f>IF(ISNA(MATCH(443,'Transfer Engine'!$C$2:$C$630,0)),"",INDEX('Compliance Database'!$N$2:$N$630,MATCH(443,'Transfer Engine'!$C$2:$C$630,0)))</f>
        <v/>
      </c>
      <c r="O452" s="8">
        <f>IF(ISNA(MATCH(443,'Transfer Engine'!$C$2:$C$630,0)),"",INDEX('Compliance Database'!$O$2:$O$630,MATCH(443,'Transfer Engine'!$C$2:$C$630,0)))</f>
        <v/>
      </c>
    </row>
    <row r="453">
      <c r="A453">
        <f>IF(ISNA(MATCH(444,'Transfer Engine'!$C$2:$C$630,0)),"",INDEX('Compliance Database'!$A$2:$A$630,MATCH(444,'Transfer Engine'!$C$2:$C$630,0)))</f>
        <v/>
      </c>
      <c r="B453">
        <f>IF(ISNA(MATCH(444,'Transfer Engine'!$C$2:$C$630,0)),"",INDEX('Compliance Database'!$B$2:$B$630,MATCH(444,'Transfer Engine'!$C$2:$C$630,0)))</f>
        <v/>
      </c>
      <c r="C453">
        <f>IF(ISNA(MATCH(444,'Transfer Engine'!$C$2:$C$630,0)),"",INDEX('Compliance Database'!$C$2:$C$630,MATCH(444,'Transfer Engine'!$C$2:$C$630,0)))</f>
        <v/>
      </c>
      <c r="D453" s="8">
        <f>IF(ISNA(MATCH(444,'Transfer Engine'!$C$2:$C$630,0)),"",INDEX('Compliance Database'!$D$2:$D$630,MATCH(444,'Transfer Engine'!$C$2:$C$630,0)))</f>
        <v/>
      </c>
      <c r="E453">
        <f>IF(ISNA(MATCH(444,'Transfer Engine'!$C$2:$C$630,0)),"",INDEX('Compliance Database'!$E$2:$E$630,MATCH(444,'Transfer Engine'!$C$2:$C$630,0)))</f>
        <v/>
      </c>
      <c r="F453">
        <f>IF(ISNA(MATCH(444,'Transfer Engine'!$C$2:$C$630,0)),"",INDEX('Compliance Database'!$F$2:$F$630,MATCH(444,'Transfer Engine'!$C$2:$C$630,0)))</f>
        <v/>
      </c>
      <c r="G453">
        <f>IF(ISNA(MATCH(444,'Transfer Engine'!$C$2:$C$630,0)),"",INDEX('Compliance Database'!$G$2:$G$630,MATCH(444,'Transfer Engine'!$C$2:$C$630,0)))</f>
        <v/>
      </c>
      <c r="H453">
        <f>IF(ISNA(MATCH(444,'Transfer Engine'!$C$2:$C$630,0)),"",INDEX('Compliance Database'!$H$2:$H$630,MATCH(444,'Transfer Engine'!$C$2:$C$630,0)))</f>
        <v/>
      </c>
      <c r="I453" s="8">
        <f>IF(ISNA(MATCH(444,'Transfer Engine'!$C$2:$C$630,0)),"",INDEX('Compliance Database'!$I$2:$I$630,MATCH(444,'Transfer Engine'!$C$2:$C$630,0)))</f>
        <v/>
      </c>
      <c r="J453" s="8">
        <f>IF(ISNA(MATCH(444,'Transfer Engine'!$C$2:$C$630,0)),"",INDEX('Compliance Database'!$J$2:$J$630,MATCH(444,'Transfer Engine'!$C$2:$C$630,0)))</f>
        <v/>
      </c>
      <c r="K453">
        <f>IF(ISNA(MATCH(444,'Transfer Engine'!$C$2:$C$630,0)),"",INDEX('Compliance Database'!$K$2:$K$630,MATCH(444,'Transfer Engine'!$C$2:$C$630,0)))</f>
        <v/>
      </c>
      <c r="L453" s="8">
        <f>IF(ISNA(MATCH(444,'Transfer Engine'!$C$2:$C$630,0)),"",INDEX('Compliance Database'!$L$2:$L$630,MATCH(444,'Transfer Engine'!$C$2:$C$630,0)))</f>
        <v/>
      </c>
      <c r="M453" s="8">
        <f>IF(ISNA(MATCH(444,'Transfer Engine'!$C$2:$C$630,0)),"",INDEX('Compliance Database'!$M$2:$M$630,MATCH(444,'Transfer Engine'!$C$2:$C$630,0)))</f>
        <v/>
      </c>
      <c r="N453" s="8">
        <f>IF(ISNA(MATCH(444,'Transfer Engine'!$C$2:$C$630,0)),"",INDEX('Compliance Database'!$N$2:$N$630,MATCH(444,'Transfer Engine'!$C$2:$C$630,0)))</f>
        <v/>
      </c>
      <c r="O453" s="8">
        <f>IF(ISNA(MATCH(444,'Transfer Engine'!$C$2:$C$630,0)),"",INDEX('Compliance Database'!$O$2:$O$630,MATCH(444,'Transfer Engine'!$C$2:$C$630,0)))</f>
        <v/>
      </c>
    </row>
    <row r="454">
      <c r="A454">
        <f>IF(ISNA(MATCH(445,'Transfer Engine'!$C$2:$C$630,0)),"",INDEX('Compliance Database'!$A$2:$A$630,MATCH(445,'Transfer Engine'!$C$2:$C$630,0)))</f>
        <v/>
      </c>
      <c r="B454">
        <f>IF(ISNA(MATCH(445,'Transfer Engine'!$C$2:$C$630,0)),"",INDEX('Compliance Database'!$B$2:$B$630,MATCH(445,'Transfer Engine'!$C$2:$C$630,0)))</f>
        <v/>
      </c>
      <c r="C454">
        <f>IF(ISNA(MATCH(445,'Transfer Engine'!$C$2:$C$630,0)),"",INDEX('Compliance Database'!$C$2:$C$630,MATCH(445,'Transfer Engine'!$C$2:$C$630,0)))</f>
        <v/>
      </c>
      <c r="D454" s="8">
        <f>IF(ISNA(MATCH(445,'Transfer Engine'!$C$2:$C$630,0)),"",INDEX('Compliance Database'!$D$2:$D$630,MATCH(445,'Transfer Engine'!$C$2:$C$630,0)))</f>
        <v/>
      </c>
      <c r="E454">
        <f>IF(ISNA(MATCH(445,'Transfer Engine'!$C$2:$C$630,0)),"",INDEX('Compliance Database'!$E$2:$E$630,MATCH(445,'Transfer Engine'!$C$2:$C$630,0)))</f>
        <v/>
      </c>
      <c r="F454">
        <f>IF(ISNA(MATCH(445,'Transfer Engine'!$C$2:$C$630,0)),"",INDEX('Compliance Database'!$F$2:$F$630,MATCH(445,'Transfer Engine'!$C$2:$C$630,0)))</f>
        <v/>
      </c>
      <c r="G454">
        <f>IF(ISNA(MATCH(445,'Transfer Engine'!$C$2:$C$630,0)),"",INDEX('Compliance Database'!$G$2:$G$630,MATCH(445,'Transfer Engine'!$C$2:$C$630,0)))</f>
        <v/>
      </c>
      <c r="H454">
        <f>IF(ISNA(MATCH(445,'Transfer Engine'!$C$2:$C$630,0)),"",INDEX('Compliance Database'!$H$2:$H$630,MATCH(445,'Transfer Engine'!$C$2:$C$630,0)))</f>
        <v/>
      </c>
      <c r="I454" s="8">
        <f>IF(ISNA(MATCH(445,'Transfer Engine'!$C$2:$C$630,0)),"",INDEX('Compliance Database'!$I$2:$I$630,MATCH(445,'Transfer Engine'!$C$2:$C$630,0)))</f>
        <v/>
      </c>
      <c r="J454" s="8">
        <f>IF(ISNA(MATCH(445,'Transfer Engine'!$C$2:$C$630,0)),"",INDEX('Compliance Database'!$J$2:$J$630,MATCH(445,'Transfer Engine'!$C$2:$C$630,0)))</f>
        <v/>
      </c>
      <c r="K454">
        <f>IF(ISNA(MATCH(445,'Transfer Engine'!$C$2:$C$630,0)),"",INDEX('Compliance Database'!$K$2:$K$630,MATCH(445,'Transfer Engine'!$C$2:$C$630,0)))</f>
        <v/>
      </c>
      <c r="L454" s="8">
        <f>IF(ISNA(MATCH(445,'Transfer Engine'!$C$2:$C$630,0)),"",INDEX('Compliance Database'!$L$2:$L$630,MATCH(445,'Transfer Engine'!$C$2:$C$630,0)))</f>
        <v/>
      </c>
      <c r="M454" s="8">
        <f>IF(ISNA(MATCH(445,'Transfer Engine'!$C$2:$C$630,0)),"",INDEX('Compliance Database'!$M$2:$M$630,MATCH(445,'Transfer Engine'!$C$2:$C$630,0)))</f>
        <v/>
      </c>
      <c r="N454" s="8">
        <f>IF(ISNA(MATCH(445,'Transfer Engine'!$C$2:$C$630,0)),"",INDEX('Compliance Database'!$N$2:$N$630,MATCH(445,'Transfer Engine'!$C$2:$C$630,0)))</f>
        <v/>
      </c>
      <c r="O454" s="8">
        <f>IF(ISNA(MATCH(445,'Transfer Engine'!$C$2:$C$630,0)),"",INDEX('Compliance Database'!$O$2:$O$630,MATCH(445,'Transfer Engine'!$C$2:$C$630,0)))</f>
        <v/>
      </c>
    </row>
    <row r="455">
      <c r="A455">
        <f>IF(ISNA(MATCH(446,'Transfer Engine'!$C$2:$C$630,0)),"",INDEX('Compliance Database'!$A$2:$A$630,MATCH(446,'Transfer Engine'!$C$2:$C$630,0)))</f>
        <v/>
      </c>
      <c r="B455">
        <f>IF(ISNA(MATCH(446,'Transfer Engine'!$C$2:$C$630,0)),"",INDEX('Compliance Database'!$B$2:$B$630,MATCH(446,'Transfer Engine'!$C$2:$C$630,0)))</f>
        <v/>
      </c>
      <c r="C455">
        <f>IF(ISNA(MATCH(446,'Transfer Engine'!$C$2:$C$630,0)),"",INDEX('Compliance Database'!$C$2:$C$630,MATCH(446,'Transfer Engine'!$C$2:$C$630,0)))</f>
        <v/>
      </c>
      <c r="D455" s="8">
        <f>IF(ISNA(MATCH(446,'Transfer Engine'!$C$2:$C$630,0)),"",INDEX('Compliance Database'!$D$2:$D$630,MATCH(446,'Transfer Engine'!$C$2:$C$630,0)))</f>
        <v/>
      </c>
      <c r="E455">
        <f>IF(ISNA(MATCH(446,'Transfer Engine'!$C$2:$C$630,0)),"",INDEX('Compliance Database'!$E$2:$E$630,MATCH(446,'Transfer Engine'!$C$2:$C$630,0)))</f>
        <v/>
      </c>
      <c r="F455">
        <f>IF(ISNA(MATCH(446,'Transfer Engine'!$C$2:$C$630,0)),"",INDEX('Compliance Database'!$F$2:$F$630,MATCH(446,'Transfer Engine'!$C$2:$C$630,0)))</f>
        <v/>
      </c>
      <c r="G455">
        <f>IF(ISNA(MATCH(446,'Transfer Engine'!$C$2:$C$630,0)),"",INDEX('Compliance Database'!$G$2:$G$630,MATCH(446,'Transfer Engine'!$C$2:$C$630,0)))</f>
        <v/>
      </c>
      <c r="H455">
        <f>IF(ISNA(MATCH(446,'Transfer Engine'!$C$2:$C$630,0)),"",INDEX('Compliance Database'!$H$2:$H$630,MATCH(446,'Transfer Engine'!$C$2:$C$630,0)))</f>
        <v/>
      </c>
      <c r="I455" s="8">
        <f>IF(ISNA(MATCH(446,'Transfer Engine'!$C$2:$C$630,0)),"",INDEX('Compliance Database'!$I$2:$I$630,MATCH(446,'Transfer Engine'!$C$2:$C$630,0)))</f>
        <v/>
      </c>
      <c r="J455" s="8">
        <f>IF(ISNA(MATCH(446,'Transfer Engine'!$C$2:$C$630,0)),"",INDEX('Compliance Database'!$J$2:$J$630,MATCH(446,'Transfer Engine'!$C$2:$C$630,0)))</f>
        <v/>
      </c>
      <c r="K455">
        <f>IF(ISNA(MATCH(446,'Transfer Engine'!$C$2:$C$630,0)),"",INDEX('Compliance Database'!$K$2:$K$630,MATCH(446,'Transfer Engine'!$C$2:$C$630,0)))</f>
        <v/>
      </c>
      <c r="L455" s="8">
        <f>IF(ISNA(MATCH(446,'Transfer Engine'!$C$2:$C$630,0)),"",INDEX('Compliance Database'!$L$2:$L$630,MATCH(446,'Transfer Engine'!$C$2:$C$630,0)))</f>
        <v/>
      </c>
      <c r="M455" s="8">
        <f>IF(ISNA(MATCH(446,'Transfer Engine'!$C$2:$C$630,0)),"",INDEX('Compliance Database'!$M$2:$M$630,MATCH(446,'Transfer Engine'!$C$2:$C$630,0)))</f>
        <v/>
      </c>
      <c r="N455" s="8">
        <f>IF(ISNA(MATCH(446,'Transfer Engine'!$C$2:$C$630,0)),"",INDEX('Compliance Database'!$N$2:$N$630,MATCH(446,'Transfer Engine'!$C$2:$C$630,0)))</f>
        <v/>
      </c>
      <c r="O455" s="8">
        <f>IF(ISNA(MATCH(446,'Transfer Engine'!$C$2:$C$630,0)),"",INDEX('Compliance Database'!$O$2:$O$630,MATCH(446,'Transfer Engine'!$C$2:$C$630,0)))</f>
        <v/>
      </c>
    </row>
    <row r="456">
      <c r="A456">
        <f>IF(ISNA(MATCH(447,'Transfer Engine'!$C$2:$C$630,0)),"",INDEX('Compliance Database'!$A$2:$A$630,MATCH(447,'Transfer Engine'!$C$2:$C$630,0)))</f>
        <v/>
      </c>
      <c r="B456">
        <f>IF(ISNA(MATCH(447,'Transfer Engine'!$C$2:$C$630,0)),"",INDEX('Compliance Database'!$B$2:$B$630,MATCH(447,'Transfer Engine'!$C$2:$C$630,0)))</f>
        <v/>
      </c>
      <c r="C456">
        <f>IF(ISNA(MATCH(447,'Transfer Engine'!$C$2:$C$630,0)),"",INDEX('Compliance Database'!$C$2:$C$630,MATCH(447,'Transfer Engine'!$C$2:$C$630,0)))</f>
        <v/>
      </c>
      <c r="D456" s="8">
        <f>IF(ISNA(MATCH(447,'Transfer Engine'!$C$2:$C$630,0)),"",INDEX('Compliance Database'!$D$2:$D$630,MATCH(447,'Transfer Engine'!$C$2:$C$630,0)))</f>
        <v/>
      </c>
      <c r="E456">
        <f>IF(ISNA(MATCH(447,'Transfer Engine'!$C$2:$C$630,0)),"",INDEX('Compliance Database'!$E$2:$E$630,MATCH(447,'Transfer Engine'!$C$2:$C$630,0)))</f>
        <v/>
      </c>
      <c r="F456">
        <f>IF(ISNA(MATCH(447,'Transfer Engine'!$C$2:$C$630,0)),"",INDEX('Compliance Database'!$F$2:$F$630,MATCH(447,'Transfer Engine'!$C$2:$C$630,0)))</f>
        <v/>
      </c>
      <c r="G456">
        <f>IF(ISNA(MATCH(447,'Transfer Engine'!$C$2:$C$630,0)),"",INDEX('Compliance Database'!$G$2:$G$630,MATCH(447,'Transfer Engine'!$C$2:$C$630,0)))</f>
        <v/>
      </c>
      <c r="H456">
        <f>IF(ISNA(MATCH(447,'Transfer Engine'!$C$2:$C$630,0)),"",INDEX('Compliance Database'!$H$2:$H$630,MATCH(447,'Transfer Engine'!$C$2:$C$630,0)))</f>
        <v/>
      </c>
      <c r="I456" s="8">
        <f>IF(ISNA(MATCH(447,'Transfer Engine'!$C$2:$C$630,0)),"",INDEX('Compliance Database'!$I$2:$I$630,MATCH(447,'Transfer Engine'!$C$2:$C$630,0)))</f>
        <v/>
      </c>
      <c r="J456" s="8">
        <f>IF(ISNA(MATCH(447,'Transfer Engine'!$C$2:$C$630,0)),"",INDEX('Compliance Database'!$J$2:$J$630,MATCH(447,'Transfer Engine'!$C$2:$C$630,0)))</f>
        <v/>
      </c>
      <c r="K456">
        <f>IF(ISNA(MATCH(447,'Transfer Engine'!$C$2:$C$630,0)),"",INDEX('Compliance Database'!$K$2:$K$630,MATCH(447,'Transfer Engine'!$C$2:$C$630,0)))</f>
        <v/>
      </c>
      <c r="L456" s="8">
        <f>IF(ISNA(MATCH(447,'Transfer Engine'!$C$2:$C$630,0)),"",INDEX('Compliance Database'!$L$2:$L$630,MATCH(447,'Transfer Engine'!$C$2:$C$630,0)))</f>
        <v/>
      </c>
      <c r="M456" s="8">
        <f>IF(ISNA(MATCH(447,'Transfer Engine'!$C$2:$C$630,0)),"",INDEX('Compliance Database'!$M$2:$M$630,MATCH(447,'Transfer Engine'!$C$2:$C$630,0)))</f>
        <v/>
      </c>
      <c r="N456" s="8">
        <f>IF(ISNA(MATCH(447,'Transfer Engine'!$C$2:$C$630,0)),"",INDEX('Compliance Database'!$N$2:$N$630,MATCH(447,'Transfer Engine'!$C$2:$C$630,0)))</f>
        <v/>
      </c>
      <c r="O456" s="8">
        <f>IF(ISNA(MATCH(447,'Transfer Engine'!$C$2:$C$630,0)),"",INDEX('Compliance Database'!$O$2:$O$630,MATCH(447,'Transfer Engine'!$C$2:$C$630,0)))</f>
        <v/>
      </c>
    </row>
    <row r="457">
      <c r="A457">
        <f>IF(ISNA(MATCH(448,'Transfer Engine'!$C$2:$C$630,0)),"",INDEX('Compliance Database'!$A$2:$A$630,MATCH(448,'Transfer Engine'!$C$2:$C$630,0)))</f>
        <v/>
      </c>
      <c r="B457">
        <f>IF(ISNA(MATCH(448,'Transfer Engine'!$C$2:$C$630,0)),"",INDEX('Compliance Database'!$B$2:$B$630,MATCH(448,'Transfer Engine'!$C$2:$C$630,0)))</f>
        <v/>
      </c>
      <c r="C457">
        <f>IF(ISNA(MATCH(448,'Transfer Engine'!$C$2:$C$630,0)),"",INDEX('Compliance Database'!$C$2:$C$630,MATCH(448,'Transfer Engine'!$C$2:$C$630,0)))</f>
        <v/>
      </c>
      <c r="D457" s="8">
        <f>IF(ISNA(MATCH(448,'Transfer Engine'!$C$2:$C$630,0)),"",INDEX('Compliance Database'!$D$2:$D$630,MATCH(448,'Transfer Engine'!$C$2:$C$630,0)))</f>
        <v/>
      </c>
      <c r="E457">
        <f>IF(ISNA(MATCH(448,'Transfer Engine'!$C$2:$C$630,0)),"",INDEX('Compliance Database'!$E$2:$E$630,MATCH(448,'Transfer Engine'!$C$2:$C$630,0)))</f>
        <v/>
      </c>
      <c r="F457">
        <f>IF(ISNA(MATCH(448,'Transfer Engine'!$C$2:$C$630,0)),"",INDEX('Compliance Database'!$F$2:$F$630,MATCH(448,'Transfer Engine'!$C$2:$C$630,0)))</f>
        <v/>
      </c>
      <c r="G457">
        <f>IF(ISNA(MATCH(448,'Transfer Engine'!$C$2:$C$630,0)),"",INDEX('Compliance Database'!$G$2:$G$630,MATCH(448,'Transfer Engine'!$C$2:$C$630,0)))</f>
        <v/>
      </c>
      <c r="H457">
        <f>IF(ISNA(MATCH(448,'Transfer Engine'!$C$2:$C$630,0)),"",INDEX('Compliance Database'!$H$2:$H$630,MATCH(448,'Transfer Engine'!$C$2:$C$630,0)))</f>
        <v/>
      </c>
      <c r="I457" s="8">
        <f>IF(ISNA(MATCH(448,'Transfer Engine'!$C$2:$C$630,0)),"",INDEX('Compliance Database'!$I$2:$I$630,MATCH(448,'Transfer Engine'!$C$2:$C$630,0)))</f>
        <v/>
      </c>
      <c r="J457" s="8">
        <f>IF(ISNA(MATCH(448,'Transfer Engine'!$C$2:$C$630,0)),"",INDEX('Compliance Database'!$J$2:$J$630,MATCH(448,'Transfer Engine'!$C$2:$C$630,0)))</f>
        <v/>
      </c>
      <c r="K457">
        <f>IF(ISNA(MATCH(448,'Transfer Engine'!$C$2:$C$630,0)),"",INDEX('Compliance Database'!$K$2:$K$630,MATCH(448,'Transfer Engine'!$C$2:$C$630,0)))</f>
        <v/>
      </c>
      <c r="L457" s="8">
        <f>IF(ISNA(MATCH(448,'Transfer Engine'!$C$2:$C$630,0)),"",INDEX('Compliance Database'!$L$2:$L$630,MATCH(448,'Transfer Engine'!$C$2:$C$630,0)))</f>
        <v/>
      </c>
      <c r="M457" s="8">
        <f>IF(ISNA(MATCH(448,'Transfer Engine'!$C$2:$C$630,0)),"",INDEX('Compliance Database'!$M$2:$M$630,MATCH(448,'Transfer Engine'!$C$2:$C$630,0)))</f>
        <v/>
      </c>
      <c r="N457" s="8">
        <f>IF(ISNA(MATCH(448,'Transfer Engine'!$C$2:$C$630,0)),"",INDEX('Compliance Database'!$N$2:$N$630,MATCH(448,'Transfer Engine'!$C$2:$C$630,0)))</f>
        <v/>
      </c>
      <c r="O457" s="8">
        <f>IF(ISNA(MATCH(448,'Transfer Engine'!$C$2:$C$630,0)),"",INDEX('Compliance Database'!$O$2:$O$630,MATCH(448,'Transfer Engine'!$C$2:$C$630,0)))</f>
        <v/>
      </c>
    </row>
    <row r="458">
      <c r="A458">
        <f>IF(ISNA(MATCH(449,'Transfer Engine'!$C$2:$C$630,0)),"",INDEX('Compliance Database'!$A$2:$A$630,MATCH(449,'Transfer Engine'!$C$2:$C$630,0)))</f>
        <v/>
      </c>
      <c r="B458">
        <f>IF(ISNA(MATCH(449,'Transfer Engine'!$C$2:$C$630,0)),"",INDEX('Compliance Database'!$B$2:$B$630,MATCH(449,'Transfer Engine'!$C$2:$C$630,0)))</f>
        <v/>
      </c>
      <c r="C458">
        <f>IF(ISNA(MATCH(449,'Transfer Engine'!$C$2:$C$630,0)),"",INDEX('Compliance Database'!$C$2:$C$630,MATCH(449,'Transfer Engine'!$C$2:$C$630,0)))</f>
        <v/>
      </c>
      <c r="D458" s="8">
        <f>IF(ISNA(MATCH(449,'Transfer Engine'!$C$2:$C$630,0)),"",INDEX('Compliance Database'!$D$2:$D$630,MATCH(449,'Transfer Engine'!$C$2:$C$630,0)))</f>
        <v/>
      </c>
      <c r="E458">
        <f>IF(ISNA(MATCH(449,'Transfer Engine'!$C$2:$C$630,0)),"",INDEX('Compliance Database'!$E$2:$E$630,MATCH(449,'Transfer Engine'!$C$2:$C$630,0)))</f>
        <v/>
      </c>
      <c r="F458">
        <f>IF(ISNA(MATCH(449,'Transfer Engine'!$C$2:$C$630,0)),"",INDEX('Compliance Database'!$F$2:$F$630,MATCH(449,'Transfer Engine'!$C$2:$C$630,0)))</f>
        <v/>
      </c>
      <c r="G458">
        <f>IF(ISNA(MATCH(449,'Transfer Engine'!$C$2:$C$630,0)),"",INDEX('Compliance Database'!$G$2:$G$630,MATCH(449,'Transfer Engine'!$C$2:$C$630,0)))</f>
        <v/>
      </c>
      <c r="H458">
        <f>IF(ISNA(MATCH(449,'Transfer Engine'!$C$2:$C$630,0)),"",INDEX('Compliance Database'!$H$2:$H$630,MATCH(449,'Transfer Engine'!$C$2:$C$630,0)))</f>
        <v/>
      </c>
      <c r="I458" s="8">
        <f>IF(ISNA(MATCH(449,'Transfer Engine'!$C$2:$C$630,0)),"",INDEX('Compliance Database'!$I$2:$I$630,MATCH(449,'Transfer Engine'!$C$2:$C$630,0)))</f>
        <v/>
      </c>
      <c r="J458" s="8">
        <f>IF(ISNA(MATCH(449,'Transfer Engine'!$C$2:$C$630,0)),"",INDEX('Compliance Database'!$J$2:$J$630,MATCH(449,'Transfer Engine'!$C$2:$C$630,0)))</f>
        <v/>
      </c>
      <c r="K458">
        <f>IF(ISNA(MATCH(449,'Transfer Engine'!$C$2:$C$630,0)),"",INDEX('Compliance Database'!$K$2:$K$630,MATCH(449,'Transfer Engine'!$C$2:$C$630,0)))</f>
        <v/>
      </c>
      <c r="L458" s="8">
        <f>IF(ISNA(MATCH(449,'Transfer Engine'!$C$2:$C$630,0)),"",INDEX('Compliance Database'!$L$2:$L$630,MATCH(449,'Transfer Engine'!$C$2:$C$630,0)))</f>
        <v/>
      </c>
      <c r="M458" s="8">
        <f>IF(ISNA(MATCH(449,'Transfer Engine'!$C$2:$C$630,0)),"",INDEX('Compliance Database'!$M$2:$M$630,MATCH(449,'Transfer Engine'!$C$2:$C$630,0)))</f>
        <v/>
      </c>
      <c r="N458" s="8">
        <f>IF(ISNA(MATCH(449,'Transfer Engine'!$C$2:$C$630,0)),"",INDEX('Compliance Database'!$N$2:$N$630,MATCH(449,'Transfer Engine'!$C$2:$C$630,0)))</f>
        <v/>
      </c>
      <c r="O458" s="8">
        <f>IF(ISNA(MATCH(449,'Transfer Engine'!$C$2:$C$630,0)),"",INDEX('Compliance Database'!$O$2:$O$630,MATCH(449,'Transfer Engine'!$C$2:$C$630,0)))</f>
        <v/>
      </c>
    </row>
    <row r="459">
      <c r="A459">
        <f>IF(ISNA(MATCH(450,'Transfer Engine'!$C$2:$C$630,0)),"",INDEX('Compliance Database'!$A$2:$A$630,MATCH(450,'Transfer Engine'!$C$2:$C$630,0)))</f>
        <v/>
      </c>
      <c r="B459">
        <f>IF(ISNA(MATCH(450,'Transfer Engine'!$C$2:$C$630,0)),"",INDEX('Compliance Database'!$B$2:$B$630,MATCH(450,'Transfer Engine'!$C$2:$C$630,0)))</f>
        <v/>
      </c>
      <c r="C459">
        <f>IF(ISNA(MATCH(450,'Transfer Engine'!$C$2:$C$630,0)),"",INDEX('Compliance Database'!$C$2:$C$630,MATCH(450,'Transfer Engine'!$C$2:$C$630,0)))</f>
        <v/>
      </c>
      <c r="D459" s="8">
        <f>IF(ISNA(MATCH(450,'Transfer Engine'!$C$2:$C$630,0)),"",INDEX('Compliance Database'!$D$2:$D$630,MATCH(450,'Transfer Engine'!$C$2:$C$630,0)))</f>
        <v/>
      </c>
      <c r="E459">
        <f>IF(ISNA(MATCH(450,'Transfer Engine'!$C$2:$C$630,0)),"",INDEX('Compliance Database'!$E$2:$E$630,MATCH(450,'Transfer Engine'!$C$2:$C$630,0)))</f>
        <v/>
      </c>
      <c r="F459">
        <f>IF(ISNA(MATCH(450,'Transfer Engine'!$C$2:$C$630,0)),"",INDEX('Compliance Database'!$F$2:$F$630,MATCH(450,'Transfer Engine'!$C$2:$C$630,0)))</f>
        <v/>
      </c>
      <c r="G459">
        <f>IF(ISNA(MATCH(450,'Transfer Engine'!$C$2:$C$630,0)),"",INDEX('Compliance Database'!$G$2:$G$630,MATCH(450,'Transfer Engine'!$C$2:$C$630,0)))</f>
        <v/>
      </c>
      <c r="H459">
        <f>IF(ISNA(MATCH(450,'Transfer Engine'!$C$2:$C$630,0)),"",INDEX('Compliance Database'!$H$2:$H$630,MATCH(450,'Transfer Engine'!$C$2:$C$630,0)))</f>
        <v/>
      </c>
      <c r="I459" s="8">
        <f>IF(ISNA(MATCH(450,'Transfer Engine'!$C$2:$C$630,0)),"",INDEX('Compliance Database'!$I$2:$I$630,MATCH(450,'Transfer Engine'!$C$2:$C$630,0)))</f>
        <v/>
      </c>
      <c r="J459" s="8">
        <f>IF(ISNA(MATCH(450,'Transfer Engine'!$C$2:$C$630,0)),"",INDEX('Compliance Database'!$J$2:$J$630,MATCH(450,'Transfer Engine'!$C$2:$C$630,0)))</f>
        <v/>
      </c>
      <c r="K459">
        <f>IF(ISNA(MATCH(450,'Transfer Engine'!$C$2:$C$630,0)),"",INDEX('Compliance Database'!$K$2:$K$630,MATCH(450,'Transfer Engine'!$C$2:$C$630,0)))</f>
        <v/>
      </c>
      <c r="L459" s="8">
        <f>IF(ISNA(MATCH(450,'Transfer Engine'!$C$2:$C$630,0)),"",INDEX('Compliance Database'!$L$2:$L$630,MATCH(450,'Transfer Engine'!$C$2:$C$630,0)))</f>
        <v/>
      </c>
      <c r="M459" s="8">
        <f>IF(ISNA(MATCH(450,'Transfer Engine'!$C$2:$C$630,0)),"",INDEX('Compliance Database'!$M$2:$M$630,MATCH(450,'Transfer Engine'!$C$2:$C$630,0)))</f>
        <v/>
      </c>
      <c r="N459" s="8">
        <f>IF(ISNA(MATCH(450,'Transfer Engine'!$C$2:$C$630,0)),"",INDEX('Compliance Database'!$N$2:$N$630,MATCH(450,'Transfer Engine'!$C$2:$C$630,0)))</f>
        <v/>
      </c>
      <c r="O459" s="8">
        <f>IF(ISNA(MATCH(450,'Transfer Engine'!$C$2:$C$630,0)),"",INDEX('Compliance Database'!$O$2:$O$630,MATCH(450,'Transfer Engine'!$C$2:$C$630,0)))</f>
        <v/>
      </c>
    </row>
    <row r="460">
      <c r="A460">
        <f>IF(ISNA(MATCH(451,'Transfer Engine'!$C$2:$C$630,0)),"",INDEX('Compliance Database'!$A$2:$A$630,MATCH(451,'Transfer Engine'!$C$2:$C$630,0)))</f>
        <v/>
      </c>
      <c r="B460">
        <f>IF(ISNA(MATCH(451,'Transfer Engine'!$C$2:$C$630,0)),"",INDEX('Compliance Database'!$B$2:$B$630,MATCH(451,'Transfer Engine'!$C$2:$C$630,0)))</f>
        <v/>
      </c>
      <c r="C460">
        <f>IF(ISNA(MATCH(451,'Transfer Engine'!$C$2:$C$630,0)),"",INDEX('Compliance Database'!$C$2:$C$630,MATCH(451,'Transfer Engine'!$C$2:$C$630,0)))</f>
        <v/>
      </c>
      <c r="D460" s="8">
        <f>IF(ISNA(MATCH(451,'Transfer Engine'!$C$2:$C$630,0)),"",INDEX('Compliance Database'!$D$2:$D$630,MATCH(451,'Transfer Engine'!$C$2:$C$630,0)))</f>
        <v/>
      </c>
      <c r="E460">
        <f>IF(ISNA(MATCH(451,'Transfer Engine'!$C$2:$C$630,0)),"",INDEX('Compliance Database'!$E$2:$E$630,MATCH(451,'Transfer Engine'!$C$2:$C$630,0)))</f>
        <v/>
      </c>
      <c r="F460">
        <f>IF(ISNA(MATCH(451,'Transfer Engine'!$C$2:$C$630,0)),"",INDEX('Compliance Database'!$F$2:$F$630,MATCH(451,'Transfer Engine'!$C$2:$C$630,0)))</f>
        <v/>
      </c>
      <c r="G460">
        <f>IF(ISNA(MATCH(451,'Transfer Engine'!$C$2:$C$630,0)),"",INDEX('Compliance Database'!$G$2:$G$630,MATCH(451,'Transfer Engine'!$C$2:$C$630,0)))</f>
        <v/>
      </c>
      <c r="H460">
        <f>IF(ISNA(MATCH(451,'Transfer Engine'!$C$2:$C$630,0)),"",INDEX('Compliance Database'!$H$2:$H$630,MATCH(451,'Transfer Engine'!$C$2:$C$630,0)))</f>
        <v/>
      </c>
      <c r="I460" s="8">
        <f>IF(ISNA(MATCH(451,'Transfer Engine'!$C$2:$C$630,0)),"",INDEX('Compliance Database'!$I$2:$I$630,MATCH(451,'Transfer Engine'!$C$2:$C$630,0)))</f>
        <v/>
      </c>
      <c r="J460" s="8">
        <f>IF(ISNA(MATCH(451,'Transfer Engine'!$C$2:$C$630,0)),"",INDEX('Compliance Database'!$J$2:$J$630,MATCH(451,'Transfer Engine'!$C$2:$C$630,0)))</f>
        <v/>
      </c>
      <c r="K460">
        <f>IF(ISNA(MATCH(451,'Transfer Engine'!$C$2:$C$630,0)),"",INDEX('Compliance Database'!$K$2:$K$630,MATCH(451,'Transfer Engine'!$C$2:$C$630,0)))</f>
        <v/>
      </c>
      <c r="L460" s="8">
        <f>IF(ISNA(MATCH(451,'Transfer Engine'!$C$2:$C$630,0)),"",INDEX('Compliance Database'!$L$2:$L$630,MATCH(451,'Transfer Engine'!$C$2:$C$630,0)))</f>
        <v/>
      </c>
      <c r="M460" s="8">
        <f>IF(ISNA(MATCH(451,'Transfer Engine'!$C$2:$C$630,0)),"",INDEX('Compliance Database'!$M$2:$M$630,MATCH(451,'Transfer Engine'!$C$2:$C$630,0)))</f>
        <v/>
      </c>
      <c r="N460" s="8">
        <f>IF(ISNA(MATCH(451,'Transfer Engine'!$C$2:$C$630,0)),"",INDEX('Compliance Database'!$N$2:$N$630,MATCH(451,'Transfer Engine'!$C$2:$C$630,0)))</f>
        <v/>
      </c>
      <c r="O460" s="8">
        <f>IF(ISNA(MATCH(451,'Transfer Engine'!$C$2:$C$630,0)),"",INDEX('Compliance Database'!$O$2:$O$630,MATCH(451,'Transfer Engine'!$C$2:$C$630,0)))</f>
        <v/>
      </c>
    </row>
    <row r="461">
      <c r="A461">
        <f>IF(ISNA(MATCH(452,'Transfer Engine'!$C$2:$C$630,0)),"",INDEX('Compliance Database'!$A$2:$A$630,MATCH(452,'Transfer Engine'!$C$2:$C$630,0)))</f>
        <v/>
      </c>
      <c r="B461">
        <f>IF(ISNA(MATCH(452,'Transfer Engine'!$C$2:$C$630,0)),"",INDEX('Compliance Database'!$B$2:$B$630,MATCH(452,'Transfer Engine'!$C$2:$C$630,0)))</f>
        <v/>
      </c>
      <c r="C461">
        <f>IF(ISNA(MATCH(452,'Transfer Engine'!$C$2:$C$630,0)),"",INDEX('Compliance Database'!$C$2:$C$630,MATCH(452,'Transfer Engine'!$C$2:$C$630,0)))</f>
        <v/>
      </c>
      <c r="D461" s="8">
        <f>IF(ISNA(MATCH(452,'Transfer Engine'!$C$2:$C$630,0)),"",INDEX('Compliance Database'!$D$2:$D$630,MATCH(452,'Transfer Engine'!$C$2:$C$630,0)))</f>
        <v/>
      </c>
      <c r="E461">
        <f>IF(ISNA(MATCH(452,'Transfer Engine'!$C$2:$C$630,0)),"",INDEX('Compliance Database'!$E$2:$E$630,MATCH(452,'Transfer Engine'!$C$2:$C$630,0)))</f>
        <v/>
      </c>
      <c r="F461">
        <f>IF(ISNA(MATCH(452,'Transfer Engine'!$C$2:$C$630,0)),"",INDEX('Compliance Database'!$F$2:$F$630,MATCH(452,'Transfer Engine'!$C$2:$C$630,0)))</f>
        <v/>
      </c>
      <c r="G461">
        <f>IF(ISNA(MATCH(452,'Transfer Engine'!$C$2:$C$630,0)),"",INDEX('Compliance Database'!$G$2:$G$630,MATCH(452,'Transfer Engine'!$C$2:$C$630,0)))</f>
        <v/>
      </c>
      <c r="H461">
        <f>IF(ISNA(MATCH(452,'Transfer Engine'!$C$2:$C$630,0)),"",INDEX('Compliance Database'!$H$2:$H$630,MATCH(452,'Transfer Engine'!$C$2:$C$630,0)))</f>
        <v/>
      </c>
      <c r="I461" s="8">
        <f>IF(ISNA(MATCH(452,'Transfer Engine'!$C$2:$C$630,0)),"",INDEX('Compliance Database'!$I$2:$I$630,MATCH(452,'Transfer Engine'!$C$2:$C$630,0)))</f>
        <v/>
      </c>
      <c r="J461" s="8">
        <f>IF(ISNA(MATCH(452,'Transfer Engine'!$C$2:$C$630,0)),"",INDEX('Compliance Database'!$J$2:$J$630,MATCH(452,'Transfer Engine'!$C$2:$C$630,0)))</f>
        <v/>
      </c>
      <c r="K461">
        <f>IF(ISNA(MATCH(452,'Transfer Engine'!$C$2:$C$630,0)),"",INDEX('Compliance Database'!$K$2:$K$630,MATCH(452,'Transfer Engine'!$C$2:$C$630,0)))</f>
        <v/>
      </c>
      <c r="L461" s="8">
        <f>IF(ISNA(MATCH(452,'Transfer Engine'!$C$2:$C$630,0)),"",INDEX('Compliance Database'!$L$2:$L$630,MATCH(452,'Transfer Engine'!$C$2:$C$630,0)))</f>
        <v/>
      </c>
      <c r="M461" s="8">
        <f>IF(ISNA(MATCH(452,'Transfer Engine'!$C$2:$C$630,0)),"",INDEX('Compliance Database'!$M$2:$M$630,MATCH(452,'Transfer Engine'!$C$2:$C$630,0)))</f>
        <v/>
      </c>
      <c r="N461" s="8">
        <f>IF(ISNA(MATCH(452,'Transfer Engine'!$C$2:$C$630,0)),"",INDEX('Compliance Database'!$N$2:$N$630,MATCH(452,'Transfer Engine'!$C$2:$C$630,0)))</f>
        <v/>
      </c>
      <c r="O461" s="8">
        <f>IF(ISNA(MATCH(452,'Transfer Engine'!$C$2:$C$630,0)),"",INDEX('Compliance Database'!$O$2:$O$630,MATCH(452,'Transfer Engine'!$C$2:$C$630,0)))</f>
        <v/>
      </c>
    </row>
    <row r="462">
      <c r="A462">
        <f>IF(ISNA(MATCH(453,'Transfer Engine'!$C$2:$C$630,0)),"",INDEX('Compliance Database'!$A$2:$A$630,MATCH(453,'Transfer Engine'!$C$2:$C$630,0)))</f>
        <v/>
      </c>
      <c r="B462">
        <f>IF(ISNA(MATCH(453,'Transfer Engine'!$C$2:$C$630,0)),"",INDEX('Compliance Database'!$B$2:$B$630,MATCH(453,'Transfer Engine'!$C$2:$C$630,0)))</f>
        <v/>
      </c>
      <c r="C462">
        <f>IF(ISNA(MATCH(453,'Transfer Engine'!$C$2:$C$630,0)),"",INDEX('Compliance Database'!$C$2:$C$630,MATCH(453,'Transfer Engine'!$C$2:$C$630,0)))</f>
        <v/>
      </c>
      <c r="D462" s="8">
        <f>IF(ISNA(MATCH(453,'Transfer Engine'!$C$2:$C$630,0)),"",INDEX('Compliance Database'!$D$2:$D$630,MATCH(453,'Transfer Engine'!$C$2:$C$630,0)))</f>
        <v/>
      </c>
      <c r="E462">
        <f>IF(ISNA(MATCH(453,'Transfer Engine'!$C$2:$C$630,0)),"",INDEX('Compliance Database'!$E$2:$E$630,MATCH(453,'Transfer Engine'!$C$2:$C$630,0)))</f>
        <v/>
      </c>
      <c r="F462">
        <f>IF(ISNA(MATCH(453,'Transfer Engine'!$C$2:$C$630,0)),"",INDEX('Compliance Database'!$F$2:$F$630,MATCH(453,'Transfer Engine'!$C$2:$C$630,0)))</f>
        <v/>
      </c>
      <c r="G462">
        <f>IF(ISNA(MATCH(453,'Transfer Engine'!$C$2:$C$630,0)),"",INDEX('Compliance Database'!$G$2:$G$630,MATCH(453,'Transfer Engine'!$C$2:$C$630,0)))</f>
        <v/>
      </c>
      <c r="H462">
        <f>IF(ISNA(MATCH(453,'Transfer Engine'!$C$2:$C$630,0)),"",INDEX('Compliance Database'!$H$2:$H$630,MATCH(453,'Transfer Engine'!$C$2:$C$630,0)))</f>
        <v/>
      </c>
      <c r="I462" s="8">
        <f>IF(ISNA(MATCH(453,'Transfer Engine'!$C$2:$C$630,0)),"",INDEX('Compliance Database'!$I$2:$I$630,MATCH(453,'Transfer Engine'!$C$2:$C$630,0)))</f>
        <v/>
      </c>
      <c r="J462" s="8">
        <f>IF(ISNA(MATCH(453,'Transfer Engine'!$C$2:$C$630,0)),"",INDEX('Compliance Database'!$J$2:$J$630,MATCH(453,'Transfer Engine'!$C$2:$C$630,0)))</f>
        <v/>
      </c>
      <c r="K462">
        <f>IF(ISNA(MATCH(453,'Transfer Engine'!$C$2:$C$630,0)),"",INDEX('Compliance Database'!$K$2:$K$630,MATCH(453,'Transfer Engine'!$C$2:$C$630,0)))</f>
        <v/>
      </c>
      <c r="L462" s="8">
        <f>IF(ISNA(MATCH(453,'Transfer Engine'!$C$2:$C$630,0)),"",INDEX('Compliance Database'!$L$2:$L$630,MATCH(453,'Transfer Engine'!$C$2:$C$630,0)))</f>
        <v/>
      </c>
      <c r="M462" s="8">
        <f>IF(ISNA(MATCH(453,'Transfer Engine'!$C$2:$C$630,0)),"",INDEX('Compliance Database'!$M$2:$M$630,MATCH(453,'Transfer Engine'!$C$2:$C$630,0)))</f>
        <v/>
      </c>
      <c r="N462" s="8">
        <f>IF(ISNA(MATCH(453,'Transfer Engine'!$C$2:$C$630,0)),"",INDEX('Compliance Database'!$N$2:$N$630,MATCH(453,'Transfer Engine'!$C$2:$C$630,0)))</f>
        <v/>
      </c>
      <c r="O462" s="8">
        <f>IF(ISNA(MATCH(453,'Transfer Engine'!$C$2:$C$630,0)),"",INDEX('Compliance Database'!$O$2:$O$630,MATCH(453,'Transfer Engine'!$C$2:$C$630,0)))</f>
        <v/>
      </c>
    </row>
    <row r="463">
      <c r="A463">
        <f>IF(ISNA(MATCH(454,'Transfer Engine'!$C$2:$C$630,0)),"",INDEX('Compliance Database'!$A$2:$A$630,MATCH(454,'Transfer Engine'!$C$2:$C$630,0)))</f>
        <v/>
      </c>
      <c r="B463">
        <f>IF(ISNA(MATCH(454,'Transfer Engine'!$C$2:$C$630,0)),"",INDEX('Compliance Database'!$B$2:$B$630,MATCH(454,'Transfer Engine'!$C$2:$C$630,0)))</f>
        <v/>
      </c>
      <c r="C463">
        <f>IF(ISNA(MATCH(454,'Transfer Engine'!$C$2:$C$630,0)),"",INDEX('Compliance Database'!$C$2:$C$630,MATCH(454,'Transfer Engine'!$C$2:$C$630,0)))</f>
        <v/>
      </c>
      <c r="D463" s="8">
        <f>IF(ISNA(MATCH(454,'Transfer Engine'!$C$2:$C$630,0)),"",INDEX('Compliance Database'!$D$2:$D$630,MATCH(454,'Transfer Engine'!$C$2:$C$630,0)))</f>
        <v/>
      </c>
      <c r="E463">
        <f>IF(ISNA(MATCH(454,'Transfer Engine'!$C$2:$C$630,0)),"",INDEX('Compliance Database'!$E$2:$E$630,MATCH(454,'Transfer Engine'!$C$2:$C$630,0)))</f>
        <v/>
      </c>
      <c r="F463">
        <f>IF(ISNA(MATCH(454,'Transfer Engine'!$C$2:$C$630,0)),"",INDEX('Compliance Database'!$F$2:$F$630,MATCH(454,'Transfer Engine'!$C$2:$C$630,0)))</f>
        <v/>
      </c>
      <c r="G463">
        <f>IF(ISNA(MATCH(454,'Transfer Engine'!$C$2:$C$630,0)),"",INDEX('Compliance Database'!$G$2:$G$630,MATCH(454,'Transfer Engine'!$C$2:$C$630,0)))</f>
        <v/>
      </c>
      <c r="H463">
        <f>IF(ISNA(MATCH(454,'Transfer Engine'!$C$2:$C$630,0)),"",INDEX('Compliance Database'!$H$2:$H$630,MATCH(454,'Transfer Engine'!$C$2:$C$630,0)))</f>
        <v/>
      </c>
      <c r="I463" s="8">
        <f>IF(ISNA(MATCH(454,'Transfer Engine'!$C$2:$C$630,0)),"",INDEX('Compliance Database'!$I$2:$I$630,MATCH(454,'Transfer Engine'!$C$2:$C$630,0)))</f>
        <v/>
      </c>
      <c r="J463" s="8">
        <f>IF(ISNA(MATCH(454,'Transfer Engine'!$C$2:$C$630,0)),"",INDEX('Compliance Database'!$J$2:$J$630,MATCH(454,'Transfer Engine'!$C$2:$C$630,0)))</f>
        <v/>
      </c>
      <c r="K463">
        <f>IF(ISNA(MATCH(454,'Transfer Engine'!$C$2:$C$630,0)),"",INDEX('Compliance Database'!$K$2:$K$630,MATCH(454,'Transfer Engine'!$C$2:$C$630,0)))</f>
        <v/>
      </c>
      <c r="L463" s="8">
        <f>IF(ISNA(MATCH(454,'Transfer Engine'!$C$2:$C$630,0)),"",INDEX('Compliance Database'!$L$2:$L$630,MATCH(454,'Transfer Engine'!$C$2:$C$630,0)))</f>
        <v/>
      </c>
      <c r="M463" s="8">
        <f>IF(ISNA(MATCH(454,'Transfer Engine'!$C$2:$C$630,0)),"",INDEX('Compliance Database'!$M$2:$M$630,MATCH(454,'Transfer Engine'!$C$2:$C$630,0)))</f>
        <v/>
      </c>
      <c r="N463" s="8">
        <f>IF(ISNA(MATCH(454,'Transfer Engine'!$C$2:$C$630,0)),"",INDEX('Compliance Database'!$N$2:$N$630,MATCH(454,'Transfer Engine'!$C$2:$C$630,0)))</f>
        <v/>
      </c>
      <c r="O463" s="8">
        <f>IF(ISNA(MATCH(454,'Transfer Engine'!$C$2:$C$630,0)),"",INDEX('Compliance Database'!$O$2:$O$630,MATCH(454,'Transfer Engine'!$C$2:$C$630,0)))</f>
        <v/>
      </c>
    </row>
    <row r="464">
      <c r="A464">
        <f>IF(ISNA(MATCH(455,'Transfer Engine'!$C$2:$C$630,0)),"",INDEX('Compliance Database'!$A$2:$A$630,MATCH(455,'Transfer Engine'!$C$2:$C$630,0)))</f>
        <v/>
      </c>
      <c r="B464">
        <f>IF(ISNA(MATCH(455,'Transfer Engine'!$C$2:$C$630,0)),"",INDEX('Compliance Database'!$B$2:$B$630,MATCH(455,'Transfer Engine'!$C$2:$C$630,0)))</f>
        <v/>
      </c>
      <c r="C464">
        <f>IF(ISNA(MATCH(455,'Transfer Engine'!$C$2:$C$630,0)),"",INDEX('Compliance Database'!$C$2:$C$630,MATCH(455,'Transfer Engine'!$C$2:$C$630,0)))</f>
        <v/>
      </c>
      <c r="D464" s="8">
        <f>IF(ISNA(MATCH(455,'Transfer Engine'!$C$2:$C$630,0)),"",INDEX('Compliance Database'!$D$2:$D$630,MATCH(455,'Transfer Engine'!$C$2:$C$630,0)))</f>
        <v/>
      </c>
      <c r="E464">
        <f>IF(ISNA(MATCH(455,'Transfer Engine'!$C$2:$C$630,0)),"",INDEX('Compliance Database'!$E$2:$E$630,MATCH(455,'Transfer Engine'!$C$2:$C$630,0)))</f>
        <v/>
      </c>
      <c r="F464">
        <f>IF(ISNA(MATCH(455,'Transfer Engine'!$C$2:$C$630,0)),"",INDEX('Compliance Database'!$F$2:$F$630,MATCH(455,'Transfer Engine'!$C$2:$C$630,0)))</f>
        <v/>
      </c>
      <c r="G464">
        <f>IF(ISNA(MATCH(455,'Transfer Engine'!$C$2:$C$630,0)),"",INDEX('Compliance Database'!$G$2:$G$630,MATCH(455,'Transfer Engine'!$C$2:$C$630,0)))</f>
        <v/>
      </c>
      <c r="H464">
        <f>IF(ISNA(MATCH(455,'Transfer Engine'!$C$2:$C$630,0)),"",INDEX('Compliance Database'!$H$2:$H$630,MATCH(455,'Transfer Engine'!$C$2:$C$630,0)))</f>
        <v/>
      </c>
      <c r="I464" s="8">
        <f>IF(ISNA(MATCH(455,'Transfer Engine'!$C$2:$C$630,0)),"",INDEX('Compliance Database'!$I$2:$I$630,MATCH(455,'Transfer Engine'!$C$2:$C$630,0)))</f>
        <v/>
      </c>
      <c r="J464" s="8">
        <f>IF(ISNA(MATCH(455,'Transfer Engine'!$C$2:$C$630,0)),"",INDEX('Compliance Database'!$J$2:$J$630,MATCH(455,'Transfer Engine'!$C$2:$C$630,0)))</f>
        <v/>
      </c>
      <c r="K464">
        <f>IF(ISNA(MATCH(455,'Transfer Engine'!$C$2:$C$630,0)),"",INDEX('Compliance Database'!$K$2:$K$630,MATCH(455,'Transfer Engine'!$C$2:$C$630,0)))</f>
        <v/>
      </c>
      <c r="L464" s="8">
        <f>IF(ISNA(MATCH(455,'Transfer Engine'!$C$2:$C$630,0)),"",INDEX('Compliance Database'!$L$2:$L$630,MATCH(455,'Transfer Engine'!$C$2:$C$630,0)))</f>
        <v/>
      </c>
      <c r="M464" s="8">
        <f>IF(ISNA(MATCH(455,'Transfer Engine'!$C$2:$C$630,0)),"",INDEX('Compliance Database'!$M$2:$M$630,MATCH(455,'Transfer Engine'!$C$2:$C$630,0)))</f>
        <v/>
      </c>
      <c r="N464" s="8">
        <f>IF(ISNA(MATCH(455,'Transfer Engine'!$C$2:$C$630,0)),"",INDEX('Compliance Database'!$N$2:$N$630,MATCH(455,'Transfer Engine'!$C$2:$C$630,0)))</f>
        <v/>
      </c>
      <c r="O464" s="8">
        <f>IF(ISNA(MATCH(455,'Transfer Engine'!$C$2:$C$630,0)),"",INDEX('Compliance Database'!$O$2:$O$630,MATCH(455,'Transfer Engine'!$C$2:$C$630,0)))</f>
        <v/>
      </c>
    </row>
    <row r="465">
      <c r="A465">
        <f>IF(ISNA(MATCH(456,'Transfer Engine'!$C$2:$C$630,0)),"",INDEX('Compliance Database'!$A$2:$A$630,MATCH(456,'Transfer Engine'!$C$2:$C$630,0)))</f>
        <v/>
      </c>
      <c r="B465">
        <f>IF(ISNA(MATCH(456,'Transfer Engine'!$C$2:$C$630,0)),"",INDEX('Compliance Database'!$B$2:$B$630,MATCH(456,'Transfer Engine'!$C$2:$C$630,0)))</f>
        <v/>
      </c>
      <c r="C465">
        <f>IF(ISNA(MATCH(456,'Transfer Engine'!$C$2:$C$630,0)),"",INDEX('Compliance Database'!$C$2:$C$630,MATCH(456,'Transfer Engine'!$C$2:$C$630,0)))</f>
        <v/>
      </c>
      <c r="D465" s="8">
        <f>IF(ISNA(MATCH(456,'Transfer Engine'!$C$2:$C$630,0)),"",INDEX('Compliance Database'!$D$2:$D$630,MATCH(456,'Transfer Engine'!$C$2:$C$630,0)))</f>
        <v/>
      </c>
      <c r="E465">
        <f>IF(ISNA(MATCH(456,'Transfer Engine'!$C$2:$C$630,0)),"",INDEX('Compliance Database'!$E$2:$E$630,MATCH(456,'Transfer Engine'!$C$2:$C$630,0)))</f>
        <v/>
      </c>
      <c r="F465">
        <f>IF(ISNA(MATCH(456,'Transfer Engine'!$C$2:$C$630,0)),"",INDEX('Compliance Database'!$F$2:$F$630,MATCH(456,'Transfer Engine'!$C$2:$C$630,0)))</f>
        <v/>
      </c>
      <c r="G465">
        <f>IF(ISNA(MATCH(456,'Transfer Engine'!$C$2:$C$630,0)),"",INDEX('Compliance Database'!$G$2:$G$630,MATCH(456,'Transfer Engine'!$C$2:$C$630,0)))</f>
        <v/>
      </c>
      <c r="H465">
        <f>IF(ISNA(MATCH(456,'Transfer Engine'!$C$2:$C$630,0)),"",INDEX('Compliance Database'!$H$2:$H$630,MATCH(456,'Transfer Engine'!$C$2:$C$630,0)))</f>
        <v/>
      </c>
      <c r="I465" s="8">
        <f>IF(ISNA(MATCH(456,'Transfer Engine'!$C$2:$C$630,0)),"",INDEX('Compliance Database'!$I$2:$I$630,MATCH(456,'Transfer Engine'!$C$2:$C$630,0)))</f>
        <v/>
      </c>
      <c r="J465" s="8">
        <f>IF(ISNA(MATCH(456,'Transfer Engine'!$C$2:$C$630,0)),"",INDEX('Compliance Database'!$J$2:$J$630,MATCH(456,'Transfer Engine'!$C$2:$C$630,0)))</f>
        <v/>
      </c>
      <c r="K465">
        <f>IF(ISNA(MATCH(456,'Transfer Engine'!$C$2:$C$630,0)),"",INDEX('Compliance Database'!$K$2:$K$630,MATCH(456,'Transfer Engine'!$C$2:$C$630,0)))</f>
        <v/>
      </c>
      <c r="L465" s="8">
        <f>IF(ISNA(MATCH(456,'Transfer Engine'!$C$2:$C$630,0)),"",INDEX('Compliance Database'!$L$2:$L$630,MATCH(456,'Transfer Engine'!$C$2:$C$630,0)))</f>
        <v/>
      </c>
      <c r="M465" s="8">
        <f>IF(ISNA(MATCH(456,'Transfer Engine'!$C$2:$C$630,0)),"",INDEX('Compliance Database'!$M$2:$M$630,MATCH(456,'Transfer Engine'!$C$2:$C$630,0)))</f>
        <v/>
      </c>
      <c r="N465" s="8">
        <f>IF(ISNA(MATCH(456,'Transfer Engine'!$C$2:$C$630,0)),"",INDEX('Compliance Database'!$N$2:$N$630,MATCH(456,'Transfer Engine'!$C$2:$C$630,0)))</f>
        <v/>
      </c>
      <c r="O465" s="8">
        <f>IF(ISNA(MATCH(456,'Transfer Engine'!$C$2:$C$630,0)),"",INDEX('Compliance Database'!$O$2:$O$630,MATCH(456,'Transfer Engine'!$C$2:$C$630,0)))</f>
        <v/>
      </c>
    </row>
    <row r="466">
      <c r="A466">
        <f>IF(ISNA(MATCH(457,'Transfer Engine'!$C$2:$C$630,0)),"",INDEX('Compliance Database'!$A$2:$A$630,MATCH(457,'Transfer Engine'!$C$2:$C$630,0)))</f>
        <v/>
      </c>
      <c r="B466">
        <f>IF(ISNA(MATCH(457,'Transfer Engine'!$C$2:$C$630,0)),"",INDEX('Compliance Database'!$B$2:$B$630,MATCH(457,'Transfer Engine'!$C$2:$C$630,0)))</f>
        <v/>
      </c>
      <c r="C466">
        <f>IF(ISNA(MATCH(457,'Transfer Engine'!$C$2:$C$630,0)),"",INDEX('Compliance Database'!$C$2:$C$630,MATCH(457,'Transfer Engine'!$C$2:$C$630,0)))</f>
        <v/>
      </c>
      <c r="D466" s="8">
        <f>IF(ISNA(MATCH(457,'Transfer Engine'!$C$2:$C$630,0)),"",INDEX('Compliance Database'!$D$2:$D$630,MATCH(457,'Transfer Engine'!$C$2:$C$630,0)))</f>
        <v/>
      </c>
      <c r="E466">
        <f>IF(ISNA(MATCH(457,'Transfer Engine'!$C$2:$C$630,0)),"",INDEX('Compliance Database'!$E$2:$E$630,MATCH(457,'Transfer Engine'!$C$2:$C$630,0)))</f>
        <v/>
      </c>
      <c r="F466">
        <f>IF(ISNA(MATCH(457,'Transfer Engine'!$C$2:$C$630,0)),"",INDEX('Compliance Database'!$F$2:$F$630,MATCH(457,'Transfer Engine'!$C$2:$C$630,0)))</f>
        <v/>
      </c>
      <c r="G466">
        <f>IF(ISNA(MATCH(457,'Transfer Engine'!$C$2:$C$630,0)),"",INDEX('Compliance Database'!$G$2:$G$630,MATCH(457,'Transfer Engine'!$C$2:$C$630,0)))</f>
        <v/>
      </c>
      <c r="H466">
        <f>IF(ISNA(MATCH(457,'Transfer Engine'!$C$2:$C$630,0)),"",INDEX('Compliance Database'!$H$2:$H$630,MATCH(457,'Transfer Engine'!$C$2:$C$630,0)))</f>
        <v/>
      </c>
      <c r="I466" s="8">
        <f>IF(ISNA(MATCH(457,'Transfer Engine'!$C$2:$C$630,0)),"",INDEX('Compliance Database'!$I$2:$I$630,MATCH(457,'Transfer Engine'!$C$2:$C$630,0)))</f>
        <v/>
      </c>
      <c r="J466" s="8">
        <f>IF(ISNA(MATCH(457,'Transfer Engine'!$C$2:$C$630,0)),"",INDEX('Compliance Database'!$J$2:$J$630,MATCH(457,'Transfer Engine'!$C$2:$C$630,0)))</f>
        <v/>
      </c>
      <c r="K466">
        <f>IF(ISNA(MATCH(457,'Transfer Engine'!$C$2:$C$630,0)),"",INDEX('Compliance Database'!$K$2:$K$630,MATCH(457,'Transfer Engine'!$C$2:$C$630,0)))</f>
        <v/>
      </c>
      <c r="L466" s="8">
        <f>IF(ISNA(MATCH(457,'Transfer Engine'!$C$2:$C$630,0)),"",INDEX('Compliance Database'!$L$2:$L$630,MATCH(457,'Transfer Engine'!$C$2:$C$630,0)))</f>
        <v/>
      </c>
      <c r="M466" s="8">
        <f>IF(ISNA(MATCH(457,'Transfer Engine'!$C$2:$C$630,0)),"",INDEX('Compliance Database'!$M$2:$M$630,MATCH(457,'Transfer Engine'!$C$2:$C$630,0)))</f>
        <v/>
      </c>
      <c r="N466" s="8">
        <f>IF(ISNA(MATCH(457,'Transfer Engine'!$C$2:$C$630,0)),"",INDEX('Compliance Database'!$N$2:$N$630,MATCH(457,'Transfer Engine'!$C$2:$C$630,0)))</f>
        <v/>
      </c>
      <c r="O466" s="8">
        <f>IF(ISNA(MATCH(457,'Transfer Engine'!$C$2:$C$630,0)),"",INDEX('Compliance Database'!$O$2:$O$630,MATCH(457,'Transfer Engine'!$C$2:$C$630,0)))</f>
        <v/>
      </c>
    </row>
    <row r="467">
      <c r="A467">
        <f>IF(ISNA(MATCH(458,'Transfer Engine'!$C$2:$C$630,0)),"",INDEX('Compliance Database'!$A$2:$A$630,MATCH(458,'Transfer Engine'!$C$2:$C$630,0)))</f>
        <v/>
      </c>
      <c r="B467">
        <f>IF(ISNA(MATCH(458,'Transfer Engine'!$C$2:$C$630,0)),"",INDEX('Compliance Database'!$B$2:$B$630,MATCH(458,'Transfer Engine'!$C$2:$C$630,0)))</f>
        <v/>
      </c>
      <c r="C467">
        <f>IF(ISNA(MATCH(458,'Transfer Engine'!$C$2:$C$630,0)),"",INDEX('Compliance Database'!$C$2:$C$630,MATCH(458,'Transfer Engine'!$C$2:$C$630,0)))</f>
        <v/>
      </c>
      <c r="D467" s="8">
        <f>IF(ISNA(MATCH(458,'Transfer Engine'!$C$2:$C$630,0)),"",INDEX('Compliance Database'!$D$2:$D$630,MATCH(458,'Transfer Engine'!$C$2:$C$630,0)))</f>
        <v/>
      </c>
      <c r="E467">
        <f>IF(ISNA(MATCH(458,'Transfer Engine'!$C$2:$C$630,0)),"",INDEX('Compliance Database'!$E$2:$E$630,MATCH(458,'Transfer Engine'!$C$2:$C$630,0)))</f>
        <v/>
      </c>
      <c r="F467">
        <f>IF(ISNA(MATCH(458,'Transfer Engine'!$C$2:$C$630,0)),"",INDEX('Compliance Database'!$F$2:$F$630,MATCH(458,'Transfer Engine'!$C$2:$C$630,0)))</f>
        <v/>
      </c>
      <c r="G467">
        <f>IF(ISNA(MATCH(458,'Transfer Engine'!$C$2:$C$630,0)),"",INDEX('Compliance Database'!$G$2:$G$630,MATCH(458,'Transfer Engine'!$C$2:$C$630,0)))</f>
        <v/>
      </c>
      <c r="H467">
        <f>IF(ISNA(MATCH(458,'Transfer Engine'!$C$2:$C$630,0)),"",INDEX('Compliance Database'!$H$2:$H$630,MATCH(458,'Transfer Engine'!$C$2:$C$630,0)))</f>
        <v/>
      </c>
      <c r="I467" s="8">
        <f>IF(ISNA(MATCH(458,'Transfer Engine'!$C$2:$C$630,0)),"",INDEX('Compliance Database'!$I$2:$I$630,MATCH(458,'Transfer Engine'!$C$2:$C$630,0)))</f>
        <v/>
      </c>
      <c r="J467" s="8">
        <f>IF(ISNA(MATCH(458,'Transfer Engine'!$C$2:$C$630,0)),"",INDEX('Compliance Database'!$J$2:$J$630,MATCH(458,'Transfer Engine'!$C$2:$C$630,0)))</f>
        <v/>
      </c>
      <c r="K467">
        <f>IF(ISNA(MATCH(458,'Transfer Engine'!$C$2:$C$630,0)),"",INDEX('Compliance Database'!$K$2:$K$630,MATCH(458,'Transfer Engine'!$C$2:$C$630,0)))</f>
        <v/>
      </c>
      <c r="L467" s="8">
        <f>IF(ISNA(MATCH(458,'Transfer Engine'!$C$2:$C$630,0)),"",INDEX('Compliance Database'!$L$2:$L$630,MATCH(458,'Transfer Engine'!$C$2:$C$630,0)))</f>
        <v/>
      </c>
      <c r="M467" s="8">
        <f>IF(ISNA(MATCH(458,'Transfer Engine'!$C$2:$C$630,0)),"",INDEX('Compliance Database'!$M$2:$M$630,MATCH(458,'Transfer Engine'!$C$2:$C$630,0)))</f>
        <v/>
      </c>
      <c r="N467" s="8">
        <f>IF(ISNA(MATCH(458,'Transfer Engine'!$C$2:$C$630,0)),"",INDEX('Compliance Database'!$N$2:$N$630,MATCH(458,'Transfer Engine'!$C$2:$C$630,0)))</f>
        <v/>
      </c>
      <c r="O467" s="8">
        <f>IF(ISNA(MATCH(458,'Transfer Engine'!$C$2:$C$630,0)),"",INDEX('Compliance Database'!$O$2:$O$630,MATCH(458,'Transfer Engine'!$C$2:$C$630,0)))</f>
        <v/>
      </c>
    </row>
    <row r="468">
      <c r="A468">
        <f>IF(ISNA(MATCH(459,'Transfer Engine'!$C$2:$C$630,0)),"",INDEX('Compliance Database'!$A$2:$A$630,MATCH(459,'Transfer Engine'!$C$2:$C$630,0)))</f>
        <v/>
      </c>
      <c r="B468">
        <f>IF(ISNA(MATCH(459,'Transfer Engine'!$C$2:$C$630,0)),"",INDEX('Compliance Database'!$B$2:$B$630,MATCH(459,'Transfer Engine'!$C$2:$C$630,0)))</f>
        <v/>
      </c>
      <c r="C468">
        <f>IF(ISNA(MATCH(459,'Transfer Engine'!$C$2:$C$630,0)),"",INDEX('Compliance Database'!$C$2:$C$630,MATCH(459,'Transfer Engine'!$C$2:$C$630,0)))</f>
        <v/>
      </c>
      <c r="D468" s="8">
        <f>IF(ISNA(MATCH(459,'Transfer Engine'!$C$2:$C$630,0)),"",INDEX('Compliance Database'!$D$2:$D$630,MATCH(459,'Transfer Engine'!$C$2:$C$630,0)))</f>
        <v/>
      </c>
      <c r="E468">
        <f>IF(ISNA(MATCH(459,'Transfer Engine'!$C$2:$C$630,0)),"",INDEX('Compliance Database'!$E$2:$E$630,MATCH(459,'Transfer Engine'!$C$2:$C$630,0)))</f>
        <v/>
      </c>
      <c r="F468">
        <f>IF(ISNA(MATCH(459,'Transfer Engine'!$C$2:$C$630,0)),"",INDEX('Compliance Database'!$F$2:$F$630,MATCH(459,'Transfer Engine'!$C$2:$C$630,0)))</f>
        <v/>
      </c>
      <c r="G468">
        <f>IF(ISNA(MATCH(459,'Transfer Engine'!$C$2:$C$630,0)),"",INDEX('Compliance Database'!$G$2:$G$630,MATCH(459,'Transfer Engine'!$C$2:$C$630,0)))</f>
        <v/>
      </c>
      <c r="H468">
        <f>IF(ISNA(MATCH(459,'Transfer Engine'!$C$2:$C$630,0)),"",INDEX('Compliance Database'!$H$2:$H$630,MATCH(459,'Transfer Engine'!$C$2:$C$630,0)))</f>
        <v/>
      </c>
      <c r="I468" s="8">
        <f>IF(ISNA(MATCH(459,'Transfer Engine'!$C$2:$C$630,0)),"",INDEX('Compliance Database'!$I$2:$I$630,MATCH(459,'Transfer Engine'!$C$2:$C$630,0)))</f>
        <v/>
      </c>
      <c r="J468" s="8">
        <f>IF(ISNA(MATCH(459,'Transfer Engine'!$C$2:$C$630,0)),"",INDEX('Compliance Database'!$J$2:$J$630,MATCH(459,'Transfer Engine'!$C$2:$C$630,0)))</f>
        <v/>
      </c>
      <c r="K468">
        <f>IF(ISNA(MATCH(459,'Transfer Engine'!$C$2:$C$630,0)),"",INDEX('Compliance Database'!$K$2:$K$630,MATCH(459,'Transfer Engine'!$C$2:$C$630,0)))</f>
        <v/>
      </c>
      <c r="L468" s="8">
        <f>IF(ISNA(MATCH(459,'Transfer Engine'!$C$2:$C$630,0)),"",INDEX('Compliance Database'!$L$2:$L$630,MATCH(459,'Transfer Engine'!$C$2:$C$630,0)))</f>
        <v/>
      </c>
      <c r="M468" s="8">
        <f>IF(ISNA(MATCH(459,'Transfer Engine'!$C$2:$C$630,0)),"",INDEX('Compliance Database'!$M$2:$M$630,MATCH(459,'Transfer Engine'!$C$2:$C$630,0)))</f>
        <v/>
      </c>
      <c r="N468" s="8">
        <f>IF(ISNA(MATCH(459,'Transfer Engine'!$C$2:$C$630,0)),"",INDEX('Compliance Database'!$N$2:$N$630,MATCH(459,'Transfer Engine'!$C$2:$C$630,0)))</f>
        <v/>
      </c>
      <c r="O468" s="8">
        <f>IF(ISNA(MATCH(459,'Transfer Engine'!$C$2:$C$630,0)),"",INDEX('Compliance Database'!$O$2:$O$630,MATCH(459,'Transfer Engine'!$C$2:$C$630,0)))</f>
        <v/>
      </c>
    </row>
    <row r="469">
      <c r="A469">
        <f>IF(ISNA(MATCH(460,'Transfer Engine'!$C$2:$C$630,0)),"",INDEX('Compliance Database'!$A$2:$A$630,MATCH(460,'Transfer Engine'!$C$2:$C$630,0)))</f>
        <v/>
      </c>
      <c r="B469">
        <f>IF(ISNA(MATCH(460,'Transfer Engine'!$C$2:$C$630,0)),"",INDEX('Compliance Database'!$B$2:$B$630,MATCH(460,'Transfer Engine'!$C$2:$C$630,0)))</f>
        <v/>
      </c>
      <c r="C469">
        <f>IF(ISNA(MATCH(460,'Transfer Engine'!$C$2:$C$630,0)),"",INDEX('Compliance Database'!$C$2:$C$630,MATCH(460,'Transfer Engine'!$C$2:$C$630,0)))</f>
        <v/>
      </c>
      <c r="D469" s="8">
        <f>IF(ISNA(MATCH(460,'Transfer Engine'!$C$2:$C$630,0)),"",INDEX('Compliance Database'!$D$2:$D$630,MATCH(460,'Transfer Engine'!$C$2:$C$630,0)))</f>
        <v/>
      </c>
      <c r="E469">
        <f>IF(ISNA(MATCH(460,'Transfer Engine'!$C$2:$C$630,0)),"",INDEX('Compliance Database'!$E$2:$E$630,MATCH(460,'Transfer Engine'!$C$2:$C$630,0)))</f>
        <v/>
      </c>
      <c r="F469">
        <f>IF(ISNA(MATCH(460,'Transfer Engine'!$C$2:$C$630,0)),"",INDEX('Compliance Database'!$F$2:$F$630,MATCH(460,'Transfer Engine'!$C$2:$C$630,0)))</f>
        <v/>
      </c>
      <c r="G469">
        <f>IF(ISNA(MATCH(460,'Transfer Engine'!$C$2:$C$630,0)),"",INDEX('Compliance Database'!$G$2:$G$630,MATCH(460,'Transfer Engine'!$C$2:$C$630,0)))</f>
        <v/>
      </c>
      <c r="H469">
        <f>IF(ISNA(MATCH(460,'Transfer Engine'!$C$2:$C$630,0)),"",INDEX('Compliance Database'!$H$2:$H$630,MATCH(460,'Transfer Engine'!$C$2:$C$630,0)))</f>
        <v/>
      </c>
      <c r="I469" s="8">
        <f>IF(ISNA(MATCH(460,'Transfer Engine'!$C$2:$C$630,0)),"",INDEX('Compliance Database'!$I$2:$I$630,MATCH(460,'Transfer Engine'!$C$2:$C$630,0)))</f>
        <v/>
      </c>
      <c r="J469" s="8">
        <f>IF(ISNA(MATCH(460,'Transfer Engine'!$C$2:$C$630,0)),"",INDEX('Compliance Database'!$J$2:$J$630,MATCH(460,'Transfer Engine'!$C$2:$C$630,0)))</f>
        <v/>
      </c>
      <c r="K469">
        <f>IF(ISNA(MATCH(460,'Transfer Engine'!$C$2:$C$630,0)),"",INDEX('Compliance Database'!$K$2:$K$630,MATCH(460,'Transfer Engine'!$C$2:$C$630,0)))</f>
        <v/>
      </c>
      <c r="L469" s="8">
        <f>IF(ISNA(MATCH(460,'Transfer Engine'!$C$2:$C$630,0)),"",INDEX('Compliance Database'!$L$2:$L$630,MATCH(460,'Transfer Engine'!$C$2:$C$630,0)))</f>
        <v/>
      </c>
      <c r="M469" s="8">
        <f>IF(ISNA(MATCH(460,'Transfer Engine'!$C$2:$C$630,0)),"",INDEX('Compliance Database'!$M$2:$M$630,MATCH(460,'Transfer Engine'!$C$2:$C$630,0)))</f>
        <v/>
      </c>
      <c r="N469" s="8">
        <f>IF(ISNA(MATCH(460,'Transfer Engine'!$C$2:$C$630,0)),"",INDEX('Compliance Database'!$N$2:$N$630,MATCH(460,'Transfer Engine'!$C$2:$C$630,0)))</f>
        <v/>
      </c>
      <c r="O469" s="8">
        <f>IF(ISNA(MATCH(460,'Transfer Engine'!$C$2:$C$630,0)),"",INDEX('Compliance Database'!$O$2:$O$630,MATCH(460,'Transfer Engine'!$C$2:$C$630,0)))</f>
        <v/>
      </c>
    </row>
    <row r="470">
      <c r="A470">
        <f>IF(ISNA(MATCH(461,'Transfer Engine'!$C$2:$C$630,0)),"",INDEX('Compliance Database'!$A$2:$A$630,MATCH(461,'Transfer Engine'!$C$2:$C$630,0)))</f>
        <v/>
      </c>
      <c r="B470">
        <f>IF(ISNA(MATCH(461,'Transfer Engine'!$C$2:$C$630,0)),"",INDEX('Compliance Database'!$B$2:$B$630,MATCH(461,'Transfer Engine'!$C$2:$C$630,0)))</f>
        <v/>
      </c>
      <c r="C470">
        <f>IF(ISNA(MATCH(461,'Transfer Engine'!$C$2:$C$630,0)),"",INDEX('Compliance Database'!$C$2:$C$630,MATCH(461,'Transfer Engine'!$C$2:$C$630,0)))</f>
        <v/>
      </c>
      <c r="D470" s="8">
        <f>IF(ISNA(MATCH(461,'Transfer Engine'!$C$2:$C$630,0)),"",INDEX('Compliance Database'!$D$2:$D$630,MATCH(461,'Transfer Engine'!$C$2:$C$630,0)))</f>
        <v/>
      </c>
      <c r="E470">
        <f>IF(ISNA(MATCH(461,'Transfer Engine'!$C$2:$C$630,0)),"",INDEX('Compliance Database'!$E$2:$E$630,MATCH(461,'Transfer Engine'!$C$2:$C$630,0)))</f>
        <v/>
      </c>
      <c r="F470">
        <f>IF(ISNA(MATCH(461,'Transfer Engine'!$C$2:$C$630,0)),"",INDEX('Compliance Database'!$F$2:$F$630,MATCH(461,'Transfer Engine'!$C$2:$C$630,0)))</f>
        <v/>
      </c>
      <c r="G470">
        <f>IF(ISNA(MATCH(461,'Transfer Engine'!$C$2:$C$630,0)),"",INDEX('Compliance Database'!$G$2:$G$630,MATCH(461,'Transfer Engine'!$C$2:$C$630,0)))</f>
        <v/>
      </c>
      <c r="H470">
        <f>IF(ISNA(MATCH(461,'Transfer Engine'!$C$2:$C$630,0)),"",INDEX('Compliance Database'!$H$2:$H$630,MATCH(461,'Transfer Engine'!$C$2:$C$630,0)))</f>
        <v/>
      </c>
      <c r="I470" s="8">
        <f>IF(ISNA(MATCH(461,'Transfer Engine'!$C$2:$C$630,0)),"",INDEX('Compliance Database'!$I$2:$I$630,MATCH(461,'Transfer Engine'!$C$2:$C$630,0)))</f>
        <v/>
      </c>
      <c r="J470" s="8">
        <f>IF(ISNA(MATCH(461,'Transfer Engine'!$C$2:$C$630,0)),"",INDEX('Compliance Database'!$J$2:$J$630,MATCH(461,'Transfer Engine'!$C$2:$C$630,0)))</f>
        <v/>
      </c>
      <c r="K470">
        <f>IF(ISNA(MATCH(461,'Transfer Engine'!$C$2:$C$630,0)),"",INDEX('Compliance Database'!$K$2:$K$630,MATCH(461,'Transfer Engine'!$C$2:$C$630,0)))</f>
        <v/>
      </c>
      <c r="L470" s="8">
        <f>IF(ISNA(MATCH(461,'Transfer Engine'!$C$2:$C$630,0)),"",INDEX('Compliance Database'!$L$2:$L$630,MATCH(461,'Transfer Engine'!$C$2:$C$630,0)))</f>
        <v/>
      </c>
      <c r="M470" s="8">
        <f>IF(ISNA(MATCH(461,'Transfer Engine'!$C$2:$C$630,0)),"",INDEX('Compliance Database'!$M$2:$M$630,MATCH(461,'Transfer Engine'!$C$2:$C$630,0)))</f>
        <v/>
      </c>
      <c r="N470" s="8">
        <f>IF(ISNA(MATCH(461,'Transfer Engine'!$C$2:$C$630,0)),"",INDEX('Compliance Database'!$N$2:$N$630,MATCH(461,'Transfer Engine'!$C$2:$C$630,0)))</f>
        <v/>
      </c>
      <c r="O470" s="8">
        <f>IF(ISNA(MATCH(461,'Transfer Engine'!$C$2:$C$630,0)),"",INDEX('Compliance Database'!$O$2:$O$630,MATCH(461,'Transfer Engine'!$C$2:$C$630,0)))</f>
        <v/>
      </c>
    </row>
    <row r="471">
      <c r="A471">
        <f>IF(ISNA(MATCH(462,'Transfer Engine'!$C$2:$C$630,0)),"",INDEX('Compliance Database'!$A$2:$A$630,MATCH(462,'Transfer Engine'!$C$2:$C$630,0)))</f>
        <v/>
      </c>
      <c r="B471">
        <f>IF(ISNA(MATCH(462,'Transfer Engine'!$C$2:$C$630,0)),"",INDEX('Compliance Database'!$B$2:$B$630,MATCH(462,'Transfer Engine'!$C$2:$C$630,0)))</f>
        <v/>
      </c>
      <c r="C471">
        <f>IF(ISNA(MATCH(462,'Transfer Engine'!$C$2:$C$630,0)),"",INDEX('Compliance Database'!$C$2:$C$630,MATCH(462,'Transfer Engine'!$C$2:$C$630,0)))</f>
        <v/>
      </c>
      <c r="D471" s="8">
        <f>IF(ISNA(MATCH(462,'Transfer Engine'!$C$2:$C$630,0)),"",INDEX('Compliance Database'!$D$2:$D$630,MATCH(462,'Transfer Engine'!$C$2:$C$630,0)))</f>
        <v/>
      </c>
      <c r="E471">
        <f>IF(ISNA(MATCH(462,'Transfer Engine'!$C$2:$C$630,0)),"",INDEX('Compliance Database'!$E$2:$E$630,MATCH(462,'Transfer Engine'!$C$2:$C$630,0)))</f>
        <v/>
      </c>
      <c r="F471">
        <f>IF(ISNA(MATCH(462,'Transfer Engine'!$C$2:$C$630,0)),"",INDEX('Compliance Database'!$F$2:$F$630,MATCH(462,'Transfer Engine'!$C$2:$C$630,0)))</f>
        <v/>
      </c>
      <c r="G471">
        <f>IF(ISNA(MATCH(462,'Transfer Engine'!$C$2:$C$630,0)),"",INDEX('Compliance Database'!$G$2:$G$630,MATCH(462,'Transfer Engine'!$C$2:$C$630,0)))</f>
        <v/>
      </c>
      <c r="H471">
        <f>IF(ISNA(MATCH(462,'Transfer Engine'!$C$2:$C$630,0)),"",INDEX('Compliance Database'!$H$2:$H$630,MATCH(462,'Transfer Engine'!$C$2:$C$630,0)))</f>
        <v/>
      </c>
      <c r="I471" s="8">
        <f>IF(ISNA(MATCH(462,'Transfer Engine'!$C$2:$C$630,0)),"",INDEX('Compliance Database'!$I$2:$I$630,MATCH(462,'Transfer Engine'!$C$2:$C$630,0)))</f>
        <v/>
      </c>
      <c r="J471" s="8">
        <f>IF(ISNA(MATCH(462,'Transfer Engine'!$C$2:$C$630,0)),"",INDEX('Compliance Database'!$J$2:$J$630,MATCH(462,'Transfer Engine'!$C$2:$C$630,0)))</f>
        <v/>
      </c>
      <c r="K471">
        <f>IF(ISNA(MATCH(462,'Transfer Engine'!$C$2:$C$630,0)),"",INDEX('Compliance Database'!$K$2:$K$630,MATCH(462,'Transfer Engine'!$C$2:$C$630,0)))</f>
        <v/>
      </c>
      <c r="L471" s="8">
        <f>IF(ISNA(MATCH(462,'Transfer Engine'!$C$2:$C$630,0)),"",INDEX('Compliance Database'!$L$2:$L$630,MATCH(462,'Transfer Engine'!$C$2:$C$630,0)))</f>
        <v/>
      </c>
      <c r="M471" s="8">
        <f>IF(ISNA(MATCH(462,'Transfer Engine'!$C$2:$C$630,0)),"",INDEX('Compliance Database'!$M$2:$M$630,MATCH(462,'Transfer Engine'!$C$2:$C$630,0)))</f>
        <v/>
      </c>
      <c r="N471" s="8">
        <f>IF(ISNA(MATCH(462,'Transfer Engine'!$C$2:$C$630,0)),"",INDEX('Compliance Database'!$N$2:$N$630,MATCH(462,'Transfer Engine'!$C$2:$C$630,0)))</f>
        <v/>
      </c>
      <c r="O471" s="8">
        <f>IF(ISNA(MATCH(462,'Transfer Engine'!$C$2:$C$630,0)),"",INDEX('Compliance Database'!$O$2:$O$630,MATCH(462,'Transfer Engine'!$C$2:$C$630,0)))</f>
        <v/>
      </c>
    </row>
    <row r="472">
      <c r="A472">
        <f>IF(ISNA(MATCH(463,'Transfer Engine'!$C$2:$C$630,0)),"",INDEX('Compliance Database'!$A$2:$A$630,MATCH(463,'Transfer Engine'!$C$2:$C$630,0)))</f>
        <v/>
      </c>
      <c r="B472">
        <f>IF(ISNA(MATCH(463,'Transfer Engine'!$C$2:$C$630,0)),"",INDEX('Compliance Database'!$B$2:$B$630,MATCH(463,'Transfer Engine'!$C$2:$C$630,0)))</f>
        <v/>
      </c>
      <c r="C472">
        <f>IF(ISNA(MATCH(463,'Transfer Engine'!$C$2:$C$630,0)),"",INDEX('Compliance Database'!$C$2:$C$630,MATCH(463,'Transfer Engine'!$C$2:$C$630,0)))</f>
        <v/>
      </c>
      <c r="D472" s="8">
        <f>IF(ISNA(MATCH(463,'Transfer Engine'!$C$2:$C$630,0)),"",INDEX('Compliance Database'!$D$2:$D$630,MATCH(463,'Transfer Engine'!$C$2:$C$630,0)))</f>
        <v/>
      </c>
      <c r="E472">
        <f>IF(ISNA(MATCH(463,'Transfer Engine'!$C$2:$C$630,0)),"",INDEX('Compliance Database'!$E$2:$E$630,MATCH(463,'Transfer Engine'!$C$2:$C$630,0)))</f>
        <v/>
      </c>
      <c r="F472">
        <f>IF(ISNA(MATCH(463,'Transfer Engine'!$C$2:$C$630,0)),"",INDEX('Compliance Database'!$F$2:$F$630,MATCH(463,'Transfer Engine'!$C$2:$C$630,0)))</f>
        <v/>
      </c>
      <c r="G472">
        <f>IF(ISNA(MATCH(463,'Transfer Engine'!$C$2:$C$630,0)),"",INDEX('Compliance Database'!$G$2:$G$630,MATCH(463,'Transfer Engine'!$C$2:$C$630,0)))</f>
        <v/>
      </c>
      <c r="H472">
        <f>IF(ISNA(MATCH(463,'Transfer Engine'!$C$2:$C$630,0)),"",INDEX('Compliance Database'!$H$2:$H$630,MATCH(463,'Transfer Engine'!$C$2:$C$630,0)))</f>
        <v/>
      </c>
      <c r="I472" s="8">
        <f>IF(ISNA(MATCH(463,'Transfer Engine'!$C$2:$C$630,0)),"",INDEX('Compliance Database'!$I$2:$I$630,MATCH(463,'Transfer Engine'!$C$2:$C$630,0)))</f>
        <v/>
      </c>
      <c r="J472" s="8">
        <f>IF(ISNA(MATCH(463,'Transfer Engine'!$C$2:$C$630,0)),"",INDEX('Compliance Database'!$J$2:$J$630,MATCH(463,'Transfer Engine'!$C$2:$C$630,0)))</f>
        <v/>
      </c>
      <c r="K472">
        <f>IF(ISNA(MATCH(463,'Transfer Engine'!$C$2:$C$630,0)),"",INDEX('Compliance Database'!$K$2:$K$630,MATCH(463,'Transfer Engine'!$C$2:$C$630,0)))</f>
        <v/>
      </c>
      <c r="L472" s="8">
        <f>IF(ISNA(MATCH(463,'Transfer Engine'!$C$2:$C$630,0)),"",INDEX('Compliance Database'!$L$2:$L$630,MATCH(463,'Transfer Engine'!$C$2:$C$630,0)))</f>
        <v/>
      </c>
      <c r="M472" s="8">
        <f>IF(ISNA(MATCH(463,'Transfer Engine'!$C$2:$C$630,0)),"",INDEX('Compliance Database'!$M$2:$M$630,MATCH(463,'Transfer Engine'!$C$2:$C$630,0)))</f>
        <v/>
      </c>
      <c r="N472" s="8">
        <f>IF(ISNA(MATCH(463,'Transfer Engine'!$C$2:$C$630,0)),"",INDEX('Compliance Database'!$N$2:$N$630,MATCH(463,'Transfer Engine'!$C$2:$C$630,0)))</f>
        <v/>
      </c>
      <c r="O472" s="8">
        <f>IF(ISNA(MATCH(463,'Transfer Engine'!$C$2:$C$630,0)),"",INDEX('Compliance Database'!$O$2:$O$630,MATCH(463,'Transfer Engine'!$C$2:$C$630,0)))</f>
        <v/>
      </c>
    </row>
    <row r="473">
      <c r="A473">
        <f>IF(ISNA(MATCH(464,'Transfer Engine'!$C$2:$C$630,0)),"",INDEX('Compliance Database'!$A$2:$A$630,MATCH(464,'Transfer Engine'!$C$2:$C$630,0)))</f>
        <v/>
      </c>
      <c r="B473">
        <f>IF(ISNA(MATCH(464,'Transfer Engine'!$C$2:$C$630,0)),"",INDEX('Compliance Database'!$B$2:$B$630,MATCH(464,'Transfer Engine'!$C$2:$C$630,0)))</f>
        <v/>
      </c>
      <c r="C473">
        <f>IF(ISNA(MATCH(464,'Transfer Engine'!$C$2:$C$630,0)),"",INDEX('Compliance Database'!$C$2:$C$630,MATCH(464,'Transfer Engine'!$C$2:$C$630,0)))</f>
        <v/>
      </c>
      <c r="D473" s="8">
        <f>IF(ISNA(MATCH(464,'Transfer Engine'!$C$2:$C$630,0)),"",INDEX('Compliance Database'!$D$2:$D$630,MATCH(464,'Transfer Engine'!$C$2:$C$630,0)))</f>
        <v/>
      </c>
      <c r="E473">
        <f>IF(ISNA(MATCH(464,'Transfer Engine'!$C$2:$C$630,0)),"",INDEX('Compliance Database'!$E$2:$E$630,MATCH(464,'Transfer Engine'!$C$2:$C$630,0)))</f>
        <v/>
      </c>
      <c r="F473">
        <f>IF(ISNA(MATCH(464,'Transfer Engine'!$C$2:$C$630,0)),"",INDEX('Compliance Database'!$F$2:$F$630,MATCH(464,'Transfer Engine'!$C$2:$C$630,0)))</f>
        <v/>
      </c>
      <c r="G473">
        <f>IF(ISNA(MATCH(464,'Transfer Engine'!$C$2:$C$630,0)),"",INDEX('Compliance Database'!$G$2:$G$630,MATCH(464,'Transfer Engine'!$C$2:$C$630,0)))</f>
        <v/>
      </c>
      <c r="H473">
        <f>IF(ISNA(MATCH(464,'Transfer Engine'!$C$2:$C$630,0)),"",INDEX('Compliance Database'!$H$2:$H$630,MATCH(464,'Transfer Engine'!$C$2:$C$630,0)))</f>
        <v/>
      </c>
      <c r="I473" s="8">
        <f>IF(ISNA(MATCH(464,'Transfer Engine'!$C$2:$C$630,0)),"",INDEX('Compliance Database'!$I$2:$I$630,MATCH(464,'Transfer Engine'!$C$2:$C$630,0)))</f>
        <v/>
      </c>
      <c r="J473" s="8">
        <f>IF(ISNA(MATCH(464,'Transfer Engine'!$C$2:$C$630,0)),"",INDEX('Compliance Database'!$J$2:$J$630,MATCH(464,'Transfer Engine'!$C$2:$C$630,0)))</f>
        <v/>
      </c>
      <c r="K473">
        <f>IF(ISNA(MATCH(464,'Transfer Engine'!$C$2:$C$630,0)),"",INDEX('Compliance Database'!$K$2:$K$630,MATCH(464,'Transfer Engine'!$C$2:$C$630,0)))</f>
        <v/>
      </c>
      <c r="L473" s="8">
        <f>IF(ISNA(MATCH(464,'Transfer Engine'!$C$2:$C$630,0)),"",INDEX('Compliance Database'!$L$2:$L$630,MATCH(464,'Transfer Engine'!$C$2:$C$630,0)))</f>
        <v/>
      </c>
      <c r="M473" s="8">
        <f>IF(ISNA(MATCH(464,'Transfer Engine'!$C$2:$C$630,0)),"",INDEX('Compliance Database'!$M$2:$M$630,MATCH(464,'Transfer Engine'!$C$2:$C$630,0)))</f>
        <v/>
      </c>
      <c r="N473" s="8">
        <f>IF(ISNA(MATCH(464,'Transfer Engine'!$C$2:$C$630,0)),"",INDEX('Compliance Database'!$N$2:$N$630,MATCH(464,'Transfer Engine'!$C$2:$C$630,0)))</f>
        <v/>
      </c>
      <c r="O473" s="8">
        <f>IF(ISNA(MATCH(464,'Transfer Engine'!$C$2:$C$630,0)),"",INDEX('Compliance Database'!$O$2:$O$630,MATCH(464,'Transfer Engine'!$C$2:$C$630,0)))</f>
        <v/>
      </c>
    </row>
    <row r="474">
      <c r="A474">
        <f>IF(ISNA(MATCH(465,'Transfer Engine'!$C$2:$C$630,0)),"",INDEX('Compliance Database'!$A$2:$A$630,MATCH(465,'Transfer Engine'!$C$2:$C$630,0)))</f>
        <v/>
      </c>
      <c r="B474">
        <f>IF(ISNA(MATCH(465,'Transfer Engine'!$C$2:$C$630,0)),"",INDEX('Compliance Database'!$B$2:$B$630,MATCH(465,'Transfer Engine'!$C$2:$C$630,0)))</f>
        <v/>
      </c>
      <c r="C474">
        <f>IF(ISNA(MATCH(465,'Transfer Engine'!$C$2:$C$630,0)),"",INDEX('Compliance Database'!$C$2:$C$630,MATCH(465,'Transfer Engine'!$C$2:$C$630,0)))</f>
        <v/>
      </c>
      <c r="D474" s="8">
        <f>IF(ISNA(MATCH(465,'Transfer Engine'!$C$2:$C$630,0)),"",INDEX('Compliance Database'!$D$2:$D$630,MATCH(465,'Transfer Engine'!$C$2:$C$630,0)))</f>
        <v/>
      </c>
      <c r="E474">
        <f>IF(ISNA(MATCH(465,'Transfer Engine'!$C$2:$C$630,0)),"",INDEX('Compliance Database'!$E$2:$E$630,MATCH(465,'Transfer Engine'!$C$2:$C$630,0)))</f>
        <v/>
      </c>
      <c r="F474">
        <f>IF(ISNA(MATCH(465,'Transfer Engine'!$C$2:$C$630,0)),"",INDEX('Compliance Database'!$F$2:$F$630,MATCH(465,'Transfer Engine'!$C$2:$C$630,0)))</f>
        <v/>
      </c>
      <c r="G474">
        <f>IF(ISNA(MATCH(465,'Transfer Engine'!$C$2:$C$630,0)),"",INDEX('Compliance Database'!$G$2:$G$630,MATCH(465,'Transfer Engine'!$C$2:$C$630,0)))</f>
        <v/>
      </c>
      <c r="H474">
        <f>IF(ISNA(MATCH(465,'Transfer Engine'!$C$2:$C$630,0)),"",INDEX('Compliance Database'!$H$2:$H$630,MATCH(465,'Transfer Engine'!$C$2:$C$630,0)))</f>
        <v/>
      </c>
      <c r="I474" s="8">
        <f>IF(ISNA(MATCH(465,'Transfer Engine'!$C$2:$C$630,0)),"",INDEX('Compliance Database'!$I$2:$I$630,MATCH(465,'Transfer Engine'!$C$2:$C$630,0)))</f>
        <v/>
      </c>
      <c r="J474" s="8">
        <f>IF(ISNA(MATCH(465,'Transfer Engine'!$C$2:$C$630,0)),"",INDEX('Compliance Database'!$J$2:$J$630,MATCH(465,'Transfer Engine'!$C$2:$C$630,0)))</f>
        <v/>
      </c>
      <c r="K474">
        <f>IF(ISNA(MATCH(465,'Transfer Engine'!$C$2:$C$630,0)),"",INDEX('Compliance Database'!$K$2:$K$630,MATCH(465,'Transfer Engine'!$C$2:$C$630,0)))</f>
        <v/>
      </c>
      <c r="L474" s="8">
        <f>IF(ISNA(MATCH(465,'Transfer Engine'!$C$2:$C$630,0)),"",INDEX('Compliance Database'!$L$2:$L$630,MATCH(465,'Transfer Engine'!$C$2:$C$630,0)))</f>
        <v/>
      </c>
      <c r="M474" s="8">
        <f>IF(ISNA(MATCH(465,'Transfer Engine'!$C$2:$C$630,0)),"",INDEX('Compliance Database'!$M$2:$M$630,MATCH(465,'Transfer Engine'!$C$2:$C$630,0)))</f>
        <v/>
      </c>
      <c r="N474" s="8">
        <f>IF(ISNA(MATCH(465,'Transfer Engine'!$C$2:$C$630,0)),"",INDEX('Compliance Database'!$N$2:$N$630,MATCH(465,'Transfer Engine'!$C$2:$C$630,0)))</f>
        <v/>
      </c>
      <c r="O474" s="8">
        <f>IF(ISNA(MATCH(465,'Transfer Engine'!$C$2:$C$630,0)),"",INDEX('Compliance Database'!$O$2:$O$630,MATCH(465,'Transfer Engine'!$C$2:$C$630,0)))</f>
        <v/>
      </c>
    </row>
    <row r="475">
      <c r="A475">
        <f>IF(ISNA(MATCH(466,'Transfer Engine'!$C$2:$C$630,0)),"",INDEX('Compliance Database'!$A$2:$A$630,MATCH(466,'Transfer Engine'!$C$2:$C$630,0)))</f>
        <v/>
      </c>
      <c r="B475">
        <f>IF(ISNA(MATCH(466,'Transfer Engine'!$C$2:$C$630,0)),"",INDEX('Compliance Database'!$B$2:$B$630,MATCH(466,'Transfer Engine'!$C$2:$C$630,0)))</f>
        <v/>
      </c>
      <c r="C475">
        <f>IF(ISNA(MATCH(466,'Transfer Engine'!$C$2:$C$630,0)),"",INDEX('Compliance Database'!$C$2:$C$630,MATCH(466,'Transfer Engine'!$C$2:$C$630,0)))</f>
        <v/>
      </c>
      <c r="D475" s="8">
        <f>IF(ISNA(MATCH(466,'Transfer Engine'!$C$2:$C$630,0)),"",INDEX('Compliance Database'!$D$2:$D$630,MATCH(466,'Transfer Engine'!$C$2:$C$630,0)))</f>
        <v/>
      </c>
      <c r="E475">
        <f>IF(ISNA(MATCH(466,'Transfer Engine'!$C$2:$C$630,0)),"",INDEX('Compliance Database'!$E$2:$E$630,MATCH(466,'Transfer Engine'!$C$2:$C$630,0)))</f>
        <v/>
      </c>
      <c r="F475">
        <f>IF(ISNA(MATCH(466,'Transfer Engine'!$C$2:$C$630,0)),"",INDEX('Compliance Database'!$F$2:$F$630,MATCH(466,'Transfer Engine'!$C$2:$C$630,0)))</f>
        <v/>
      </c>
      <c r="G475">
        <f>IF(ISNA(MATCH(466,'Transfer Engine'!$C$2:$C$630,0)),"",INDEX('Compliance Database'!$G$2:$G$630,MATCH(466,'Transfer Engine'!$C$2:$C$630,0)))</f>
        <v/>
      </c>
      <c r="H475">
        <f>IF(ISNA(MATCH(466,'Transfer Engine'!$C$2:$C$630,0)),"",INDEX('Compliance Database'!$H$2:$H$630,MATCH(466,'Transfer Engine'!$C$2:$C$630,0)))</f>
        <v/>
      </c>
      <c r="I475" s="8">
        <f>IF(ISNA(MATCH(466,'Transfer Engine'!$C$2:$C$630,0)),"",INDEX('Compliance Database'!$I$2:$I$630,MATCH(466,'Transfer Engine'!$C$2:$C$630,0)))</f>
        <v/>
      </c>
      <c r="J475" s="8">
        <f>IF(ISNA(MATCH(466,'Transfer Engine'!$C$2:$C$630,0)),"",INDEX('Compliance Database'!$J$2:$J$630,MATCH(466,'Transfer Engine'!$C$2:$C$630,0)))</f>
        <v/>
      </c>
      <c r="K475">
        <f>IF(ISNA(MATCH(466,'Transfer Engine'!$C$2:$C$630,0)),"",INDEX('Compliance Database'!$K$2:$K$630,MATCH(466,'Transfer Engine'!$C$2:$C$630,0)))</f>
        <v/>
      </c>
      <c r="L475" s="8">
        <f>IF(ISNA(MATCH(466,'Transfer Engine'!$C$2:$C$630,0)),"",INDEX('Compliance Database'!$L$2:$L$630,MATCH(466,'Transfer Engine'!$C$2:$C$630,0)))</f>
        <v/>
      </c>
      <c r="M475" s="8">
        <f>IF(ISNA(MATCH(466,'Transfer Engine'!$C$2:$C$630,0)),"",INDEX('Compliance Database'!$M$2:$M$630,MATCH(466,'Transfer Engine'!$C$2:$C$630,0)))</f>
        <v/>
      </c>
      <c r="N475" s="8">
        <f>IF(ISNA(MATCH(466,'Transfer Engine'!$C$2:$C$630,0)),"",INDEX('Compliance Database'!$N$2:$N$630,MATCH(466,'Transfer Engine'!$C$2:$C$630,0)))</f>
        <v/>
      </c>
      <c r="O475" s="8">
        <f>IF(ISNA(MATCH(466,'Transfer Engine'!$C$2:$C$630,0)),"",INDEX('Compliance Database'!$O$2:$O$630,MATCH(466,'Transfer Engine'!$C$2:$C$630,0)))</f>
        <v/>
      </c>
    </row>
    <row r="476">
      <c r="A476">
        <f>IF(ISNA(MATCH(467,'Transfer Engine'!$C$2:$C$630,0)),"",INDEX('Compliance Database'!$A$2:$A$630,MATCH(467,'Transfer Engine'!$C$2:$C$630,0)))</f>
        <v/>
      </c>
      <c r="B476">
        <f>IF(ISNA(MATCH(467,'Transfer Engine'!$C$2:$C$630,0)),"",INDEX('Compliance Database'!$B$2:$B$630,MATCH(467,'Transfer Engine'!$C$2:$C$630,0)))</f>
        <v/>
      </c>
      <c r="C476">
        <f>IF(ISNA(MATCH(467,'Transfer Engine'!$C$2:$C$630,0)),"",INDEX('Compliance Database'!$C$2:$C$630,MATCH(467,'Transfer Engine'!$C$2:$C$630,0)))</f>
        <v/>
      </c>
      <c r="D476" s="8">
        <f>IF(ISNA(MATCH(467,'Transfer Engine'!$C$2:$C$630,0)),"",INDEX('Compliance Database'!$D$2:$D$630,MATCH(467,'Transfer Engine'!$C$2:$C$630,0)))</f>
        <v/>
      </c>
      <c r="E476">
        <f>IF(ISNA(MATCH(467,'Transfer Engine'!$C$2:$C$630,0)),"",INDEX('Compliance Database'!$E$2:$E$630,MATCH(467,'Transfer Engine'!$C$2:$C$630,0)))</f>
        <v/>
      </c>
      <c r="F476">
        <f>IF(ISNA(MATCH(467,'Transfer Engine'!$C$2:$C$630,0)),"",INDEX('Compliance Database'!$F$2:$F$630,MATCH(467,'Transfer Engine'!$C$2:$C$630,0)))</f>
        <v/>
      </c>
      <c r="G476">
        <f>IF(ISNA(MATCH(467,'Transfer Engine'!$C$2:$C$630,0)),"",INDEX('Compliance Database'!$G$2:$G$630,MATCH(467,'Transfer Engine'!$C$2:$C$630,0)))</f>
        <v/>
      </c>
      <c r="H476">
        <f>IF(ISNA(MATCH(467,'Transfer Engine'!$C$2:$C$630,0)),"",INDEX('Compliance Database'!$H$2:$H$630,MATCH(467,'Transfer Engine'!$C$2:$C$630,0)))</f>
        <v/>
      </c>
      <c r="I476" s="8">
        <f>IF(ISNA(MATCH(467,'Transfer Engine'!$C$2:$C$630,0)),"",INDEX('Compliance Database'!$I$2:$I$630,MATCH(467,'Transfer Engine'!$C$2:$C$630,0)))</f>
        <v/>
      </c>
      <c r="J476" s="8">
        <f>IF(ISNA(MATCH(467,'Transfer Engine'!$C$2:$C$630,0)),"",INDEX('Compliance Database'!$J$2:$J$630,MATCH(467,'Transfer Engine'!$C$2:$C$630,0)))</f>
        <v/>
      </c>
      <c r="K476">
        <f>IF(ISNA(MATCH(467,'Transfer Engine'!$C$2:$C$630,0)),"",INDEX('Compliance Database'!$K$2:$K$630,MATCH(467,'Transfer Engine'!$C$2:$C$630,0)))</f>
        <v/>
      </c>
      <c r="L476" s="8">
        <f>IF(ISNA(MATCH(467,'Transfer Engine'!$C$2:$C$630,0)),"",INDEX('Compliance Database'!$L$2:$L$630,MATCH(467,'Transfer Engine'!$C$2:$C$630,0)))</f>
        <v/>
      </c>
      <c r="M476" s="8">
        <f>IF(ISNA(MATCH(467,'Transfer Engine'!$C$2:$C$630,0)),"",INDEX('Compliance Database'!$M$2:$M$630,MATCH(467,'Transfer Engine'!$C$2:$C$630,0)))</f>
        <v/>
      </c>
      <c r="N476" s="8">
        <f>IF(ISNA(MATCH(467,'Transfer Engine'!$C$2:$C$630,0)),"",INDEX('Compliance Database'!$N$2:$N$630,MATCH(467,'Transfer Engine'!$C$2:$C$630,0)))</f>
        <v/>
      </c>
      <c r="O476" s="8">
        <f>IF(ISNA(MATCH(467,'Transfer Engine'!$C$2:$C$630,0)),"",INDEX('Compliance Database'!$O$2:$O$630,MATCH(467,'Transfer Engine'!$C$2:$C$630,0)))</f>
        <v/>
      </c>
    </row>
    <row r="477">
      <c r="A477">
        <f>IF(ISNA(MATCH(468,'Transfer Engine'!$C$2:$C$630,0)),"",INDEX('Compliance Database'!$A$2:$A$630,MATCH(468,'Transfer Engine'!$C$2:$C$630,0)))</f>
        <v/>
      </c>
      <c r="B477">
        <f>IF(ISNA(MATCH(468,'Transfer Engine'!$C$2:$C$630,0)),"",INDEX('Compliance Database'!$B$2:$B$630,MATCH(468,'Transfer Engine'!$C$2:$C$630,0)))</f>
        <v/>
      </c>
      <c r="C477">
        <f>IF(ISNA(MATCH(468,'Transfer Engine'!$C$2:$C$630,0)),"",INDEX('Compliance Database'!$C$2:$C$630,MATCH(468,'Transfer Engine'!$C$2:$C$630,0)))</f>
        <v/>
      </c>
      <c r="D477" s="8">
        <f>IF(ISNA(MATCH(468,'Transfer Engine'!$C$2:$C$630,0)),"",INDEX('Compliance Database'!$D$2:$D$630,MATCH(468,'Transfer Engine'!$C$2:$C$630,0)))</f>
        <v/>
      </c>
      <c r="E477">
        <f>IF(ISNA(MATCH(468,'Transfer Engine'!$C$2:$C$630,0)),"",INDEX('Compliance Database'!$E$2:$E$630,MATCH(468,'Transfer Engine'!$C$2:$C$630,0)))</f>
        <v/>
      </c>
      <c r="F477">
        <f>IF(ISNA(MATCH(468,'Transfer Engine'!$C$2:$C$630,0)),"",INDEX('Compliance Database'!$F$2:$F$630,MATCH(468,'Transfer Engine'!$C$2:$C$630,0)))</f>
        <v/>
      </c>
      <c r="G477">
        <f>IF(ISNA(MATCH(468,'Transfer Engine'!$C$2:$C$630,0)),"",INDEX('Compliance Database'!$G$2:$G$630,MATCH(468,'Transfer Engine'!$C$2:$C$630,0)))</f>
        <v/>
      </c>
      <c r="H477">
        <f>IF(ISNA(MATCH(468,'Transfer Engine'!$C$2:$C$630,0)),"",INDEX('Compliance Database'!$H$2:$H$630,MATCH(468,'Transfer Engine'!$C$2:$C$630,0)))</f>
        <v/>
      </c>
      <c r="I477" s="8">
        <f>IF(ISNA(MATCH(468,'Transfer Engine'!$C$2:$C$630,0)),"",INDEX('Compliance Database'!$I$2:$I$630,MATCH(468,'Transfer Engine'!$C$2:$C$630,0)))</f>
        <v/>
      </c>
      <c r="J477" s="8">
        <f>IF(ISNA(MATCH(468,'Transfer Engine'!$C$2:$C$630,0)),"",INDEX('Compliance Database'!$J$2:$J$630,MATCH(468,'Transfer Engine'!$C$2:$C$630,0)))</f>
        <v/>
      </c>
      <c r="K477">
        <f>IF(ISNA(MATCH(468,'Transfer Engine'!$C$2:$C$630,0)),"",INDEX('Compliance Database'!$K$2:$K$630,MATCH(468,'Transfer Engine'!$C$2:$C$630,0)))</f>
        <v/>
      </c>
      <c r="L477" s="8">
        <f>IF(ISNA(MATCH(468,'Transfer Engine'!$C$2:$C$630,0)),"",INDEX('Compliance Database'!$L$2:$L$630,MATCH(468,'Transfer Engine'!$C$2:$C$630,0)))</f>
        <v/>
      </c>
      <c r="M477" s="8">
        <f>IF(ISNA(MATCH(468,'Transfer Engine'!$C$2:$C$630,0)),"",INDEX('Compliance Database'!$M$2:$M$630,MATCH(468,'Transfer Engine'!$C$2:$C$630,0)))</f>
        <v/>
      </c>
      <c r="N477" s="8">
        <f>IF(ISNA(MATCH(468,'Transfer Engine'!$C$2:$C$630,0)),"",INDEX('Compliance Database'!$N$2:$N$630,MATCH(468,'Transfer Engine'!$C$2:$C$630,0)))</f>
        <v/>
      </c>
      <c r="O477" s="8">
        <f>IF(ISNA(MATCH(468,'Transfer Engine'!$C$2:$C$630,0)),"",INDEX('Compliance Database'!$O$2:$O$630,MATCH(468,'Transfer Engine'!$C$2:$C$630,0)))</f>
        <v/>
      </c>
    </row>
    <row r="478">
      <c r="A478">
        <f>IF(ISNA(MATCH(469,'Transfer Engine'!$C$2:$C$630,0)),"",INDEX('Compliance Database'!$A$2:$A$630,MATCH(469,'Transfer Engine'!$C$2:$C$630,0)))</f>
        <v/>
      </c>
      <c r="B478">
        <f>IF(ISNA(MATCH(469,'Transfer Engine'!$C$2:$C$630,0)),"",INDEX('Compliance Database'!$B$2:$B$630,MATCH(469,'Transfer Engine'!$C$2:$C$630,0)))</f>
        <v/>
      </c>
      <c r="C478">
        <f>IF(ISNA(MATCH(469,'Transfer Engine'!$C$2:$C$630,0)),"",INDEX('Compliance Database'!$C$2:$C$630,MATCH(469,'Transfer Engine'!$C$2:$C$630,0)))</f>
        <v/>
      </c>
      <c r="D478" s="8">
        <f>IF(ISNA(MATCH(469,'Transfer Engine'!$C$2:$C$630,0)),"",INDEX('Compliance Database'!$D$2:$D$630,MATCH(469,'Transfer Engine'!$C$2:$C$630,0)))</f>
        <v/>
      </c>
      <c r="E478">
        <f>IF(ISNA(MATCH(469,'Transfer Engine'!$C$2:$C$630,0)),"",INDEX('Compliance Database'!$E$2:$E$630,MATCH(469,'Transfer Engine'!$C$2:$C$630,0)))</f>
        <v/>
      </c>
      <c r="F478">
        <f>IF(ISNA(MATCH(469,'Transfer Engine'!$C$2:$C$630,0)),"",INDEX('Compliance Database'!$F$2:$F$630,MATCH(469,'Transfer Engine'!$C$2:$C$630,0)))</f>
        <v/>
      </c>
      <c r="G478">
        <f>IF(ISNA(MATCH(469,'Transfer Engine'!$C$2:$C$630,0)),"",INDEX('Compliance Database'!$G$2:$G$630,MATCH(469,'Transfer Engine'!$C$2:$C$630,0)))</f>
        <v/>
      </c>
      <c r="H478">
        <f>IF(ISNA(MATCH(469,'Transfer Engine'!$C$2:$C$630,0)),"",INDEX('Compliance Database'!$H$2:$H$630,MATCH(469,'Transfer Engine'!$C$2:$C$630,0)))</f>
        <v/>
      </c>
      <c r="I478" s="8">
        <f>IF(ISNA(MATCH(469,'Transfer Engine'!$C$2:$C$630,0)),"",INDEX('Compliance Database'!$I$2:$I$630,MATCH(469,'Transfer Engine'!$C$2:$C$630,0)))</f>
        <v/>
      </c>
      <c r="J478" s="8">
        <f>IF(ISNA(MATCH(469,'Transfer Engine'!$C$2:$C$630,0)),"",INDEX('Compliance Database'!$J$2:$J$630,MATCH(469,'Transfer Engine'!$C$2:$C$630,0)))</f>
        <v/>
      </c>
      <c r="K478">
        <f>IF(ISNA(MATCH(469,'Transfer Engine'!$C$2:$C$630,0)),"",INDEX('Compliance Database'!$K$2:$K$630,MATCH(469,'Transfer Engine'!$C$2:$C$630,0)))</f>
        <v/>
      </c>
      <c r="L478" s="8">
        <f>IF(ISNA(MATCH(469,'Transfer Engine'!$C$2:$C$630,0)),"",INDEX('Compliance Database'!$L$2:$L$630,MATCH(469,'Transfer Engine'!$C$2:$C$630,0)))</f>
        <v/>
      </c>
      <c r="M478" s="8">
        <f>IF(ISNA(MATCH(469,'Transfer Engine'!$C$2:$C$630,0)),"",INDEX('Compliance Database'!$M$2:$M$630,MATCH(469,'Transfer Engine'!$C$2:$C$630,0)))</f>
        <v/>
      </c>
      <c r="N478" s="8">
        <f>IF(ISNA(MATCH(469,'Transfer Engine'!$C$2:$C$630,0)),"",INDEX('Compliance Database'!$N$2:$N$630,MATCH(469,'Transfer Engine'!$C$2:$C$630,0)))</f>
        <v/>
      </c>
      <c r="O478" s="8">
        <f>IF(ISNA(MATCH(469,'Transfer Engine'!$C$2:$C$630,0)),"",INDEX('Compliance Database'!$O$2:$O$630,MATCH(469,'Transfer Engine'!$C$2:$C$630,0)))</f>
        <v/>
      </c>
    </row>
    <row r="479">
      <c r="A479">
        <f>IF(ISNA(MATCH(470,'Transfer Engine'!$C$2:$C$630,0)),"",INDEX('Compliance Database'!$A$2:$A$630,MATCH(470,'Transfer Engine'!$C$2:$C$630,0)))</f>
        <v/>
      </c>
      <c r="B479">
        <f>IF(ISNA(MATCH(470,'Transfer Engine'!$C$2:$C$630,0)),"",INDEX('Compliance Database'!$B$2:$B$630,MATCH(470,'Transfer Engine'!$C$2:$C$630,0)))</f>
        <v/>
      </c>
      <c r="C479">
        <f>IF(ISNA(MATCH(470,'Transfer Engine'!$C$2:$C$630,0)),"",INDEX('Compliance Database'!$C$2:$C$630,MATCH(470,'Transfer Engine'!$C$2:$C$630,0)))</f>
        <v/>
      </c>
      <c r="D479" s="8">
        <f>IF(ISNA(MATCH(470,'Transfer Engine'!$C$2:$C$630,0)),"",INDEX('Compliance Database'!$D$2:$D$630,MATCH(470,'Transfer Engine'!$C$2:$C$630,0)))</f>
        <v/>
      </c>
      <c r="E479">
        <f>IF(ISNA(MATCH(470,'Transfer Engine'!$C$2:$C$630,0)),"",INDEX('Compliance Database'!$E$2:$E$630,MATCH(470,'Transfer Engine'!$C$2:$C$630,0)))</f>
        <v/>
      </c>
      <c r="F479">
        <f>IF(ISNA(MATCH(470,'Transfer Engine'!$C$2:$C$630,0)),"",INDEX('Compliance Database'!$F$2:$F$630,MATCH(470,'Transfer Engine'!$C$2:$C$630,0)))</f>
        <v/>
      </c>
      <c r="G479">
        <f>IF(ISNA(MATCH(470,'Transfer Engine'!$C$2:$C$630,0)),"",INDEX('Compliance Database'!$G$2:$G$630,MATCH(470,'Transfer Engine'!$C$2:$C$630,0)))</f>
        <v/>
      </c>
      <c r="H479">
        <f>IF(ISNA(MATCH(470,'Transfer Engine'!$C$2:$C$630,0)),"",INDEX('Compliance Database'!$H$2:$H$630,MATCH(470,'Transfer Engine'!$C$2:$C$630,0)))</f>
        <v/>
      </c>
      <c r="I479" s="8">
        <f>IF(ISNA(MATCH(470,'Transfer Engine'!$C$2:$C$630,0)),"",INDEX('Compliance Database'!$I$2:$I$630,MATCH(470,'Transfer Engine'!$C$2:$C$630,0)))</f>
        <v/>
      </c>
      <c r="J479" s="8">
        <f>IF(ISNA(MATCH(470,'Transfer Engine'!$C$2:$C$630,0)),"",INDEX('Compliance Database'!$J$2:$J$630,MATCH(470,'Transfer Engine'!$C$2:$C$630,0)))</f>
        <v/>
      </c>
      <c r="K479">
        <f>IF(ISNA(MATCH(470,'Transfer Engine'!$C$2:$C$630,0)),"",INDEX('Compliance Database'!$K$2:$K$630,MATCH(470,'Transfer Engine'!$C$2:$C$630,0)))</f>
        <v/>
      </c>
      <c r="L479" s="8">
        <f>IF(ISNA(MATCH(470,'Transfer Engine'!$C$2:$C$630,0)),"",INDEX('Compliance Database'!$L$2:$L$630,MATCH(470,'Transfer Engine'!$C$2:$C$630,0)))</f>
        <v/>
      </c>
      <c r="M479" s="8">
        <f>IF(ISNA(MATCH(470,'Transfer Engine'!$C$2:$C$630,0)),"",INDEX('Compliance Database'!$M$2:$M$630,MATCH(470,'Transfer Engine'!$C$2:$C$630,0)))</f>
        <v/>
      </c>
      <c r="N479" s="8">
        <f>IF(ISNA(MATCH(470,'Transfer Engine'!$C$2:$C$630,0)),"",INDEX('Compliance Database'!$N$2:$N$630,MATCH(470,'Transfer Engine'!$C$2:$C$630,0)))</f>
        <v/>
      </c>
      <c r="O479" s="8">
        <f>IF(ISNA(MATCH(470,'Transfer Engine'!$C$2:$C$630,0)),"",INDEX('Compliance Database'!$O$2:$O$630,MATCH(470,'Transfer Engine'!$C$2:$C$630,0)))</f>
        <v/>
      </c>
    </row>
    <row r="480">
      <c r="A480">
        <f>IF(ISNA(MATCH(471,'Transfer Engine'!$C$2:$C$630,0)),"",INDEX('Compliance Database'!$A$2:$A$630,MATCH(471,'Transfer Engine'!$C$2:$C$630,0)))</f>
        <v/>
      </c>
      <c r="B480">
        <f>IF(ISNA(MATCH(471,'Transfer Engine'!$C$2:$C$630,0)),"",INDEX('Compliance Database'!$B$2:$B$630,MATCH(471,'Transfer Engine'!$C$2:$C$630,0)))</f>
        <v/>
      </c>
      <c r="C480">
        <f>IF(ISNA(MATCH(471,'Transfer Engine'!$C$2:$C$630,0)),"",INDEX('Compliance Database'!$C$2:$C$630,MATCH(471,'Transfer Engine'!$C$2:$C$630,0)))</f>
        <v/>
      </c>
      <c r="D480" s="8">
        <f>IF(ISNA(MATCH(471,'Transfer Engine'!$C$2:$C$630,0)),"",INDEX('Compliance Database'!$D$2:$D$630,MATCH(471,'Transfer Engine'!$C$2:$C$630,0)))</f>
        <v/>
      </c>
      <c r="E480">
        <f>IF(ISNA(MATCH(471,'Transfer Engine'!$C$2:$C$630,0)),"",INDEX('Compliance Database'!$E$2:$E$630,MATCH(471,'Transfer Engine'!$C$2:$C$630,0)))</f>
        <v/>
      </c>
      <c r="F480">
        <f>IF(ISNA(MATCH(471,'Transfer Engine'!$C$2:$C$630,0)),"",INDEX('Compliance Database'!$F$2:$F$630,MATCH(471,'Transfer Engine'!$C$2:$C$630,0)))</f>
        <v/>
      </c>
      <c r="G480">
        <f>IF(ISNA(MATCH(471,'Transfer Engine'!$C$2:$C$630,0)),"",INDEX('Compliance Database'!$G$2:$G$630,MATCH(471,'Transfer Engine'!$C$2:$C$630,0)))</f>
        <v/>
      </c>
      <c r="H480">
        <f>IF(ISNA(MATCH(471,'Transfer Engine'!$C$2:$C$630,0)),"",INDEX('Compliance Database'!$H$2:$H$630,MATCH(471,'Transfer Engine'!$C$2:$C$630,0)))</f>
        <v/>
      </c>
      <c r="I480" s="8">
        <f>IF(ISNA(MATCH(471,'Transfer Engine'!$C$2:$C$630,0)),"",INDEX('Compliance Database'!$I$2:$I$630,MATCH(471,'Transfer Engine'!$C$2:$C$630,0)))</f>
        <v/>
      </c>
      <c r="J480" s="8">
        <f>IF(ISNA(MATCH(471,'Transfer Engine'!$C$2:$C$630,0)),"",INDEX('Compliance Database'!$J$2:$J$630,MATCH(471,'Transfer Engine'!$C$2:$C$630,0)))</f>
        <v/>
      </c>
      <c r="K480">
        <f>IF(ISNA(MATCH(471,'Transfer Engine'!$C$2:$C$630,0)),"",INDEX('Compliance Database'!$K$2:$K$630,MATCH(471,'Transfer Engine'!$C$2:$C$630,0)))</f>
        <v/>
      </c>
      <c r="L480" s="8">
        <f>IF(ISNA(MATCH(471,'Transfer Engine'!$C$2:$C$630,0)),"",INDEX('Compliance Database'!$L$2:$L$630,MATCH(471,'Transfer Engine'!$C$2:$C$630,0)))</f>
        <v/>
      </c>
      <c r="M480" s="8">
        <f>IF(ISNA(MATCH(471,'Transfer Engine'!$C$2:$C$630,0)),"",INDEX('Compliance Database'!$M$2:$M$630,MATCH(471,'Transfer Engine'!$C$2:$C$630,0)))</f>
        <v/>
      </c>
      <c r="N480" s="8">
        <f>IF(ISNA(MATCH(471,'Transfer Engine'!$C$2:$C$630,0)),"",INDEX('Compliance Database'!$N$2:$N$630,MATCH(471,'Transfer Engine'!$C$2:$C$630,0)))</f>
        <v/>
      </c>
      <c r="O480" s="8">
        <f>IF(ISNA(MATCH(471,'Transfer Engine'!$C$2:$C$630,0)),"",INDEX('Compliance Database'!$O$2:$O$630,MATCH(471,'Transfer Engine'!$C$2:$C$630,0)))</f>
        <v/>
      </c>
    </row>
    <row r="481">
      <c r="A481">
        <f>IF(ISNA(MATCH(472,'Transfer Engine'!$C$2:$C$630,0)),"",INDEX('Compliance Database'!$A$2:$A$630,MATCH(472,'Transfer Engine'!$C$2:$C$630,0)))</f>
        <v/>
      </c>
      <c r="B481">
        <f>IF(ISNA(MATCH(472,'Transfer Engine'!$C$2:$C$630,0)),"",INDEX('Compliance Database'!$B$2:$B$630,MATCH(472,'Transfer Engine'!$C$2:$C$630,0)))</f>
        <v/>
      </c>
      <c r="C481">
        <f>IF(ISNA(MATCH(472,'Transfer Engine'!$C$2:$C$630,0)),"",INDEX('Compliance Database'!$C$2:$C$630,MATCH(472,'Transfer Engine'!$C$2:$C$630,0)))</f>
        <v/>
      </c>
      <c r="D481" s="8">
        <f>IF(ISNA(MATCH(472,'Transfer Engine'!$C$2:$C$630,0)),"",INDEX('Compliance Database'!$D$2:$D$630,MATCH(472,'Transfer Engine'!$C$2:$C$630,0)))</f>
        <v/>
      </c>
      <c r="E481">
        <f>IF(ISNA(MATCH(472,'Transfer Engine'!$C$2:$C$630,0)),"",INDEX('Compliance Database'!$E$2:$E$630,MATCH(472,'Transfer Engine'!$C$2:$C$630,0)))</f>
        <v/>
      </c>
      <c r="F481">
        <f>IF(ISNA(MATCH(472,'Transfer Engine'!$C$2:$C$630,0)),"",INDEX('Compliance Database'!$F$2:$F$630,MATCH(472,'Transfer Engine'!$C$2:$C$630,0)))</f>
        <v/>
      </c>
      <c r="G481">
        <f>IF(ISNA(MATCH(472,'Transfer Engine'!$C$2:$C$630,0)),"",INDEX('Compliance Database'!$G$2:$G$630,MATCH(472,'Transfer Engine'!$C$2:$C$630,0)))</f>
        <v/>
      </c>
      <c r="H481">
        <f>IF(ISNA(MATCH(472,'Transfer Engine'!$C$2:$C$630,0)),"",INDEX('Compliance Database'!$H$2:$H$630,MATCH(472,'Transfer Engine'!$C$2:$C$630,0)))</f>
        <v/>
      </c>
      <c r="I481" s="8">
        <f>IF(ISNA(MATCH(472,'Transfer Engine'!$C$2:$C$630,0)),"",INDEX('Compliance Database'!$I$2:$I$630,MATCH(472,'Transfer Engine'!$C$2:$C$630,0)))</f>
        <v/>
      </c>
      <c r="J481" s="8">
        <f>IF(ISNA(MATCH(472,'Transfer Engine'!$C$2:$C$630,0)),"",INDEX('Compliance Database'!$J$2:$J$630,MATCH(472,'Transfer Engine'!$C$2:$C$630,0)))</f>
        <v/>
      </c>
      <c r="K481">
        <f>IF(ISNA(MATCH(472,'Transfer Engine'!$C$2:$C$630,0)),"",INDEX('Compliance Database'!$K$2:$K$630,MATCH(472,'Transfer Engine'!$C$2:$C$630,0)))</f>
        <v/>
      </c>
      <c r="L481" s="8">
        <f>IF(ISNA(MATCH(472,'Transfer Engine'!$C$2:$C$630,0)),"",INDEX('Compliance Database'!$L$2:$L$630,MATCH(472,'Transfer Engine'!$C$2:$C$630,0)))</f>
        <v/>
      </c>
      <c r="M481" s="8">
        <f>IF(ISNA(MATCH(472,'Transfer Engine'!$C$2:$C$630,0)),"",INDEX('Compliance Database'!$M$2:$M$630,MATCH(472,'Transfer Engine'!$C$2:$C$630,0)))</f>
        <v/>
      </c>
      <c r="N481" s="8">
        <f>IF(ISNA(MATCH(472,'Transfer Engine'!$C$2:$C$630,0)),"",INDEX('Compliance Database'!$N$2:$N$630,MATCH(472,'Transfer Engine'!$C$2:$C$630,0)))</f>
        <v/>
      </c>
      <c r="O481" s="8">
        <f>IF(ISNA(MATCH(472,'Transfer Engine'!$C$2:$C$630,0)),"",INDEX('Compliance Database'!$O$2:$O$630,MATCH(472,'Transfer Engine'!$C$2:$C$630,0)))</f>
        <v/>
      </c>
    </row>
    <row r="482">
      <c r="A482">
        <f>IF(ISNA(MATCH(473,'Transfer Engine'!$C$2:$C$630,0)),"",INDEX('Compliance Database'!$A$2:$A$630,MATCH(473,'Transfer Engine'!$C$2:$C$630,0)))</f>
        <v/>
      </c>
      <c r="B482">
        <f>IF(ISNA(MATCH(473,'Transfer Engine'!$C$2:$C$630,0)),"",INDEX('Compliance Database'!$B$2:$B$630,MATCH(473,'Transfer Engine'!$C$2:$C$630,0)))</f>
        <v/>
      </c>
      <c r="C482">
        <f>IF(ISNA(MATCH(473,'Transfer Engine'!$C$2:$C$630,0)),"",INDEX('Compliance Database'!$C$2:$C$630,MATCH(473,'Transfer Engine'!$C$2:$C$630,0)))</f>
        <v/>
      </c>
      <c r="D482" s="8">
        <f>IF(ISNA(MATCH(473,'Transfer Engine'!$C$2:$C$630,0)),"",INDEX('Compliance Database'!$D$2:$D$630,MATCH(473,'Transfer Engine'!$C$2:$C$630,0)))</f>
        <v/>
      </c>
      <c r="E482">
        <f>IF(ISNA(MATCH(473,'Transfer Engine'!$C$2:$C$630,0)),"",INDEX('Compliance Database'!$E$2:$E$630,MATCH(473,'Transfer Engine'!$C$2:$C$630,0)))</f>
        <v/>
      </c>
      <c r="F482">
        <f>IF(ISNA(MATCH(473,'Transfer Engine'!$C$2:$C$630,0)),"",INDEX('Compliance Database'!$F$2:$F$630,MATCH(473,'Transfer Engine'!$C$2:$C$630,0)))</f>
        <v/>
      </c>
      <c r="G482">
        <f>IF(ISNA(MATCH(473,'Transfer Engine'!$C$2:$C$630,0)),"",INDEX('Compliance Database'!$G$2:$G$630,MATCH(473,'Transfer Engine'!$C$2:$C$630,0)))</f>
        <v/>
      </c>
      <c r="H482">
        <f>IF(ISNA(MATCH(473,'Transfer Engine'!$C$2:$C$630,0)),"",INDEX('Compliance Database'!$H$2:$H$630,MATCH(473,'Transfer Engine'!$C$2:$C$630,0)))</f>
        <v/>
      </c>
      <c r="I482" s="8">
        <f>IF(ISNA(MATCH(473,'Transfer Engine'!$C$2:$C$630,0)),"",INDEX('Compliance Database'!$I$2:$I$630,MATCH(473,'Transfer Engine'!$C$2:$C$630,0)))</f>
        <v/>
      </c>
      <c r="J482" s="8">
        <f>IF(ISNA(MATCH(473,'Transfer Engine'!$C$2:$C$630,0)),"",INDEX('Compliance Database'!$J$2:$J$630,MATCH(473,'Transfer Engine'!$C$2:$C$630,0)))</f>
        <v/>
      </c>
      <c r="K482">
        <f>IF(ISNA(MATCH(473,'Transfer Engine'!$C$2:$C$630,0)),"",INDEX('Compliance Database'!$K$2:$K$630,MATCH(473,'Transfer Engine'!$C$2:$C$630,0)))</f>
        <v/>
      </c>
      <c r="L482" s="8">
        <f>IF(ISNA(MATCH(473,'Transfer Engine'!$C$2:$C$630,0)),"",INDEX('Compliance Database'!$L$2:$L$630,MATCH(473,'Transfer Engine'!$C$2:$C$630,0)))</f>
        <v/>
      </c>
      <c r="M482" s="8">
        <f>IF(ISNA(MATCH(473,'Transfer Engine'!$C$2:$C$630,0)),"",INDEX('Compliance Database'!$M$2:$M$630,MATCH(473,'Transfer Engine'!$C$2:$C$630,0)))</f>
        <v/>
      </c>
      <c r="N482" s="8">
        <f>IF(ISNA(MATCH(473,'Transfer Engine'!$C$2:$C$630,0)),"",INDEX('Compliance Database'!$N$2:$N$630,MATCH(473,'Transfer Engine'!$C$2:$C$630,0)))</f>
        <v/>
      </c>
      <c r="O482" s="8">
        <f>IF(ISNA(MATCH(473,'Transfer Engine'!$C$2:$C$630,0)),"",INDEX('Compliance Database'!$O$2:$O$630,MATCH(473,'Transfer Engine'!$C$2:$C$630,0)))</f>
        <v/>
      </c>
    </row>
    <row r="483">
      <c r="A483">
        <f>IF(ISNA(MATCH(474,'Transfer Engine'!$C$2:$C$630,0)),"",INDEX('Compliance Database'!$A$2:$A$630,MATCH(474,'Transfer Engine'!$C$2:$C$630,0)))</f>
        <v/>
      </c>
      <c r="B483">
        <f>IF(ISNA(MATCH(474,'Transfer Engine'!$C$2:$C$630,0)),"",INDEX('Compliance Database'!$B$2:$B$630,MATCH(474,'Transfer Engine'!$C$2:$C$630,0)))</f>
        <v/>
      </c>
      <c r="C483">
        <f>IF(ISNA(MATCH(474,'Transfer Engine'!$C$2:$C$630,0)),"",INDEX('Compliance Database'!$C$2:$C$630,MATCH(474,'Transfer Engine'!$C$2:$C$630,0)))</f>
        <v/>
      </c>
      <c r="D483" s="8">
        <f>IF(ISNA(MATCH(474,'Transfer Engine'!$C$2:$C$630,0)),"",INDEX('Compliance Database'!$D$2:$D$630,MATCH(474,'Transfer Engine'!$C$2:$C$630,0)))</f>
        <v/>
      </c>
      <c r="E483">
        <f>IF(ISNA(MATCH(474,'Transfer Engine'!$C$2:$C$630,0)),"",INDEX('Compliance Database'!$E$2:$E$630,MATCH(474,'Transfer Engine'!$C$2:$C$630,0)))</f>
        <v/>
      </c>
      <c r="F483">
        <f>IF(ISNA(MATCH(474,'Transfer Engine'!$C$2:$C$630,0)),"",INDEX('Compliance Database'!$F$2:$F$630,MATCH(474,'Transfer Engine'!$C$2:$C$630,0)))</f>
        <v/>
      </c>
      <c r="G483">
        <f>IF(ISNA(MATCH(474,'Transfer Engine'!$C$2:$C$630,0)),"",INDEX('Compliance Database'!$G$2:$G$630,MATCH(474,'Transfer Engine'!$C$2:$C$630,0)))</f>
        <v/>
      </c>
      <c r="H483">
        <f>IF(ISNA(MATCH(474,'Transfer Engine'!$C$2:$C$630,0)),"",INDEX('Compliance Database'!$H$2:$H$630,MATCH(474,'Transfer Engine'!$C$2:$C$630,0)))</f>
        <v/>
      </c>
      <c r="I483" s="8">
        <f>IF(ISNA(MATCH(474,'Transfer Engine'!$C$2:$C$630,0)),"",INDEX('Compliance Database'!$I$2:$I$630,MATCH(474,'Transfer Engine'!$C$2:$C$630,0)))</f>
        <v/>
      </c>
      <c r="J483" s="8">
        <f>IF(ISNA(MATCH(474,'Transfer Engine'!$C$2:$C$630,0)),"",INDEX('Compliance Database'!$J$2:$J$630,MATCH(474,'Transfer Engine'!$C$2:$C$630,0)))</f>
        <v/>
      </c>
      <c r="K483">
        <f>IF(ISNA(MATCH(474,'Transfer Engine'!$C$2:$C$630,0)),"",INDEX('Compliance Database'!$K$2:$K$630,MATCH(474,'Transfer Engine'!$C$2:$C$630,0)))</f>
        <v/>
      </c>
      <c r="L483" s="8">
        <f>IF(ISNA(MATCH(474,'Transfer Engine'!$C$2:$C$630,0)),"",INDEX('Compliance Database'!$L$2:$L$630,MATCH(474,'Transfer Engine'!$C$2:$C$630,0)))</f>
        <v/>
      </c>
      <c r="M483" s="8">
        <f>IF(ISNA(MATCH(474,'Transfer Engine'!$C$2:$C$630,0)),"",INDEX('Compliance Database'!$M$2:$M$630,MATCH(474,'Transfer Engine'!$C$2:$C$630,0)))</f>
        <v/>
      </c>
      <c r="N483" s="8">
        <f>IF(ISNA(MATCH(474,'Transfer Engine'!$C$2:$C$630,0)),"",INDEX('Compliance Database'!$N$2:$N$630,MATCH(474,'Transfer Engine'!$C$2:$C$630,0)))</f>
        <v/>
      </c>
      <c r="O483" s="8">
        <f>IF(ISNA(MATCH(474,'Transfer Engine'!$C$2:$C$630,0)),"",INDEX('Compliance Database'!$O$2:$O$630,MATCH(474,'Transfer Engine'!$C$2:$C$630,0)))</f>
        <v/>
      </c>
    </row>
    <row r="484">
      <c r="A484">
        <f>IF(ISNA(MATCH(475,'Transfer Engine'!$C$2:$C$630,0)),"",INDEX('Compliance Database'!$A$2:$A$630,MATCH(475,'Transfer Engine'!$C$2:$C$630,0)))</f>
        <v/>
      </c>
      <c r="B484">
        <f>IF(ISNA(MATCH(475,'Transfer Engine'!$C$2:$C$630,0)),"",INDEX('Compliance Database'!$B$2:$B$630,MATCH(475,'Transfer Engine'!$C$2:$C$630,0)))</f>
        <v/>
      </c>
      <c r="C484">
        <f>IF(ISNA(MATCH(475,'Transfer Engine'!$C$2:$C$630,0)),"",INDEX('Compliance Database'!$C$2:$C$630,MATCH(475,'Transfer Engine'!$C$2:$C$630,0)))</f>
        <v/>
      </c>
      <c r="D484" s="8">
        <f>IF(ISNA(MATCH(475,'Transfer Engine'!$C$2:$C$630,0)),"",INDEX('Compliance Database'!$D$2:$D$630,MATCH(475,'Transfer Engine'!$C$2:$C$630,0)))</f>
        <v/>
      </c>
      <c r="E484">
        <f>IF(ISNA(MATCH(475,'Transfer Engine'!$C$2:$C$630,0)),"",INDEX('Compliance Database'!$E$2:$E$630,MATCH(475,'Transfer Engine'!$C$2:$C$630,0)))</f>
        <v/>
      </c>
      <c r="F484">
        <f>IF(ISNA(MATCH(475,'Transfer Engine'!$C$2:$C$630,0)),"",INDEX('Compliance Database'!$F$2:$F$630,MATCH(475,'Transfer Engine'!$C$2:$C$630,0)))</f>
        <v/>
      </c>
      <c r="G484">
        <f>IF(ISNA(MATCH(475,'Transfer Engine'!$C$2:$C$630,0)),"",INDEX('Compliance Database'!$G$2:$G$630,MATCH(475,'Transfer Engine'!$C$2:$C$630,0)))</f>
        <v/>
      </c>
      <c r="H484">
        <f>IF(ISNA(MATCH(475,'Transfer Engine'!$C$2:$C$630,0)),"",INDEX('Compliance Database'!$H$2:$H$630,MATCH(475,'Transfer Engine'!$C$2:$C$630,0)))</f>
        <v/>
      </c>
      <c r="I484" s="8">
        <f>IF(ISNA(MATCH(475,'Transfer Engine'!$C$2:$C$630,0)),"",INDEX('Compliance Database'!$I$2:$I$630,MATCH(475,'Transfer Engine'!$C$2:$C$630,0)))</f>
        <v/>
      </c>
      <c r="J484" s="8">
        <f>IF(ISNA(MATCH(475,'Transfer Engine'!$C$2:$C$630,0)),"",INDEX('Compliance Database'!$J$2:$J$630,MATCH(475,'Transfer Engine'!$C$2:$C$630,0)))</f>
        <v/>
      </c>
      <c r="K484">
        <f>IF(ISNA(MATCH(475,'Transfer Engine'!$C$2:$C$630,0)),"",INDEX('Compliance Database'!$K$2:$K$630,MATCH(475,'Transfer Engine'!$C$2:$C$630,0)))</f>
        <v/>
      </c>
      <c r="L484" s="8">
        <f>IF(ISNA(MATCH(475,'Transfer Engine'!$C$2:$C$630,0)),"",INDEX('Compliance Database'!$L$2:$L$630,MATCH(475,'Transfer Engine'!$C$2:$C$630,0)))</f>
        <v/>
      </c>
      <c r="M484" s="8">
        <f>IF(ISNA(MATCH(475,'Transfer Engine'!$C$2:$C$630,0)),"",INDEX('Compliance Database'!$M$2:$M$630,MATCH(475,'Transfer Engine'!$C$2:$C$630,0)))</f>
        <v/>
      </c>
      <c r="N484" s="8">
        <f>IF(ISNA(MATCH(475,'Transfer Engine'!$C$2:$C$630,0)),"",INDEX('Compliance Database'!$N$2:$N$630,MATCH(475,'Transfer Engine'!$C$2:$C$630,0)))</f>
        <v/>
      </c>
      <c r="O484" s="8">
        <f>IF(ISNA(MATCH(475,'Transfer Engine'!$C$2:$C$630,0)),"",INDEX('Compliance Database'!$O$2:$O$630,MATCH(475,'Transfer Engine'!$C$2:$C$630,0)))</f>
        <v/>
      </c>
    </row>
    <row r="485">
      <c r="A485">
        <f>IF(ISNA(MATCH(476,'Transfer Engine'!$C$2:$C$630,0)),"",INDEX('Compliance Database'!$A$2:$A$630,MATCH(476,'Transfer Engine'!$C$2:$C$630,0)))</f>
        <v/>
      </c>
      <c r="B485">
        <f>IF(ISNA(MATCH(476,'Transfer Engine'!$C$2:$C$630,0)),"",INDEX('Compliance Database'!$B$2:$B$630,MATCH(476,'Transfer Engine'!$C$2:$C$630,0)))</f>
        <v/>
      </c>
      <c r="C485">
        <f>IF(ISNA(MATCH(476,'Transfer Engine'!$C$2:$C$630,0)),"",INDEX('Compliance Database'!$C$2:$C$630,MATCH(476,'Transfer Engine'!$C$2:$C$630,0)))</f>
        <v/>
      </c>
      <c r="D485" s="8">
        <f>IF(ISNA(MATCH(476,'Transfer Engine'!$C$2:$C$630,0)),"",INDEX('Compliance Database'!$D$2:$D$630,MATCH(476,'Transfer Engine'!$C$2:$C$630,0)))</f>
        <v/>
      </c>
      <c r="E485">
        <f>IF(ISNA(MATCH(476,'Transfer Engine'!$C$2:$C$630,0)),"",INDEX('Compliance Database'!$E$2:$E$630,MATCH(476,'Transfer Engine'!$C$2:$C$630,0)))</f>
        <v/>
      </c>
      <c r="F485">
        <f>IF(ISNA(MATCH(476,'Transfer Engine'!$C$2:$C$630,0)),"",INDEX('Compliance Database'!$F$2:$F$630,MATCH(476,'Transfer Engine'!$C$2:$C$630,0)))</f>
        <v/>
      </c>
      <c r="G485">
        <f>IF(ISNA(MATCH(476,'Transfer Engine'!$C$2:$C$630,0)),"",INDEX('Compliance Database'!$G$2:$G$630,MATCH(476,'Transfer Engine'!$C$2:$C$630,0)))</f>
        <v/>
      </c>
      <c r="H485">
        <f>IF(ISNA(MATCH(476,'Transfer Engine'!$C$2:$C$630,0)),"",INDEX('Compliance Database'!$H$2:$H$630,MATCH(476,'Transfer Engine'!$C$2:$C$630,0)))</f>
        <v/>
      </c>
      <c r="I485" s="8">
        <f>IF(ISNA(MATCH(476,'Transfer Engine'!$C$2:$C$630,0)),"",INDEX('Compliance Database'!$I$2:$I$630,MATCH(476,'Transfer Engine'!$C$2:$C$630,0)))</f>
        <v/>
      </c>
      <c r="J485" s="8">
        <f>IF(ISNA(MATCH(476,'Transfer Engine'!$C$2:$C$630,0)),"",INDEX('Compliance Database'!$J$2:$J$630,MATCH(476,'Transfer Engine'!$C$2:$C$630,0)))</f>
        <v/>
      </c>
      <c r="K485">
        <f>IF(ISNA(MATCH(476,'Transfer Engine'!$C$2:$C$630,0)),"",INDEX('Compliance Database'!$K$2:$K$630,MATCH(476,'Transfer Engine'!$C$2:$C$630,0)))</f>
        <v/>
      </c>
      <c r="L485" s="8">
        <f>IF(ISNA(MATCH(476,'Transfer Engine'!$C$2:$C$630,0)),"",INDEX('Compliance Database'!$L$2:$L$630,MATCH(476,'Transfer Engine'!$C$2:$C$630,0)))</f>
        <v/>
      </c>
      <c r="M485" s="8">
        <f>IF(ISNA(MATCH(476,'Transfer Engine'!$C$2:$C$630,0)),"",INDEX('Compliance Database'!$M$2:$M$630,MATCH(476,'Transfer Engine'!$C$2:$C$630,0)))</f>
        <v/>
      </c>
      <c r="N485" s="8">
        <f>IF(ISNA(MATCH(476,'Transfer Engine'!$C$2:$C$630,0)),"",INDEX('Compliance Database'!$N$2:$N$630,MATCH(476,'Transfer Engine'!$C$2:$C$630,0)))</f>
        <v/>
      </c>
      <c r="O485" s="8">
        <f>IF(ISNA(MATCH(476,'Transfer Engine'!$C$2:$C$630,0)),"",INDEX('Compliance Database'!$O$2:$O$630,MATCH(476,'Transfer Engine'!$C$2:$C$630,0)))</f>
        <v/>
      </c>
    </row>
    <row r="486">
      <c r="A486">
        <f>IF(ISNA(MATCH(477,'Transfer Engine'!$C$2:$C$630,0)),"",INDEX('Compliance Database'!$A$2:$A$630,MATCH(477,'Transfer Engine'!$C$2:$C$630,0)))</f>
        <v/>
      </c>
      <c r="B486">
        <f>IF(ISNA(MATCH(477,'Transfer Engine'!$C$2:$C$630,0)),"",INDEX('Compliance Database'!$B$2:$B$630,MATCH(477,'Transfer Engine'!$C$2:$C$630,0)))</f>
        <v/>
      </c>
      <c r="C486">
        <f>IF(ISNA(MATCH(477,'Transfer Engine'!$C$2:$C$630,0)),"",INDEX('Compliance Database'!$C$2:$C$630,MATCH(477,'Transfer Engine'!$C$2:$C$630,0)))</f>
        <v/>
      </c>
      <c r="D486" s="8">
        <f>IF(ISNA(MATCH(477,'Transfer Engine'!$C$2:$C$630,0)),"",INDEX('Compliance Database'!$D$2:$D$630,MATCH(477,'Transfer Engine'!$C$2:$C$630,0)))</f>
        <v/>
      </c>
      <c r="E486">
        <f>IF(ISNA(MATCH(477,'Transfer Engine'!$C$2:$C$630,0)),"",INDEX('Compliance Database'!$E$2:$E$630,MATCH(477,'Transfer Engine'!$C$2:$C$630,0)))</f>
        <v/>
      </c>
      <c r="F486">
        <f>IF(ISNA(MATCH(477,'Transfer Engine'!$C$2:$C$630,0)),"",INDEX('Compliance Database'!$F$2:$F$630,MATCH(477,'Transfer Engine'!$C$2:$C$630,0)))</f>
        <v/>
      </c>
      <c r="G486">
        <f>IF(ISNA(MATCH(477,'Transfer Engine'!$C$2:$C$630,0)),"",INDEX('Compliance Database'!$G$2:$G$630,MATCH(477,'Transfer Engine'!$C$2:$C$630,0)))</f>
        <v/>
      </c>
      <c r="H486">
        <f>IF(ISNA(MATCH(477,'Transfer Engine'!$C$2:$C$630,0)),"",INDEX('Compliance Database'!$H$2:$H$630,MATCH(477,'Transfer Engine'!$C$2:$C$630,0)))</f>
        <v/>
      </c>
      <c r="I486" s="8">
        <f>IF(ISNA(MATCH(477,'Transfer Engine'!$C$2:$C$630,0)),"",INDEX('Compliance Database'!$I$2:$I$630,MATCH(477,'Transfer Engine'!$C$2:$C$630,0)))</f>
        <v/>
      </c>
      <c r="J486" s="8">
        <f>IF(ISNA(MATCH(477,'Transfer Engine'!$C$2:$C$630,0)),"",INDEX('Compliance Database'!$J$2:$J$630,MATCH(477,'Transfer Engine'!$C$2:$C$630,0)))</f>
        <v/>
      </c>
      <c r="K486">
        <f>IF(ISNA(MATCH(477,'Transfer Engine'!$C$2:$C$630,0)),"",INDEX('Compliance Database'!$K$2:$K$630,MATCH(477,'Transfer Engine'!$C$2:$C$630,0)))</f>
        <v/>
      </c>
      <c r="L486" s="8">
        <f>IF(ISNA(MATCH(477,'Transfer Engine'!$C$2:$C$630,0)),"",INDEX('Compliance Database'!$L$2:$L$630,MATCH(477,'Transfer Engine'!$C$2:$C$630,0)))</f>
        <v/>
      </c>
      <c r="M486" s="8">
        <f>IF(ISNA(MATCH(477,'Transfer Engine'!$C$2:$C$630,0)),"",INDEX('Compliance Database'!$M$2:$M$630,MATCH(477,'Transfer Engine'!$C$2:$C$630,0)))</f>
        <v/>
      </c>
      <c r="N486" s="8">
        <f>IF(ISNA(MATCH(477,'Transfer Engine'!$C$2:$C$630,0)),"",INDEX('Compliance Database'!$N$2:$N$630,MATCH(477,'Transfer Engine'!$C$2:$C$630,0)))</f>
        <v/>
      </c>
      <c r="O486" s="8">
        <f>IF(ISNA(MATCH(477,'Transfer Engine'!$C$2:$C$630,0)),"",INDEX('Compliance Database'!$O$2:$O$630,MATCH(477,'Transfer Engine'!$C$2:$C$630,0)))</f>
        <v/>
      </c>
    </row>
    <row r="487">
      <c r="A487">
        <f>IF(ISNA(MATCH(478,'Transfer Engine'!$C$2:$C$630,0)),"",INDEX('Compliance Database'!$A$2:$A$630,MATCH(478,'Transfer Engine'!$C$2:$C$630,0)))</f>
        <v/>
      </c>
      <c r="B487">
        <f>IF(ISNA(MATCH(478,'Transfer Engine'!$C$2:$C$630,0)),"",INDEX('Compliance Database'!$B$2:$B$630,MATCH(478,'Transfer Engine'!$C$2:$C$630,0)))</f>
        <v/>
      </c>
      <c r="C487">
        <f>IF(ISNA(MATCH(478,'Transfer Engine'!$C$2:$C$630,0)),"",INDEX('Compliance Database'!$C$2:$C$630,MATCH(478,'Transfer Engine'!$C$2:$C$630,0)))</f>
        <v/>
      </c>
      <c r="D487" s="8">
        <f>IF(ISNA(MATCH(478,'Transfer Engine'!$C$2:$C$630,0)),"",INDEX('Compliance Database'!$D$2:$D$630,MATCH(478,'Transfer Engine'!$C$2:$C$630,0)))</f>
        <v/>
      </c>
      <c r="E487">
        <f>IF(ISNA(MATCH(478,'Transfer Engine'!$C$2:$C$630,0)),"",INDEX('Compliance Database'!$E$2:$E$630,MATCH(478,'Transfer Engine'!$C$2:$C$630,0)))</f>
        <v/>
      </c>
      <c r="F487">
        <f>IF(ISNA(MATCH(478,'Transfer Engine'!$C$2:$C$630,0)),"",INDEX('Compliance Database'!$F$2:$F$630,MATCH(478,'Transfer Engine'!$C$2:$C$630,0)))</f>
        <v/>
      </c>
      <c r="G487">
        <f>IF(ISNA(MATCH(478,'Transfer Engine'!$C$2:$C$630,0)),"",INDEX('Compliance Database'!$G$2:$G$630,MATCH(478,'Transfer Engine'!$C$2:$C$630,0)))</f>
        <v/>
      </c>
      <c r="H487">
        <f>IF(ISNA(MATCH(478,'Transfer Engine'!$C$2:$C$630,0)),"",INDEX('Compliance Database'!$H$2:$H$630,MATCH(478,'Transfer Engine'!$C$2:$C$630,0)))</f>
        <v/>
      </c>
      <c r="I487" s="8">
        <f>IF(ISNA(MATCH(478,'Transfer Engine'!$C$2:$C$630,0)),"",INDEX('Compliance Database'!$I$2:$I$630,MATCH(478,'Transfer Engine'!$C$2:$C$630,0)))</f>
        <v/>
      </c>
      <c r="J487" s="8">
        <f>IF(ISNA(MATCH(478,'Transfer Engine'!$C$2:$C$630,0)),"",INDEX('Compliance Database'!$J$2:$J$630,MATCH(478,'Transfer Engine'!$C$2:$C$630,0)))</f>
        <v/>
      </c>
      <c r="K487">
        <f>IF(ISNA(MATCH(478,'Transfer Engine'!$C$2:$C$630,0)),"",INDEX('Compliance Database'!$K$2:$K$630,MATCH(478,'Transfer Engine'!$C$2:$C$630,0)))</f>
        <v/>
      </c>
      <c r="L487" s="8">
        <f>IF(ISNA(MATCH(478,'Transfer Engine'!$C$2:$C$630,0)),"",INDEX('Compliance Database'!$L$2:$L$630,MATCH(478,'Transfer Engine'!$C$2:$C$630,0)))</f>
        <v/>
      </c>
      <c r="M487" s="8">
        <f>IF(ISNA(MATCH(478,'Transfer Engine'!$C$2:$C$630,0)),"",INDEX('Compliance Database'!$M$2:$M$630,MATCH(478,'Transfer Engine'!$C$2:$C$630,0)))</f>
        <v/>
      </c>
      <c r="N487" s="8">
        <f>IF(ISNA(MATCH(478,'Transfer Engine'!$C$2:$C$630,0)),"",INDEX('Compliance Database'!$N$2:$N$630,MATCH(478,'Transfer Engine'!$C$2:$C$630,0)))</f>
        <v/>
      </c>
      <c r="O487" s="8">
        <f>IF(ISNA(MATCH(478,'Transfer Engine'!$C$2:$C$630,0)),"",INDEX('Compliance Database'!$O$2:$O$630,MATCH(478,'Transfer Engine'!$C$2:$C$630,0)))</f>
        <v/>
      </c>
    </row>
    <row r="488">
      <c r="A488">
        <f>IF(ISNA(MATCH(479,'Transfer Engine'!$C$2:$C$630,0)),"",INDEX('Compliance Database'!$A$2:$A$630,MATCH(479,'Transfer Engine'!$C$2:$C$630,0)))</f>
        <v/>
      </c>
      <c r="B488">
        <f>IF(ISNA(MATCH(479,'Transfer Engine'!$C$2:$C$630,0)),"",INDEX('Compliance Database'!$B$2:$B$630,MATCH(479,'Transfer Engine'!$C$2:$C$630,0)))</f>
        <v/>
      </c>
      <c r="C488">
        <f>IF(ISNA(MATCH(479,'Transfer Engine'!$C$2:$C$630,0)),"",INDEX('Compliance Database'!$C$2:$C$630,MATCH(479,'Transfer Engine'!$C$2:$C$630,0)))</f>
        <v/>
      </c>
      <c r="D488" s="8">
        <f>IF(ISNA(MATCH(479,'Transfer Engine'!$C$2:$C$630,0)),"",INDEX('Compliance Database'!$D$2:$D$630,MATCH(479,'Transfer Engine'!$C$2:$C$630,0)))</f>
        <v/>
      </c>
      <c r="E488">
        <f>IF(ISNA(MATCH(479,'Transfer Engine'!$C$2:$C$630,0)),"",INDEX('Compliance Database'!$E$2:$E$630,MATCH(479,'Transfer Engine'!$C$2:$C$630,0)))</f>
        <v/>
      </c>
      <c r="F488">
        <f>IF(ISNA(MATCH(479,'Transfer Engine'!$C$2:$C$630,0)),"",INDEX('Compliance Database'!$F$2:$F$630,MATCH(479,'Transfer Engine'!$C$2:$C$630,0)))</f>
        <v/>
      </c>
      <c r="G488">
        <f>IF(ISNA(MATCH(479,'Transfer Engine'!$C$2:$C$630,0)),"",INDEX('Compliance Database'!$G$2:$G$630,MATCH(479,'Transfer Engine'!$C$2:$C$630,0)))</f>
        <v/>
      </c>
      <c r="H488">
        <f>IF(ISNA(MATCH(479,'Transfer Engine'!$C$2:$C$630,0)),"",INDEX('Compliance Database'!$H$2:$H$630,MATCH(479,'Transfer Engine'!$C$2:$C$630,0)))</f>
        <v/>
      </c>
      <c r="I488" s="8">
        <f>IF(ISNA(MATCH(479,'Transfer Engine'!$C$2:$C$630,0)),"",INDEX('Compliance Database'!$I$2:$I$630,MATCH(479,'Transfer Engine'!$C$2:$C$630,0)))</f>
        <v/>
      </c>
      <c r="J488" s="8">
        <f>IF(ISNA(MATCH(479,'Transfer Engine'!$C$2:$C$630,0)),"",INDEX('Compliance Database'!$J$2:$J$630,MATCH(479,'Transfer Engine'!$C$2:$C$630,0)))</f>
        <v/>
      </c>
      <c r="K488">
        <f>IF(ISNA(MATCH(479,'Transfer Engine'!$C$2:$C$630,0)),"",INDEX('Compliance Database'!$K$2:$K$630,MATCH(479,'Transfer Engine'!$C$2:$C$630,0)))</f>
        <v/>
      </c>
      <c r="L488" s="8">
        <f>IF(ISNA(MATCH(479,'Transfer Engine'!$C$2:$C$630,0)),"",INDEX('Compliance Database'!$L$2:$L$630,MATCH(479,'Transfer Engine'!$C$2:$C$630,0)))</f>
        <v/>
      </c>
      <c r="M488" s="8">
        <f>IF(ISNA(MATCH(479,'Transfer Engine'!$C$2:$C$630,0)),"",INDEX('Compliance Database'!$M$2:$M$630,MATCH(479,'Transfer Engine'!$C$2:$C$630,0)))</f>
        <v/>
      </c>
      <c r="N488" s="8">
        <f>IF(ISNA(MATCH(479,'Transfer Engine'!$C$2:$C$630,0)),"",INDEX('Compliance Database'!$N$2:$N$630,MATCH(479,'Transfer Engine'!$C$2:$C$630,0)))</f>
        <v/>
      </c>
      <c r="O488" s="8">
        <f>IF(ISNA(MATCH(479,'Transfer Engine'!$C$2:$C$630,0)),"",INDEX('Compliance Database'!$O$2:$O$630,MATCH(479,'Transfer Engine'!$C$2:$C$630,0)))</f>
        <v/>
      </c>
    </row>
    <row r="489">
      <c r="A489">
        <f>IF(ISNA(MATCH(480,'Transfer Engine'!$C$2:$C$630,0)),"",INDEX('Compliance Database'!$A$2:$A$630,MATCH(480,'Transfer Engine'!$C$2:$C$630,0)))</f>
        <v/>
      </c>
      <c r="B489">
        <f>IF(ISNA(MATCH(480,'Transfer Engine'!$C$2:$C$630,0)),"",INDEX('Compliance Database'!$B$2:$B$630,MATCH(480,'Transfer Engine'!$C$2:$C$630,0)))</f>
        <v/>
      </c>
      <c r="C489">
        <f>IF(ISNA(MATCH(480,'Transfer Engine'!$C$2:$C$630,0)),"",INDEX('Compliance Database'!$C$2:$C$630,MATCH(480,'Transfer Engine'!$C$2:$C$630,0)))</f>
        <v/>
      </c>
      <c r="D489" s="8">
        <f>IF(ISNA(MATCH(480,'Transfer Engine'!$C$2:$C$630,0)),"",INDEX('Compliance Database'!$D$2:$D$630,MATCH(480,'Transfer Engine'!$C$2:$C$630,0)))</f>
        <v/>
      </c>
      <c r="E489">
        <f>IF(ISNA(MATCH(480,'Transfer Engine'!$C$2:$C$630,0)),"",INDEX('Compliance Database'!$E$2:$E$630,MATCH(480,'Transfer Engine'!$C$2:$C$630,0)))</f>
        <v/>
      </c>
      <c r="F489">
        <f>IF(ISNA(MATCH(480,'Transfer Engine'!$C$2:$C$630,0)),"",INDEX('Compliance Database'!$F$2:$F$630,MATCH(480,'Transfer Engine'!$C$2:$C$630,0)))</f>
        <v/>
      </c>
      <c r="G489">
        <f>IF(ISNA(MATCH(480,'Transfer Engine'!$C$2:$C$630,0)),"",INDEX('Compliance Database'!$G$2:$G$630,MATCH(480,'Transfer Engine'!$C$2:$C$630,0)))</f>
        <v/>
      </c>
      <c r="H489">
        <f>IF(ISNA(MATCH(480,'Transfer Engine'!$C$2:$C$630,0)),"",INDEX('Compliance Database'!$H$2:$H$630,MATCH(480,'Transfer Engine'!$C$2:$C$630,0)))</f>
        <v/>
      </c>
      <c r="I489" s="8">
        <f>IF(ISNA(MATCH(480,'Transfer Engine'!$C$2:$C$630,0)),"",INDEX('Compliance Database'!$I$2:$I$630,MATCH(480,'Transfer Engine'!$C$2:$C$630,0)))</f>
        <v/>
      </c>
      <c r="J489" s="8">
        <f>IF(ISNA(MATCH(480,'Transfer Engine'!$C$2:$C$630,0)),"",INDEX('Compliance Database'!$J$2:$J$630,MATCH(480,'Transfer Engine'!$C$2:$C$630,0)))</f>
        <v/>
      </c>
      <c r="K489">
        <f>IF(ISNA(MATCH(480,'Transfer Engine'!$C$2:$C$630,0)),"",INDEX('Compliance Database'!$K$2:$K$630,MATCH(480,'Transfer Engine'!$C$2:$C$630,0)))</f>
        <v/>
      </c>
      <c r="L489" s="8">
        <f>IF(ISNA(MATCH(480,'Transfer Engine'!$C$2:$C$630,0)),"",INDEX('Compliance Database'!$L$2:$L$630,MATCH(480,'Transfer Engine'!$C$2:$C$630,0)))</f>
        <v/>
      </c>
      <c r="M489" s="8">
        <f>IF(ISNA(MATCH(480,'Transfer Engine'!$C$2:$C$630,0)),"",INDEX('Compliance Database'!$M$2:$M$630,MATCH(480,'Transfer Engine'!$C$2:$C$630,0)))</f>
        <v/>
      </c>
      <c r="N489" s="8">
        <f>IF(ISNA(MATCH(480,'Transfer Engine'!$C$2:$C$630,0)),"",INDEX('Compliance Database'!$N$2:$N$630,MATCH(480,'Transfer Engine'!$C$2:$C$630,0)))</f>
        <v/>
      </c>
      <c r="O489" s="8">
        <f>IF(ISNA(MATCH(480,'Transfer Engine'!$C$2:$C$630,0)),"",INDEX('Compliance Database'!$O$2:$O$630,MATCH(480,'Transfer Engine'!$C$2:$C$630,0)))</f>
        <v/>
      </c>
    </row>
    <row r="490">
      <c r="A490">
        <f>IF(ISNA(MATCH(481,'Transfer Engine'!$C$2:$C$630,0)),"",INDEX('Compliance Database'!$A$2:$A$630,MATCH(481,'Transfer Engine'!$C$2:$C$630,0)))</f>
        <v/>
      </c>
      <c r="B490">
        <f>IF(ISNA(MATCH(481,'Transfer Engine'!$C$2:$C$630,0)),"",INDEX('Compliance Database'!$B$2:$B$630,MATCH(481,'Transfer Engine'!$C$2:$C$630,0)))</f>
        <v/>
      </c>
      <c r="C490">
        <f>IF(ISNA(MATCH(481,'Transfer Engine'!$C$2:$C$630,0)),"",INDEX('Compliance Database'!$C$2:$C$630,MATCH(481,'Transfer Engine'!$C$2:$C$630,0)))</f>
        <v/>
      </c>
      <c r="D490" s="8">
        <f>IF(ISNA(MATCH(481,'Transfer Engine'!$C$2:$C$630,0)),"",INDEX('Compliance Database'!$D$2:$D$630,MATCH(481,'Transfer Engine'!$C$2:$C$630,0)))</f>
        <v/>
      </c>
      <c r="E490">
        <f>IF(ISNA(MATCH(481,'Transfer Engine'!$C$2:$C$630,0)),"",INDEX('Compliance Database'!$E$2:$E$630,MATCH(481,'Transfer Engine'!$C$2:$C$630,0)))</f>
        <v/>
      </c>
      <c r="F490">
        <f>IF(ISNA(MATCH(481,'Transfer Engine'!$C$2:$C$630,0)),"",INDEX('Compliance Database'!$F$2:$F$630,MATCH(481,'Transfer Engine'!$C$2:$C$630,0)))</f>
        <v/>
      </c>
      <c r="G490">
        <f>IF(ISNA(MATCH(481,'Transfer Engine'!$C$2:$C$630,0)),"",INDEX('Compliance Database'!$G$2:$G$630,MATCH(481,'Transfer Engine'!$C$2:$C$630,0)))</f>
        <v/>
      </c>
      <c r="H490">
        <f>IF(ISNA(MATCH(481,'Transfer Engine'!$C$2:$C$630,0)),"",INDEX('Compliance Database'!$H$2:$H$630,MATCH(481,'Transfer Engine'!$C$2:$C$630,0)))</f>
        <v/>
      </c>
      <c r="I490" s="8">
        <f>IF(ISNA(MATCH(481,'Transfer Engine'!$C$2:$C$630,0)),"",INDEX('Compliance Database'!$I$2:$I$630,MATCH(481,'Transfer Engine'!$C$2:$C$630,0)))</f>
        <v/>
      </c>
      <c r="J490" s="8">
        <f>IF(ISNA(MATCH(481,'Transfer Engine'!$C$2:$C$630,0)),"",INDEX('Compliance Database'!$J$2:$J$630,MATCH(481,'Transfer Engine'!$C$2:$C$630,0)))</f>
        <v/>
      </c>
      <c r="K490">
        <f>IF(ISNA(MATCH(481,'Transfer Engine'!$C$2:$C$630,0)),"",INDEX('Compliance Database'!$K$2:$K$630,MATCH(481,'Transfer Engine'!$C$2:$C$630,0)))</f>
        <v/>
      </c>
      <c r="L490" s="8">
        <f>IF(ISNA(MATCH(481,'Transfer Engine'!$C$2:$C$630,0)),"",INDEX('Compliance Database'!$L$2:$L$630,MATCH(481,'Transfer Engine'!$C$2:$C$630,0)))</f>
        <v/>
      </c>
      <c r="M490" s="8">
        <f>IF(ISNA(MATCH(481,'Transfer Engine'!$C$2:$C$630,0)),"",INDEX('Compliance Database'!$M$2:$M$630,MATCH(481,'Transfer Engine'!$C$2:$C$630,0)))</f>
        <v/>
      </c>
      <c r="N490" s="8">
        <f>IF(ISNA(MATCH(481,'Transfer Engine'!$C$2:$C$630,0)),"",INDEX('Compliance Database'!$N$2:$N$630,MATCH(481,'Transfer Engine'!$C$2:$C$630,0)))</f>
        <v/>
      </c>
      <c r="O490" s="8">
        <f>IF(ISNA(MATCH(481,'Transfer Engine'!$C$2:$C$630,0)),"",INDEX('Compliance Database'!$O$2:$O$630,MATCH(481,'Transfer Engine'!$C$2:$C$630,0)))</f>
        <v/>
      </c>
    </row>
    <row r="491">
      <c r="A491">
        <f>IF(ISNA(MATCH(482,'Transfer Engine'!$C$2:$C$630,0)),"",INDEX('Compliance Database'!$A$2:$A$630,MATCH(482,'Transfer Engine'!$C$2:$C$630,0)))</f>
        <v/>
      </c>
      <c r="B491">
        <f>IF(ISNA(MATCH(482,'Transfer Engine'!$C$2:$C$630,0)),"",INDEX('Compliance Database'!$B$2:$B$630,MATCH(482,'Transfer Engine'!$C$2:$C$630,0)))</f>
        <v/>
      </c>
      <c r="C491">
        <f>IF(ISNA(MATCH(482,'Transfer Engine'!$C$2:$C$630,0)),"",INDEX('Compliance Database'!$C$2:$C$630,MATCH(482,'Transfer Engine'!$C$2:$C$630,0)))</f>
        <v/>
      </c>
      <c r="D491" s="8">
        <f>IF(ISNA(MATCH(482,'Transfer Engine'!$C$2:$C$630,0)),"",INDEX('Compliance Database'!$D$2:$D$630,MATCH(482,'Transfer Engine'!$C$2:$C$630,0)))</f>
        <v/>
      </c>
      <c r="E491">
        <f>IF(ISNA(MATCH(482,'Transfer Engine'!$C$2:$C$630,0)),"",INDEX('Compliance Database'!$E$2:$E$630,MATCH(482,'Transfer Engine'!$C$2:$C$630,0)))</f>
        <v/>
      </c>
      <c r="F491">
        <f>IF(ISNA(MATCH(482,'Transfer Engine'!$C$2:$C$630,0)),"",INDEX('Compliance Database'!$F$2:$F$630,MATCH(482,'Transfer Engine'!$C$2:$C$630,0)))</f>
        <v/>
      </c>
      <c r="G491">
        <f>IF(ISNA(MATCH(482,'Transfer Engine'!$C$2:$C$630,0)),"",INDEX('Compliance Database'!$G$2:$G$630,MATCH(482,'Transfer Engine'!$C$2:$C$630,0)))</f>
        <v/>
      </c>
      <c r="H491">
        <f>IF(ISNA(MATCH(482,'Transfer Engine'!$C$2:$C$630,0)),"",INDEX('Compliance Database'!$H$2:$H$630,MATCH(482,'Transfer Engine'!$C$2:$C$630,0)))</f>
        <v/>
      </c>
      <c r="I491" s="8">
        <f>IF(ISNA(MATCH(482,'Transfer Engine'!$C$2:$C$630,0)),"",INDEX('Compliance Database'!$I$2:$I$630,MATCH(482,'Transfer Engine'!$C$2:$C$630,0)))</f>
        <v/>
      </c>
      <c r="J491" s="8">
        <f>IF(ISNA(MATCH(482,'Transfer Engine'!$C$2:$C$630,0)),"",INDEX('Compliance Database'!$J$2:$J$630,MATCH(482,'Transfer Engine'!$C$2:$C$630,0)))</f>
        <v/>
      </c>
      <c r="K491">
        <f>IF(ISNA(MATCH(482,'Transfer Engine'!$C$2:$C$630,0)),"",INDEX('Compliance Database'!$K$2:$K$630,MATCH(482,'Transfer Engine'!$C$2:$C$630,0)))</f>
        <v/>
      </c>
      <c r="L491" s="8">
        <f>IF(ISNA(MATCH(482,'Transfer Engine'!$C$2:$C$630,0)),"",INDEX('Compliance Database'!$L$2:$L$630,MATCH(482,'Transfer Engine'!$C$2:$C$630,0)))</f>
        <v/>
      </c>
      <c r="M491" s="8">
        <f>IF(ISNA(MATCH(482,'Transfer Engine'!$C$2:$C$630,0)),"",INDEX('Compliance Database'!$M$2:$M$630,MATCH(482,'Transfer Engine'!$C$2:$C$630,0)))</f>
        <v/>
      </c>
      <c r="N491" s="8">
        <f>IF(ISNA(MATCH(482,'Transfer Engine'!$C$2:$C$630,0)),"",INDEX('Compliance Database'!$N$2:$N$630,MATCH(482,'Transfer Engine'!$C$2:$C$630,0)))</f>
        <v/>
      </c>
      <c r="O491" s="8">
        <f>IF(ISNA(MATCH(482,'Transfer Engine'!$C$2:$C$630,0)),"",INDEX('Compliance Database'!$O$2:$O$630,MATCH(482,'Transfer Engine'!$C$2:$C$630,0)))</f>
        <v/>
      </c>
    </row>
    <row r="492">
      <c r="A492">
        <f>IF(ISNA(MATCH(483,'Transfer Engine'!$C$2:$C$630,0)),"",INDEX('Compliance Database'!$A$2:$A$630,MATCH(483,'Transfer Engine'!$C$2:$C$630,0)))</f>
        <v/>
      </c>
      <c r="B492">
        <f>IF(ISNA(MATCH(483,'Transfer Engine'!$C$2:$C$630,0)),"",INDEX('Compliance Database'!$B$2:$B$630,MATCH(483,'Transfer Engine'!$C$2:$C$630,0)))</f>
        <v/>
      </c>
      <c r="C492">
        <f>IF(ISNA(MATCH(483,'Transfer Engine'!$C$2:$C$630,0)),"",INDEX('Compliance Database'!$C$2:$C$630,MATCH(483,'Transfer Engine'!$C$2:$C$630,0)))</f>
        <v/>
      </c>
      <c r="D492" s="8">
        <f>IF(ISNA(MATCH(483,'Transfer Engine'!$C$2:$C$630,0)),"",INDEX('Compliance Database'!$D$2:$D$630,MATCH(483,'Transfer Engine'!$C$2:$C$630,0)))</f>
        <v/>
      </c>
      <c r="E492">
        <f>IF(ISNA(MATCH(483,'Transfer Engine'!$C$2:$C$630,0)),"",INDEX('Compliance Database'!$E$2:$E$630,MATCH(483,'Transfer Engine'!$C$2:$C$630,0)))</f>
        <v/>
      </c>
      <c r="F492">
        <f>IF(ISNA(MATCH(483,'Transfer Engine'!$C$2:$C$630,0)),"",INDEX('Compliance Database'!$F$2:$F$630,MATCH(483,'Transfer Engine'!$C$2:$C$630,0)))</f>
        <v/>
      </c>
      <c r="G492">
        <f>IF(ISNA(MATCH(483,'Transfer Engine'!$C$2:$C$630,0)),"",INDEX('Compliance Database'!$G$2:$G$630,MATCH(483,'Transfer Engine'!$C$2:$C$630,0)))</f>
        <v/>
      </c>
      <c r="H492">
        <f>IF(ISNA(MATCH(483,'Transfer Engine'!$C$2:$C$630,0)),"",INDEX('Compliance Database'!$H$2:$H$630,MATCH(483,'Transfer Engine'!$C$2:$C$630,0)))</f>
        <v/>
      </c>
      <c r="I492" s="8">
        <f>IF(ISNA(MATCH(483,'Transfer Engine'!$C$2:$C$630,0)),"",INDEX('Compliance Database'!$I$2:$I$630,MATCH(483,'Transfer Engine'!$C$2:$C$630,0)))</f>
        <v/>
      </c>
      <c r="J492" s="8">
        <f>IF(ISNA(MATCH(483,'Transfer Engine'!$C$2:$C$630,0)),"",INDEX('Compliance Database'!$J$2:$J$630,MATCH(483,'Transfer Engine'!$C$2:$C$630,0)))</f>
        <v/>
      </c>
      <c r="K492">
        <f>IF(ISNA(MATCH(483,'Transfer Engine'!$C$2:$C$630,0)),"",INDEX('Compliance Database'!$K$2:$K$630,MATCH(483,'Transfer Engine'!$C$2:$C$630,0)))</f>
        <v/>
      </c>
      <c r="L492" s="8">
        <f>IF(ISNA(MATCH(483,'Transfer Engine'!$C$2:$C$630,0)),"",INDEX('Compliance Database'!$L$2:$L$630,MATCH(483,'Transfer Engine'!$C$2:$C$630,0)))</f>
        <v/>
      </c>
      <c r="M492" s="8">
        <f>IF(ISNA(MATCH(483,'Transfer Engine'!$C$2:$C$630,0)),"",INDEX('Compliance Database'!$M$2:$M$630,MATCH(483,'Transfer Engine'!$C$2:$C$630,0)))</f>
        <v/>
      </c>
      <c r="N492" s="8">
        <f>IF(ISNA(MATCH(483,'Transfer Engine'!$C$2:$C$630,0)),"",INDEX('Compliance Database'!$N$2:$N$630,MATCH(483,'Transfer Engine'!$C$2:$C$630,0)))</f>
        <v/>
      </c>
      <c r="O492" s="8">
        <f>IF(ISNA(MATCH(483,'Transfer Engine'!$C$2:$C$630,0)),"",INDEX('Compliance Database'!$O$2:$O$630,MATCH(483,'Transfer Engine'!$C$2:$C$630,0)))</f>
        <v/>
      </c>
    </row>
    <row r="493">
      <c r="A493">
        <f>IF(ISNA(MATCH(484,'Transfer Engine'!$C$2:$C$630,0)),"",INDEX('Compliance Database'!$A$2:$A$630,MATCH(484,'Transfer Engine'!$C$2:$C$630,0)))</f>
        <v/>
      </c>
      <c r="B493">
        <f>IF(ISNA(MATCH(484,'Transfer Engine'!$C$2:$C$630,0)),"",INDEX('Compliance Database'!$B$2:$B$630,MATCH(484,'Transfer Engine'!$C$2:$C$630,0)))</f>
        <v/>
      </c>
      <c r="C493">
        <f>IF(ISNA(MATCH(484,'Transfer Engine'!$C$2:$C$630,0)),"",INDEX('Compliance Database'!$C$2:$C$630,MATCH(484,'Transfer Engine'!$C$2:$C$630,0)))</f>
        <v/>
      </c>
      <c r="D493" s="8">
        <f>IF(ISNA(MATCH(484,'Transfer Engine'!$C$2:$C$630,0)),"",INDEX('Compliance Database'!$D$2:$D$630,MATCH(484,'Transfer Engine'!$C$2:$C$630,0)))</f>
        <v/>
      </c>
      <c r="E493">
        <f>IF(ISNA(MATCH(484,'Transfer Engine'!$C$2:$C$630,0)),"",INDEX('Compliance Database'!$E$2:$E$630,MATCH(484,'Transfer Engine'!$C$2:$C$630,0)))</f>
        <v/>
      </c>
      <c r="F493">
        <f>IF(ISNA(MATCH(484,'Transfer Engine'!$C$2:$C$630,0)),"",INDEX('Compliance Database'!$F$2:$F$630,MATCH(484,'Transfer Engine'!$C$2:$C$630,0)))</f>
        <v/>
      </c>
      <c r="G493">
        <f>IF(ISNA(MATCH(484,'Transfer Engine'!$C$2:$C$630,0)),"",INDEX('Compliance Database'!$G$2:$G$630,MATCH(484,'Transfer Engine'!$C$2:$C$630,0)))</f>
        <v/>
      </c>
      <c r="H493">
        <f>IF(ISNA(MATCH(484,'Transfer Engine'!$C$2:$C$630,0)),"",INDEX('Compliance Database'!$H$2:$H$630,MATCH(484,'Transfer Engine'!$C$2:$C$630,0)))</f>
        <v/>
      </c>
      <c r="I493" s="8">
        <f>IF(ISNA(MATCH(484,'Transfer Engine'!$C$2:$C$630,0)),"",INDEX('Compliance Database'!$I$2:$I$630,MATCH(484,'Transfer Engine'!$C$2:$C$630,0)))</f>
        <v/>
      </c>
      <c r="J493" s="8">
        <f>IF(ISNA(MATCH(484,'Transfer Engine'!$C$2:$C$630,0)),"",INDEX('Compliance Database'!$J$2:$J$630,MATCH(484,'Transfer Engine'!$C$2:$C$630,0)))</f>
        <v/>
      </c>
      <c r="K493">
        <f>IF(ISNA(MATCH(484,'Transfer Engine'!$C$2:$C$630,0)),"",INDEX('Compliance Database'!$K$2:$K$630,MATCH(484,'Transfer Engine'!$C$2:$C$630,0)))</f>
        <v/>
      </c>
      <c r="L493" s="8">
        <f>IF(ISNA(MATCH(484,'Transfer Engine'!$C$2:$C$630,0)),"",INDEX('Compliance Database'!$L$2:$L$630,MATCH(484,'Transfer Engine'!$C$2:$C$630,0)))</f>
        <v/>
      </c>
      <c r="M493" s="8">
        <f>IF(ISNA(MATCH(484,'Transfer Engine'!$C$2:$C$630,0)),"",INDEX('Compliance Database'!$M$2:$M$630,MATCH(484,'Transfer Engine'!$C$2:$C$630,0)))</f>
        <v/>
      </c>
      <c r="N493" s="8">
        <f>IF(ISNA(MATCH(484,'Transfer Engine'!$C$2:$C$630,0)),"",INDEX('Compliance Database'!$N$2:$N$630,MATCH(484,'Transfer Engine'!$C$2:$C$630,0)))</f>
        <v/>
      </c>
      <c r="O493" s="8">
        <f>IF(ISNA(MATCH(484,'Transfer Engine'!$C$2:$C$630,0)),"",INDEX('Compliance Database'!$O$2:$O$630,MATCH(484,'Transfer Engine'!$C$2:$C$630,0)))</f>
        <v/>
      </c>
    </row>
    <row r="494">
      <c r="A494">
        <f>IF(ISNA(MATCH(485,'Transfer Engine'!$C$2:$C$630,0)),"",INDEX('Compliance Database'!$A$2:$A$630,MATCH(485,'Transfer Engine'!$C$2:$C$630,0)))</f>
        <v/>
      </c>
      <c r="B494">
        <f>IF(ISNA(MATCH(485,'Transfer Engine'!$C$2:$C$630,0)),"",INDEX('Compliance Database'!$B$2:$B$630,MATCH(485,'Transfer Engine'!$C$2:$C$630,0)))</f>
        <v/>
      </c>
      <c r="C494">
        <f>IF(ISNA(MATCH(485,'Transfer Engine'!$C$2:$C$630,0)),"",INDEX('Compliance Database'!$C$2:$C$630,MATCH(485,'Transfer Engine'!$C$2:$C$630,0)))</f>
        <v/>
      </c>
      <c r="D494" s="8">
        <f>IF(ISNA(MATCH(485,'Transfer Engine'!$C$2:$C$630,0)),"",INDEX('Compliance Database'!$D$2:$D$630,MATCH(485,'Transfer Engine'!$C$2:$C$630,0)))</f>
        <v/>
      </c>
      <c r="E494">
        <f>IF(ISNA(MATCH(485,'Transfer Engine'!$C$2:$C$630,0)),"",INDEX('Compliance Database'!$E$2:$E$630,MATCH(485,'Transfer Engine'!$C$2:$C$630,0)))</f>
        <v/>
      </c>
      <c r="F494">
        <f>IF(ISNA(MATCH(485,'Transfer Engine'!$C$2:$C$630,0)),"",INDEX('Compliance Database'!$F$2:$F$630,MATCH(485,'Transfer Engine'!$C$2:$C$630,0)))</f>
        <v/>
      </c>
      <c r="G494">
        <f>IF(ISNA(MATCH(485,'Transfer Engine'!$C$2:$C$630,0)),"",INDEX('Compliance Database'!$G$2:$G$630,MATCH(485,'Transfer Engine'!$C$2:$C$630,0)))</f>
        <v/>
      </c>
      <c r="H494">
        <f>IF(ISNA(MATCH(485,'Transfer Engine'!$C$2:$C$630,0)),"",INDEX('Compliance Database'!$H$2:$H$630,MATCH(485,'Transfer Engine'!$C$2:$C$630,0)))</f>
        <v/>
      </c>
      <c r="I494" s="8">
        <f>IF(ISNA(MATCH(485,'Transfer Engine'!$C$2:$C$630,0)),"",INDEX('Compliance Database'!$I$2:$I$630,MATCH(485,'Transfer Engine'!$C$2:$C$630,0)))</f>
        <v/>
      </c>
      <c r="J494" s="8">
        <f>IF(ISNA(MATCH(485,'Transfer Engine'!$C$2:$C$630,0)),"",INDEX('Compliance Database'!$J$2:$J$630,MATCH(485,'Transfer Engine'!$C$2:$C$630,0)))</f>
        <v/>
      </c>
      <c r="K494">
        <f>IF(ISNA(MATCH(485,'Transfer Engine'!$C$2:$C$630,0)),"",INDEX('Compliance Database'!$K$2:$K$630,MATCH(485,'Transfer Engine'!$C$2:$C$630,0)))</f>
        <v/>
      </c>
      <c r="L494" s="8">
        <f>IF(ISNA(MATCH(485,'Transfer Engine'!$C$2:$C$630,0)),"",INDEX('Compliance Database'!$L$2:$L$630,MATCH(485,'Transfer Engine'!$C$2:$C$630,0)))</f>
        <v/>
      </c>
      <c r="M494" s="8">
        <f>IF(ISNA(MATCH(485,'Transfer Engine'!$C$2:$C$630,0)),"",INDEX('Compliance Database'!$M$2:$M$630,MATCH(485,'Transfer Engine'!$C$2:$C$630,0)))</f>
        <v/>
      </c>
      <c r="N494" s="8">
        <f>IF(ISNA(MATCH(485,'Transfer Engine'!$C$2:$C$630,0)),"",INDEX('Compliance Database'!$N$2:$N$630,MATCH(485,'Transfer Engine'!$C$2:$C$630,0)))</f>
        <v/>
      </c>
      <c r="O494" s="8">
        <f>IF(ISNA(MATCH(485,'Transfer Engine'!$C$2:$C$630,0)),"",INDEX('Compliance Database'!$O$2:$O$630,MATCH(485,'Transfer Engine'!$C$2:$C$630,0)))</f>
        <v/>
      </c>
    </row>
    <row r="495">
      <c r="A495">
        <f>IF(ISNA(MATCH(486,'Transfer Engine'!$C$2:$C$630,0)),"",INDEX('Compliance Database'!$A$2:$A$630,MATCH(486,'Transfer Engine'!$C$2:$C$630,0)))</f>
        <v/>
      </c>
      <c r="B495">
        <f>IF(ISNA(MATCH(486,'Transfer Engine'!$C$2:$C$630,0)),"",INDEX('Compliance Database'!$B$2:$B$630,MATCH(486,'Transfer Engine'!$C$2:$C$630,0)))</f>
        <v/>
      </c>
      <c r="C495">
        <f>IF(ISNA(MATCH(486,'Transfer Engine'!$C$2:$C$630,0)),"",INDEX('Compliance Database'!$C$2:$C$630,MATCH(486,'Transfer Engine'!$C$2:$C$630,0)))</f>
        <v/>
      </c>
      <c r="D495" s="8">
        <f>IF(ISNA(MATCH(486,'Transfer Engine'!$C$2:$C$630,0)),"",INDEX('Compliance Database'!$D$2:$D$630,MATCH(486,'Transfer Engine'!$C$2:$C$630,0)))</f>
        <v/>
      </c>
      <c r="E495">
        <f>IF(ISNA(MATCH(486,'Transfer Engine'!$C$2:$C$630,0)),"",INDEX('Compliance Database'!$E$2:$E$630,MATCH(486,'Transfer Engine'!$C$2:$C$630,0)))</f>
        <v/>
      </c>
      <c r="F495">
        <f>IF(ISNA(MATCH(486,'Transfer Engine'!$C$2:$C$630,0)),"",INDEX('Compliance Database'!$F$2:$F$630,MATCH(486,'Transfer Engine'!$C$2:$C$630,0)))</f>
        <v/>
      </c>
      <c r="G495">
        <f>IF(ISNA(MATCH(486,'Transfer Engine'!$C$2:$C$630,0)),"",INDEX('Compliance Database'!$G$2:$G$630,MATCH(486,'Transfer Engine'!$C$2:$C$630,0)))</f>
        <v/>
      </c>
      <c r="H495">
        <f>IF(ISNA(MATCH(486,'Transfer Engine'!$C$2:$C$630,0)),"",INDEX('Compliance Database'!$H$2:$H$630,MATCH(486,'Transfer Engine'!$C$2:$C$630,0)))</f>
        <v/>
      </c>
      <c r="I495" s="8">
        <f>IF(ISNA(MATCH(486,'Transfer Engine'!$C$2:$C$630,0)),"",INDEX('Compliance Database'!$I$2:$I$630,MATCH(486,'Transfer Engine'!$C$2:$C$630,0)))</f>
        <v/>
      </c>
      <c r="J495" s="8">
        <f>IF(ISNA(MATCH(486,'Transfer Engine'!$C$2:$C$630,0)),"",INDEX('Compliance Database'!$J$2:$J$630,MATCH(486,'Transfer Engine'!$C$2:$C$630,0)))</f>
        <v/>
      </c>
      <c r="K495">
        <f>IF(ISNA(MATCH(486,'Transfer Engine'!$C$2:$C$630,0)),"",INDEX('Compliance Database'!$K$2:$K$630,MATCH(486,'Transfer Engine'!$C$2:$C$630,0)))</f>
        <v/>
      </c>
      <c r="L495" s="8">
        <f>IF(ISNA(MATCH(486,'Transfer Engine'!$C$2:$C$630,0)),"",INDEX('Compliance Database'!$L$2:$L$630,MATCH(486,'Transfer Engine'!$C$2:$C$630,0)))</f>
        <v/>
      </c>
      <c r="M495" s="8">
        <f>IF(ISNA(MATCH(486,'Transfer Engine'!$C$2:$C$630,0)),"",INDEX('Compliance Database'!$M$2:$M$630,MATCH(486,'Transfer Engine'!$C$2:$C$630,0)))</f>
        <v/>
      </c>
      <c r="N495" s="8">
        <f>IF(ISNA(MATCH(486,'Transfer Engine'!$C$2:$C$630,0)),"",INDEX('Compliance Database'!$N$2:$N$630,MATCH(486,'Transfer Engine'!$C$2:$C$630,0)))</f>
        <v/>
      </c>
      <c r="O495" s="8">
        <f>IF(ISNA(MATCH(486,'Transfer Engine'!$C$2:$C$630,0)),"",INDEX('Compliance Database'!$O$2:$O$630,MATCH(486,'Transfer Engine'!$C$2:$C$630,0)))</f>
        <v/>
      </c>
    </row>
    <row r="496">
      <c r="A496">
        <f>IF(ISNA(MATCH(487,'Transfer Engine'!$C$2:$C$630,0)),"",INDEX('Compliance Database'!$A$2:$A$630,MATCH(487,'Transfer Engine'!$C$2:$C$630,0)))</f>
        <v/>
      </c>
      <c r="B496">
        <f>IF(ISNA(MATCH(487,'Transfer Engine'!$C$2:$C$630,0)),"",INDEX('Compliance Database'!$B$2:$B$630,MATCH(487,'Transfer Engine'!$C$2:$C$630,0)))</f>
        <v/>
      </c>
      <c r="C496">
        <f>IF(ISNA(MATCH(487,'Transfer Engine'!$C$2:$C$630,0)),"",INDEX('Compliance Database'!$C$2:$C$630,MATCH(487,'Transfer Engine'!$C$2:$C$630,0)))</f>
        <v/>
      </c>
      <c r="D496" s="8">
        <f>IF(ISNA(MATCH(487,'Transfer Engine'!$C$2:$C$630,0)),"",INDEX('Compliance Database'!$D$2:$D$630,MATCH(487,'Transfer Engine'!$C$2:$C$630,0)))</f>
        <v/>
      </c>
      <c r="E496">
        <f>IF(ISNA(MATCH(487,'Transfer Engine'!$C$2:$C$630,0)),"",INDEX('Compliance Database'!$E$2:$E$630,MATCH(487,'Transfer Engine'!$C$2:$C$630,0)))</f>
        <v/>
      </c>
      <c r="F496">
        <f>IF(ISNA(MATCH(487,'Transfer Engine'!$C$2:$C$630,0)),"",INDEX('Compliance Database'!$F$2:$F$630,MATCH(487,'Transfer Engine'!$C$2:$C$630,0)))</f>
        <v/>
      </c>
      <c r="G496">
        <f>IF(ISNA(MATCH(487,'Transfer Engine'!$C$2:$C$630,0)),"",INDEX('Compliance Database'!$G$2:$G$630,MATCH(487,'Transfer Engine'!$C$2:$C$630,0)))</f>
        <v/>
      </c>
      <c r="H496">
        <f>IF(ISNA(MATCH(487,'Transfer Engine'!$C$2:$C$630,0)),"",INDEX('Compliance Database'!$H$2:$H$630,MATCH(487,'Transfer Engine'!$C$2:$C$630,0)))</f>
        <v/>
      </c>
      <c r="I496" s="8">
        <f>IF(ISNA(MATCH(487,'Transfer Engine'!$C$2:$C$630,0)),"",INDEX('Compliance Database'!$I$2:$I$630,MATCH(487,'Transfer Engine'!$C$2:$C$630,0)))</f>
        <v/>
      </c>
      <c r="J496" s="8">
        <f>IF(ISNA(MATCH(487,'Transfer Engine'!$C$2:$C$630,0)),"",INDEX('Compliance Database'!$J$2:$J$630,MATCH(487,'Transfer Engine'!$C$2:$C$630,0)))</f>
        <v/>
      </c>
      <c r="K496">
        <f>IF(ISNA(MATCH(487,'Transfer Engine'!$C$2:$C$630,0)),"",INDEX('Compliance Database'!$K$2:$K$630,MATCH(487,'Transfer Engine'!$C$2:$C$630,0)))</f>
        <v/>
      </c>
      <c r="L496" s="8">
        <f>IF(ISNA(MATCH(487,'Transfer Engine'!$C$2:$C$630,0)),"",INDEX('Compliance Database'!$L$2:$L$630,MATCH(487,'Transfer Engine'!$C$2:$C$630,0)))</f>
        <v/>
      </c>
      <c r="M496" s="8">
        <f>IF(ISNA(MATCH(487,'Transfer Engine'!$C$2:$C$630,0)),"",INDEX('Compliance Database'!$M$2:$M$630,MATCH(487,'Transfer Engine'!$C$2:$C$630,0)))</f>
        <v/>
      </c>
      <c r="N496" s="8">
        <f>IF(ISNA(MATCH(487,'Transfer Engine'!$C$2:$C$630,0)),"",INDEX('Compliance Database'!$N$2:$N$630,MATCH(487,'Transfer Engine'!$C$2:$C$630,0)))</f>
        <v/>
      </c>
      <c r="O496" s="8">
        <f>IF(ISNA(MATCH(487,'Transfer Engine'!$C$2:$C$630,0)),"",INDEX('Compliance Database'!$O$2:$O$630,MATCH(487,'Transfer Engine'!$C$2:$C$630,0)))</f>
        <v/>
      </c>
    </row>
    <row r="497">
      <c r="A497">
        <f>IF(ISNA(MATCH(488,'Transfer Engine'!$C$2:$C$630,0)),"",INDEX('Compliance Database'!$A$2:$A$630,MATCH(488,'Transfer Engine'!$C$2:$C$630,0)))</f>
        <v/>
      </c>
      <c r="B497">
        <f>IF(ISNA(MATCH(488,'Transfer Engine'!$C$2:$C$630,0)),"",INDEX('Compliance Database'!$B$2:$B$630,MATCH(488,'Transfer Engine'!$C$2:$C$630,0)))</f>
        <v/>
      </c>
      <c r="C497">
        <f>IF(ISNA(MATCH(488,'Transfer Engine'!$C$2:$C$630,0)),"",INDEX('Compliance Database'!$C$2:$C$630,MATCH(488,'Transfer Engine'!$C$2:$C$630,0)))</f>
        <v/>
      </c>
      <c r="D497" s="8">
        <f>IF(ISNA(MATCH(488,'Transfer Engine'!$C$2:$C$630,0)),"",INDEX('Compliance Database'!$D$2:$D$630,MATCH(488,'Transfer Engine'!$C$2:$C$630,0)))</f>
        <v/>
      </c>
      <c r="E497">
        <f>IF(ISNA(MATCH(488,'Transfer Engine'!$C$2:$C$630,0)),"",INDEX('Compliance Database'!$E$2:$E$630,MATCH(488,'Transfer Engine'!$C$2:$C$630,0)))</f>
        <v/>
      </c>
      <c r="F497">
        <f>IF(ISNA(MATCH(488,'Transfer Engine'!$C$2:$C$630,0)),"",INDEX('Compliance Database'!$F$2:$F$630,MATCH(488,'Transfer Engine'!$C$2:$C$630,0)))</f>
        <v/>
      </c>
      <c r="G497">
        <f>IF(ISNA(MATCH(488,'Transfer Engine'!$C$2:$C$630,0)),"",INDEX('Compliance Database'!$G$2:$G$630,MATCH(488,'Transfer Engine'!$C$2:$C$630,0)))</f>
        <v/>
      </c>
      <c r="H497">
        <f>IF(ISNA(MATCH(488,'Transfer Engine'!$C$2:$C$630,0)),"",INDEX('Compliance Database'!$H$2:$H$630,MATCH(488,'Transfer Engine'!$C$2:$C$630,0)))</f>
        <v/>
      </c>
      <c r="I497" s="8">
        <f>IF(ISNA(MATCH(488,'Transfer Engine'!$C$2:$C$630,0)),"",INDEX('Compliance Database'!$I$2:$I$630,MATCH(488,'Transfer Engine'!$C$2:$C$630,0)))</f>
        <v/>
      </c>
      <c r="J497" s="8">
        <f>IF(ISNA(MATCH(488,'Transfer Engine'!$C$2:$C$630,0)),"",INDEX('Compliance Database'!$J$2:$J$630,MATCH(488,'Transfer Engine'!$C$2:$C$630,0)))</f>
        <v/>
      </c>
      <c r="K497">
        <f>IF(ISNA(MATCH(488,'Transfer Engine'!$C$2:$C$630,0)),"",INDEX('Compliance Database'!$K$2:$K$630,MATCH(488,'Transfer Engine'!$C$2:$C$630,0)))</f>
        <v/>
      </c>
      <c r="L497" s="8">
        <f>IF(ISNA(MATCH(488,'Transfer Engine'!$C$2:$C$630,0)),"",INDEX('Compliance Database'!$L$2:$L$630,MATCH(488,'Transfer Engine'!$C$2:$C$630,0)))</f>
        <v/>
      </c>
      <c r="M497" s="8">
        <f>IF(ISNA(MATCH(488,'Transfer Engine'!$C$2:$C$630,0)),"",INDEX('Compliance Database'!$M$2:$M$630,MATCH(488,'Transfer Engine'!$C$2:$C$630,0)))</f>
        <v/>
      </c>
      <c r="N497" s="8">
        <f>IF(ISNA(MATCH(488,'Transfer Engine'!$C$2:$C$630,0)),"",INDEX('Compliance Database'!$N$2:$N$630,MATCH(488,'Transfer Engine'!$C$2:$C$630,0)))</f>
        <v/>
      </c>
      <c r="O497" s="8">
        <f>IF(ISNA(MATCH(488,'Transfer Engine'!$C$2:$C$630,0)),"",INDEX('Compliance Database'!$O$2:$O$630,MATCH(488,'Transfer Engine'!$C$2:$C$630,0)))</f>
        <v/>
      </c>
    </row>
    <row r="498">
      <c r="A498">
        <f>IF(ISNA(MATCH(489,'Transfer Engine'!$C$2:$C$630,0)),"",INDEX('Compliance Database'!$A$2:$A$630,MATCH(489,'Transfer Engine'!$C$2:$C$630,0)))</f>
        <v/>
      </c>
      <c r="B498">
        <f>IF(ISNA(MATCH(489,'Transfer Engine'!$C$2:$C$630,0)),"",INDEX('Compliance Database'!$B$2:$B$630,MATCH(489,'Transfer Engine'!$C$2:$C$630,0)))</f>
        <v/>
      </c>
      <c r="C498">
        <f>IF(ISNA(MATCH(489,'Transfer Engine'!$C$2:$C$630,0)),"",INDEX('Compliance Database'!$C$2:$C$630,MATCH(489,'Transfer Engine'!$C$2:$C$630,0)))</f>
        <v/>
      </c>
      <c r="D498" s="8">
        <f>IF(ISNA(MATCH(489,'Transfer Engine'!$C$2:$C$630,0)),"",INDEX('Compliance Database'!$D$2:$D$630,MATCH(489,'Transfer Engine'!$C$2:$C$630,0)))</f>
        <v/>
      </c>
      <c r="E498">
        <f>IF(ISNA(MATCH(489,'Transfer Engine'!$C$2:$C$630,0)),"",INDEX('Compliance Database'!$E$2:$E$630,MATCH(489,'Transfer Engine'!$C$2:$C$630,0)))</f>
        <v/>
      </c>
      <c r="F498">
        <f>IF(ISNA(MATCH(489,'Transfer Engine'!$C$2:$C$630,0)),"",INDEX('Compliance Database'!$F$2:$F$630,MATCH(489,'Transfer Engine'!$C$2:$C$630,0)))</f>
        <v/>
      </c>
      <c r="G498">
        <f>IF(ISNA(MATCH(489,'Transfer Engine'!$C$2:$C$630,0)),"",INDEX('Compliance Database'!$G$2:$G$630,MATCH(489,'Transfer Engine'!$C$2:$C$630,0)))</f>
        <v/>
      </c>
      <c r="H498">
        <f>IF(ISNA(MATCH(489,'Transfer Engine'!$C$2:$C$630,0)),"",INDEX('Compliance Database'!$H$2:$H$630,MATCH(489,'Transfer Engine'!$C$2:$C$630,0)))</f>
        <v/>
      </c>
      <c r="I498" s="8">
        <f>IF(ISNA(MATCH(489,'Transfer Engine'!$C$2:$C$630,0)),"",INDEX('Compliance Database'!$I$2:$I$630,MATCH(489,'Transfer Engine'!$C$2:$C$630,0)))</f>
        <v/>
      </c>
      <c r="J498" s="8">
        <f>IF(ISNA(MATCH(489,'Transfer Engine'!$C$2:$C$630,0)),"",INDEX('Compliance Database'!$J$2:$J$630,MATCH(489,'Transfer Engine'!$C$2:$C$630,0)))</f>
        <v/>
      </c>
      <c r="K498">
        <f>IF(ISNA(MATCH(489,'Transfer Engine'!$C$2:$C$630,0)),"",INDEX('Compliance Database'!$K$2:$K$630,MATCH(489,'Transfer Engine'!$C$2:$C$630,0)))</f>
        <v/>
      </c>
      <c r="L498" s="8">
        <f>IF(ISNA(MATCH(489,'Transfer Engine'!$C$2:$C$630,0)),"",INDEX('Compliance Database'!$L$2:$L$630,MATCH(489,'Transfer Engine'!$C$2:$C$630,0)))</f>
        <v/>
      </c>
      <c r="M498" s="8">
        <f>IF(ISNA(MATCH(489,'Transfer Engine'!$C$2:$C$630,0)),"",INDEX('Compliance Database'!$M$2:$M$630,MATCH(489,'Transfer Engine'!$C$2:$C$630,0)))</f>
        <v/>
      </c>
      <c r="N498" s="8">
        <f>IF(ISNA(MATCH(489,'Transfer Engine'!$C$2:$C$630,0)),"",INDEX('Compliance Database'!$N$2:$N$630,MATCH(489,'Transfer Engine'!$C$2:$C$630,0)))</f>
        <v/>
      </c>
      <c r="O498" s="8">
        <f>IF(ISNA(MATCH(489,'Transfer Engine'!$C$2:$C$630,0)),"",INDEX('Compliance Database'!$O$2:$O$630,MATCH(489,'Transfer Engine'!$C$2:$C$630,0)))</f>
        <v/>
      </c>
    </row>
    <row r="499">
      <c r="A499">
        <f>IF(ISNA(MATCH(490,'Transfer Engine'!$C$2:$C$630,0)),"",INDEX('Compliance Database'!$A$2:$A$630,MATCH(490,'Transfer Engine'!$C$2:$C$630,0)))</f>
        <v/>
      </c>
      <c r="B499">
        <f>IF(ISNA(MATCH(490,'Transfer Engine'!$C$2:$C$630,0)),"",INDEX('Compliance Database'!$B$2:$B$630,MATCH(490,'Transfer Engine'!$C$2:$C$630,0)))</f>
        <v/>
      </c>
      <c r="C499">
        <f>IF(ISNA(MATCH(490,'Transfer Engine'!$C$2:$C$630,0)),"",INDEX('Compliance Database'!$C$2:$C$630,MATCH(490,'Transfer Engine'!$C$2:$C$630,0)))</f>
        <v/>
      </c>
      <c r="D499" s="8">
        <f>IF(ISNA(MATCH(490,'Transfer Engine'!$C$2:$C$630,0)),"",INDEX('Compliance Database'!$D$2:$D$630,MATCH(490,'Transfer Engine'!$C$2:$C$630,0)))</f>
        <v/>
      </c>
      <c r="E499">
        <f>IF(ISNA(MATCH(490,'Transfer Engine'!$C$2:$C$630,0)),"",INDEX('Compliance Database'!$E$2:$E$630,MATCH(490,'Transfer Engine'!$C$2:$C$630,0)))</f>
        <v/>
      </c>
      <c r="F499">
        <f>IF(ISNA(MATCH(490,'Transfer Engine'!$C$2:$C$630,0)),"",INDEX('Compliance Database'!$F$2:$F$630,MATCH(490,'Transfer Engine'!$C$2:$C$630,0)))</f>
        <v/>
      </c>
      <c r="G499">
        <f>IF(ISNA(MATCH(490,'Transfer Engine'!$C$2:$C$630,0)),"",INDEX('Compliance Database'!$G$2:$G$630,MATCH(490,'Transfer Engine'!$C$2:$C$630,0)))</f>
        <v/>
      </c>
      <c r="H499">
        <f>IF(ISNA(MATCH(490,'Transfer Engine'!$C$2:$C$630,0)),"",INDEX('Compliance Database'!$H$2:$H$630,MATCH(490,'Transfer Engine'!$C$2:$C$630,0)))</f>
        <v/>
      </c>
      <c r="I499" s="8">
        <f>IF(ISNA(MATCH(490,'Transfer Engine'!$C$2:$C$630,0)),"",INDEX('Compliance Database'!$I$2:$I$630,MATCH(490,'Transfer Engine'!$C$2:$C$630,0)))</f>
        <v/>
      </c>
      <c r="J499" s="8">
        <f>IF(ISNA(MATCH(490,'Transfer Engine'!$C$2:$C$630,0)),"",INDEX('Compliance Database'!$J$2:$J$630,MATCH(490,'Transfer Engine'!$C$2:$C$630,0)))</f>
        <v/>
      </c>
      <c r="K499">
        <f>IF(ISNA(MATCH(490,'Transfer Engine'!$C$2:$C$630,0)),"",INDEX('Compliance Database'!$K$2:$K$630,MATCH(490,'Transfer Engine'!$C$2:$C$630,0)))</f>
        <v/>
      </c>
      <c r="L499" s="8">
        <f>IF(ISNA(MATCH(490,'Transfer Engine'!$C$2:$C$630,0)),"",INDEX('Compliance Database'!$L$2:$L$630,MATCH(490,'Transfer Engine'!$C$2:$C$630,0)))</f>
        <v/>
      </c>
      <c r="M499" s="8">
        <f>IF(ISNA(MATCH(490,'Transfer Engine'!$C$2:$C$630,0)),"",INDEX('Compliance Database'!$M$2:$M$630,MATCH(490,'Transfer Engine'!$C$2:$C$630,0)))</f>
        <v/>
      </c>
      <c r="N499" s="8">
        <f>IF(ISNA(MATCH(490,'Transfer Engine'!$C$2:$C$630,0)),"",INDEX('Compliance Database'!$N$2:$N$630,MATCH(490,'Transfer Engine'!$C$2:$C$630,0)))</f>
        <v/>
      </c>
      <c r="O499" s="8">
        <f>IF(ISNA(MATCH(490,'Transfer Engine'!$C$2:$C$630,0)),"",INDEX('Compliance Database'!$O$2:$O$630,MATCH(490,'Transfer Engine'!$C$2:$C$630,0)))</f>
        <v/>
      </c>
    </row>
    <row r="500">
      <c r="A500">
        <f>IF(ISNA(MATCH(491,'Transfer Engine'!$C$2:$C$630,0)),"",INDEX('Compliance Database'!$A$2:$A$630,MATCH(491,'Transfer Engine'!$C$2:$C$630,0)))</f>
        <v/>
      </c>
      <c r="B500">
        <f>IF(ISNA(MATCH(491,'Transfer Engine'!$C$2:$C$630,0)),"",INDEX('Compliance Database'!$B$2:$B$630,MATCH(491,'Transfer Engine'!$C$2:$C$630,0)))</f>
        <v/>
      </c>
      <c r="C500">
        <f>IF(ISNA(MATCH(491,'Transfer Engine'!$C$2:$C$630,0)),"",INDEX('Compliance Database'!$C$2:$C$630,MATCH(491,'Transfer Engine'!$C$2:$C$630,0)))</f>
        <v/>
      </c>
      <c r="D500" s="8">
        <f>IF(ISNA(MATCH(491,'Transfer Engine'!$C$2:$C$630,0)),"",INDEX('Compliance Database'!$D$2:$D$630,MATCH(491,'Transfer Engine'!$C$2:$C$630,0)))</f>
        <v/>
      </c>
      <c r="E500">
        <f>IF(ISNA(MATCH(491,'Transfer Engine'!$C$2:$C$630,0)),"",INDEX('Compliance Database'!$E$2:$E$630,MATCH(491,'Transfer Engine'!$C$2:$C$630,0)))</f>
        <v/>
      </c>
      <c r="F500">
        <f>IF(ISNA(MATCH(491,'Transfer Engine'!$C$2:$C$630,0)),"",INDEX('Compliance Database'!$F$2:$F$630,MATCH(491,'Transfer Engine'!$C$2:$C$630,0)))</f>
        <v/>
      </c>
      <c r="G500">
        <f>IF(ISNA(MATCH(491,'Transfer Engine'!$C$2:$C$630,0)),"",INDEX('Compliance Database'!$G$2:$G$630,MATCH(491,'Transfer Engine'!$C$2:$C$630,0)))</f>
        <v/>
      </c>
      <c r="H500">
        <f>IF(ISNA(MATCH(491,'Transfer Engine'!$C$2:$C$630,0)),"",INDEX('Compliance Database'!$H$2:$H$630,MATCH(491,'Transfer Engine'!$C$2:$C$630,0)))</f>
        <v/>
      </c>
      <c r="I500" s="8">
        <f>IF(ISNA(MATCH(491,'Transfer Engine'!$C$2:$C$630,0)),"",INDEX('Compliance Database'!$I$2:$I$630,MATCH(491,'Transfer Engine'!$C$2:$C$630,0)))</f>
        <v/>
      </c>
      <c r="J500" s="8">
        <f>IF(ISNA(MATCH(491,'Transfer Engine'!$C$2:$C$630,0)),"",INDEX('Compliance Database'!$J$2:$J$630,MATCH(491,'Transfer Engine'!$C$2:$C$630,0)))</f>
        <v/>
      </c>
      <c r="K500">
        <f>IF(ISNA(MATCH(491,'Transfer Engine'!$C$2:$C$630,0)),"",INDEX('Compliance Database'!$K$2:$K$630,MATCH(491,'Transfer Engine'!$C$2:$C$630,0)))</f>
        <v/>
      </c>
      <c r="L500" s="8">
        <f>IF(ISNA(MATCH(491,'Transfer Engine'!$C$2:$C$630,0)),"",INDEX('Compliance Database'!$L$2:$L$630,MATCH(491,'Transfer Engine'!$C$2:$C$630,0)))</f>
        <v/>
      </c>
      <c r="M500" s="8">
        <f>IF(ISNA(MATCH(491,'Transfer Engine'!$C$2:$C$630,0)),"",INDEX('Compliance Database'!$M$2:$M$630,MATCH(491,'Transfer Engine'!$C$2:$C$630,0)))</f>
        <v/>
      </c>
      <c r="N500" s="8">
        <f>IF(ISNA(MATCH(491,'Transfer Engine'!$C$2:$C$630,0)),"",INDEX('Compliance Database'!$N$2:$N$630,MATCH(491,'Transfer Engine'!$C$2:$C$630,0)))</f>
        <v/>
      </c>
      <c r="O500" s="8">
        <f>IF(ISNA(MATCH(491,'Transfer Engine'!$C$2:$C$630,0)),"",INDEX('Compliance Database'!$O$2:$O$630,MATCH(491,'Transfer Engine'!$C$2:$C$630,0)))</f>
        <v/>
      </c>
    </row>
    <row r="501">
      <c r="A501">
        <f>IF(ISNA(MATCH(492,'Transfer Engine'!$C$2:$C$630,0)),"",INDEX('Compliance Database'!$A$2:$A$630,MATCH(492,'Transfer Engine'!$C$2:$C$630,0)))</f>
        <v/>
      </c>
      <c r="B501">
        <f>IF(ISNA(MATCH(492,'Transfer Engine'!$C$2:$C$630,0)),"",INDEX('Compliance Database'!$B$2:$B$630,MATCH(492,'Transfer Engine'!$C$2:$C$630,0)))</f>
        <v/>
      </c>
      <c r="C501">
        <f>IF(ISNA(MATCH(492,'Transfer Engine'!$C$2:$C$630,0)),"",INDEX('Compliance Database'!$C$2:$C$630,MATCH(492,'Transfer Engine'!$C$2:$C$630,0)))</f>
        <v/>
      </c>
      <c r="D501" s="8">
        <f>IF(ISNA(MATCH(492,'Transfer Engine'!$C$2:$C$630,0)),"",INDEX('Compliance Database'!$D$2:$D$630,MATCH(492,'Transfer Engine'!$C$2:$C$630,0)))</f>
        <v/>
      </c>
      <c r="E501">
        <f>IF(ISNA(MATCH(492,'Transfer Engine'!$C$2:$C$630,0)),"",INDEX('Compliance Database'!$E$2:$E$630,MATCH(492,'Transfer Engine'!$C$2:$C$630,0)))</f>
        <v/>
      </c>
      <c r="F501">
        <f>IF(ISNA(MATCH(492,'Transfer Engine'!$C$2:$C$630,0)),"",INDEX('Compliance Database'!$F$2:$F$630,MATCH(492,'Transfer Engine'!$C$2:$C$630,0)))</f>
        <v/>
      </c>
      <c r="G501">
        <f>IF(ISNA(MATCH(492,'Transfer Engine'!$C$2:$C$630,0)),"",INDEX('Compliance Database'!$G$2:$G$630,MATCH(492,'Transfer Engine'!$C$2:$C$630,0)))</f>
        <v/>
      </c>
      <c r="H501">
        <f>IF(ISNA(MATCH(492,'Transfer Engine'!$C$2:$C$630,0)),"",INDEX('Compliance Database'!$H$2:$H$630,MATCH(492,'Transfer Engine'!$C$2:$C$630,0)))</f>
        <v/>
      </c>
      <c r="I501" s="8">
        <f>IF(ISNA(MATCH(492,'Transfer Engine'!$C$2:$C$630,0)),"",INDEX('Compliance Database'!$I$2:$I$630,MATCH(492,'Transfer Engine'!$C$2:$C$630,0)))</f>
        <v/>
      </c>
      <c r="J501" s="8">
        <f>IF(ISNA(MATCH(492,'Transfer Engine'!$C$2:$C$630,0)),"",INDEX('Compliance Database'!$J$2:$J$630,MATCH(492,'Transfer Engine'!$C$2:$C$630,0)))</f>
        <v/>
      </c>
      <c r="K501">
        <f>IF(ISNA(MATCH(492,'Transfer Engine'!$C$2:$C$630,0)),"",INDEX('Compliance Database'!$K$2:$K$630,MATCH(492,'Transfer Engine'!$C$2:$C$630,0)))</f>
        <v/>
      </c>
      <c r="L501" s="8">
        <f>IF(ISNA(MATCH(492,'Transfer Engine'!$C$2:$C$630,0)),"",INDEX('Compliance Database'!$L$2:$L$630,MATCH(492,'Transfer Engine'!$C$2:$C$630,0)))</f>
        <v/>
      </c>
      <c r="M501" s="8">
        <f>IF(ISNA(MATCH(492,'Transfer Engine'!$C$2:$C$630,0)),"",INDEX('Compliance Database'!$M$2:$M$630,MATCH(492,'Transfer Engine'!$C$2:$C$630,0)))</f>
        <v/>
      </c>
      <c r="N501" s="8">
        <f>IF(ISNA(MATCH(492,'Transfer Engine'!$C$2:$C$630,0)),"",INDEX('Compliance Database'!$N$2:$N$630,MATCH(492,'Transfer Engine'!$C$2:$C$630,0)))</f>
        <v/>
      </c>
      <c r="O501" s="8">
        <f>IF(ISNA(MATCH(492,'Transfer Engine'!$C$2:$C$630,0)),"",INDEX('Compliance Database'!$O$2:$O$630,MATCH(492,'Transfer Engine'!$C$2:$C$630,0)))</f>
        <v/>
      </c>
    </row>
    <row r="502">
      <c r="A502">
        <f>IF(ISNA(MATCH(493,'Transfer Engine'!$C$2:$C$630,0)),"",INDEX('Compliance Database'!$A$2:$A$630,MATCH(493,'Transfer Engine'!$C$2:$C$630,0)))</f>
        <v/>
      </c>
      <c r="B502">
        <f>IF(ISNA(MATCH(493,'Transfer Engine'!$C$2:$C$630,0)),"",INDEX('Compliance Database'!$B$2:$B$630,MATCH(493,'Transfer Engine'!$C$2:$C$630,0)))</f>
        <v/>
      </c>
      <c r="C502">
        <f>IF(ISNA(MATCH(493,'Transfer Engine'!$C$2:$C$630,0)),"",INDEX('Compliance Database'!$C$2:$C$630,MATCH(493,'Transfer Engine'!$C$2:$C$630,0)))</f>
        <v/>
      </c>
      <c r="D502" s="8">
        <f>IF(ISNA(MATCH(493,'Transfer Engine'!$C$2:$C$630,0)),"",INDEX('Compliance Database'!$D$2:$D$630,MATCH(493,'Transfer Engine'!$C$2:$C$630,0)))</f>
        <v/>
      </c>
      <c r="E502">
        <f>IF(ISNA(MATCH(493,'Transfer Engine'!$C$2:$C$630,0)),"",INDEX('Compliance Database'!$E$2:$E$630,MATCH(493,'Transfer Engine'!$C$2:$C$630,0)))</f>
        <v/>
      </c>
      <c r="F502">
        <f>IF(ISNA(MATCH(493,'Transfer Engine'!$C$2:$C$630,0)),"",INDEX('Compliance Database'!$F$2:$F$630,MATCH(493,'Transfer Engine'!$C$2:$C$630,0)))</f>
        <v/>
      </c>
      <c r="G502">
        <f>IF(ISNA(MATCH(493,'Transfer Engine'!$C$2:$C$630,0)),"",INDEX('Compliance Database'!$G$2:$G$630,MATCH(493,'Transfer Engine'!$C$2:$C$630,0)))</f>
        <v/>
      </c>
      <c r="H502">
        <f>IF(ISNA(MATCH(493,'Transfer Engine'!$C$2:$C$630,0)),"",INDEX('Compliance Database'!$H$2:$H$630,MATCH(493,'Transfer Engine'!$C$2:$C$630,0)))</f>
        <v/>
      </c>
      <c r="I502" s="8">
        <f>IF(ISNA(MATCH(493,'Transfer Engine'!$C$2:$C$630,0)),"",INDEX('Compliance Database'!$I$2:$I$630,MATCH(493,'Transfer Engine'!$C$2:$C$630,0)))</f>
        <v/>
      </c>
      <c r="J502" s="8">
        <f>IF(ISNA(MATCH(493,'Transfer Engine'!$C$2:$C$630,0)),"",INDEX('Compliance Database'!$J$2:$J$630,MATCH(493,'Transfer Engine'!$C$2:$C$630,0)))</f>
        <v/>
      </c>
      <c r="K502">
        <f>IF(ISNA(MATCH(493,'Transfer Engine'!$C$2:$C$630,0)),"",INDEX('Compliance Database'!$K$2:$K$630,MATCH(493,'Transfer Engine'!$C$2:$C$630,0)))</f>
        <v/>
      </c>
      <c r="L502" s="8">
        <f>IF(ISNA(MATCH(493,'Transfer Engine'!$C$2:$C$630,0)),"",INDEX('Compliance Database'!$L$2:$L$630,MATCH(493,'Transfer Engine'!$C$2:$C$630,0)))</f>
        <v/>
      </c>
      <c r="M502" s="8">
        <f>IF(ISNA(MATCH(493,'Transfer Engine'!$C$2:$C$630,0)),"",INDEX('Compliance Database'!$M$2:$M$630,MATCH(493,'Transfer Engine'!$C$2:$C$630,0)))</f>
        <v/>
      </c>
      <c r="N502" s="8">
        <f>IF(ISNA(MATCH(493,'Transfer Engine'!$C$2:$C$630,0)),"",INDEX('Compliance Database'!$N$2:$N$630,MATCH(493,'Transfer Engine'!$C$2:$C$630,0)))</f>
        <v/>
      </c>
      <c r="O502" s="8">
        <f>IF(ISNA(MATCH(493,'Transfer Engine'!$C$2:$C$630,0)),"",INDEX('Compliance Database'!$O$2:$O$630,MATCH(493,'Transfer Engine'!$C$2:$C$630,0)))</f>
        <v/>
      </c>
    </row>
    <row r="503">
      <c r="A503">
        <f>IF(ISNA(MATCH(494,'Transfer Engine'!$C$2:$C$630,0)),"",INDEX('Compliance Database'!$A$2:$A$630,MATCH(494,'Transfer Engine'!$C$2:$C$630,0)))</f>
        <v/>
      </c>
      <c r="B503">
        <f>IF(ISNA(MATCH(494,'Transfer Engine'!$C$2:$C$630,0)),"",INDEX('Compliance Database'!$B$2:$B$630,MATCH(494,'Transfer Engine'!$C$2:$C$630,0)))</f>
        <v/>
      </c>
      <c r="C503">
        <f>IF(ISNA(MATCH(494,'Transfer Engine'!$C$2:$C$630,0)),"",INDEX('Compliance Database'!$C$2:$C$630,MATCH(494,'Transfer Engine'!$C$2:$C$630,0)))</f>
        <v/>
      </c>
      <c r="D503" s="8">
        <f>IF(ISNA(MATCH(494,'Transfer Engine'!$C$2:$C$630,0)),"",INDEX('Compliance Database'!$D$2:$D$630,MATCH(494,'Transfer Engine'!$C$2:$C$630,0)))</f>
        <v/>
      </c>
      <c r="E503">
        <f>IF(ISNA(MATCH(494,'Transfer Engine'!$C$2:$C$630,0)),"",INDEX('Compliance Database'!$E$2:$E$630,MATCH(494,'Transfer Engine'!$C$2:$C$630,0)))</f>
        <v/>
      </c>
      <c r="F503">
        <f>IF(ISNA(MATCH(494,'Transfer Engine'!$C$2:$C$630,0)),"",INDEX('Compliance Database'!$F$2:$F$630,MATCH(494,'Transfer Engine'!$C$2:$C$630,0)))</f>
        <v/>
      </c>
      <c r="G503">
        <f>IF(ISNA(MATCH(494,'Transfer Engine'!$C$2:$C$630,0)),"",INDEX('Compliance Database'!$G$2:$G$630,MATCH(494,'Transfer Engine'!$C$2:$C$630,0)))</f>
        <v/>
      </c>
      <c r="H503">
        <f>IF(ISNA(MATCH(494,'Transfer Engine'!$C$2:$C$630,0)),"",INDEX('Compliance Database'!$H$2:$H$630,MATCH(494,'Transfer Engine'!$C$2:$C$630,0)))</f>
        <v/>
      </c>
      <c r="I503" s="8">
        <f>IF(ISNA(MATCH(494,'Transfer Engine'!$C$2:$C$630,0)),"",INDEX('Compliance Database'!$I$2:$I$630,MATCH(494,'Transfer Engine'!$C$2:$C$630,0)))</f>
        <v/>
      </c>
      <c r="J503" s="8">
        <f>IF(ISNA(MATCH(494,'Transfer Engine'!$C$2:$C$630,0)),"",INDEX('Compliance Database'!$J$2:$J$630,MATCH(494,'Transfer Engine'!$C$2:$C$630,0)))</f>
        <v/>
      </c>
      <c r="K503">
        <f>IF(ISNA(MATCH(494,'Transfer Engine'!$C$2:$C$630,0)),"",INDEX('Compliance Database'!$K$2:$K$630,MATCH(494,'Transfer Engine'!$C$2:$C$630,0)))</f>
        <v/>
      </c>
      <c r="L503" s="8">
        <f>IF(ISNA(MATCH(494,'Transfer Engine'!$C$2:$C$630,0)),"",INDEX('Compliance Database'!$L$2:$L$630,MATCH(494,'Transfer Engine'!$C$2:$C$630,0)))</f>
        <v/>
      </c>
      <c r="M503" s="8">
        <f>IF(ISNA(MATCH(494,'Transfer Engine'!$C$2:$C$630,0)),"",INDEX('Compliance Database'!$M$2:$M$630,MATCH(494,'Transfer Engine'!$C$2:$C$630,0)))</f>
        <v/>
      </c>
      <c r="N503" s="8">
        <f>IF(ISNA(MATCH(494,'Transfer Engine'!$C$2:$C$630,0)),"",INDEX('Compliance Database'!$N$2:$N$630,MATCH(494,'Transfer Engine'!$C$2:$C$630,0)))</f>
        <v/>
      </c>
      <c r="O503" s="8">
        <f>IF(ISNA(MATCH(494,'Transfer Engine'!$C$2:$C$630,0)),"",INDEX('Compliance Database'!$O$2:$O$630,MATCH(494,'Transfer Engine'!$C$2:$C$630,0)))</f>
        <v/>
      </c>
    </row>
    <row r="504">
      <c r="A504">
        <f>IF(ISNA(MATCH(495,'Transfer Engine'!$C$2:$C$630,0)),"",INDEX('Compliance Database'!$A$2:$A$630,MATCH(495,'Transfer Engine'!$C$2:$C$630,0)))</f>
        <v/>
      </c>
      <c r="B504">
        <f>IF(ISNA(MATCH(495,'Transfer Engine'!$C$2:$C$630,0)),"",INDEX('Compliance Database'!$B$2:$B$630,MATCH(495,'Transfer Engine'!$C$2:$C$630,0)))</f>
        <v/>
      </c>
      <c r="C504">
        <f>IF(ISNA(MATCH(495,'Transfer Engine'!$C$2:$C$630,0)),"",INDEX('Compliance Database'!$C$2:$C$630,MATCH(495,'Transfer Engine'!$C$2:$C$630,0)))</f>
        <v/>
      </c>
      <c r="D504" s="8">
        <f>IF(ISNA(MATCH(495,'Transfer Engine'!$C$2:$C$630,0)),"",INDEX('Compliance Database'!$D$2:$D$630,MATCH(495,'Transfer Engine'!$C$2:$C$630,0)))</f>
        <v/>
      </c>
      <c r="E504">
        <f>IF(ISNA(MATCH(495,'Transfer Engine'!$C$2:$C$630,0)),"",INDEX('Compliance Database'!$E$2:$E$630,MATCH(495,'Transfer Engine'!$C$2:$C$630,0)))</f>
        <v/>
      </c>
      <c r="F504">
        <f>IF(ISNA(MATCH(495,'Transfer Engine'!$C$2:$C$630,0)),"",INDEX('Compliance Database'!$F$2:$F$630,MATCH(495,'Transfer Engine'!$C$2:$C$630,0)))</f>
        <v/>
      </c>
      <c r="G504">
        <f>IF(ISNA(MATCH(495,'Transfer Engine'!$C$2:$C$630,0)),"",INDEX('Compliance Database'!$G$2:$G$630,MATCH(495,'Transfer Engine'!$C$2:$C$630,0)))</f>
        <v/>
      </c>
      <c r="H504">
        <f>IF(ISNA(MATCH(495,'Transfer Engine'!$C$2:$C$630,0)),"",INDEX('Compliance Database'!$H$2:$H$630,MATCH(495,'Transfer Engine'!$C$2:$C$630,0)))</f>
        <v/>
      </c>
      <c r="I504" s="8">
        <f>IF(ISNA(MATCH(495,'Transfer Engine'!$C$2:$C$630,0)),"",INDEX('Compliance Database'!$I$2:$I$630,MATCH(495,'Transfer Engine'!$C$2:$C$630,0)))</f>
        <v/>
      </c>
      <c r="J504" s="8">
        <f>IF(ISNA(MATCH(495,'Transfer Engine'!$C$2:$C$630,0)),"",INDEX('Compliance Database'!$J$2:$J$630,MATCH(495,'Transfer Engine'!$C$2:$C$630,0)))</f>
        <v/>
      </c>
      <c r="K504">
        <f>IF(ISNA(MATCH(495,'Transfer Engine'!$C$2:$C$630,0)),"",INDEX('Compliance Database'!$K$2:$K$630,MATCH(495,'Transfer Engine'!$C$2:$C$630,0)))</f>
        <v/>
      </c>
      <c r="L504" s="8">
        <f>IF(ISNA(MATCH(495,'Transfer Engine'!$C$2:$C$630,0)),"",INDEX('Compliance Database'!$L$2:$L$630,MATCH(495,'Transfer Engine'!$C$2:$C$630,0)))</f>
        <v/>
      </c>
      <c r="M504" s="8">
        <f>IF(ISNA(MATCH(495,'Transfer Engine'!$C$2:$C$630,0)),"",INDEX('Compliance Database'!$M$2:$M$630,MATCH(495,'Transfer Engine'!$C$2:$C$630,0)))</f>
        <v/>
      </c>
      <c r="N504" s="8">
        <f>IF(ISNA(MATCH(495,'Transfer Engine'!$C$2:$C$630,0)),"",INDEX('Compliance Database'!$N$2:$N$630,MATCH(495,'Transfer Engine'!$C$2:$C$630,0)))</f>
        <v/>
      </c>
      <c r="O504" s="8">
        <f>IF(ISNA(MATCH(495,'Transfer Engine'!$C$2:$C$630,0)),"",INDEX('Compliance Database'!$O$2:$O$630,MATCH(495,'Transfer Engine'!$C$2:$C$630,0)))</f>
        <v/>
      </c>
    </row>
    <row r="505">
      <c r="A505">
        <f>IF(ISNA(MATCH(496,'Transfer Engine'!$C$2:$C$630,0)),"",INDEX('Compliance Database'!$A$2:$A$630,MATCH(496,'Transfer Engine'!$C$2:$C$630,0)))</f>
        <v/>
      </c>
      <c r="B505">
        <f>IF(ISNA(MATCH(496,'Transfer Engine'!$C$2:$C$630,0)),"",INDEX('Compliance Database'!$B$2:$B$630,MATCH(496,'Transfer Engine'!$C$2:$C$630,0)))</f>
        <v/>
      </c>
      <c r="C505">
        <f>IF(ISNA(MATCH(496,'Transfer Engine'!$C$2:$C$630,0)),"",INDEX('Compliance Database'!$C$2:$C$630,MATCH(496,'Transfer Engine'!$C$2:$C$630,0)))</f>
        <v/>
      </c>
      <c r="D505" s="8">
        <f>IF(ISNA(MATCH(496,'Transfer Engine'!$C$2:$C$630,0)),"",INDEX('Compliance Database'!$D$2:$D$630,MATCH(496,'Transfer Engine'!$C$2:$C$630,0)))</f>
        <v/>
      </c>
      <c r="E505">
        <f>IF(ISNA(MATCH(496,'Transfer Engine'!$C$2:$C$630,0)),"",INDEX('Compliance Database'!$E$2:$E$630,MATCH(496,'Transfer Engine'!$C$2:$C$630,0)))</f>
        <v/>
      </c>
      <c r="F505">
        <f>IF(ISNA(MATCH(496,'Transfer Engine'!$C$2:$C$630,0)),"",INDEX('Compliance Database'!$F$2:$F$630,MATCH(496,'Transfer Engine'!$C$2:$C$630,0)))</f>
        <v/>
      </c>
      <c r="G505">
        <f>IF(ISNA(MATCH(496,'Transfer Engine'!$C$2:$C$630,0)),"",INDEX('Compliance Database'!$G$2:$G$630,MATCH(496,'Transfer Engine'!$C$2:$C$630,0)))</f>
        <v/>
      </c>
      <c r="H505">
        <f>IF(ISNA(MATCH(496,'Transfer Engine'!$C$2:$C$630,0)),"",INDEX('Compliance Database'!$H$2:$H$630,MATCH(496,'Transfer Engine'!$C$2:$C$630,0)))</f>
        <v/>
      </c>
      <c r="I505" s="8">
        <f>IF(ISNA(MATCH(496,'Transfer Engine'!$C$2:$C$630,0)),"",INDEX('Compliance Database'!$I$2:$I$630,MATCH(496,'Transfer Engine'!$C$2:$C$630,0)))</f>
        <v/>
      </c>
      <c r="J505" s="8">
        <f>IF(ISNA(MATCH(496,'Transfer Engine'!$C$2:$C$630,0)),"",INDEX('Compliance Database'!$J$2:$J$630,MATCH(496,'Transfer Engine'!$C$2:$C$630,0)))</f>
        <v/>
      </c>
      <c r="K505">
        <f>IF(ISNA(MATCH(496,'Transfer Engine'!$C$2:$C$630,0)),"",INDEX('Compliance Database'!$K$2:$K$630,MATCH(496,'Transfer Engine'!$C$2:$C$630,0)))</f>
        <v/>
      </c>
      <c r="L505" s="8">
        <f>IF(ISNA(MATCH(496,'Transfer Engine'!$C$2:$C$630,0)),"",INDEX('Compliance Database'!$L$2:$L$630,MATCH(496,'Transfer Engine'!$C$2:$C$630,0)))</f>
        <v/>
      </c>
      <c r="M505" s="8">
        <f>IF(ISNA(MATCH(496,'Transfer Engine'!$C$2:$C$630,0)),"",INDEX('Compliance Database'!$M$2:$M$630,MATCH(496,'Transfer Engine'!$C$2:$C$630,0)))</f>
        <v/>
      </c>
      <c r="N505" s="8">
        <f>IF(ISNA(MATCH(496,'Transfer Engine'!$C$2:$C$630,0)),"",INDEX('Compliance Database'!$N$2:$N$630,MATCH(496,'Transfer Engine'!$C$2:$C$630,0)))</f>
        <v/>
      </c>
      <c r="O505" s="8">
        <f>IF(ISNA(MATCH(496,'Transfer Engine'!$C$2:$C$630,0)),"",INDEX('Compliance Database'!$O$2:$O$630,MATCH(496,'Transfer Engine'!$C$2:$C$630,0)))</f>
        <v/>
      </c>
    </row>
    <row r="506">
      <c r="A506">
        <f>IF(ISNA(MATCH(497,'Transfer Engine'!$C$2:$C$630,0)),"",INDEX('Compliance Database'!$A$2:$A$630,MATCH(497,'Transfer Engine'!$C$2:$C$630,0)))</f>
        <v/>
      </c>
      <c r="B506">
        <f>IF(ISNA(MATCH(497,'Transfer Engine'!$C$2:$C$630,0)),"",INDEX('Compliance Database'!$B$2:$B$630,MATCH(497,'Transfer Engine'!$C$2:$C$630,0)))</f>
        <v/>
      </c>
      <c r="C506">
        <f>IF(ISNA(MATCH(497,'Transfer Engine'!$C$2:$C$630,0)),"",INDEX('Compliance Database'!$C$2:$C$630,MATCH(497,'Transfer Engine'!$C$2:$C$630,0)))</f>
        <v/>
      </c>
      <c r="D506" s="8">
        <f>IF(ISNA(MATCH(497,'Transfer Engine'!$C$2:$C$630,0)),"",INDEX('Compliance Database'!$D$2:$D$630,MATCH(497,'Transfer Engine'!$C$2:$C$630,0)))</f>
        <v/>
      </c>
      <c r="E506">
        <f>IF(ISNA(MATCH(497,'Transfer Engine'!$C$2:$C$630,0)),"",INDEX('Compliance Database'!$E$2:$E$630,MATCH(497,'Transfer Engine'!$C$2:$C$630,0)))</f>
        <v/>
      </c>
      <c r="F506">
        <f>IF(ISNA(MATCH(497,'Transfer Engine'!$C$2:$C$630,0)),"",INDEX('Compliance Database'!$F$2:$F$630,MATCH(497,'Transfer Engine'!$C$2:$C$630,0)))</f>
        <v/>
      </c>
      <c r="G506">
        <f>IF(ISNA(MATCH(497,'Transfer Engine'!$C$2:$C$630,0)),"",INDEX('Compliance Database'!$G$2:$G$630,MATCH(497,'Transfer Engine'!$C$2:$C$630,0)))</f>
        <v/>
      </c>
      <c r="H506">
        <f>IF(ISNA(MATCH(497,'Transfer Engine'!$C$2:$C$630,0)),"",INDEX('Compliance Database'!$H$2:$H$630,MATCH(497,'Transfer Engine'!$C$2:$C$630,0)))</f>
        <v/>
      </c>
      <c r="I506" s="8">
        <f>IF(ISNA(MATCH(497,'Transfer Engine'!$C$2:$C$630,0)),"",INDEX('Compliance Database'!$I$2:$I$630,MATCH(497,'Transfer Engine'!$C$2:$C$630,0)))</f>
        <v/>
      </c>
      <c r="J506" s="8">
        <f>IF(ISNA(MATCH(497,'Transfer Engine'!$C$2:$C$630,0)),"",INDEX('Compliance Database'!$J$2:$J$630,MATCH(497,'Transfer Engine'!$C$2:$C$630,0)))</f>
        <v/>
      </c>
      <c r="K506">
        <f>IF(ISNA(MATCH(497,'Transfer Engine'!$C$2:$C$630,0)),"",INDEX('Compliance Database'!$K$2:$K$630,MATCH(497,'Transfer Engine'!$C$2:$C$630,0)))</f>
        <v/>
      </c>
      <c r="L506" s="8">
        <f>IF(ISNA(MATCH(497,'Transfer Engine'!$C$2:$C$630,0)),"",INDEX('Compliance Database'!$L$2:$L$630,MATCH(497,'Transfer Engine'!$C$2:$C$630,0)))</f>
        <v/>
      </c>
      <c r="M506" s="8">
        <f>IF(ISNA(MATCH(497,'Transfer Engine'!$C$2:$C$630,0)),"",INDEX('Compliance Database'!$M$2:$M$630,MATCH(497,'Transfer Engine'!$C$2:$C$630,0)))</f>
        <v/>
      </c>
      <c r="N506" s="8">
        <f>IF(ISNA(MATCH(497,'Transfer Engine'!$C$2:$C$630,0)),"",INDEX('Compliance Database'!$N$2:$N$630,MATCH(497,'Transfer Engine'!$C$2:$C$630,0)))</f>
        <v/>
      </c>
      <c r="O506" s="8">
        <f>IF(ISNA(MATCH(497,'Transfer Engine'!$C$2:$C$630,0)),"",INDEX('Compliance Database'!$O$2:$O$630,MATCH(497,'Transfer Engine'!$C$2:$C$630,0)))</f>
        <v/>
      </c>
    </row>
    <row r="507">
      <c r="A507">
        <f>IF(ISNA(MATCH(498,'Transfer Engine'!$C$2:$C$630,0)),"",INDEX('Compliance Database'!$A$2:$A$630,MATCH(498,'Transfer Engine'!$C$2:$C$630,0)))</f>
        <v/>
      </c>
      <c r="B507">
        <f>IF(ISNA(MATCH(498,'Transfer Engine'!$C$2:$C$630,0)),"",INDEX('Compliance Database'!$B$2:$B$630,MATCH(498,'Transfer Engine'!$C$2:$C$630,0)))</f>
        <v/>
      </c>
      <c r="C507">
        <f>IF(ISNA(MATCH(498,'Transfer Engine'!$C$2:$C$630,0)),"",INDEX('Compliance Database'!$C$2:$C$630,MATCH(498,'Transfer Engine'!$C$2:$C$630,0)))</f>
        <v/>
      </c>
      <c r="D507" s="8">
        <f>IF(ISNA(MATCH(498,'Transfer Engine'!$C$2:$C$630,0)),"",INDEX('Compliance Database'!$D$2:$D$630,MATCH(498,'Transfer Engine'!$C$2:$C$630,0)))</f>
        <v/>
      </c>
      <c r="E507">
        <f>IF(ISNA(MATCH(498,'Transfer Engine'!$C$2:$C$630,0)),"",INDEX('Compliance Database'!$E$2:$E$630,MATCH(498,'Transfer Engine'!$C$2:$C$630,0)))</f>
        <v/>
      </c>
      <c r="F507">
        <f>IF(ISNA(MATCH(498,'Transfer Engine'!$C$2:$C$630,0)),"",INDEX('Compliance Database'!$F$2:$F$630,MATCH(498,'Transfer Engine'!$C$2:$C$630,0)))</f>
        <v/>
      </c>
      <c r="G507">
        <f>IF(ISNA(MATCH(498,'Transfer Engine'!$C$2:$C$630,0)),"",INDEX('Compliance Database'!$G$2:$G$630,MATCH(498,'Transfer Engine'!$C$2:$C$630,0)))</f>
        <v/>
      </c>
      <c r="H507">
        <f>IF(ISNA(MATCH(498,'Transfer Engine'!$C$2:$C$630,0)),"",INDEX('Compliance Database'!$H$2:$H$630,MATCH(498,'Transfer Engine'!$C$2:$C$630,0)))</f>
        <v/>
      </c>
      <c r="I507" s="8">
        <f>IF(ISNA(MATCH(498,'Transfer Engine'!$C$2:$C$630,0)),"",INDEX('Compliance Database'!$I$2:$I$630,MATCH(498,'Transfer Engine'!$C$2:$C$630,0)))</f>
        <v/>
      </c>
      <c r="J507" s="8">
        <f>IF(ISNA(MATCH(498,'Transfer Engine'!$C$2:$C$630,0)),"",INDEX('Compliance Database'!$J$2:$J$630,MATCH(498,'Transfer Engine'!$C$2:$C$630,0)))</f>
        <v/>
      </c>
      <c r="K507">
        <f>IF(ISNA(MATCH(498,'Transfer Engine'!$C$2:$C$630,0)),"",INDEX('Compliance Database'!$K$2:$K$630,MATCH(498,'Transfer Engine'!$C$2:$C$630,0)))</f>
        <v/>
      </c>
      <c r="L507" s="8">
        <f>IF(ISNA(MATCH(498,'Transfer Engine'!$C$2:$C$630,0)),"",INDEX('Compliance Database'!$L$2:$L$630,MATCH(498,'Transfer Engine'!$C$2:$C$630,0)))</f>
        <v/>
      </c>
      <c r="M507" s="8">
        <f>IF(ISNA(MATCH(498,'Transfer Engine'!$C$2:$C$630,0)),"",INDEX('Compliance Database'!$M$2:$M$630,MATCH(498,'Transfer Engine'!$C$2:$C$630,0)))</f>
        <v/>
      </c>
      <c r="N507" s="8">
        <f>IF(ISNA(MATCH(498,'Transfer Engine'!$C$2:$C$630,0)),"",INDEX('Compliance Database'!$N$2:$N$630,MATCH(498,'Transfer Engine'!$C$2:$C$630,0)))</f>
        <v/>
      </c>
      <c r="O507" s="8">
        <f>IF(ISNA(MATCH(498,'Transfer Engine'!$C$2:$C$630,0)),"",INDEX('Compliance Database'!$O$2:$O$630,MATCH(498,'Transfer Engine'!$C$2:$C$630,0)))</f>
        <v/>
      </c>
    </row>
    <row r="508">
      <c r="A508">
        <f>IF(ISNA(MATCH(499,'Transfer Engine'!$C$2:$C$630,0)),"",INDEX('Compliance Database'!$A$2:$A$630,MATCH(499,'Transfer Engine'!$C$2:$C$630,0)))</f>
        <v/>
      </c>
      <c r="B508">
        <f>IF(ISNA(MATCH(499,'Transfer Engine'!$C$2:$C$630,0)),"",INDEX('Compliance Database'!$B$2:$B$630,MATCH(499,'Transfer Engine'!$C$2:$C$630,0)))</f>
        <v/>
      </c>
      <c r="C508">
        <f>IF(ISNA(MATCH(499,'Transfer Engine'!$C$2:$C$630,0)),"",INDEX('Compliance Database'!$C$2:$C$630,MATCH(499,'Transfer Engine'!$C$2:$C$630,0)))</f>
        <v/>
      </c>
      <c r="D508" s="8">
        <f>IF(ISNA(MATCH(499,'Transfer Engine'!$C$2:$C$630,0)),"",INDEX('Compliance Database'!$D$2:$D$630,MATCH(499,'Transfer Engine'!$C$2:$C$630,0)))</f>
        <v/>
      </c>
      <c r="E508">
        <f>IF(ISNA(MATCH(499,'Transfer Engine'!$C$2:$C$630,0)),"",INDEX('Compliance Database'!$E$2:$E$630,MATCH(499,'Transfer Engine'!$C$2:$C$630,0)))</f>
        <v/>
      </c>
      <c r="F508">
        <f>IF(ISNA(MATCH(499,'Transfer Engine'!$C$2:$C$630,0)),"",INDEX('Compliance Database'!$F$2:$F$630,MATCH(499,'Transfer Engine'!$C$2:$C$630,0)))</f>
        <v/>
      </c>
      <c r="G508">
        <f>IF(ISNA(MATCH(499,'Transfer Engine'!$C$2:$C$630,0)),"",INDEX('Compliance Database'!$G$2:$G$630,MATCH(499,'Transfer Engine'!$C$2:$C$630,0)))</f>
        <v/>
      </c>
      <c r="H508">
        <f>IF(ISNA(MATCH(499,'Transfer Engine'!$C$2:$C$630,0)),"",INDEX('Compliance Database'!$H$2:$H$630,MATCH(499,'Transfer Engine'!$C$2:$C$630,0)))</f>
        <v/>
      </c>
      <c r="I508" s="8">
        <f>IF(ISNA(MATCH(499,'Transfer Engine'!$C$2:$C$630,0)),"",INDEX('Compliance Database'!$I$2:$I$630,MATCH(499,'Transfer Engine'!$C$2:$C$630,0)))</f>
        <v/>
      </c>
      <c r="J508" s="8">
        <f>IF(ISNA(MATCH(499,'Transfer Engine'!$C$2:$C$630,0)),"",INDEX('Compliance Database'!$J$2:$J$630,MATCH(499,'Transfer Engine'!$C$2:$C$630,0)))</f>
        <v/>
      </c>
      <c r="K508">
        <f>IF(ISNA(MATCH(499,'Transfer Engine'!$C$2:$C$630,0)),"",INDEX('Compliance Database'!$K$2:$K$630,MATCH(499,'Transfer Engine'!$C$2:$C$630,0)))</f>
        <v/>
      </c>
      <c r="L508" s="8">
        <f>IF(ISNA(MATCH(499,'Transfer Engine'!$C$2:$C$630,0)),"",INDEX('Compliance Database'!$L$2:$L$630,MATCH(499,'Transfer Engine'!$C$2:$C$630,0)))</f>
        <v/>
      </c>
      <c r="M508" s="8">
        <f>IF(ISNA(MATCH(499,'Transfer Engine'!$C$2:$C$630,0)),"",INDEX('Compliance Database'!$M$2:$M$630,MATCH(499,'Transfer Engine'!$C$2:$C$630,0)))</f>
        <v/>
      </c>
      <c r="N508" s="8">
        <f>IF(ISNA(MATCH(499,'Transfer Engine'!$C$2:$C$630,0)),"",INDEX('Compliance Database'!$N$2:$N$630,MATCH(499,'Transfer Engine'!$C$2:$C$630,0)))</f>
        <v/>
      </c>
      <c r="O508" s="8">
        <f>IF(ISNA(MATCH(499,'Transfer Engine'!$C$2:$C$630,0)),"",INDEX('Compliance Database'!$O$2:$O$630,MATCH(499,'Transfer Engine'!$C$2:$C$630,0)))</f>
        <v/>
      </c>
    </row>
    <row r="509">
      <c r="A509">
        <f>IF(ISNA(MATCH(500,'Transfer Engine'!$C$2:$C$630,0)),"",INDEX('Compliance Database'!$A$2:$A$630,MATCH(500,'Transfer Engine'!$C$2:$C$630,0)))</f>
        <v/>
      </c>
      <c r="B509">
        <f>IF(ISNA(MATCH(500,'Transfer Engine'!$C$2:$C$630,0)),"",INDEX('Compliance Database'!$B$2:$B$630,MATCH(500,'Transfer Engine'!$C$2:$C$630,0)))</f>
        <v/>
      </c>
      <c r="C509">
        <f>IF(ISNA(MATCH(500,'Transfer Engine'!$C$2:$C$630,0)),"",INDEX('Compliance Database'!$C$2:$C$630,MATCH(500,'Transfer Engine'!$C$2:$C$630,0)))</f>
        <v/>
      </c>
      <c r="D509" s="8">
        <f>IF(ISNA(MATCH(500,'Transfer Engine'!$C$2:$C$630,0)),"",INDEX('Compliance Database'!$D$2:$D$630,MATCH(500,'Transfer Engine'!$C$2:$C$630,0)))</f>
        <v/>
      </c>
      <c r="E509">
        <f>IF(ISNA(MATCH(500,'Transfer Engine'!$C$2:$C$630,0)),"",INDEX('Compliance Database'!$E$2:$E$630,MATCH(500,'Transfer Engine'!$C$2:$C$630,0)))</f>
        <v/>
      </c>
      <c r="F509">
        <f>IF(ISNA(MATCH(500,'Transfer Engine'!$C$2:$C$630,0)),"",INDEX('Compliance Database'!$F$2:$F$630,MATCH(500,'Transfer Engine'!$C$2:$C$630,0)))</f>
        <v/>
      </c>
      <c r="G509">
        <f>IF(ISNA(MATCH(500,'Transfer Engine'!$C$2:$C$630,0)),"",INDEX('Compliance Database'!$G$2:$G$630,MATCH(500,'Transfer Engine'!$C$2:$C$630,0)))</f>
        <v/>
      </c>
      <c r="H509">
        <f>IF(ISNA(MATCH(500,'Transfer Engine'!$C$2:$C$630,0)),"",INDEX('Compliance Database'!$H$2:$H$630,MATCH(500,'Transfer Engine'!$C$2:$C$630,0)))</f>
        <v/>
      </c>
      <c r="I509" s="8">
        <f>IF(ISNA(MATCH(500,'Transfer Engine'!$C$2:$C$630,0)),"",INDEX('Compliance Database'!$I$2:$I$630,MATCH(500,'Transfer Engine'!$C$2:$C$630,0)))</f>
        <v/>
      </c>
      <c r="J509" s="8">
        <f>IF(ISNA(MATCH(500,'Transfer Engine'!$C$2:$C$630,0)),"",INDEX('Compliance Database'!$J$2:$J$630,MATCH(500,'Transfer Engine'!$C$2:$C$630,0)))</f>
        <v/>
      </c>
      <c r="K509">
        <f>IF(ISNA(MATCH(500,'Transfer Engine'!$C$2:$C$630,0)),"",INDEX('Compliance Database'!$K$2:$K$630,MATCH(500,'Transfer Engine'!$C$2:$C$630,0)))</f>
        <v/>
      </c>
      <c r="L509" s="8">
        <f>IF(ISNA(MATCH(500,'Transfer Engine'!$C$2:$C$630,0)),"",INDEX('Compliance Database'!$L$2:$L$630,MATCH(500,'Transfer Engine'!$C$2:$C$630,0)))</f>
        <v/>
      </c>
      <c r="M509" s="8">
        <f>IF(ISNA(MATCH(500,'Transfer Engine'!$C$2:$C$630,0)),"",INDEX('Compliance Database'!$M$2:$M$630,MATCH(500,'Transfer Engine'!$C$2:$C$630,0)))</f>
        <v/>
      </c>
      <c r="N509" s="8">
        <f>IF(ISNA(MATCH(500,'Transfer Engine'!$C$2:$C$630,0)),"",INDEX('Compliance Database'!$N$2:$N$630,MATCH(500,'Transfer Engine'!$C$2:$C$630,0)))</f>
        <v/>
      </c>
      <c r="O509" s="8">
        <f>IF(ISNA(MATCH(500,'Transfer Engine'!$C$2:$C$630,0)),"",INDEX('Compliance Database'!$O$2:$O$630,MATCH(500,'Transfer Engine'!$C$2:$C$630,0)))</f>
        <v/>
      </c>
    </row>
    <row r="510">
      <c r="A510">
        <f>IF(ISNA(MATCH(501,'Transfer Engine'!$C$2:$C$630,0)),"",INDEX('Compliance Database'!$A$2:$A$630,MATCH(501,'Transfer Engine'!$C$2:$C$630,0)))</f>
        <v/>
      </c>
      <c r="B510">
        <f>IF(ISNA(MATCH(501,'Transfer Engine'!$C$2:$C$630,0)),"",INDEX('Compliance Database'!$B$2:$B$630,MATCH(501,'Transfer Engine'!$C$2:$C$630,0)))</f>
        <v/>
      </c>
      <c r="C510">
        <f>IF(ISNA(MATCH(501,'Transfer Engine'!$C$2:$C$630,0)),"",INDEX('Compliance Database'!$C$2:$C$630,MATCH(501,'Transfer Engine'!$C$2:$C$630,0)))</f>
        <v/>
      </c>
      <c r="D510" s="8">
        <f>IF(ISNA(MATCH(501,'Transfer Engine'!$C$2:$C$630,0)),"",INDEX('Compliance Database'!$D$2:$D$630,MATCH(501,'Transfer Engine'!$C$2:$C$630,0)))</f>
        <v/>
      </c>
      <c r="E510">
        <f>IF(ISNA(MATCH(501,'Transfer Engine'!$C$2:$C$630,0)),"",INDEX('Compliance Database'!$E$2:$E$630,MATCH(501,'Transfer Engine'!$C$2:$C$630,0)))</f>
        <v/>
      </c>
      <c r="F510">
        <f>IF(ISNA(MATCH(501,'Transfer Engine'!$C$2:$C$630,0)),"",INDEX('Compliance Database'!$F$2:$F$630,MATCH(501,'Transfer Engine'!$C$2:$C$630,0)))</f>
        <v/>
      </c>
      <c r="G510">
        <f>IF(ISNA(MATCH(501,'Transfer Engine'!$C$2:$C$630,0)),"",INDEX('Compliance Database'!$G$2:$G$630,MATCH(501,'Transfer Engine'!$C$2:$C$630,0)))</f>
        <v/>
      </c>
      <c r="H510">
        <f>IF(ISNA(MATCH(501,'Transfer Engine'!$C$2:$C$630,0)),"",INDEX('Compliance Database'!$H$2:$H$630,MATCH(501,'Transfer Engine'!$C$2:$C$630,0)))</f>
        <v/>
      </c>
      <c r="I510" s="8">
        <f>IF(ISNA(MATCH(501,'Transfer Engine'!$C$2:$C$630,0)),"",INDEX('Compliance Database'!$I$2:$I$630,MATCH(501,'Transfer Engine'!$C$2:$C$630,0)))</f>
        <v/>
      </c>
      <c r="J510" s="8">
        <f>IF(ISNA(MATCH(501,'Transfer Engine'!$C$2:$C$630,0)),"",INDEX('Compliance Database'!$J$2:$J$630,MATCH(501,'Transfer Engine'!$C$2:$C$630,0)))</f>
        <v/>
      </c>
      <c r="K510">
        <f>IF(ISNA(MATCH(501,'Transfer Engine'!$C$2:$C$630,0)),"",INDEX('Compliance Database'!$K$2:$K$630,MATCH(501,'Transfer Engine'!$C$2:$C$630,0)))</f>
        <v/>
      </c>
      <c r="L510" s="8">
        <f>IF(ISNA(MATCH(501,'Transfer Engine'!$C$2:$C$630,0)),"",INDEX('Compliance Database'!$L$2:$L$630,MATCH(501,'Transfer Engine'!$C$2:$C$630,0)))</f>
        <v/>
      </c>
      <c r="M510" s="8">
        <f>IF(ISNA(MATCH(501,'Transfer Engine'!$C$2:$C$630,0)),"",INDEX('Compliance Database'!$M$2:$M$630,MATCH(501,'Transfer Engine'!$C$2:$C$630,0)))</f>
        <v/>
      </c>
      <c r="N510" s="8">
        <f>IF(ISNA(MATCH(501,'Transfer Engine'!$C$2:$C$630,0)),"",INDEX('Compliance Database'!$N$2:$N$630,MATCH(501,'Transfer Engine'!$C$2:$C$630,0)))</f>
        <v/>
      </c>
      <c r="O510" s="8">
        <f>IF(ISNA(MATCH(501,'Transfer Engine'!$C$2:$C$630,0)),"",INDEX('Compliance Database'!$O$2:$O$630,MATCH(501,'Transfer Engine'!$C$2:$C$630,0)))</f>
        <v/>
      </c>
    </row>
    <row r="511">
      <c r="A511">
        <f>IF(ISNA(MATCH(502,'Transfer Engine'!$C$2:$C$630,0)),"",INDEX('Compliance Database'!$A$2:$A$630,MATCH(502,'Transfer Engine'!$C$2:$C$630,0)))</f>
        <v/>
      </c>
      <c r="B511">
        <f>IF(ISNA(MATCH(502,'Transfer Engine'!$C$2:$C$630,0)),"",INDEX('Compliance Database'!$B$2:$B$630,MATCH(502,'Transfer Engine'!$C$2:$C$630,0)))</f>
        <v/>
      </c>
      <c r="C511">
        <f>IF(ISNA(MATCH(502,'Transfer Engine'!$C$2:$C$630,0)),"",INDEX('Compliance Database'!$C$2:$C$630,MATCH(502,'Transfer Engine'!$C$2:$C$630,0)))</f>
        <v/>
      </c>
      <c r="D511" s="8">
        <f>IF(ISNA(MATCH(502,'Transfer Engine'!$C$2:$C$630,0)),"",INDEX('Compliance Database'!$D$2:$D$630,MATCH(502,'Transfer Engine'!$C$2:$C$630,0)))</f>
        <v/>
      </c>
      <c r="E511">
        <f>IF(ISNA(MATCH(502,'Transfer Engine'!$C$2:$C$630,0)),"",INDEX('Compliance Database'!$E$2:$E$630,MATCH(502,'Transfer Engine'!$C$2:$C$630,0)))</f>
        <v/>
      </c>
      <c r="F511">
        <f>IF(ISNA(MATCH(502,'Transfer Engine'!$C$2:$C$630,0)),"",INDEX('Compliance Database'!$F$2:$F$630,MATCH(502,'Transfer Engine'!$C$2:$C$630,0)))</f>
        <v/>
      </c>
      <c r="G511">
        <f>IF(ISNA(MATCH(502,'Transfer Engine'!$C$2:$C$630,0)),"",INDEX('Compliance Database'!$G$2:$G$630,MATCH(502,'Transfer Engine'!$C$2:$C$630,0)))</f>
        <v/>
      </c>
      <c r="H511">
        <f>IF(ISNA(MATCH(502,'Transfer Engine'!$C$2:$C$630,0)),"",INDEX('Compliance Database'!$H$2:$H$630,MATCH(502,'Transfer Engine'!$C$2:$C$630,0)))</f>
        <v/>
      </c>
      <c r="I511" s="8">
        <f>IF(ISNA(MATCH(502,'Transfer Engine'!$C$2:$C$630,0)),"",INDEX('Compliance Database'!$I$2:$I$630,MATCH(502,'Transfer Engine'!$C$2:$C$630,0)))</f>
        <v/>
      </c>
      <c r="J511" s="8">
        <f>IF(ISNA(MATCH(502,'Transfer Engine'!$C$2:$C$630,0)),"",INDEX('Compliance Database'!$J$2:$J$630,MATCH(502,'Transfer Engine'!$C$2:$C$630,0)))</f>
        <v/>
      </c>
      <c r="K511">
        <f>IF(ISNA(MATCH(502,'Transfer Engine'!$C$2:$C$630,0)),"",INDEX('Compliance Database'!$K$2:$K$630,MATCH(502,'Transfer Engine'!$C$2:$C$630,0)))</f>
        <v/>
      </c>
      <c r="L511" s="8">
        <f>IF(ISNA(MATCH(502,'Transfer Engine'!$C$2:$C$630,0)),"",INDEX('Compliance Database'!$L$2:$L$630,MATCH(502,'Transfer Engine'!$C$2:$C$630,0)))</f>
        <v/>
      </c>
      <c r="M511" s="8">
        <f>IF(ISNA(MATCH(502,'Transfer Engine'!$C$2:$C$630,0)),"",INDEX('Compliance Database'!$M$2:$M$630,MATCH(502,'Transfer Engine'!$C$2:$C$630,0)))</f>
        <v/>
      </c>
      <c r="N511" s="8">
        <f>IF(ISNA(MATCH(502,'Transfer Engine'!$C$2:$C$630,0)),"",INDEX('Compliance Database'!$N$2:$N$630,MATCH(502,'Transfer Engine'!$C$2:$C$630,0)))</f>
        <v/>
      </c>
      <c r="O511" s="8">
        <f>IF(ISNA(MATCH(502,'Transfer Engine'!$C$2:$C$630,0)),"",INDEX('Compliance Database'!$O$2:$O$630,MATCH(502,'Transfer Engine'!$C$2:$C$630,0)))</f>
        <v/>
      </c>
    </row>
    <row r="512">
      <c r="A512">
        <f>IF(ISNA(MATCH(503,'Transfer Engine'!$C$2:$C$630,0)),"",INDEX('Compliance Database'!$A$2:$A$630,MATCH(503,'Transfer Engine'!$C$2:$C$630,0)))</f>
        <v/>
      </c>
      <c r="B512">
        <f>IF(ISNA(MATCH(503,'Transfer Engine'!$C$2:$C$630,0)),"",INDEX('Compliance Database'!$B$2:$B$630,MATCH(503,'Transfer Engine'!$C$2:$C$630,0)))</f>
        <v/>
      </c>
      <c r="C512">
        <f>IF(ISNA(MATCH(503,'Transfer Engine'!$C$2:$C$630,0)),"",INDEX('Compliance Database'!$C$2:$C$630,MATCH(503,'Transfer Engine'!$C$2:$C$630,0)))</f>
        <v/>
      </c>
      <c r="D512" s="8">
        <f>IF(ISNA(MATCH(503,'Transfer Engine'!$C$2:$C$630,0)),"",INDEX('Compliance Database'!$D$2:$D$630,MATCH(503,'Transfer Engine'!$C$2:$C$630,0)))</f>
        <v/>
      </c>
      <c r="E512">
        <f>IF(ISNA(MATCH(503,'Transfer Engine'!$C$2:$C$630,0)),"",INDEX('Compliance Database'!$E$2:$E$630,MATCH(503,'Transfer Engine'!$C$2:$C$630,0)))</f>
        <v/>
      </c>
      <c r="F512">
        <f>IF(ISNA(MATCH(503,'Transfer Engine'!$C$2:$C$630,0)),"",INDEX('Compliance Database'!$F$2:$F$630,MATCH(503,'Transfer Engine'!$C$2:$C$630,0)))</f>
        <v/>
      </c>
      <c r="G512">
        <f>IF(ISNA(MATCH(503,'Transfer Engine'!$C$2:$C$630,0)),"",INDEX('Compliance Database'!$G$2:$G$630,MATCH(503,'Transfer Engine'!$C$2:$C$630,0)))</f>
        <v/>
      </c>
      <c r="H512">
        <f>IF(ISNA(MATCH(503,'Transfer Engine'!$C$2:$C$630,0)),"",INDEX('Compliance Database'!$H$2:$H$630,MATCH(503,'Transfer Engine'!$C$2:$C$630,0)))</f>
        <v/>
      </c>
      <c r="I512" s="8">
        <f>IF(ISNA(MATCH(503,'Transfer Engine'!$C$2:$C$630,0)),"",INDEX('Compliance Database'!$I$2:$I$630,MATCH(503,'Transfer Engine'!$C$2:$C$630,0)))</f>
        <v/>
      </c>
      <c r="J512" s="8">
        <f>IF(ISNA(MATCH(503,'Transfer Engine'!$C$2:$C$630,0)),"",INDEX('Compliance Database'!$J$2:$J$630,MATCH(503,'Transfer Engine'!$C$2:$C$630,0)))</f>
        <v/>
      </c>
      <c r="K512">
        <f>IF(ISNA(MATCH(503,'Transfer Engine'!$C$2:$C$630,0)),"",INDEX('Compliance Database'!$K$2:$K$630,MATCH(503,'Transfer Engine'!$C$2:$C$630,0)))</f>
        <v/>
      </c>
      <c r="L512" s="8">
        <f>IF(ISNA(MATCH(503,'Transfer Engine'!$C$2:$C$630,0)),"",INDEX('Compliance Database'!$L$2:$L$630,MATCH(503,'Transfer Engine'!$C$2:$C$630,0)))</f>
        <v/>
      </c>
      <c r="M512" s="8">
        <f>IF(ISNA(MATCH(503,'Transfer Engine'!$C$2:$C$630,0)),"",INDEX('Compliance Database'!$M$2:$M$630,MATCH(503,'Transfer Engine'!$C$2:$C$630,0)))</f>
        <v/>
      </c>
      <c r="N512" s="8">
        <f>IF(ISNA(MATCH(503,'Transfer Engine'!$C$2:$C$630,0)),"",INDEX('Compliance Database'!$N$2:$N$630,MATCH(503,'Transfer Engine'!$C$2:$C$630,0)))</f>
        <v/>
      </c>
      <c r="O512" s="8">
        <f>IF(ISNA(MATCH(503,'Transfer Engine'!$C$2:$C$630,0)),"",INDEX('Compliance Database'!$O$2:$O$630,MATCH(503,'Transfer Engine'!$C$2:$C$630,0)))</f>
        <v/>
      </c>
    </row>
    <row r="513">
      <c r="A513">
        <f>IF(ISNA(MATCH(504,'Transfer Engine'!$C$2:$C$630,0)),"",INDEX('Compliance Database'!$A$2:$A$630,MATCH(504,'Transfer Engine'!$C$2:$C$630,0)))</f>
        <v/>
      </c>
      <c r="B513">
        <f>IF(ISNA(MATCH(504,'Transfer Engine'!$C$2:$C$630,0)),"",INDEX('Compliance Database'!$B$2:$B$630,MATCH(504,'Transfer Engine'!$C$2:$C$630,0)))</f>
        <v/>
      </c>
      <c r="C513">
        <f>IF(ISNA(MATCH(504,'Transfer Engine'!$C$2:$C$630,0)),"",INDEX('Compliance Database'!$C$2:$C$630,MATCH(504,'Transfer Engine'!$C$2:$C$630,0)))</f>
        <v/>
      </c>
      <c r="D513" s="8">
        <f>IF(ISNA(MATCH(504,'Transfer Engine'!$C$2:$C$630,0)),"",INDEX('Compliance Database'!$D$2:$D$630,MATCH(504,'Transfer Engine'!$C$2:$C$630,0)))</f>
        <v/>
      </c>
      <c r="E513">
        <f>IF(ISNA(MATCH(504,'Transfer Engine'!$C$2:$C$630,0)),"",INDEX('Compliance Database'!$E$2:$E$630,MATCH(504,'Transfer Engine'!$C$2:$C$630,0)))</f>
        <v/>
      </c>
      <c r="F513">
        <f>IF(ISNA(MATCH(504,'Transfer Engine'!$C$2:$C$630,0)),"",INDEX('Compliance Database'!$F$2:$F$630,MATCH(504,'Transfer Engine'!$C$2:$C$630,0)))</f>
        <v/>
      </c>
      <c r="G513">
        <f>IF(ISNA(MATCH(504,'Transfer Engine'!$C$2:$C$630,0)),"",INDEX('Compliance Database'!$G$2:$G$630,MATCH(504,'Transfer Engine'!$C$2:$C$630,0)))</f>
        <v/>
      </c>
      <c r="H513">
        <f>IF(ISNA(MATCH(504,'Transfer Engine'!$C$2:$C$630,0)),"",INDEX('Compliance Database'!$H$2:$H$630,MATCH(504,'Transfer Engine'!$C$2:$C$630,0)))</f>
        <v/>
      </c>
      <c r="I513" s="8">
        <f>IF(ISNA(MATCH(504,'Transfer Engine'!$C$2:$C$630,0)),"",INDEX('Compliance Database'!$I$2:$I$630,MATCH(504,'Transfer Engine'!$C$2:$C$630,0)))</f>
        <v/>
      </c>
      <c r="J513" s="8">
        <f>IF(ISNA(MATCH(504,'Transfer Engine'!$C$2:$C$630,0)),"",INDEX('Compliance Database'!$J$2:$J$630,MATCH(504,'Transfer Engine'!$C$2:$C$630,0)))</f>
        <v/>
      </c>
      <c r="K513">
        <f>IF(ISNA(MATCH(504,'Transfer Engine'!$C$2:$C$630,0)),"",INDEX('Compliance Database'!$K$2:$K$630,MATCH(504,'Transfer Engine'!$C$2:$C$630,0)))</f>
        <v/>
      </c>
      <c r="L513" s="8">
        <f>IF(ISNA(MATCH(504,'Transfer Engine'!$C$2:$C$630,0)),"",INDEX('Compliance Database'!$L$2:$L$630,MATCH(504,'Transfer Engine'!$C$2:$C$630,0)))</f>
        <v/>
      </c>
      <c r="M513" s="8">
        <f>IF(ISNA(MATCH(504,'Transfer Engine'!$C$2:$C$630,0)),"",INDEX('Compliance Database'!$M$2:$M$630,MATCH(504,'Transfer Engine'!$C$2:$C$630,0)))</f>
        <v/>
      </c>
      <c r="N513" s="8">
        <f>IF(ISNA(MATCH(504,'Transfer Engine'!$C$2:$C$630,0)),"",INDEX('Compliance Database'!$N$2:$N$630,MATCH(504,'Transfer Engine'!$C$2:$C$630,0)))</f>
        <v/>
      </c>
      <c r="O513" s="8">
        <f>IF(ISNA(MATCH(504,'Transfer Engine'!$C$2:$C$630,0)),"",INDEX('Compliance Database'!$O$2:$O$630,MATCH(504,'Transfer Engine'!$C$2:$C$630,0)))</f>
        <v/>
      </c>
    </row>
    <row r="514">
      <c r="A514">
        <f>IF(ISNA(MATCH(505,'Transfer Engine'!$C$2:$C$630,0)),"",INDEX('Compliance Database'!$A$2:$A$630,MATCH(505,'Transfer Engine'!$C$2:$C$630,0)))</f>
        <v/>
      </c>
      <c r="B514">
        <f>IF(ISNA(MATCH(505,'Transfer Engine'!$C$2:$C$630,0)),"",INDEX('Compliance Database'!$B$2:$B$630,MATCH(505,'Transfer Engine'!$C$2:$C$630,0)))</f>
        <v/>
      </c>
      <c r="C514">
        <f>IF(ISNA(MATCH(505,'Transfer Engine'!$C$2:$C$630,0)),"",INDEX('Compliance Database'!$C$2:$C$630,MATCH(505,'Transfer Engine'!$C$2:$C$630,0)))</f>
        <v/>
      </c>
      <c r="D514" s="8">
        <f>IF(ISNA(MATCH(505,'Transfer Engine'!$C$2:$C$630,0)),"",INDEX('Compliance Database'!$D$2:$D$630,MATCH(505,'Transfer Engine'!$C$2:$C$630,0)))</f>
        <v/>
      </c>
      <c r="E514">
        <f>IF(ISNA(MATCH(505,'Transfer Engine'!$C$2:$C$630,0)),"",INDEX('Compliance Database'!$E$2:$E$630,MATCH(505,'Transfer Engine'!$C$2:$C$630,0)))</f>
        <v/>
      </c>
      <c r="F514">
        <f>IF(ISNA(MATCH(505,'Transfer Engine'!$C$2:$C$630,0)),"",INDEX('Compliance Database'!$F$2:$F$630,MATCH(505,'Transfer Engine'!$C$2:$C$630,0)))</f>
        <v/>
      </c>
      <c r="G514">
        <f>IF(ISNA(MATCH(505,'Transfer Engine'!$C$2:$C$630,0)),"",INDEX('Compliance Database'!$G$2:$G$630,MATCH(505,'Transfer Engine'!$C$2:$C$630,0)))</f>
        <v/>
      </c>
      <c r="H514">
        <f>IF(ISNA(MATCH(505,'Transfer Engine'!$C$2:$C$630,0)),"",INDEX('Compliance Database'!$H$2:$H$630,MATCH(505,'Transfer Engine'!$C$2:$C$630,0)))</f>
        <v/>
      </c>
      <c r="I514" s="8">
        <f>IF(ISNA(MATCH(505,'Transfer Engine'!$C$2:$C$630,0)),"",INDEX('Compliance Database'!$I$2:$I$630,MATCH(505,'Transfer Engine'!$C$2:$C$630,0)))</f>
        <v/>
      </c>
      <c r="J514" s="8">
        <f>IF(ISNA(MATCH(505,'Transfer Engine'!$C$2:$C$630,0)),"",INDEX('Compliance Database'!$J$2:$J$630,MATCH(505,'Transfer Engine'!$C$2:$C$630,0)))</f>
        <v/>
      </c>
      <c r="K514">
        <f>IF(ISNA(MATCH(505,'Transfer Engine'!$C$2:$C$630,0)),"",INDEX('Compliance Database'!$K$2:$K$630,MATCH(505,'Transfer Engine'!$C$2:$C$630,0)))</f>
        <v/>
      </c>
      <c r="L514" s="8">
        <f>IF(ISNA(MATCH(505,'Transfer Engine'!$C$2:$C$630,0)),"",INDEX('Compliance Database'!$L$2:$L$630,MATCH(505,'Transfer Engine'!$C$2:$C$630,0)))</f>
        <v/>
      </c>
      <c r="M514" s="8">
        <f>IF(ISNA(MATCH(505,'Transfer Engine'!$C$2:$C$630,0)),"",INDEX('Compliance Database'!$M$2:$M$630,MATCH(505,'Transfer Engine'!$C$2:$C$630,0)))</f>
        <v/>
      </c>
      <c r="N514" s="8">
        <f>IF(ISNA(MATCH(505,'Transfer Engine'!$C$2:$C$630,0)),"",INDEX('Compliance Database'!$N$2:$N$630,MATCH(505,'Transfer Engine'!$C$2:$C$630,0)))</f>
        <v/>
      </c>
      <c r="O514" s="8">
        <f>IF(ISNA(MATCH(505,'Transfer Engine'!$C$2:$C$630,0)),"",INDEX('Compliance Database'!$O$2:$O$630,MATCH(505,'Transfer Engine'!$C$2:$C$630,0)))</f>
        <v/>
      </c>
    </row>
    <row r="515">
      <c r="A515">
        <f>IF(ISNA(MATCH(506,'Transfer Engine'!$C$2:$C$630,0)),"",INDEX('Compliance Database'!$A$2:$A$630,MATCH(506,'Transfer Engine'!$C$2:$C$630,0)))</f>
        <v/>
      </c>
      <c r="B515">
        <f>IF(ISNA(MATCH(506,'Transfer Engine'!$C$2:$C$630,0)),"",INDEX('Compliance Database'!$B$2:$B$630,MATCH(506,'Transfer Engine'!$C$2:$C$630,0)))</f>
        <v/>
      </c>
      <c r="C515">
        <f>IF(ISNA(MATCH(506,'Transfer Engine'!$C$2:$C$630,0)),"",INDEX('Compliance Database'!$C$2:$C$630,MATCH(506,'Transfer Engine'!$C$2:$C$630,0)))</f>
        <v/>
      </c>
      <c r="D515" s="8">
        <f>IF(ISNA(MATCH(506,'Transfer Engine'!$C$2:$C$630,0)),"",INDEX('Compliance Database'!$D$2:$D$630,MATCH(506,'Transfer Engine'!$C$2:$C$630,0)))</f>
        <v/>
      </c>
      <c r="E515">
        <f>IF(ISNA(MATCH(506,'Transfer Engine'!$C$2:$C$630,0)),"",INDEX('Compliance Database'!$E$2:$E$630,MATCH(506,'Transfer Engine'!$C$2:$C$630,0)))</f>
        <v/>
      </c>
      <c r="F515">
        <f>IF(ISNA(MATCH(506,'Transfer Engine'!$C$2:$C$630,0)),"",INDEX('Compliance Database'!$F$2:$F$630,MATCH(506,'Transfer Engine'!$C$2:$C$630,0)))</f>
        <v/>
      </c>
      <c r="G515">
        <f>IF(ISNA(MATCH(506,'Transfer Engine'!$C$2:$C$630,0)),"",INDEX('Compliance Database'!$G$2:$G$630,MATCH(506,'Transfer Engine'!$C$2:$C$630,0)))</f>
        <v/>
      </c>
      <c r="H515">
        <f>IF(ISNA(MATCH(506,'Transfer Engine'!$C$2:$C$630,0)),"",INDEX('Compliance Database'!$H$2:$H$630,MATCH(506,'Transfer Engine'!$C$2:$C$630,0)))</f>
        <v/>
      </c>
      <c r="I515" s="8">
        <f>IF(ISNA(MATCH(506,'Transfer Engine'!$C$2:$C$630,0)),"",INDEX('Compliance Database'!$I$2:$I$630,MATCH(506,'Transfer Engine'!$C$2:$C$630,0)))</f>
        <v/>
      </c>
      <c r="J515" s="8">
        <f>IF(ISNA(MATCH(506,'Transfer Engine'!$C$2:$C$630,0)),"",INDEX('Compliance Database'!$J$2:$J$630,MATCH(506,'Transfer Engine'!$C$2:$C$630,0)))</f>
        <v/>
      </c>
      <c r="K515">
        <f>IF(ISNA(MATCH(506,'Transfer Engine'!$C$2:$C$630,0)),"",INDEX('Compliance Database'!$K$2:$K$630,MATCH(506,'Transfer Engine'!$C$2:$C$630,0)))</f>
        <v/>
      </c>
      <c r="L515" s="8">
        <f>IF(ISNA(MATCH(506,'Transfer Engine'!$C$2:$C$630,0)),"",INDEX('Compliance Database'!$L$2:$L$630,MATCH(506,'Transfer Engine'!$C$2:$C$630,0)))</f>
        <v/>
      </c>
      <c r="M515" s="8">
        <f>IF(ISNA(MATCH(506,'Transfer Engine'!$C$2:$C$630,0)),"",INDEX('Compliance Database'!$M$2:$M$630,MATCH(506,'Transfer Engine'!$C$2:$C$630,0)))</f>
        <v/>
      </c>
      <c r="N515" s="8">
        <f>IF(ISNA(MATCH(506,'Transfer Engine'!$C$2:$C$630,0)),"",INDEX('Compliance Database'!$N$2:$N$630,MATCH(506,'Transfer Engine'!$C$2:$C$630,0)))</f>
        <v/>
      </c>
      <c r="O515" s="8">
        <f>IF(ISNA(MATCH(506,'Transfer Engine'!$C$2:$C$630,0)),"",INDEX('Compliance Database'!$O$2:$O$630,MATCH(506,'Transfer Engine'!$C$2:$C$630,0)))</f>
        <v/>
      </c>
    </row>
    <row r="516">
      <c r="A516">
        <f>IF(ISNA(MATCH(507,'Transfer Engine'!$C$2:$C$630,0)),"",INDEX('Compliance Database'!$A$2:$A$630,MATCH(507,'Transfer Engine'!$C$2:$C$630,0)))</f>
        <v/>
      </c>
      <c r="B516">
        <f>IF(ISNA(MATCH(507,'Transfer Engine'!$C$2:$C$630,0)),"",INDEX('Compliance Database'!$B$2:$B$630,MATCH(507,'Transfer Engine'!$C$2:$C$630,0)))</f>
        <v/>
      </c>
      <c r="C516">
        <f>IF(ISNA(MATCH(507,'Transfer Engine'!$C$2:$C$630,0)),"",INDEX('Compliance Database'!$C$2:$C$630,MATCH(507,'Transfer Engine'!$C$2:$C$630,0)))</f>
        <v/>
      </c>
      <c r="D516" s="8">
        <f>IF(ISNA(MATCH(507,'Transfer Engine'!$C$2:$C$630,0)),"",INDEX('Compliance Database'!$D$2:$D$630,MATCH(507,'Transfer Engine'!$C$2:$C$630,0)))</f>
        <v/>
      </c>
      <c r="E516">
        <f>IF(ISNA(MATCH(507,'Transfer Engine'!$C$2:$C$630,0)),"",INDEX('Compliance Database'!$E$2:$E$630,MATCH(507,'Transfer Engine'!$C$2:$C$630,0)))</f>
        <v/>
      </c>
      <c r="F516">
        <f>IF(ISNA(MATCH(507,'Transfer Engine'!$C$2:$C$630,0)),"",INDEX('Compliance Database'!$F$2:$F$630,MATCH(507,'Transfer Engine'!$C$2:$C$630,0)))</f>
        <v/>
      </c>
      <c r="G516">
        <f>IF(ISNA(MATCH(507,'Transfer Engine'!$C$2:$C$630,0)),"",INDEX('Compliance Database'!$G$2:$G$630,MATCH(507,'Transfer Engine'!$C$2:$C$630,0)))</f>
        <v/>
      </c>
      <c r="H516">
        <f>IF(ISNA(MATCH(507,'Transfer Engine'!$C$2:$C$630,0)),"",INDEX('Compliance Database'!$H$2:$H$630,MATCH(507,'Transfer Engine'!$C$2:$C$630,0)))</f>
        <v/>
      </c>
      <c r="I516" s="8">
        <f>IF(ISNA(MATCH(507,'Transfer Engine'!$C$2:$C$630,0)),"",INDEX('Compliance Database'!$I$2:$I$630,MATCH(507,'Transfer Engine'!$C$2:$C$630,0)))</f>
        <v/>
      </c>
      <c r="J516" s="8">
        <f>IF(ISNA(MATCH(507,'Transfer Engine'!$C$2:$C$630,0)),"",INDEX('Compliance Database'!$J$2:$J$630,MATCH(507,'Transfer Engine'!$C$2:$C$630,0)))</f>
        <v/>
      </c>
      <c r="K516">
        <f>IF(ISNA(MATCH(507,'Transfer Engine'!$C$2:$C$630,0)),"",INDEX('Compliance Database'!$K$2:$K$630,MATCH(507,'Transfer Engine'!$C$2:$C$630,0)))</f>
        <v/>
      </c>
      <c r="L516" s="8">
        <f>IF(ISNA(MATCH(507,'Transfer Engine'!$C$2:$C$630,0)),"",INDEX('Compliance Database'!$L$2:$L$630,MATCH(507,'Transfer Engine'!$C$2:$C$630,0)))</f>
        <v/>
      </c>
      <c r="M516" s="8">
        <f>IF(ISNA(MATCH(507,'Transfer Engine'!$C$2:$C$630,0)),"",INDEX('Compliance Database'!$M$2:$M$630,MATCH(507,'Transfer Engine'!$C$2:$C$630,0)))</f>
        <v/>
      </c>
      <c r="N516" s="8">
        <f>IF(ISNA(MATCH(507,'Transfer Engine'!$C$2:$C$630,0)),"",INDEX('Compliance Database'!$N$2:$N$630,MATCH(507,'Transfer Engine'!$C$2:$C$630,0)))</f>
        <v/>
      </c>
      <c r="O516" s="8">
        <f>IF(ISNA(MATCH(507,'Transfer Engine'!$C$2:$C$630,0)),"",INDEX('Compliance Database'!$O$2:$O$630,MATCH(507,'Transfer Engine'!$C$2:$C$630,0)))</f>
        <v/>
      </c>
    </row>
    <row r="517">
      <c r="A517">
        <f>IF(ISNA(MATCH(508,'Transfer Engine'!$C$2:$C$630,0)),"",INDEX('Compliance Database'!$A$2:$A$630,MATCH(508,'Transfer Engine'!$C$2:$C$630,0)))</f>
        <v/>
      </c>
      <c r="B517">
        <f>IF(ISNA(MATCH(508,'Transfer Engine'!$C$2:$C$630,0)),"",INDEX('Compliance Database'!$B$2:$B$630,MATCH(508,'Transfer Engine'!$C$2:$C$630,0)))</f>
        <v/>
      </c>
      <c r="C517">
        <f>IF(ISNA(MATCH(508,'Transfer Engine'!$C$2:$C$630,0)),"",INDEX('Compliance Database'!$C$2:$C$630,MATCH(508,'Transfer Engine'!$C$2:$C$630,0)))</f>
        <v/>
      </c>
      <c r="D517" s="8">
        <f>IF(ISNA(MATCH(508,'Transfer Engine'!$C$2:$C$630,0)),"",INDEX('Compliance Database'!$D$2:$D$630,MATCH(508,'Transfer Engine'!$C$2:$C$630,0)))</f>
        <v/>
      </c>
      <c r="E517">
        <f>IF(ISNA(MATCH(508,'Transfer Engine'!$C$2:$C$630,0)),"",INDEX('Compliance Database'!$E$2:$E$630,MATCH(508,'Transfer Engine'!$C$2:$C$630,0)))</f>
        <v/>
      </c>
      <c r="F517">
        <f>IF(ISNA(MATCH(508,'Transfer Engine'!$C$2:$C$630,0)),"",INDEX('Compliance Database'!$F$2:$F$630,MATCH(508,'Transfer Engine'!$C$2:$C$630,0)))</f>
        <v/>
      </c>
      <c r="G517">
        <f>IF(ISNA(MATCH(508,'Transfer Engine'!$C$2:$C$630,0)),"",INDEX('Compliance Database'!$G$2:$G$630,MATCH(508,'Transfer Engine'!$C$2:$C$630,0)))</f>
        <v/>
      </c>
      <c r="H517">
        <f>IF(ISNA(MATCH(508,'Transfer Engine'!$C$2:$C$630,0)),"",INDEX('Compliance Database'!$H$2:$H$630,MATCH(508,'Transfer Engine'!$C$2:$C$630,0)))</f>
        <v/>
      </c>
      <c r="I517" s="8">
        <f>IF(ISNA(MATCH(508,'Transfer Engine'!$C$2:$C$630,0)),"",INDEX('Compliance Database'!$I$2:$I$630,MATCH(508,'Transfer Engine'!$C$2:$C$630,0)))</f>
        <v/>
      </c>
      <c r="J517" s="8">
        <f>IF(ISNA(MATCH(508,'Transfer Engine'!$C$2:$C$630,0)),"",INDEX('Compliance Database'!$J$2:$J$630,MATCH(508,'Transfer Engine'!$C$2:$C$630,0)))</f>
        <v/>
      </c>
      <c r="K517">
        <f>IF(ISNA(MATCH(508,'Transfer Engine'!$C$2:$C$630,0)),"",INDEX('Compliance Database'!$K$2:$K$630,MATCH(508,'Transfer Engine'!$C$2:$C$630,0)))</f>
        <v/>
      </c>
      <c r="L517" s="8">
        <f>IF(ISNA(MATCH(508,'Transfer Engine'!$C$2:$C$630,0)),"",INDEX('Compliance Database'!$L$2:$L$630,MATCH(508,'Transfer Engine'!$C$2:$C$630,0)))</f>
        <v/>
      </c>
      <c r="M517" s="8">
        <f>IF(ISNA(MATCH(508,'Transfer Engine'!$C$2:$C$630,0)),"",INDEX('Compliance Database'!$M$2:$M$630,MATCH(508,'Transfer Engine'!$C$2:$C$630,0)))</f>
        <v/>
      </c>
      <c r="N517" s="8">
        <f>IF(ISNA(MATCH(508,'Transfer Engine'!$C$2:$C$630,0)),"",INDEX('Compliance Database'!$N$2:$N$630,MATCH(508,'Transfer Engine'!$C$2:$C$630,0)))</f>
        <v/>
      </c>
      <c r="O517" s="8">
        <f>IF(ISNA(MATCH(508,'Transfer Engine'!$C$2:$C$630,0)),"",INDEX('Compliance Database'!$O$2:$O$630,MATCH(508,'Transfer Engine'!$C$2:$C$630,0)))</f>
        <v/>
      </c>
    </row>
    <row r="518">
      <c r="A518">
        <f>IF(ISNA(MATCH(509,'Transfer Engine'!$C$2:$C$630,0)),"",INDEX('Compliance Database'!$A$2:$A$630,MATCH(509,'Transfer Engine'!$C$2:$C$630,0)))</f>
        <v/>
      </c>
      <c r="B518">
        <f>IF(ISNA(MATCH(509,'Transfer Engine'!$C$2:$C$630,0)),"",INDEX('Compliance Database'!$B$2:$B$630,MATCH(509,'Transfer Engine'!$C$2:$C$630,0)))</f>
        <v/>
      </c>
      <c r="C518">
        <f>IF(ISNA(MATCH(509,'Transfer Engine'!$C$2:$C$630,0)),"",INDEX('Compliance Database'!$C$2:$C$630,MATCH(509,'Transfer Engine'!$C$2:$C$630,0)))</f>
        <v/>
      </c>
      <c r="D518" s="8">
        <f>IF(ISNA(MATCH(509,'Transfer Engine'!$C$2:$C$630,0)),"",INDEX('Compliance Database'!$D$2:$D$630,MATCH(509,'Transfer Engine'!$C$2:$C$630,0)))</f>
        <v/>
      </c>
      <c r="E518">
        <f>IF(ISNA(MATCH(509,'Transfer Engine'!$C$2:$C$630,0)),"",INDEX('Compliance Database'!$E$2:$E$630,MATCH(509,'Transfer Engine'!$C$2:$C$630,0)))</f>
        <v/>
      </c>
      <c r="F518">
        <f>IF(ISNA(MATCH(509,'Transfer Engine'!$C$2:$C$630,0)),"",INDEX('Compliance Database'!$F$2:$F$630,MATCH(509,'Transfer Engine'!$C$2:$C$630,0)))</f>
        <v/>
      </c>
      <c r="G518">
        <f>IF(ISNA(MATCH(509,'Transfer Engine'!$C$2:$C$630,0)),"",INDEX('Compliance Database'!$G$2:$G$630,MATCH(509,'Transfer Engine'!$C$2:$C$630,0)))</f>
        <v/>
      </c>
      <c r="H518">
        <f>IF(ISNA(MATCH(509,'Transfer Engine'!$C$2:$C$630,0)),"",INDEX('Compliance Database'!$H$2:$H$630,MATCH(509,'Transfer Engine'!$C$2:$C$630,0)))</f>
        <v/>
      </c>
      <c r="I518" s="8">
        <f>IF(ISNA(MATCH(509,'Transfer Engine'!$C$2:$C$630,0)),"",INDEX('Compliance Database'!$I$2:$I$630,MATCH(509,'Transfer Engine'!$C$2:$C$630,0)))</f>
        <v/>
      </c>
      <c r="J518" s="8">
        <f>IF(ISNA(MATCH(509,'Transfer Engine'!$C$2:$C$630,0)),"",INDEX('Compliance Database'!$J$2:$J$630,MATCH(509,'Transfer Engine'!$C$2:$C$630,0)))</f>
        <v/>
      </c>
      <c r="K518">
        <f>IF(ISNA(MATCH(509,'Transfer Engine'!$C$2:$C$630,0)),"",INDEX('Compliance Database'!$K$2:$K$630,MATCH(509,'Transfer Engine'!$C$2:$C$630,0)))</f>
        <v/>
      </c>
      <c r="L518" s="8">
        <f>IF(ISNA(MATCH(509,'Transfer Engine'!$C$2:$C$630,0)),"",INDEX('Compliance Database'!$L$2:$L$630,MATCH(509,'Transfer Engine'!$C$2:$C$630,0)))</f>
        <v/>
      </c>
      <c r="M518" s="8">
        <f>IF(ISNA(MATCH(509,'Transfer Engine'!$C$2:$C$630,0)),"",INDEX('Compliance Database'!$M$2:$M$630,MATCH(509,'Transfer Engine'!$C$2:$C$630,0)))</f>
        <v/>
      </c>
      <c r="N518" s="8">
        <f>IF(ISNA(MATCH(509,'Transfer Engine'!$C$2:$C$630,0)),"",INDEX('Compliance Database'!$N$2:$N$630,MATCH(509,'Transfer Engine'!$C$2:$C$630,0)))</f>
        <v/>
      </c>
      <c r="O518" s="8">
        <f>IF(ISNA(MATCH(509,'Transfer Engine'!$C$2:$C$630,0)),"",INDEX('Compliance Database'!$O$2:$O$630,MATCH(509,'Transfer Engine'!$C$2:$C$630,0)))</f>
        <v/>
      </c>
    </row>
    <row r="519">
      <c r="A519">
        <f>IF(ISNA(MATCH(510,'Transfer Engine'!$C$2:$C$630,0)),"",INDEX('Compliance Database'!$A$2:$A$630,MATCH(510,'Transfer Engine'!$C$2:$C$630,0)))</f>
        <v/>
      </c>
      <c r="B519">
        <f>IF(ISNA(MATCH(510,'Transfer Engine'!$C$2:$C$630,0)),"",INDEX('Compliance Database'!$B$2:$B$630,MATCH(510,'Transfer Engine'!$C$2:$C$630,0)))</f>
        <v/>
      </c>
      <c r="C519">
        <f>IF(ISNA(MATCH(510,'Transfer Engine'!$C$2:$C$630,0)),"",INDEX('Compliance Database'!$C$2:$C$630,MATCH(510,'Transfer Engine'!$C$2:$C$630,0)))</f>
        <v/>
      </c>
      <c r="D519" s="8">
        <f>IF(ISNA(MATCH(510,'Transfer Engine'!$C$2:$C$630,0)),"",INDEX('Compliance Database'!$D$2:$D$630,MATCH(510,'Transfer Engine'!$C$2:$C$630,0)))</f>
        <v/>
      </c>
      <c r="E519">
        <f>IF(ISNA(MATCH(510,'Transfer Engine'!$C$2:$C$630,0)),"",INDEX('Compliance Database'!$E$2:$E$630,MATCH(510,'Transfer Engine'!$C$2:$C$630,0)))</f>
        <v/>
      </c>
      <c r="F519">
        <f>IF(ISNA(MATCH(510,'Transfer Engine'!$C$2:$C$630,0)),"",INDEX('Compliance Database'!$F$2:$F$630,MATCH(510,'Transfer Engine'!$C$2:$C$630,0)))</f>
        <v/>
      </c>
      <c r="G519">
        <f>IF(ISNA(MATCH(510,'Transfer Engine'!$C$2:$C$630,0)),"",INDEX('Compliance Database'!$G$2:$G$630,MATCH(510,'Transfer Engine'!$C$2:$C$630,0)))</f>
        <v/>
      </c>
      <c r="H519">
        <f>IF(ISNA(MATCH(510,'Transfer Engine'!$C$2:$C$630,0)),"",INDEX('Compliance Database'!$H$2:$H$630,MATCH(510,'Transfer Engine'!$C$2:$C$630,0)))</f>
        <v/>
      </c>
      <c r="I519" s="8">
        <f>IF(ISNA(MATCH(510,'Transfer Engine'!$C$2:$C$630,0)),"",INDEX('Compliance Database'!$I$2:$I$630,MATCH(510,'Transfer Engine'!$C$2:$C$630,0)))</f>
        <v/>
      </c>
      <c r="J519" s="8">
        <f>IF(ISNA(MATCH(510,'Transfer Engine'!$C$2:$C$630,0)),"",INDEX('Compliance Database'!$J$2:$J$630,MATCH(510,'Transfer Engine'!$C$2:$C$630,0)))</f>
        <v/>
      </c>
      <c r="K519">
        <f>IF(ISNA(MATCH(510,'Transfer Engine'!$C$2:$C$630,0)),"",INDEX('Compliance Database'!$K$2:$K$630,MATCH(510,'Transfer Engine'!$C$2:$C$630,0)))</f>
        <v/>
      </c>
      <c r="L519" s="8">
        <f>IF(ISNA(MATCH(510,'Transfer Engine'!$C$2:$C$630,0)),"",INDEX('Compliance Database'!$L$2:$L$630,MATCH(510,'Transfer Engine'!$C$2:$C$630,0)))</f>
        <v/>
      </c>
      <c r="M519" s="8">
        <f>IF(ISNA(MATCH(510,'Transfer Engine'!$C$2:$C$630,0)),"",INDEX('Compliance Database'!$M$2:$M$630,MATCH(510,'Transfer Engine'!$C$2:$C$630,0)))</f>
        <v/>
      </c>
      <c r="N519" s="8">
        <f>IF(ISNA(MATCH(510,'Transfer Engine'!$C$2:$C$630,0)),"",INDEX('Compliance Database'!$N$2:$N$630,MATCH(510,'Transfer Engine'!$C$2:$C$630,0)))</f>
        <v/>
      </c>
      <c r="O519" s="8">
        <f>IF(ISNA(MATCH(510,'Transfer Engine'!$C$2:$C$630,0)),"",INDEX('Compliance Database'!$O$2:$O$630,MATCH(510,'Transfer Engine'!$C$2:$C$630,0)))</f>
        <v/>
      </c>
    </row>
    <row r="520">
      <c r="A520">
        <f>IF(ISNA(MATCH(511,'Transfer Engine'!$C$2:$C$630,0)),"",INDEX('Compliance Database'!$A$2:$A$630,MATCH(511,'Transfer Engine'!$C$2:$C$630,0)))</f>
        <v/>
      </c>
      <c r="B520">
        <f>IF(ISNA(MATCH(511,'Transfer Engine'!$C$2:$C$630,0)),"",INDEX('Compliance Database'!$B$2:$B$630,MATCH(511,'Transfer Engine'!$C$2:$C$630,0)))</f>
        <v/>
      </c>
      <c r="C520">
        <f>IF(ISNA(MATCH(511,'Transfer Engine'!$C$2:$C$630,0)),"",INDEX('Compliance Database'!$C$2:$C$630,MATCH(511,'Transfer Engine'!$C$2:$C$630,0)))</f>
        <v/>
      </c>
      <c r="D520" s="8">
        <f>IF(ISNA(MATCH(511,'Transfer Engine'!$C$2:$C$630,0)),"",INDEX('Compliance Database'!$D$2:$D$630,MATCH(511,'Transfer Engine'!$C$2:$C$630,0)))</f>
        <v/>
      </c>
      <c r="E520">
        <f>IF(ISNA(MATCH(511,'Transfer Engine'!$C$2:$C$630,0)),"",INDEX('Compliance Database'!$E$2:$E$630,MATCH(511,'Transfer Engine'!$C$2:$C$630,0)))</f>
        <v/>
      </c>
      <c r="F520">
        <f>IF(ISNA(MATCH(511,'Transfer Engine'!$C$2:$C$630,0)),"",INDEX('Compliance Database'!$F$2:$F$630,MATCH(511,'Transfer Engine'!$C$2:$C$630,0)))</f>
        <v/>
      </c>
      <c r="G520">
        <f>IF(ISNA(MATCH(511,'Transfer Engine'!$C$2:$C$630,0)),"",INDEX('Compliance Database'!$G$2:$G$630,MATCH(511,'Transfer Engine'!$C$2:$C$630,0)))</f>
        <v/>
      </c>
      <c r="H520">
        <f>IF(ISNA(MATCH(511,'Transfer Engine'!$C$2:$C$630,0)),"",INDEX('Compliance Database'!$H$2:$H$630,MATCH(511,'Transfer Engine'!$C$2:$C$630,0)))</f>
        <v/>
      </c>
      <c r="I520" s="8">
        <f>IF(ISNA(MATCH(511,'Transfer Engine'!$C$2:$C$630,0)),"",INDEX('Compliance Database'!$I$2:$I$630,MATCH(511,'Transfer Engine'!$C$2:$C$630,0)))</f>
        <v/>
      </c>
      <c r="J520" s="8">
        <f>IF(ISNA(MATCH(511,'Transfer Engine'!$C$2:$C$630,0)),"",INDEX('Compliance Database'!$J$2:$J$630,MATCH(511,'Transfer Engine'!$C$2:$C$630,0)))</f>
        <v/>
      </c>
      <c r="K520">
        <f>IF(ISNA(MATCH(511,'Transfer Engine'!$C$2:$C$630,0)),"",INDEX('Compliance Database'!$K$2:$K$630,MATCH(511,'Transfer Engine'!$C$2:$C$630,0)))</f>
        <v/>
      </c>
      <c r="L520" s="8">
        <f>IF(ISNA(MATCH(511,'Transfer Engine'!$C$2:$C$630,0)),"",INDEX('Compliance Database'!$L$2:$L$630,MATCH(511,'Transfer Engine'!$C$2:$C$630,0)))</f>
        <v/>
      </c>
      <c r="M520" s="8">
        <f>IF(ISNA(MATCH(511,'Transfer Engine'!$C$2:$C$630,0)),"",INDEX('Compliance Database'!$M$2:$M$630,MATCH(511,'Transfer Engine'!$C$2:$C$630,0)))</f>
        <v/>
      </c>
      <c r="N520" s="8">
        <f>IF(ISNA(MATCH(511,'Transfer Engine'!$C$2:$C$630,0)),"",INDEX('Compliance Database'!$N$2:$N$630,MATCH(511,'Transfer Engine'!$C$2:$C$630,0)))</f>
        <v/>
      </c>
      <c r="O520" s="8">
        <f>IF(ISNA(MATCH(511,'Transfer Engine'!$C$2:$C$630,0)),"",INDEX('Compliance Database'!$O$2:$O$630,MATCH(511,'Transfer Engine'!$C$2:$C$630,0)))</f>
        <v/>
      </c>
    </row>
    <row r="521">
      <c r="A521">
        <f>IF(ISNA(MATCH(512,'Transfer Engine'!$C$2:$C$630,0)),"",INDEX('Compliance Database'!$A$2:$A$630,MATCH(512,'Transfer Engine'!$C$2:$C$630,0)))</f>
        <v/>
      </c>
      <c r="B521">
        <f>IF(ISNA(MATCH(512,'Transfer Engine'!$C$2:$C$630,0)),"",INDEX('Compliance Database'!$B$2:$B$630,MATCH(512,'Transfer Engine'!$C$2:$C$630,0)))</f>
        <v/>
      </c>
      <c r="C521">
        <f>IF(ISNA(MATCH(512,'Transfer Engine'!$C$2:$C$630,0)),"",INDEX('Compliance Database'!$C$2:$C$630,MATCH(512,'Transfer Engine'!$C$2:$C$630,0)))</f>
        <v/>
      </c>
      <c r="D521" s="8">
        <f>IF(ISNA(MATCH(512,'Transfer Engine'!$C$2:$C$630,0)),"",INDEX('Compliance Database'!$D$2:$D$630,MATCH(512,'Transfer Engine'!$C$2:$C$630,0)))</f>
        <v/>
      </c>
      <c r="E521">
        <f>IF(ISNA(MATCH(512,'Transfer Engine'!$C$2:$C$630,0)),"",INDEX('Compliance Database'!$E$2:$E$630,MATCH(512,'Transfer Engine'!$C$2:$C$630,0)))</f>
        <v/>
      </c>
      <c r="F521">
        <f>IF(ISNA(MATCH(512,'Transfer Engine'!$C$2:$C$630,0)),"",INDEX('Compliance Database'!$F$2:$F$630,MATCH(512,'Transfer Engine'!$C$2:$C$630,0)))</f>
        <v/>
      </c>
      <c r="G521">
        <f>IF(ISNA(MATCH(512,'Transfer Engine'!$C$2:$C$630,0)),"",INDEX('Compliance Database'!$G$2:$G$630,MATCH(512,'Transfer Engine'!$C$2:$C$630,0)))</f>
        <v/>
      </c>
      <c r="H521">
        <f>IF(ISNA(MATCH(512,'Transfer Engine'!$C$2:$C$630,0)),"",INDEX('Compliance Database'!$H$2:$H$630,MATCH(512,'Transfer Engine'!$C$2:$C$630,0)))</f>
        <v/>
      </c>
      <c r="I521" s="8">
        <f>IF(ISNA(MATCH(512,'Transfer Engine'!$C$2:$C$630,0)),"",INDEX('Compliance Database'!$I$2:$I$630,MATCH(512,'Transfer Engine'!$C$2:$C$630,0)))</f>
        <v/>
      </c>
      <c r="J521" s="8">
        <f>IF(ISNA(MATCH(512,'Transfer Engine'!$C$2:$C$630,0)),"",INDEX('Compliance Database'!$J$2:$J$630,MATCH(512,'Transfer Engine'!$C$2:$C$630,0)))</f>
        <v/>
      </c>
      <c r="K521">
        <f>IF(ISNA(MATCH(512,'Transfer Engine'!$C$2:$C$630,0)),"",INDEX('Compliance Database'!$K$2:$K$630,MATCH(512,'Transfer Engine'!$C$2:$C$630,0)))</f>
        <v/>
      </c>
      <c r="L521" s="8">
        <f>IF(ISNA(MATCH(512,'Transfer Engine'!$C$2:$C$630,0)),"",INDEX('Compliance Database'!$L$2:$L$630,MATCH(512,'Transfer Engine'!$C$2:$C$630,0)))</f>
        <v/>
      </c>
      <c r="M521" s="8">
        <f>IF(ISNA(MATCH(512,'Transfer Engine'!$C$2:$C$630,0)),"",INDEX('Compliance Database'!$M$2:$M$630,MATCH(512,'Transfer Engine'!$C$2:$C$630,0)))</f>
        <v/>
      </c>
      <c r="N521" s="8">
        <f>IF(ISNA(MATCH(512,'Transfer Engine'!$C$2:$C$630,0)),"",INDEX('Compliance Database'!$N$2:$N$630,MATCH(512,'Transfer Engine'!$C$2:$C$630,0)))</f>
        <v/>
      </c>
      <c r="O521" s="8">
        <f>IF(ISNA(MATCH(512,'Transfer Engine'!$C$2:$C$630,0)),"",INDEX('Compliance Database'!$O$2:$O$630,MATCH(512,'Transfer Engine'!$C$2:$C$630,0)))</f>
        <v/>
      </c>
    </row>
    <row r="522">
      <c r="A522">
        <f>IF(ISNA(MATCH(513,'Transfer Engine'!$C$2:$C$630,0)),"",INDEX('Compliance Database'!$A$2:$A$630,MATCH(513,'Transfer Engine'!$C$2:$C$630,0)))</f>
        <v/>
      </c>
      <c r="B522">
        <f>IF(ISNA(MATCH(513,'Transfer Engine'!$C$2:$C$630,0)),"",INDEX('Compliance Database'!$B$2:$B$630,MATCH(513,'Transfer Engine'!$C$2:$C$630,0)))</f>
        <v/>
      </c>
      <c r="C522">
        <f>IF(ISNA(MATCH(513,'Transfer Engine'!$C$2:$C$630,0)),"",INDEX('Compliance Database'!$C$2:$C$630,MATCH(513,'Transfer Engine'!$C$2:$C$630,0)))</f>
        <v/>
      </c>
      <c r="D522" s="8">
        <f>IF(ISNA(MATCH(513,'Transfer Engine'!$C$2:$C$630,0)),"",INDEX('Compliance Database'!$D$2:$D$630,MATCH(513,'Transfer Engine'!$C$2:$C$630,0)))</f>
        <v/>
      </c>
      <c r="E522">
        <f>IF(ISNA(MATCH(513,'Transfer Engine'!$C$2:$C$630,0)),"",INDEX('Compliance Database'!$E$2:$E$630,MATCH(513,'Transfer Engine'!$C$2:$C$630,0)))</f>
        <v/>
      </c>
      <c r="F522">
        <f>IF(ISNA(MATCH(513,'Transfer Engine'!$C$2:$C$630,0)),"",INDEX('Compliance Database'!$F$2:$F$630,MATCH(513,'Transfer Engine'!$C$2:$C$630,0)))</f>
        <v/>
      </c>
      <c r="G522">
        <f>IF(ISNA(MATCH(513,'Transfer Engine'!$C$2:$C$630,0)),"",INDEX('Compliance Database'!$G$2:$G$630,MATCH(513,'Transfer Engine'!$C$2:$C$630,0)))</f>
        <v/>
      </c>
      <c r="H522">
        <f>IF(ISNA(MATCH(513,'Transfer Engine'!$C$2:$C$630,0)),"",INDEX('Compliance Database'!$H$2:$H$630,MATCH(513,'Transfer Engine'!$C$2:$C$630,0)))</f>
        <v/>
      </c>
      <c r="I522" s="8">
        <f>IF(ISNA(MATCH(513,'Transfer Engine'!$C$2:$C$630,0)),"",INDEX('Compliance Database'!$I$2:$I$630,MATCH(513,'Transfer Engine'!$C$2:$C$630,0)))</f>
        <v/>
      </c>
      <c r="J522" s="8">
        <f>IF(ISNA(MATCH(513,'Transfer Engine'!$C$2:$C$630,0)),"",INDEX('Compliance Database'!$J$2:$J$630,MATCH(513,'Transfer Engine'!$C$2:$C$630,0)))</f>
        <v/>
      </c>
      <c r="K522">
        <f>IF(ISNA(MATCH(513,'Transfer Engine'!$C$2:$C$630,0)),"",INDEX('Compliance Database'!$K$2:$K$630,MATCH(513,'Transfer Engine'!$C$2:$C$630,0)))</f>
        <v/>
      </c>
      <c r="L522" s="8">
        <f>IF(ISNA(MATCH(513,'Transfer Engine'!$C$2:$C$630,0)),"",INDEX('Compliance Database'!$L$2:$L$630,MATCH(513,'Transfer Engine'!$C$2:$C$630,0)))</f>
        <v/>
      </c>
      <c r="M522" s="8">
        <f>IF(ISNA(MATCH(513,'Transfer Engine'!$C$2:$C$630,0)),"",INDEX('Compliance Database'!$M$2:$M$630,MATCH(513,'Transfer Engine'!$C$2:$C$630,0)))</f>
        <v/>
      </c>
      <c r="N522" s="8">
        <f>IF(ISNA(MATCH(513,'Transfer Engine'!$C$2:$C$630,0)),"",INDEX('Compliance Database'!$N$2:$N$630,MATCH(513,'Transfer Engine'!$C$2:$C$630,0)))</f>
        <v/>
      </c>
      <c r="O522" s="8">
        <f>IF(ISNA(MATCH(513,'Transfer Engine'!$C$2:$C$630,0)),"",INDEX('Compliance Database'!$O$2:$O$630,MATCH(513,'Transfer Engine'!$C$2:$C$630,0)))</f>
        <v/>
      </c>
    </row>
    <row r="523">
      <c r="A523">
        <f>IF(ISNA(MATCH(514,'Transfer Engine'!$C$2:$C$630,0)),"",INDEX('Compliance Database'!$A$2:$A$630,MATCH(514,'Transfer Engine'!$C$2:$C$630,0)))</f>
        <v/>
      </c>
      <c r="B523">
        <f>IF(ISNA(MATCH(514,'Transfer Engine'!$C$2:$C$630,0)),"",INDEX('Compliance Database'!$B$2:$B$630,MATCH(514,'Transfer Engine'!$C$2:$C$630,0)))</f>
        <v/>
      </c>
      <c r="C523">
        <f>IF(ISNA(MATCH(514,'Transfer Engine'!$C$2:$C$630,0)),"",INDEX('Compliance Database'!$C$2:$C$630,MATCH(514,'Transfer Engine'!$C$2:$C$630,0)))</f>
        <v/>
      </c>
      <c r="D523" s="8">
        <f>IF(ISNA(MATCH(514,'Transfer Engine'!$C$2:$C$630,0)),"",INDEX('Compliance Database'!$D$2:$D$630,MATCH(514,'Transfer Engine'!$C$2:$C$630,0)))</f>
        <v/>
      </c>
      <c r="E523">
        <f>IF(ISNA(MATCH(514,'Transfer Engine'!$C$2:$C$630,0)),"",INDEX('Compliance Database'!$E$2:$E$630,MATCH(514,'Transfer Engine'!$C$2:$C$630,0)))</f>
        <v/>
      </c>
      <c r="F523">
        <f>IF(ISNA(MATCH(514,'Transfer Engine'!$C$2:$C$630,0)),"",INDEX('Compliance Database'!$F$2:$F$630,MATCH(514,'Transfer Engine'!$C$2:$C$630,0)))</f>
        <v/>
      </c>
      <c r="G523">
        <f>IF(ISNA(MATCH(514,'Transfer Engine'!$C$2:$C$630,0)),"",INDEX('Compliance Database'!$G$2:$G$630,MATCH(514,'Transfer Engine'!$C$2:$C$630,0)))</f>
        <v/>
      </c>
      <c r="H523">
        <f>IF(ISNA(MATCH(514,'Transfer Engine'!$C$2:$C$630,0)),"",INDEX('Compliance Database'!$H$2:$H$630,MATCH(514,'Transfer Engine'!$C$2:$C$630,0)))</f>
        <v/>
      </c>
      <c r="I523" s="8">
        <f>IF(ISNA(MATCH(514,'Transfer Engine'!$C$2:$C$630,0)),"",INDEX('Compliance Database'!$I$2:$I$630,MATCH(514,'Transfer Engine'!$C$2:$C$630,0)))</f>
        <v/>
      </c>
      <c r="J523" s="8">
        <f>IF(ISNA(MATCH(514,'Transfer Engine'!$C$2:$C$630,0)),"",INDEX('Compliance Database'!$J$2:$J$630,MATCH(514,'Transfer Engine'!$C$2:$C$630,0)))</f>
        <v/>
      </c>
      <c r="K523">
        <f>IF(ISNA(MATCH(514,'Transfer Engine'!$C$2:$C$630,0)),"",INDEX('Compliance Database'!$K$2:$K$630,MATCH(514,'Transfer Engine'!$C$2:$C$630,0)))</f>
        <v/>
      </c>
      <c r="L523" s="8">
        <f>IF(ISNA(MATCH(514,'Transfer Engine'!$C$2:$C$630,0)),"",INDEX('Compliance Database'!$L$2:$L$630,MATCH(514,'Transfer Engine'!$C$2:$C$630,0)))</f>
        <v/>
      </c>
      <c r="M523" s="8">
        <f>IF(ISNA(MATCH(514,'Transfer Engine'!$C$2:$C$630,0)),"",INDEX('Compliance Database'!$M$2:$M$630,MATCH(514,'Transfer Engine'!$C$2:$C$630,0)))</f>
        <v/>
      </c>
      <c r="N523" s="8">
        <f>IF(ISNA(MATCH(514,'Transfer Engine'!$C$2:$C$630,0)),"",INDEX('Compliance Database'!$N$2:$N$630,MATCH(514,'Transfer Engine'!$C$2:$C$630,0)))</f>
        <v/>
      </c>
      <c r="O523" s="8">
        <f>IF(ISNA(MATCH(514,'Transfer Engine'!$C$2:$C$630,0)),"",INDEX('Compliance Database'!$O$2:$O$630,MATCH(514,'Transfer Engine'!$C$2:$C$630,0)))</f>
        <v/>
      </c>
    </row>
    <row r="524">
      <c r="A524">
        <f>IF(ISNA(MATCH(515,'Transfer Engine'!$C$2:$C$630,0)),"",INDEX('Compliance Database'!$A$2:$A$630,MATCH(515,'Transfer Engine'!$C$2:$C$630,0)))</f>
        <v/>
      </c>
      <c r="B524">
        <f>IF(ISNA(MATCH(515,'Transfer Engine'!$C$2:$C$630,0)),"",INDEX('Compliance Database'!$B$2:$B$630,MATCH(515,'Transfer Engine'!$C$2:$C$630,0)))</f>
        <v/>
      </c>
      <c r="C524">
        <f>IF(ISNA(MATCH(515,'Transfer Engine'!$C$2:$C$630,0)),"",INDEX('Compliance Database'!$C$2:$C$630,MATCH(515,'Transfer Engine'!$C$2:$C$630,0)))</f>
        <v/>
      </c>
      <c r="D524" s="8">
        <f>IF(ISNA(MATCH(515,'Transfer Engine'!$C$2:$C$630,0)),"",INDEX('Compliance Database'!$D$2:$D$630,MATCH(515,'Transfer Engine'!$C$2:$C$630,0)))</f>
        <v/>
      </c>
      <c r="E524">
        <f>IF(ISNA(MATCH(515,'Transfer Engine'!$C$2:$C$630,0)),"",INDEX('Compliance Database'!$E$2:$E$630,MATCH(515,'Transfer Engine'!$C$2:$C$630,0)))</f>
        <v/>
      </c>
      <c r="F524">
        <f>IF(ISNA(MATCH(515,'Transfer Engine'!$C$2:$C$630,0)),"",INDEX('Compliance Database'!$F$2:$F$630,MATCH(515,'Transfer Engine'!$C$2:$C$630,0)))</f>
        <v/>
      </c>
      <c r="G524">
        <f>IF(ISNA(MATCH(515,'Transfer Engine'!$C$2:$C$630,0)),"",INDEX('Compliance Database'!$G$2:$G$630,MATCH(515,'Transfer Engine'!$C$2:$C$630,0)))</f>
        <v/>
      </c>
      <c r="H524">
        <f>IF(ISNA(MATCH(515,'Transfer Engine'!$C$2:$C$630,0)),"",INDEX('Compliance Database'!$H$2:$H$630,MATCH(515,'Transfer Engine'!$C$2:$C$630,0)))</f>
        <v/>
      </c>
      <c r="I524" s="8">
        <f>IF(ISNA(MATCH(515,'Transfer Engine'!$C$2:$C$630,0)),"",INDEX('Compliance Database'!$I$2:$I$630,MATCH(515,'Transfer Engine'!$C$2:$C$630,0)))</f>
        <v/>
      </c>
      <c r="J524" s="8">
        <f>IF(ISNA(MATCH(515,'Transfer Engine'!$C$2:$C$630,0)),"",INDEX('Compliance Database'!$J$2:$J$630,MATCH(515,'Transfer Engine'!$C$2:$C$630,0)))</f>
        <v/>
      </c>
      <c r="K524">
        <f>IF(ISNA(MATCH(515,'Transfer Engine'!$C$2:$C$630,0)),"",INDEX('Compliance Database'!$K$2:$K$630,MATCH(515,'Transfer Engine'!$C$2:$C$630,0)))</f>
        <v/>
      </c>
      <c r="L524" s="8">
        <f>IF(ISNA(MATCH(515,'Transfer Engine'!$C$2:$C$630,0)),"",INDEX('Compliance Database'!$L$2:$L$630,MATCH(515,'Transfer Engine'!$C$2:$C$630,0)))</f>
        <v/>
      </c>
      <c r="M524" s="8">
        <f>IF(ISNA(MATCH(515,'Transfer Engine'!$C$2:$C$630,0)),"",INDEX('Compliance Database'!$M$2:$M$630,MATCH(515,'Transfer Engine'!$C$2:$C$630,0)))</f>
        <v/>
      </c>
      <c r="N524" s="8">
        <f>IF(ISNA(MATCH(515,'Transfer Engine'!$C$2:$C$630,0)),"",INDEX('Compliance Database'!$N$2:$N$630,MATCH(515,'Transfer Engine'!$C$2:$C$630,0)))</f>
        <v/>
      </c>
      <c r="O524" s="8">
        <f>IF(ISNA(MATCH(515,'Transfer Engine'!$C$2:$C$630,0)),"",INDEX('Compliance Database'!$O$2:$O$630,MATCH(515,'Transfer Engine'!$C$2:$C$630,0)))</f>
        <v/>
      </c>
    </row>
    <row r="525">
      <c r="A525">
        <f>IF(ISNA(MATCH(516,'Transfer Engine'!$C$2:$C$630,0)),"",INDEX('Compliance Database'!$A$2:$A$630,MATCH(516,'Transfer Engine'!$C$2:$C$630,0)))</f>
        <v/>
      </c>
      <c r="B525">
        <f>IF(ISNA(MATCH(516,'Transfer Engine'!$C$2:$C$630,0)),"",INDEX('Compliance Database'!$B$2:$B$630,MATCH(516,'Transfer Engine'!$C$2:$C$630,0)))</f>
        <v/>
      </c>
      <c r="C525">
        <f>IF(ISNA(MATCH(516,'Transfer Engine'!$C$2:$C$630,0)),"",INDEX('Compliance Database'!$C$2:$C$630,MATCH(516,'Transfer Engine'!$C$2:$C$630,0)))</f>
        <v/>
      </c>
      <c r="D525" s="8">
        <f>IF(ISNA(MATCH(516,'Transfer Engine'!$C$2:$C$630,0)),"",INDEX('Compliance Database'!$D$2:$D$630,MATCH(516,'Transfer Engine'!$C$2:$C$630,0)))</f>
        <v/>
      </c>
      <c r="E525">
        <f>IF(ISNA(MATCH(516,'Transfer Engine'!$C$2:$C$630,0)),"",INDEX('Compliance Database'!$E$2:$E$630,MATCH(516,'Transfer Engine'!$C$2:$C$630,0)))</f>
        <v/>
      </c>
      <c r="F525">
        <f>IF(ISNA(MATCH(516,'Transfer Engine'!$C$2:$C$630,0)),"",INDEX('Compliance Database'!$F$2:$F$630,MATCH(516,'Transfer Engine'!$C$2:$C$630,0)))</f>
        <v/>
      </c>
      <c r="G525">
        <f>IF(ISNA(MATCH(516,'Transfer Engine'!$C$2:$C$630,0)),"",INDEX('Compliance Database'!$G$2:$G$630,MATCH(516,'Transfer Engine'!$C$2:$C$630,0)))</f>
        <v/>
      </c>
      <c r="H525">
        <f>IF(ISNA(MATCH(516,'Transfer Engine'!$C$2:$C$630,0)),"",INDEX('Compliance Database'!$H$2:$H$630,MATCH(516,'Transfer Engine'!$C$2:$C$630,0)))</f>
        <v/>
      </c>
      <c r="I525" s="8">
        <f>IF(ISNA(MATCH(516,'Transfer Engine'!$C$2:$C$630,0)),"",INDEX('Compliance Database'!$I$2:$I$630,MATCH(516,'Transfer Engine'!$C$2:$C$630,0)))</f>
        <v/>
      </c>
      <c r="J525" s="8">
        <f>IF(ISNA(MATCH(516,'Transfer Engine'!$C$2:$C$630,0)),"",INDEX('Compliance Database'!$J$2:$J$630,MATCH(516,'Transfer Engine'!$C$2:$C$630,0)))</f>
        <v/>
      </c>
      <c r="K525">
        <f>IF(ISNA(MATCH(516,'Transfer Engine'!$C$2:$C$630,0)),"",INDEX('Compliance Database'!$K$2:$K$630,MATCH(516,'Transfer Engine'!$C$2:$C$630,0)))</f>
        <v/>
      </c>
      <c r="L525" s="8">
        <f>IF(ISNA(MATCH(516,'Transfer Engine'!$C$2:$C$630,0)),"",INDEX('Compliance Database'!$L$2:$L$630,MATCH(516,'Transfer Engine'!$C$2:$C$630,0)))</f>
        <v/>
      </c>
      <c r="M525" s="8">
        <f>IF(ISNA(MATCH(516,'Transfer Engine'!$C$2:$C$630,0)),"",INDEX('Compliance Database'!$M$2:$M$630,MATCH(516,'Transfer Engine'!$C$2:$C$630,0)))</f>
        <v/>
      </c>
      <c r="N525" s="8">
        <f>IF(ISNA(MATCH(516,'Transfer Engine'!$C$2:$C$630,0)),"",INDEX('Compliance Database'!$N$2:$N$630,MATCH(516,'Transfer Engine'!$C$2:$C$630,0)))</f>
        <v/>
      </c>
      <c r="O525" s="8">
        <f>IF(ISNA(MATCH(516,'Transfer Engine'!$C$2:$C$630,0)),"",INDEX('Compliance Database'!$O$2:$O$630,MATCH(516,'Transfer Engine'!$C$2:$C$630,0)))</f>
        <v/>
      </c>
    </row>
    <row r="526">
      <c r="A526">
        <f>IF(ISNA(MATCH(517,'Transfer Engine'!$C$2:$C$630,0)),"",INDEX('Compliance Database'!$A$2:$A$630,MATCH(517,'Transfer Engine'!$C$2:$C$630,0)))</f>
        <v/>
      </c>
      <c r="B526">
        <f>IF(ISNA(MATCH(517,'Transfer Engine'!$C$2:$C$630,0)),"",INDEX('Compliance Database'!$B$2:$B$630,MATCH(517,'Transfer Engine'!$C$2:$C$630,0)))</f>
        <v/>
      </c>
      <c r="C526">
        <f>IF(ISNA(MATCH(517,'Transfer Engine'!$C$2:$C$630,0)),"",INDEX('Compliance Database'!$C$2:$C$630,MATCH(517,'Transfer Engine'!$C$2:$C$630,0)))</f>
        <v/>
      </c>
      <c r="D526" s="8">
        <f>IF(ISNA(MATCH(517,'Transfer Engine'!$C$2:$C$630,0)),"",INDEX('Compliance Database'!$D$2:$D$630,MATCH(517,'Transfer Engine'!$C$2:$C$630,0)))</f>
        <v/>
      </c>
      <c r="E526">
        <f>IF(ISNA(MATCH(517,'Transfer Engine'!$C$2:$C$630,0)),"",INDEX('Compliance Database'!$E$2:$E$630,MATCH(517,'Transfer Engine'!$C$2:$C$630,0)))</f>
        <v/>
      </c>
      <c r="F526">
        <f>IF(ISNA(MATCH(517,'Transfer Engine'!$C$2:$C$630,0)),"",INDEX('Compliance Database'!$F$2:$F$630,MATCH(517,'Transfer Engine'!$C$2:$C$630,0)))</f>
        <v/>
      </c>
      <c r="G526">
        <f>IF(ISNA(MATCH(517,'Transfer Engine'!$C$2:$C$630,0)),"",INDEX('Compliance Database'!$G$2:$G$630,MATCH(517,'Transfer Engine'!$C$2:$C$630,0)))</f>
        <v/>
      </c>
      <c r="H526">
        <f>IF(ISNA(MATCH(517,'Transfer Engine'!$C$2:$C$630,0)),"",INDEX('Compliance Database'!$H$2:$H$630,MATCH(517,'Transfer Engine'!$C$2:$C$630,0)))</f>
        <v/>
      </c>
      <c r="I526" s="8">
        <f>IF(ISNA(MATCH(517,'Transfer Engine'!$C$2:$C$630,0)),"",INDEX('Compliance Database'!$I$2:$I$630,MATCH(517,'Transfer Engine'!$C$2:$C$630,0)))</f>
        <v/>
      </c>
      <c r="J526" s="8">
        <f>IF(ISNA(MATCH(517,'Transfer Engine'!$C$2:$C$630,0)),"",INDEX('Compliance Database'!$J$2:$J$630,MATCH(517,'Transfer Engine'!$C$2:$C$630,0)))</f>
        <v/>
      </c>
      <c r="K526">
        <f>IF(ISNA(MATCH(517,'Transfer Engine'!$C$2:$C$630,0)),"",INDEX('Compliance Database'!$K$2:$K$630,MATCH(517,'Transfer Engine'!$C$2:$C$630,0)))</f>
        <v/>
      </c>
      <c r="L526" s="8">
        <f>IF(ISNA(MATCH(517,'Transfer Engine'!$C$2:$C$630,0)),"",INDEX('Compliance Database'!$L$2:$L$630,MATCH(517,'Transfer Engine'!$C$2:$C$630,0)))</f>
        <v/>
      </c>
      <c r="M526" s="8">
        <f>IF(ISNA(MATCH(517,'Transfer Engine'!$C$2:$C$630,0)),"",INDEX('Compliance Database'!$M$2:$M$630,MATCH(517,'Transfer Engine'!$C$2:$C$630,0)))</f>
        <v/>
      </c>
      <c r="N526" s="8">
        <f>IF(ISNA(MATCH(517,'Transfer Engine'!$C$2:$C$630,0)),"",INDEX('Compliance Database'!$N$2:$N$630,MATCH(517,'Transfer Engine'!$C$2:$C$630,0)))</f>
        <v/>
      </c>
      <c r="O526" s="8">
        <f>IF(ISNA(MATCH(517,'Transfer Engine'!$C$2:$C$630,0)),"",INDEX('Compliance Database'!$O$2:$O$630,MATCH(517,'Transfer Engine'!$C$2:$C$630,0)))</f>
        <v/>
      </c>
    </row>
    <row r="527">
      <c r="A527">
        <f>IF(ISNA(MATCH(518,'Transfer Engine'!$C$2:$C$630,0)),"",INDEX('Compliance Database'!$A$2:$A$630,MATCH(518,'Transfer Engine'!$C$2:$C$630,0)))</f>
        <v/>
      </c>
      <c r="B527">
        <f>IF(ISNA(MATCH(518,'Transfer Engine'!$C$2:$C$630,0)),"",INDEX('Compliance Database'!$B$2:$B$630,MATCH(518,'Transfer Engine'!$C$2:$C$630,0)))</f>
        <v/>
      </c>
      <c r="C527">
        <f>IF(ISNA(MATCH(518,'Transfer Engine'!$C$2:$C$630,0)),"",INDEX('Compliance Database'!$C$2:$C$630,MATCH(518,'Transfer Engine'!$C$2:$C$630,0)))</f>
        <v/>
      </c>
      <c r="D527" s="8">
        <f>IF(ISNA(MATCH(518,'Transfer Engine'!$C$2:$C$630,0)),"",INDEX('Compliance Database'!$D$2:$D$630,MATCH(518,'Transfer Engine'!$C$2:$C$630,0)))</f>
        <v/>
      </c>
      <c r="E527">
        <f>IF(ISNA(MATCH(518,'Transfer Engine'!$C$2:$C$630,0)),"",INDEX('Compliance Database'!$E$2:$E$630,MATCH(518,'Transfer Engine'!$C$2:$C$630,0)))</f>
        <v/>
      </c>
      <c r="F527">
        <f>IF(ISNA(MATCH(518,'Transfer Engine'!$C$2:$C$630,0)),"",INDEX('Compliance Database'!$F$2:$F$630,MATCH(518,'Transfer Engine'!$C$2:$C$630,0)))</f>
        <v/>
      </c>
      <c r="G527">
        <f>IF(ISNA(MATCH(518,'Transfer Engine'!$C$2:$C$630,0)),"",INDEX('Compliance Database'!$G$2:$G$630,MATCH(518,'Transfer Engine'!$C$2:$C$630,0)))</f>
        <v/>
      </c>
      <c r="H527">
        <f>IF(ISNA(MATCH(518,'Transfer Engine'!$C$2:$C$630,0)),"",INDEX('Compliance Database'!$H$2:$H$630,MATCH(518,'Transfer Engine'!$C$2:$C$630,0)))</f>
        <v/>
      </c>
      <c r="I527" s="8">
        <f>IF(ISNA(MATCH(518,'Transfer Engine'!$C$2:$C$630,0)),"",INDEX('Compliance Database'!$I$2:$I$630,MATCH(518,'Transfer Engine'!$C$2:$C$630,0)))</f>
        <v/>
      </c>
      <c r="J527" s="8">
        <f>IF(ISNA(MATCH(518,'Transfer Engine'!$C$2:$C$630,0)),"",INDEX('Compliance Database'!$J$2:$J$630,MATCH(518,'Transfer Engine'!$C$2:$C$630,0)))</f>
        <v/>
      </c>
      <c r="K527">
        <f>IF(ISNA(MATCH(518,'Transfer Engine'!$C$2:$C$630,0)),"",INDEX('Compliance Database'!$K$2:$K$630,MATCH(518,'Transfer Engine'!$C$2:$C$630,0)))</f>
        <v/>
      </c>
      <c r="L527" s="8">
        <f>IF(ISNA(MATCH(518,'Transfer Engine'!$C$2:$C$630,0)),"",INDEX('Compliance Database'!$L$2:$L$630,MATCH(518,'Transfer Engine'!$C$2:$C$630,0)))</f>
        <v/>
      </c>
      <c r="M527" s="8">
        <f>IF(ISNA(MATCH(518,'Transfer Engine'!$C$2:$C$630,0)),"",INDEX('Compliance Database'!$M$2:$M$630,MATCH(518,'Transfer Engine'!$C$2:$C$630,0)))</f>
        <v/>
      </c>
      <c r="N527" s="8">
        <f>IF(ISNA(MATCH(518,'Transfer Engine'!$C$2:$C$630,0)),"",INDEX('Compliance Database'!$N$2:$N$630,MATCH(518,'Transfer Engine'!$C$2:$C$630,0)))</f>
        <v/>
      </c>
      <c r="O527" s="8">
        <f>IF(ISNA(MATCH(518,'Transfer Engine'!$C$2:$C$630,0)),"",INDEX('Compliance Database'!$O$2:$O$630,MATCH(518,'Transfer Engine'!$C$2:$C$630,0)))</f>
        <v/>
      </c>
    </row>
    <row r="528">
      <c r="A528">
        <f>IF(ISNA(MATCH(519,'Transfer Engine'!$C$2:$C$630,0)),"",INDEX('Compliance Database'!$A$2:$A$630,MATCH(519,'Transfer Engine'!$C$2:$C$630,0)))</f>
        <v/>
      </c>
      <c r="B528">
        <f>IF(ISNA(MATCH(519,'Transfer Engine'!$C$2:$C$630,0)),"",INDEX('Compliance Database'!$B$2:$B$630,MATCH(519,'Transfer Engine'!$C$2:$C$630,0)))</f>
        <v/>
      </c>
      <c r="C528">
        <f>IF(ISNA(MATCH(519,'Transfer Engine'!$C$2:$C$630,0)),"",INDEX('Compliance Database'!$C$2:$C$630,MATCH(519,'Transfer Engine'!$C$2:$C$630,0)))</f>
        <v/>
      </c>
      <c r="D528" s="8">
        <f>IF(ISNA(MATCH(519,'Transfer Engine'!$C$2:$C$630,0)),"",INDEX('Compliance Database'!$D$2:$D$630,MATCH(519,'Transfer Engine'!$C$2:$C$630,0)))</f>
        <v/>
      </c>
      <c r="E528">
        <f>IF(ISNA(MATCH(519,'Transfer Engine'!$C$2:$C$630,0)),"",INDEX('Compliance Database'!$E$2:$E$630,MATCH(519,'Transfer Engine'!$C$2:$C$630,0)))</f>
        <v/>
      </c>
      <c r="F528">
        <f>IF(ISNA(MATCH(519,'Transfer Engine'!$C$2:$C$630,0)),"",INDEX('Compliance Database'!$F$2:$F$630,MATCH(519,'Transfer Engine'!$C$2:$C$630,0)))</f>
        <v/>
      </c>
      <c r="G528">
        <f>IF(ISNA(MATCH(519,'Transfer Engine'!$C$2:$C$630,0)),"",INDEX('Compliance Database'!$G$2:$G$630,MATCH(519,'Transfer Engine'!$C$2:$C$630,0)))</f>
        <v/>
      </c>
      <c r="H528">
        <f>IF(ISNA(MATCH(519,'Transfer Engine'!$C$2:$C$630,0)),"",INDEX('Compliance Database'!$H$2:$H$630,MATCH(519,'Transfer Engine'!$C$2:$C$630,0)))</f>
        <v/>
      </c>
      <c r="I528" s="8">
        <f>IF(ISNA(MATCH(519,'Transfer Engine'!$C$2:$C$630,0)),"",INDEX('Compliance Database'!$I$2:$I$630,MATCH(519,'Transfer Engine'!$C$2:$C$630,0)))</f>
        <v/>
      </c>
      <c r="J528" s="8">
        <f>IF(ISNA(MATCH(519,'Transfer Engine'!$C$2:$C$630,0)),"",INDEX('Compliance Database'!$J$2:$J$630,MATCH(519,'Transfer Engine'!$C$2:$C$630,0)))</f>
        <v/>
      </c>
      <c r="K528">
        <f>IF(ISNA(MATCH(519,'Transfer Engine'!$C$2:$C$630,0)),"",INDEX('Compliance Database'!$K$2:$K$630,MATCH(519,'Transfer Engine'!$C$2:$C$630,0)))</f>
        <v/>
      </c>
      <c r="L528" s="8">
        <f>IF(ISNA(MATCH(519,'Transfer Engine'!$C$2:$C$630,0)),"",INDEX('Compliance Database'!$L$2:$L$630,MATCH(519,'Transfer Engine'!$C$2:$C$630,0)))</f>
        <v/>
      </c>
      <c r="M528" s="8">
        <f>IF(ISNA(MATCH(519,'Transfer Engine'!$C$2:$C$630,0)),"",INDEX('Compliance Database'!$M$2:$M$630,MATCH(519,'Transfer Engine'!$C$2:$C$630,0)))</f>
        <v/>
      </c>
      <c r="N528" s="8">
        <f>IF(ISNA(MATCH(519,'Transfer Engine'!$C$2:$C$630,0)),"",INDEX('Compliance Database'!$N$2:$N$630,MATCH(519,'Transfer Engine'!$C$2:$C$630,0)))</f>
        <v/>
      </c>
      <c r="O528" s="8">
        <f>IF(ISNA(MATCH(519,'Transfer Engine'!$C$2:$C$630,0)),"",INDEX('Compliance Database'!$O$2:$O$630,MATCH(519,'Transfer Engine'!$C$2:$C$630,0)))</f>
        <v/>
      </c>
    </row>
    <row r="529">
      <c r="A529">
        <f>IF(ISNA(MATCH(520,'Transfer Engine'!$C$2:$C$630,0)),"",INDEX('Compliance Database'!$A$2:$A$630,MATCH(520,'Transfer Engine'!$C$2:$C$630,0)))</f>
        <v/>
      </c>
      <c r="B529">
        <f>IF(ISNA(MATCH(520,'Transfer Engine'!$C$2:$C$630,0)),"",INDEX('Compliance Database'!$B$2:$B$630,MATCH(520,'Transfer Engine'!$C$2:$C$630,0)))</f>
        <v/>
      </c>
      <c r="C529">
        <f>IF(ISNA(MATCH(520,'Transfer Engine'!$C$2:$C$630,0)),"",INDEX('Compliance Database'!$C$2:$C$630,MATCH(520,'Transfer Engine'!$C$2:$C$630,0)))</f>
        <v/>
      </c>
      <c r="D529" s="8">
        <f>IF(ISNA(MATCH(520,'Transfer Engine'!$C$2:$C$630,0)),"",INDEX('Compliance Database'!$D$2:$D$630,MATCH(520,'Transfer Engine'!$C$2:$C$630,0)))</f>
        <v/>
      </c>
      <c r="E529">
        <f>IF(ISNA(MATCH(520,'Transfer Engine'!$C$2:$C$630,0)),"",INDEX('Compliance Database'!$E$2:$E$630,MATCH(520,'Transfer Engine'!$C$2:$C$630,0)))</f>
        <v/>
      </c>
      <c r="F529">
        <f>IF(ISNA(MATCH(520,'Transfer Engine'!$C$2:$C$630,0)),"",INDEX('Compliance Database'!$F$2:$F$630,MATCH(520,'Transfer Engine'!$C$2:$C$630,0)))</f>
        <v/>
      </c>
      <c r="G529">
        <f>IF(ISNA(MATCH(520,'Transfer Engine'!$C$2:$C$630,0)),"",INDEX('Compliance Database'!$G$2:$G$630,MATCH(520,'Transfer Engine'!$C$2:$C$630,0)))</f>
        <v/>
      </c>
      <c r="H529">
        <f>IF(ISNA(MATCH(520,'Transfer Engine'!$C$2:$C$630,0)),"",INDEX('Compliance Database'!$H$2:$H$630,MATCH(520,'Transfer Engine'!$C$2:$C$630,0)))</f>
        <v/>
      </c>
      <c r="I529" s="8">
        <f>IF(ISNA(MATCH(520,'Transfer Engine'!$C$2:$C$630,0)),"",INDEX('Compliance Database'!$I$2:$I$630,MATCH(520,'Transfer Engine'!$C$2:$C$630,0)))</f>
        <v/>
      </c>
      <c r="J529" s="8">
        <f>IF(ISNA(MATCH(520,'Transfer Engine'!$C$2:$C$630,0)),"",INDEX('Compliance Database'!$J$2:$J$630,MATCH(520,'Transfer Engine'!$C$2:$C$630,0)))</f>
        <v/>
      </c>
      <c r="K529">
        <f>IF(ISNA(MATCH(520,'Transfer Engine'!$C$2:$C$630,0)),"",INDEX('Compliance Database'!$K$2:$K$630,MATCH(520,'Transfer Engine'!$C$2:$C$630,0)))</f>
        <v/>
      </c>
      <c r="L529" s="8">
        <f>IF(ISNA(MATCH(520,'Transfer Engine'!$C$2:$C$630,0)),"",INDEX('Compliance Database'!$L$2:$L$630,MATCH(520,'Transfer Engine'!$C$2:$C$630,0)))</f>
        <v/>
      </c>
      <c r="M529" s="8">
        <f>IF(ISNA(MATCH(520,'Transfer Engine'!$C$2:$C$630,0)),"",INDEX('Compliance Database'!$M$2:$M$630,MATCH(520,'Transfer Engine'!$C$2:$C$630,0)))</f>
        <v/>
      </c>
      <c r="N529" s="8">
        <f>IF(ISNA(MATCH(520,'Transfer Engine'!$C$2:$C$630,0)),"",INDEX('Compliance Database'!$N$2:$N$630,MATCH(520,'Transfer Engine'!$C$2:$C$630,0)))</f>
        <v/>
      </c>
      <c r="O529" s="8">
        <f>IF(ISNA(MATCH(520,'Transfer Engine'!$C$2:$C$630,0)),"",INDEX('Compliance Database'!$O$2:$O$630,MATCH(520,'Transfer Engine'!$C$2:$C$630,0)))</f>
        <v/>
      </c>
    </row>
    <row r="530">
      <c r="A530">
        <f>IF(ISNA(MATCH(521,'Transfer Engine'!$C$2:$C$630,0)),"",INDEX('Compliance Database'!$A$2:$A$630,MATCH(521,'Transfer Engine'!$C$2:$C$630,0)))</f>
        <v/>
      </c>
      <c r="B530">
        <f>IF(ISNA(MATCH(521,'Transfer Engine'!$C$2:$C$630,0)),"",INDEX('Compliance Database'!$B$2:$B$630,MATCH(521,'Transfer Engine'!$C$2:$C$630,0)))</f>
        <v/>
      </c>
      <c r="C530">
        <f>IF(ISNA(MATCH(521,'Transfer Engine'!$C$2:$C$630,0)),"",INDEX('Compliance Database'!$C$2:$C$630,MATCH(521,'Transfer Engine'!$C$2:$C$630,0)))</f>
        <v/>
      </c>
      <c r="D530" s="8">
        <f>IF(ISNA(MATCH(521,'Transfer Engine'!$C$2:$C$630,0)),"",INDEX('Compliance Database'!$D$2:$D$630,MATCH(521,'Transfer Engine'!$C$2:$C$630,0)))</f>
        <v/>
      </c>
      <c r="E530">
        <f>IF(ISNA(MATCH(521,'Transfer Engine'!$C$2:$C$630,0)),"",INDEX('Compliance Database'!$E$2:$E$630,MATCH(521,'Transfer Engine'!$C$2:$C$630,0)))</f>
        <v/>
      </c>
      <c r="F530">
        <f>IF(ISNA(MATCH(521,'Transfer Engine'!$C$2:$C$630,0)),"",INDEX('Compliance Database'!$F$2:$F$630,MATCH(521,'Transfer Engine'!$C$2:$C$630,0)))</f>
        <v/>
      </c>
      <c r="G530">
        <f>IF(ISNA(MATCH(521,'Transfer Engine'!$C$2:$C$630,0)),"",INDEX('Compliance Database'!$G$2:$G$630,MATCH(521,'Transfer Engine'!$C$2:$C$630,0)))</f>
        <v/>
      </c>
      <c r="H530">
        <f>IF(ISNA(MATCH(521,'Transfer Engine'!$C$2:$C$630,0)),"",INDEX('Compliance Database'!$H$2:$H$630,MATCH(521,'Transfer Engine'!$C$2:$C$630,0)))</f>
        <v/>
      </c>
      <c r="I530" s="8">
        <f>IF(ISNA(MATCH(521,'Transfer Engine'!$C$2:$C$630,0)),"",INDEX('Compliance Database'!$I$2:$I$630,MATCH(521,'Transfer Engine'!$C$2:$C$630,0)))</f>
        <v/>
      </c>
      <c r="J530" s="8">
        <f>IF(ISNA(MATCH(521,'Transfer Engine'!$C$2:$C$630,0)),"",INDEX('Compliance Database'!$J$2:$J$630,MATCH(521,'Transfer Engine'!$C$2:$C$630,0)))</f>
        <v/>
      </c>
      <c r="K530">
        <f>IF(ISNA(MATCH(521,'Transfer Engine'!$C$2:$C$630,0)),"",INDEX('Compliance Database'!$K$2:$K$630,MATCH(521,'Transfer Engine'!$C$2:$C$630,0)))</f>
        <v/>
      </c>
      <c r="L530" s="8">
        <f>IF(ISNA(MATCH(521,'Transfer Engine'!$C$2:$C$630,0)),"",INDEX('Compliance Database'!$L$2:$L$630,MATCH(521,'Transfer Engine'!$C$2:$C$630,0)))</f>
        <v/>
      </c>
      <c r="M530" s="8">
        <f>IF(ISNA(MATCH(521,'Transfer Engine'!$C$2:$C$630,0)),"",INDEX('Compliance Database'!$M$2:$M$630,MATCH(521,'Transfer Engine'!$C$2:$C$630,0)))</f>
        <v/>
      </c>
      <c r="N530" s="8">
        <f>IF(ISNA(MATCH(521,'Transfer Engine'!$C$2:$C$630,0)),"",INDEX('Compliance Database'!$N$2:$N$630,MATCH(521,'Transfer Engine'!$C$2:$C$630,0)))</f>
        <v/>
      </c>
      <c r="O530" s="8">
        <f>IF(ISNA(MATCH(521,'Transfer Engine'!$C$2:$C$630,0)),"",INDEX('Compliance Database'!$O$2:$O$630,MATCH(521,'Transfer Engine'!$C$2:$C$630,0)))</f>
        <v/>
      </c>
    </row>
    <row r="531">
      <c r="A531">
        <f>IF(ISNA(MATCH(522,'Transfer Engine'!$C$2:$C$630,0)),"",INDEX('Compliance Database'!$A$2:$A$630,MATCH(522,'Transfer Engine'!$C$2:$C$630,0)))</f>
        <v/>
      </c>
      <c r="B531">
        <f>IF(ISNA(MATCH(522,'Transfer Engine'!$C$2:$C$630,0)),"",INDEX('Compliance Database'!$B$2:$B$630,MATCH(522,'Transfer Engine'!$C$2:$C$630,0)))</f>
        <v/>
      </c>
      <c r="C531">
        <f>IF(ISNA(MATCH(522,'Transfer Engine'!$C$2:$C$630,0)),"",INDEX('Compliance Database'!$C$2:$C$630,MATCH(522,'Transfer Engine'!$C$2:$C$630,0)))</f>
        <v/>
      </c>
      <c r="D531" s="8">
        <f>IF(ISNA(MATCH(522,'Transfer Engine'!$C$2:$C$630,0)),"",INDEX('Compliance Database'!$D$2:$D$630,MATCH(522,'Transfer Engine'!$C$2:$C$630,0)))</f>
        <v/>
      </c>
      <c r="E531">
        <f>IF(ISNA(MATCH(522,'Transfer Engine'!$C$2:$C$630,0)),"",INDEX('Compliance Database'!$E$2:$E$630,MATCH(522,'Transfer Engine'!$C$2:$C$630,0)))</f>
        <v/>
      </c>
      <c r="F531">
        <f>IF(ISNA(MATCH(522,'Transfer Engine'!$C$2:$C$630,0)),"",INDEX('Compliance Database'!$F$2:$F$630,MATCH(522,'Transfer Engine'!$C$2:$C$630,0)))</f>
        <v/>
      </c>
      <c r="G531">
        <f>IF(ISNA(MATCH(522,'Transfer Engine'!$C$2:$C$630,0)),"",INDEX('Compliance Database'!$G$2:$G$630,MATCH(522,'Transfer Engine'!$C$2:$C$630,0)))</f>
        <v/>
      </c>
      <c r="H531">
        <f>IF(ISNA(MATCH(522,'Transfer Engine'!$C$2:$C$630,0)),"",INDEX('Compliance Database'!$H$2:$H$630,MATCH(522,'Transfer Engine'!$C$2:$C$630,0)))</f>
        <v/>
      </c>
      <c r="I531" s="8">
        <f>IF(ISNA(MATCH(522,'Transfer Engine'!$C$2:$C$630,0)),"",INDEX('Compliance Database'!$I$2:$I$630,MATCH(522,'Transfer Engine'!$C$2:$C$630,0)))</f>
        <v/>
      </c>
      <c r="J531" s="8">
        <f>IF(ISNA(MATCH(522,'Transfer Engine'!$C$2:$C$630,0)),"",INDEX('Compliance Database'!$J$2:$J$630,MATCH(522,'Transfer Engine'!$C$2:$C$630,0)))</f>
        <v/>
      </c>
      <c r="K531">
        <f>IF(ISNA(MATCH(522,'Transfer Engine'!$C$2:$C$630,0)),"",INDEX('Compliance Database'!$K$2:$K$630,MATCH(522,'Transfer Engine'!$C$2:$C$630,0)))</f>
        <v/>
      </c>
      <c r="L531" s="8">
        <f>IF(ISNA(MATCH(522,'Transfer Engine'!$C$2:$C$630,0)),"",INDEX('Compliance Database'!$L$2:$L$630,MATCH(522,'Transfer Engine'!$C$2:$C$630,0)))</f>
        <v/>
      </c>
      <c r="M531" s="8">
        <f>IF(ISNA(MATCH(522,'Transfer Engine'!$C$2:$C$630,0)),"",INDEX('Compliance Database'!$M$2:$M$630,MATCH(522,'Transfer Engine'!$C$2:$C$630,0)))</f>
        <v/>
      </c>
      <c r="N531" s="8">
        <f>IF(ISNA(MATCH(522,'Transfer Engine'!$C$2:$C$630,0)),"",INDEX('Compliance Database'!$N$2:$N$630,MATCH(522,'Transfer Engine'!$C$2:$C$630,0)))</f>
        <v/>
      </c>
      <c r="O531" s="8">
        <f>IF(ISNA(MATCH(522,'Transfer Engine'!$C$2:$C$630,0)),"",INDEX('Compliance Database'!$O$2:$O$630,MATCH(522,'Transfer Engine'!$C$2:$C$630,0)))</f>
        <v/>
      </c>
    </row>
    <row r="532">
      <c r="A532">
        <f>IF(ISNA(MATCH(523,'Transfer Engine'!$C$2:$C$630,0)),"",INDEX('Compliance Database'!$A$2:$A$630,MATCH(523,'Transfer Engine'!$C$2:$C$630,0)))</f>
        <v/>
      </c>
      <c r="B532">
        <f>IF(ISNA(MATCH(523,'Transfer Engine'!$C$2:$C$630,0)),"",INDEX('Compliance Database'!$B$2:$B$630,MATCH(523,'Transfer Engine'!$C$2:$C$630,0)))</f>
        <v/>
      </c>
      <c r="C532">
        <f>IF(ISNA(MATCH(523,'Transfer Engine'!$C$2:$C$630,0)),"",INDEX('Compliance Database'!$C$2:$C$630,MATCH(523,'Transfer Engine'!$C$2:$C$630,0)))</f>
        <v/>
      </c>
      <c r="D532" s="8">
        <f>IF(ISNA(MATCH(523,'Transfer Engine'!$C$2:$C$630,0)),"",INDEX('Compliance Database'!$D$2:$D$630,MATCH(523,'Transfer Engine'!$C$2:$C$630,0)))</f>
        <v/>
      </c>
      <c r="E532">
        <f>IF(ISNA(MATCH(523,'Transfer Engine'!$C$2:$C$630,0)),"",INDEX('Compliance Database'!$E$2:$E$630,MATCH(523,'Transfer Engine'!$C$2:$C$630,0)))</f>
        <v/>
      </c>
      <c r="F532">
        <f>IF(ISNA(MATCH(523,'Transfer Engine'!$C$2:$C$630,0)),"",INDEX('Compliance Database'!$F$2:$F$630,MATCH(523,'Transfer Engine'!$C$2:$C$630,0)))</f>
        <v/>
      </c>
      <c r="G532">
        <f>IF(ISNA(MATCH(523,'Transfer Engine'!$C$2:$C$630,0)),"",INDEX('Compliance Database'!$G$2:$G$630,MATCH(523,'Transfer Engine'!$C$2:$C$630,0)))</f>
        <v/>
      </c>
      <c r="H532">
        <f>IF(ISNA(MATCH(523,'Transfer Engine'!$C$2:$C$630,0)),"",INDEX('Compliance Database'!$H$2:$H$630,MATCH(523,'Transfer Engine'!$C$2:$C$630,0)))</f>
        <v/>
      </c>
      <c r="I532" s="8">
        <f>IF(ISNA(MATCH(523,'Transfer Engine'!$C$2:$C$630,0)),"",INDEX('Compliance Database'!$I$2:$I$630,MATCH(523,'Transfer Engine'!$C$2:$C$630,0)))</f>
        <v/>
      </c>
      <c r="J532" s="8">
        <f>IF(ISNA(MATCH(523,'Transfer Engine'!$C$2:$C$630,0)),"",INDEX('Compliance Database'!$J$2:$J$630,MATCH(523,'Transfer Engine'!$C$2:$C$630,0)))</f>
        <v/>
      </c>
      <c r="K532">
        <f>IF(ISNA(MATCH(523,'Transfer Engine'!$C$2:$C$630,0)),"",INDEX('Compliance Database'!$K$2:$K$630,MATCH(523,'Transfer Engine'!$C$2:$C$630,0)))</f>
        <v/>
      </c>
      <c r="L532" s="8">
        <f>IF(ISNA(MATCH(523,'Transfer Engine'!$C$2:$C$630,0)),"",INDEX('Compliance Database'!$L$2:$L$630,MATCH(523,'Transfer Engine'!$C$2:$C$630,0)))</f>
        <v/>
      </c>
      <c r="M532" s="8">
        <f>IF(ISNA(MATCH(523,'Transfer Engine'!$C$2:$C$630,0)),"",INDEX('Compliance Database'!$M$2:$M$630,MATCH(523,'Transfer Engine'!$C$2:$C$630,0)))</f>
        <v/>
      </c>
      <c r="N532" s="8">
        <f>IF(ISNA(MATCH(523,'Transfer Engine'!$C$2:$C$630,0)),"",INDEX('Compliance Database'!$N$2:$N$630,MATCH(523,'Transfer Engine'!$C$2:$C$630,0)))</f>
        <v/>
      </c>
      <c r="O532" s="8">
        <f>IF(ISNA(MATCH(523,'Transfer Engine'!$C$2:$C$630,0)),"",INDEX('Compliance Database'!$O$2:$O$630,MATCH(523,'Transfer Engine'!$C$2:$C$630,0)))</f>
        <v/>
      </c>
    </row>
    <row r="533">
      <c r="A533">
        <f>IF(ISNA(MATCH(524,'Transfer Engine'!$C$2:$C$630,0)),"",INDEX('Compliance Database'!$A$2:$A$630,MATCH(524,'Transfer Engine'!$C$2:$C$630,0)))</f>
        <v/>
      </c>
      <c r="B533">
        <f>IF(ISNA(MATCH(524,'Transfer Engine'!$C$2:$C$630,0)),"",INDEX('Compliance Database'!$B$2:$B$630,MATCH(524,'Transfer Engine'!$C$2:$C$630,0)))</f>
        <v/>
      </c>
      <c r="C533">
        <f>IF(ISNA(MATCH(524,'Transfer Engine'!$C$2:$C$630,0)),"",INDEX('Compliance Database'!$C$2:$C$630,MATCH(524,'Transfer Engine'!$C$2:$C$630,0)))</f>
        <v/>
      </c>
      <c r="D533" s="8">
        <f>IF(ISNA(MATCH(524,'Transfer Engine'!$C$2:$C$630,0)),"",INDEX('Compliance Database'!$D$2:$D$630,MATCH(524,'Transfer Engine'!$C$2:$C$630,0)))</f>
        <v/>
      </c>
      <c r="E533">
        <f>IF(ISNA(MATCH(524,'Transfer Engine'!$C$2:$C$630,0)),"",INDEX('Compliance Database'!$E$2:$E$630,MATCH(524,'Transfer Engine'!$C$2:$C$630,0)))</f>
        <v/>
      </c>
      <c r="F533">
        <f>IF(ISNA(MATCH(524,'Transfer Engine'!$C$2:$C$630,0)),"",INDEX('Compliance Database'!$F$2:$F$630,MATCH(524,'Transfer Engine'!$C$2:$C$630,0)))</f>
        <v/>
      </c>
      <c r="G533">
        <f>IF(ISNA(MATCH(524,'Transfer Engine'!$C$2:$C$630,0)),"",INDEX('Compliance Database'!$G$2:$G$630,MATCH(524,'Transfer Engine'!$C$2:$C$630,0)))</f>
        <v/>
      </c>
      <c r="H533">
        <f>IF(ISNA(MATCH(524,'Transfer Engine'!$C$2:$C$630,0)),"",INDEX('Compliance Database'!$H$2:$H$630,MATCH(524,'Transfer Engine'!$C$2:$C$630,0)))</f>
        <v/>
      </c>
      <c r="I533" s="8">
        <f>IF(ISNA(MATCH(524,'Transfer Engine'!$C$2:$C$630,0)),"",INDEX('Compliance Database'!$I$2:$I$630,MATCH(524,'Transfer Engine'!$C$2:$C$630,0)))</f>
        <v/>
      </c>
      <c r="J533" s="8">
        <f>IF(ISNA(MATCH(524,'Transfer Engine'!$C$2:$C$630,0)),"",INDEX('Compliance Database'!$J$2:$J$630,MATCH(524,'Transfer Engine'!$C$2:$C$630,0)))</f>
        <v/>
      </c>
      <c r="K533">
        <f>IF(ISNA(MATCH(524,'Transfer Engine'!$C$2:$C$630,0)),"",INDEX('Compliance Database'!$K$2:$K$630,MATCH(524,'Transfer Engine'!$C$2:$C$630,0)))</f>
        <v/>
      </c>
      <c r="L533" s="8">
        <f>IF(ISNA(MATCH(524,'Transfer Engine'!$C$2:$C$630,0)),"",INDEX('Compliance Database'!$L$2:$L$630,MATCH(524,'Transfer Engine'!$C$2:$C$630,0)))</f>
        <v/>
      </c>
      <c r="M533" s="8">
        <f>IF(ISNA(MATCH(524,'Transfer Engine'!$C$2:$C$630,0)),"",INDEX('Compliance Database'!$M$2:$M$630,MATCH(524,'Transfer Engine'!$C$2:$C$630,0)))</f>
        <v/>
      </c>
      <c r="N533" s="8">
        <f>IF(ISNA(MATCH(524,'Transfer Engine'!$C$2:$C$630,0)),"",INDEX('Compliance Database'!$N$2:$N$630,MATCH(524,'Transfer Engine'!$C$2:$C$630,0)))</f>
        <v/>
      </c>
      <c r="O533" s="8">
        <f>IF(ISNA(MATCH(524,'Transfer Engine'!$C$2:$C$630,0)),"",INDEX('Compliance Database'!$O$2:$O$630,MATCH(524,'Transfer Engine'!$C$2:$C$630,0)))</f>
        <v/>
      </c>
    </row>
    <row r="534">
      <c r="A534">
        <f>IF(ISNA(MATCH(525,'Transfer Engine'!$C$2:$C$630,0)),"",INDEX('Compliance Database'!$A$2:$A$630,MATCH(525,'Transfer Engine'!$C$2:$C$630,0)))</f>
        <v/>
      </c>
      <c r="B534">
        <f>IF(ISNA(MATCH(525,'Transfer Engine'!$C$2:$C$630,0)),"",INDEX('Compliance Database'!$B$2:$B$630,MATCH(525,'Transfer Engine'!$C$2:$C$630,0)))</f>
        <v/>
      </c>
      <c r="C534">
        <f>IF(ISNA(MATCH(525,'Transfer Engine'!$C$2:$C$630,0)),"",INDEX('Compliance Database'!$C$2:$C$630,MATCH(525,'Transfer Engine'!$C$2:$C$630,0)))</f>
        <v/>
      </c>
      <c r="D534" s="8">
        <f>IF(ISNA(MATCH(525,'Transfer Engine'!$C$2:$C$630,0)),"",INDEX('Compliance Database'!$D$2:$D$630,MATCH(525,'Transfer Engine'!$C$2:$C$630,0)))</f>
        <v/>
      </c>
      <c r="E534">
        <f>IF(ISNA(MATCH(525,'Transfer Engine'!$C$2:$C$630,0)),"",INDEX('Compliance Database'!$E$2:$E$630,MATCH(525,'Transfer Engine'!$C$2:$C$630,0)))</f>
        <v/>
      </c>
      <c r="F534">
        <f>IF(ISNA(MATCH(525,'Transfer Engine'!$C$2:$C$630,0)),"",INDEX('Compliance Database'!$F$2:$F$630,MATCH(525,'Transfer Engine'!$C$2:$C$630,0)))</f>
        <v/>
      </c>
      <c r="G534">
        <f>IF(ISNA(MATCH(525,'Transfer Engine'!$C$2:$C$630,0)),"",INDEX('Compliance Database'!$G$2:$G$630,MATCH(525,'Transfer Engine'!$C$2:$C$630,0)))</f>
        <v/>
      </c>
      <c r="H534">
        <f>IF(ISNA(MATCH(525,'Transfer Engine'!$C$2:$C$630,0)),"",INDEX('Compliance Database'!$H$2:$H$630,MATCH(525,'Transfer Engine'!$C$2:$C$630,0)))</f>
        <v/>
      </c>
      <c r="I534" s="8">
        <f>IF(ISNA(MATCH(525,'Transfer Engine'!$C$2:$C$630,0)),"",INDEX('Compliance Database'!$I$2:$I$630,MATCH(525,'Transfer Engine'!$C$2:$C$630,0)))</f>
        <v/>
      </c>
      <c r="J534" s="8">
        <f>IF(ISNA(MATCH(525,'Transfer Engine'!$C$2:$C$630,0)),"",INDEX('Compliance Database'!$J$2:$J$630,MATCH(525,'Transfer Engine'!$C$2:$C$630,0)))</f>
        <v/>
      </c>
      <c r="K534">
        <f>IF(ISNA(MATCH(525,'Transfer Engine'!$C$2:$C$630,0)),"",INDEX('Compliance Database'!$K$2:$K$630,MATCH(525,'Transfer Engine'!$C$2:$C$630,0)))</f>
        <v/>
      </c>
      <c r="L534" s="8">
        <f>IF(ISNA(MATCH(525,'Transfer Engine'!$C$2:$C$630,0)),"",INDEX('Compliance Database'!$L$2:$L$630,MATCH(525,'Transfer Engine'!$C$2:$C$630,0)))</f>
        <v/>
      </c>
      <c r="M534" s="8">
        <f>IF(ISNA(MATCH(525,'Transfer Engine'!$C$2:$C$630,0)),"",INDEX('Compliance Database'!$M$2:$M$630,MATCH(525,'Transfer Engine'!$C$2:$C$630,0)))</f>
        <v/>
      </c>
      <c r="N534" s="8">
        <f>IF(ISNA(MATCH(525,'Transfer Engine'!$C$2:$C$630,0)),"",INDEX('Compliance Database'!$N$2:$N$630,MATCH(525,'Transfer Engine'!$C$2:$C$630,0)))</f>
        <v/>
      </c>
      <c r="O534" s="8">
        <f>IF(ISNA(MATCH(525,'Transfer Engine'!$C$2:$C$630,0)),"",INDEX('Compliance Database'!$O$2:$O$630,MATCH(525,'Transfer Engine'!$C$2:$C$630,0)))</f>
        <v/>
      </c>
    </row>
    <row r="535">
      <c r="A535">
        <f>IF(ISNA(MATCH(526,'Transfer Engine'!$C$2:$C$630,0)),"",INDEX('Compliance Database'!$A$2:$A$630,MATCH(526,'Transfer Engine'!$C$2:$C$630,0)))</f>
        <v/>
      </c>
      <c r="B535">
        <f>IF(ISNA(MATCH(526,'Transfer Engine'!$C$2:$C$630,0)),"",INDEX('Compliance Database'!$B$2:$B$630,MATCH(526,'Transfer Engine'!$C$2:$C$630,0)))</f>
        <v/>
      </c>
      <c r="C535">
        <f>IF(ISNA(MATCH(526,'Transfer Engine'!$C$2:$C$630,0)),"",INDEX('Compliance Database'!$C$2:$C$630,MATCH(526,'Transfer Engine'!$C$2:$C$630,0)))</f>
        <v/>
      </c>
      <c r="D535" s="8">
        <f>IF(ISNA(MATCH(526,'Transfer Engine'!$C$2:$C$630,0)),"",INDEX('Compliance Database'!$D$2:$D$630,MATCH(526,'Transfer Engine'!$C$2:$C$630,0)))</f>
        <v/>
      </c>
      <c r="E535">
        <f>IF(ISNA(MATCH(526,'Transfer Engine'!$C$2:$C$630,0)),"",INDEX('Compliance Database'!$E$2:$E$630,MATCH(526,'Transfer Engine'!$C$2:$C$630,0)))</f>
        <v/>
      </c>
      <c r="F535">
        <f>IF(ISNA(MATCH(526,'Transfer Engine'!$C$2:$C$630,0)),"",INDEX('Compliance Database'!$F$2:$F$630,MATCH(526,'Transfer Engine'!$C$2:$C$630,0)))</f>
        <v/>
      </c>
      <c r="G535">
        <f>IF(ISNA(MATCH(526,'Transfer Engine'!$C$2:$C$630,0)),"",INDEX('Compliance Database'!$G$2:$G$630,MATCH(526,'Transfer Engine'!$C$2:$C$630,0)))</f>
        <v/>
      </c>
      <c r="H535">
        <f>IF(ISNA(MATCH(526,'Transfer Engine'!$C$2:$C$630,0)),"",INDEX('Compliance Database'!$H$2:$H$630,MATCH(526,'Transfer Engine'!$C$2:$C$630,0)))</f>
        <v/>
      </c>
      <c r="I535" s="8">
        <f>IF(ISNA(MATCH(526,'Transfer Engine'!$C$2:$C$630,0)),"",INDEX('Compliance Database'!$I$2:$I$630,MATCH(526,'Transfer Engine'!$C$2:$C$630,0)))</f>
        <v/>
      </c>
      <c r="J535" s="8">
        <f>IF(ISNA(MATCH(526,'Transfer Engine'!$C$2:$C$630,0)),"",INDEX('Compliance Database'!$J$2:$J$630,MATCH(526,'Transfer Engine'!$C$2:$C$630,0)))</f>
        <v/>
      </c>
      <c r="K535">
        <f>IF(ISNA(MATCH(526,'Transfer Engine'!$C$2:$C$630,0)),"",INDEX('Compliance Database'!$K$2:$K$630,MATCH(526,'Transfer Engine'!$C$2:$C$630,0)))</f>
        <v/>
      </c>
      <c r="L535" s="8">
        <f>IF(ISNA(MATCH(526,'Transfer Engine'!$C$2:$C$630,0)),"",INDEX('Compliance Database'!$L$2:$L$630,MATCH(526,'Transfer Engine'!$C$2:$C$630,0)))</f>
        <v/>
      </c>
      <c r="M535" s="8">
        <f>IF(ISNA(MATCH(526,'Transfer Engine'!$C$2:$C$630,0)),"",INDEX('Compliance Database'!$M$2:$M$630,MATCH(526,'Transfer Engine'!$C$2:$C$630,0)))</f>
        <v/>
      </c>
      <c r="N535" s="8">
        <f>IF(ISNA(MATCH(526,'Transfer Engine'!$C$2:$C$630,0)),"",INDEX('Compliance Database'!$N$2:$N$630,MATCH(526,'Transfer Engine'!$C$2:$C$630,0)))</f>
        <v/>
      </c>
      <c r="O535" s="8">
        <f>IF(ISNA(MATCH(526,'Transfer Engine'!$C$2:$C$630,0)),"",INDEX('Compliance Database'!$O$2:$O$630,MATCH(526,'Transfer Engine'!$C$2:$C$630,0)))</f>
        <v/>
      </c>
    </row>
    <row r="536">
      <c r="A536">
        <f>IF(ISNA(MATCH(527,'Transfer Engine'!$C$2:$C$630,0)),"",INDEX('Compliance Database'!$A$2:$A$630,MATCH(527,'Transfer Engine'!$C$2:$C$630,0)))</f>
        <v/>
      </c>
      <c r="B536">
        <f>IF(ISNA(MATCH(527,'Transfer Engine'!$C$2:$C$630,0)),"",INDEX('Compliance Database'!$B$2:$B$630,MATCH(527,'Transfer Engine'!$C$2:$C$630,0)))</f>
        <v/>
      </c>
      <c r="C536">
        <f>IF(ISNA(MATCH(527,'Transfer Engine'!$C$2:$C$630,0)),"",INDEX('Compliance Database'!$C$2:$C$630,MATCH(527,'Transfer Engine'!$C$2:$C$630,0)))</f>
        <v/>
      </c>
      <c r="D536" s="8">
        <f>IF(ISNA(MATCH(527,'Transfer Engine'!$C$2:$C$630,0)),"",INDEX('Compliance Database'!$D$2:$D$630,MATCH(527,'Transfer Engine'!$C$2:$C$630,0)))</f>
        <v/>
      </c>
      <c r="E536">
        <f>IF(ISNA(MATCH(527,'Transfer Engine'!$C$2:$C$630,0)),"",INDEX('Compliance Database'!$E$2:$E$630,MATCH(527,'Transfer Engine'!$C$2:$C$630,0)))</f>
        <v/>
      </c>
      <c r="F536">
        <f>IF(ISNA(MATCH(527,'Transfer Engine'!$C$2:$C$630,0)),"",INDEX('Compliance Database'!$F$2:$F$630,MATCH(527,'Transfer Engine'!$C$2:$C$630,0)))</f>
        <v/>
      </c>
      <c r="G536">
        <f>IF(ISNA(MATCH(527,'Transfer Engine'!$C$2:$C$630,0)),"",INDEX('Compliance Database'!$G$2:$G$630,MATCH(527,'Transfer Engine'!$C$2:$C$630,0)))</f>
        <v/>
      </c>
      <c r="H536">
        <f>IF(ISNA(MATCH(527,'Transfer Engine'!$C$2:$C$630,0)),"",INDEX('Compliance Database'!$H$2:$H$630,MATCH(527,'Transfer Engine'!$C$2:$C$630,0)))</f>
        <v/>
      </c>
      <c r="I536" s="8">
        <f>IF(ISNA(MATCH(527,'Transfer Engine'!$C$2:$C$630,0)),"",INDEX('Compliance Database'!$I$2:$I$630,MATCH(527,'Transfer Engine'!$C$2:$C$630,0)))</f>
        <v/>
      </c>
      <c r="J536" s="8">
        <f>IF(ISNA(MATCH(527,'Transfer Engine'!$C$2:$C$630,0)),"",INDEX('Compliance Database'!$J$2:$J$630,MATCH(527,'Transfer Engine'!$C$2:$C$630,0)))</f>
        <v/>
      </c>
      <c r="K536">
        <f>IF(ISNA(MATCH(527,'Transfer Engine'!$C$2:$C$630,0)),"",INDEX('Compliance Database'!$K$2:$K$630,MATCH(527,'Transfer Engine'!$C$2:$C$630,0)))</f>
        <v/>
      </c>
      <c r="L536" s="8">
        <f>IF(ISNA(MATCH(527,'Transfer Engine'!$C$2:$C$630,0)),"",INDEX('Compliance Database'!$L$2:$L$630,MATCH(527,'Transfer Engine'!$C$2:$C$630,0)))</f>
        <v/>
      </c>
      <c r="M536" s="8">
        <f>IF(ISNA(MATCH(527,'Transfer Engine'!$C$2:$C$630,0)),"",INDEX('Compliance Database'!$M$2:$M$630,MATCH(527,'Transfer Engine'!$C$2:$C$630,0)))</f>
        <v/>
      </c>
      <c r="N536" s="8">
        <f>IF(ISNA(MATCH(527,'Transfer Engine'!$C$2:$C$630,0)),"",INDEX('Compliance Database'!$N$2:$N$630,MATCH(527,'Transfer Engine'!$C$2:$C$630,0)))</f>
        <v/>
      </c>
      <c r="O536" s="8">
        <f>IF(ISNA(MATCH(527,'Transfer Engine'!$C$2:$C$630,0)),"",INDEX('Compliance Database'!$O$2:$O$630,MATCH(527,'Transfer Engine'!$C$2:$C$630,0)))</f>
        <v/>
      </c>
    </row>
    <row r="537">
      <c r="A537">
        <f>IF(ISNA(MATCH(528,'Transfer Engine'!$C$2:$C$630,0)),"",INDEX('Compliance Database'!$A$2:$A$630,MATCH(528,'Transfer Engine'!$C$2:$C$630,0)))</f>
        <v/>
      </c>
      <c r="B537">
        <f>IF(ISNA(MATCH(528,'Transfer Engine'!$C$2:$C$630,0)),"",INDEX('Compliance Database'!$B$2:$B$630,MATCH(528,'Transfer Engine'!$C$2:$C$630,0)))</f>
        <v/>
      </c>
      <c r="C537">
        <f>IF(ISNA(MATCH(528,'Transfer Engine'!$C$2:$C$630,0)),"",INDEX('Compliance Database'!$C$2:$C$630,MATCH(528,'Transfer Engine'!$C$2:$C$630,0)))</f>
        <v/>
      </c>
      <c r="D537" s="8">
        <f>IF(ISNA(MATCH(528,'Transfer Engine'!$C$2:$C$630,0)),"",INDEX('Compliance Database'!$D$2:$D$630,MATCH(528,'Transfer Engine'!$C$2:$C$630,0)))</f>
        <v/>
      </c>
      <c r="E537">
        <f>IF(ISNA(MATCH(528,'Transfer Engine'!$C$2:$C$630,0)),"",INDEX('Compliance Database'!$E$2:$E$630,MATCH(528,'Transfer Engine'!$C$2:$C$630,0)))</f>
        <v/>
      </c>
      <c r="F537">
        <f>IF(ISNA(MATCH(528,'Transfer Engine'!$C$2:$C$630,0)),"",INDEX('Compliance Database'!$F$2:$F$630,MATCH(528,'Transfer Engine'!$C$2:$C$630,0)))</f>
        <v/>
      </c>
      <c r="G537">
        <f>IF(ISNA(MATCH(528,'Transfer Engine'!$C$2:$C$630,0)),"",INDEX('Compliance Database'!$G$2:$G$630,MATCH(528,'Transfer Engine'!$C$2:$C$630,0)))</f>
        <v/>
      </c>
      <c r="H537">
        <f>IF(ISNA(MATCH(528,'Transfer Engine'!$C$2:$C$630,0)),"",INDEX('Compliance Database'!$H$2:$H$630,MATCH(528,'Transfer Engine'!$C$2:$C$630,0)))</f>
        <v/>
      </c>
      <c r="I537" s="8">
        <f>IF(ISNA(MATCH(528,'Transfer Engine'!$C$2:$C$630,0)),"",INDEX('Compliance Database'!$I$2:$I$630,MATCH(528,'Transfer Engine'!$C$2:$C$630,0)))</f>
        <v/>
      </c>
      <c r="J537" s="8">
        <f>IF(ISNA(MATCH(528,'Transfer Engine'!$C$2:$C$630,0)),"",INDEX('Compliance Database'!$J$2:$J$630,MATCH(528,'Transfer Engine'!$C$2:$C$630,0)))</f>
        <v/>
      </c>
      <c r="K537">
        <f>IF(ISNA(MATCH(528,'Transfer Engine'!$C$2:$C$630,0)),"",INDEX('Compliance Database'!$K$2:$K$630,MATCH(528,'Transfer Engine'!$C$2:$C$630,0)))</f>
        <v/>
      </c>
      <c r="L537" s="8">
        <f>IF(ISNA(MATCH(528,'Transfer Engine'!$C$2:$C$630,0)),"",INDEX('Compliance Database'!$L$2:$L$630,MATCH(528,'Transfer Engine'!$C$2:$C$630,0)))</f>
        <v/>
      </c>
      <c r="M537" s="8">
        <f>IF(ISNA(MATCH(528,'Transfer Engine'!$C$2:$C$630,0)),"",INDEX('Compliance Database'!$M$2:$M$630,MATCH(528,'Transfer Engine'!$C$2:$C$630,0)))</f>
        <v/>
      </c>
      <c r="N537" s="8">
        <f>IF(ISNA(MATCH(528,'Transfer Engine'!$C$2:$C$630,0)),"",INDEX('Compliance Database'!$N$2:$N$630,MATCH(528,'Transfer Engine'!$C$2:$C$630,0)))</f>
        <v/>
      </c>
      <c r="O537" s="8">
        <f>IF(ISNA(MATCH(528,'Transfer Engine'!$C$2:$C$630,0)),"",INDEX('Compliance Database'!$O$2:$O$630,MATCH(528,'Transfer Engine'!$C$2:$C$630,0)))</f>
        <v/>
      </c>
    </row>
    <row r="538">
      <c r="A538">
        <f>IF(ISNA(MATCH(529,'Transfer Engine'!$C$2:$C$630,0)),"",INDEX('Compliance Database'!$A$2:$A$630,MATCH(529,'Transfer Engine'!$C$2:$C$630,0)))</f>
        <v/>
      </c>
      <c r="B538">
        <f>IF(ISNA(MATCH(529,'Transfer Engine'!$C$2:$C$630,0)),"",INDEX('Compliance Database'!$B$2:$B$630,MATCH(529,'Transfer Engine'!$C$2:$C$630,0)))</f>
        <v/>
      </c>
      <c r="C538">
        <f>IF(ISNA(MATCH(529,'Transfer Engine'!$C$2:$C$630,0)),"",INDEX('Compliance Database'!$C$2:$C$630,MATCH(529,'Transfer Engine'!$C$2:$C$630,0)))</f>
        <v/>
      </c>
      <c r="D538" s="8">
        <f>IF(ISNA(MATCH(529,'Transfer Engine'!$C$2:$C$630,0)),"",INDEX('Compliance Database'!$D$2:$D$630,MATCH(529,'Transfer Engine'!$C$2:$C$630,0)))</f>
        <v/>
      </c>
      <c r="E538">
        <f>IF(ISNA(MATCH(529,'Transfer Engine'!$C$2:$C$630,0)),"",INDEX('Compliance Database'!$E$2:$E$630,MATCH(529,'Transfer Engine'!$C$2:$C$630,0)))</f>
        <v/>
      </c>
      <c r="F538">
        <f>IF(ISNA(MATCH(529,'Transfer Engine'!$C$2:$C$630,0)),"",INDEX('Compliance Database'!$F$2:$F$630,MATCH(529,'Transfer Engine'!$C$2:$C$630,0)))</f>
        <v/>
      </c>
      <c r="G538">
        <f>IF(ISNA(MATCH(529,'Transfer Engine'!$C$2:$C$630,0)),"",INDEX('Compliance Database'!$G$2:$G$630,MATCH(529,'Transfer Engine'!$C$2:$C$630,0)))</f>
        <v/>
      </c>
      <c r="H538">
        <f>IF(ISNA(MATCH(529,'Transfer Engine'!$C$2:$C$630,0)),"",INDEX('Compliance Database'!$H$2:$H$630,MATCH(529,'Transfer Engine'!$C$2:$C$630,0)))</f>
        <v/>
      </c>
      <c r="I538" s="8">
        <f>IF(ISNA(MATCH(529,'Transfer Engine'!$C$2:$C$630,0)),"",INDEX('Compliance Database'!$I$2:$I$630,MATCH(529,'Transfer Engine'!$C$2:$C$630,0)))</f>
        <v/>
      </c>
      <c r="J538" s="8">
        <f>IF(ISNA(MATCH(529,'Transfer Engine'!$C$2:$C$630,0)),"",INDEX('Compliance Database'!$J$2:$J$630,MATCH(529,'Transfer Engine'!$C$2:$C$630,0)))</f>
        <v/>
      </c>
      <c r="K538">
        <f>IF(ISNA(MATCH(529,'Transfer Engine'!$C$2:$C$630,0)),"",INDEX('Compliance Database'!$K$2:$K$630,MATCH(529,'Transfer Engine'!$C$2:$C$630,0)))</f>
        <v/>
      </c>
      <c r="L538" s="8">
        <f>IF(ISNA(MATCH(529,'Transfer Engine'!$C$2:$C$630,0)),"",INDEX('Compliance Database'!$L$2:$L$630,MATCH(529,'Transfer Engine'!$C$2:$C$630,0)))</f>
        <v/>
      </c>
      <c r="M538" s="8">
        <f>IF(ISNA(MATCH(529,'Transfer Engine'!$C$2:$C$630,0)),"",INDEX('Compliance Database'!$M$2:$M$630,MATCH(529,'Transfer Engine'!$C$2:$C$630,0)))</f>
        <v/>
      </c>
      <c r="N538" s="8">
        <f>IF(ISNA(MATCH(529,'Transfer Engine'!$C$2:$C$630,0)),"",INDEX('Compliance Database'!$N$2:$N$630,MATCH(529,'Transfer Engine'!$C$2:$C$630,0)))</f>
        <v/>
      </c>
      <c r="O538" s="8">
        <f>IF(ISNA(MATCH(529,'Transfer Engine'!$C$2:$C$630,0)),"",INDEX('Compliance Database'!$O$2:$O$630,MATCH(529,'Transfer Engine'!$C$2:$C$630,0)))</f>
        <v/>
      </c>
    </row>
    <row r="539">
      <c r="A539">
        <f>IF(ISNA(MATCH(530,'Transfer Engine'!$C$2:$C$630,0)),"",INDEX('Compliance Database'!$A$2:$A$630,MATCH(530,'Transfer Engine'!$C$2:$C$630,0)))</f>
        <v/>
      </c>
      <c r="B539">
        <f>IF(ISNA(MATCH(530,'Transfer Engine'!$C$2:$C$630,0)),"",INDEX('Compliance Database'!$B$2:$B$630,MATCH(530,'Transfer Engine'!$C$2:$C$630,0)))</f>
        <v/>
      </c>
      <c r="C539">
        <f>IF(ISNA(MATCH(530,'Transfer Engine'!$C$2:$C$630,0)),"",INDEX('Compliance Database'!$C$2:$C$630,MATCH(530,'Transfer Engine'!$C$2:$C$630,0)))</f>
        <v/>
      </c>
      <c r="D539" s="8">
        <f>IF(ISNA(MATCH(530,'Transfer Engine'!$C$2:$C$630,0)),"",INDEX('Compliance Database'!$D$2:$D$630,MATCH(530,'Transfer Engine'!$C$2:$C$630,0)))</f>
        <v/>
      </c>
      <c r="E539">
        <f>IF(ISNA(MATCH(530,'Transfer Engine'!$C$2:$C$630,0)),"",INDEX('Compliance Database'!$E$2:$E$630,MATCH(530,'Transfer Engine'!$C$2:$C$630,0)))</f>
        <v/>
      </c>
      <c r="F539">
        <f>IF(ISNA(MATCH(530,'Transfer Engine'!$C$2:$C$630,0)),"",INDEX('Compliance Database'!$F$2:$F$630,MATCH(530,'Transfer Engine'!$C$2:$C$630,0)))</f>
        <v/>
      </c>
      <c r="G539">
        <f>IF(ISNA(MATCH(530,'Transfer Engine'!$C$2:$C$630,0)),"",INDEX('Compliance Database'!$G$2:$G$630,MATCH(530,'Transfer Engine'!$C$2:$C$630,0)))</f>
        <v/>
      </c>
      <c r="H539">
        <f>IF(ISNA(MATCH(530,'Transfer Engine'!$C$2:$C$630,0)),"",INDEX('Compliance Database'!$H$2:$H$630,MATCH(530,'Transfer Engine'!$C$2:$C$630,0)))</f>
        <v/>
      </c>
      <c r="I539" s="8">
        <f>IF(ISNA(MATCH(530,'Transfer Engine'!$C$2:$C$630,0)),"",INDEX('Compliance Database'!$I$2:$I$630,MATCH(530,'Transfer Engine'!$C$2:$C$630,0)))</f>
        <v/>
      </c>
      <c r="J539" s="8">
        <f>IF(ISNA(MATCH(530,'Transfer Engine'!$C$2:$C$630,0)),"",INDEX('Compliance Database'!$J$2:$J$630,MATCH(530,'Transfer Engine'!$C$2:$C$630,0)))</f>
        <v/>
      </c>
      <c r="K539">
        <f>IF(ISNA(MATCH(530,'Transfer Engine'!$C$2:$C$630,0)),"",INDEX('Compliance Database'!$K$2:$K$630,MATCH(530,'Transfer Engine'!$C$2:$C$630,0)))</f>
        <v/>
      </c>
      <c r="L539" s="8">
        <f>IF(ISNA(MATCH(530,'Transfer Engine'!$C$2:$C$630,0)),"",INDEX('Compliance Database'!$L$2:$L$630,MATCH(530,'Transfer Engine'!$C$2:$C$630,0)))</f>
        <v/>
      </c>
      <c r="M539" s="8">
        <f>IF(ISNA(MATCH(530,'Transfer Engine'!$C$2:$C$630,0)),"",INDEX('Compliance Database'!$M$2:$M$630,MATCH(530,'Transfer Engine'!$C$2:$C$630,0)))</f>
        <v/>
      </c>
      <c r="N539" s="8">
        <f>IF(ISNA(MATCH(530,'Transfer Engine'!$C$2:$C$630,0)),"",INDEX('Compliance Database'!$N$2:$N$630,MATCH(530,'Transfer Engine'!$C$2:$C$630,0)))</f>
        <v/>
      </c>
      <c r="O539" s="8">
        <f>IF(ISNA(MATCH(530,'Transfer Engine'!$C$2:$C$630,0)),"",INDEX('Compliance Database'!$O$2:$O$630,MATCH(530,'Transfer Engine'!$C$2:$C$630,0)))</f>
        <v/>
      </c>
    </row>
    <row r="540">
      <c r="A540">
        <f>IF(ISNA(MATCH(531,'Transfer Engine'!$C$2:$C$630,0)),"",INDEX('Compliance Database'!$A$2:$A$630,MATCH(531,'Transfer Engine'!$C$2:$C$630,0)))</f>
        <v/>
      </c>
      <c r="B540">
        <f>IF(ISNA(MATCH(531,'Transfer Engine'!$C$2:$C$630,0)),"",INDEX('Compliance Database'!$B$2:$B$630,MATCH(531,'Transfer Engine'!$C$2:$C$630,0)))</f>
        <v/>
      </c>
      <c r="C540">
        <f>IF(ISNA(MATCH(531,'Transfer Engine'!$C$2:$C$630,0)),"",INDEX('Compliance Database'!$C$2:$C$630,MATCH(531,'Transfer Engine'!$C$2:$C$630,0)))</f>
        <v/>
      </c>
      <c r="D540" s="8">
        <f>IF(ISNA(MATCH(531,'Transfer Engine'!$C$2:$C$630,0)),"",INDEX('Compliance Database'!$D$2:$D$630,MATCH(531,'Transfer Engine'!$C$2:$C$630,0)))</f>
        <v/>
      </c>
      <c r="E540">
        <f>IF(ISNA(MATCH(531,'Transfer Engine'!$C$2:$C$630,0)),"",INDEX('Compliance Database'!$E$2:$E$630,MATCH(531,'Transfer Engine'!$C$2:$C$630,0)))</f>
        <v/>
      </c>
      <c r="F540">
        <f>IF(ISNA(MATCH(531,'Transfer Engine'!$C$2:$C$630,0)),"",INDEX('Compliance Database'!$F$2:$F$630,MATCH(531,'Transfer Engine'!$C$2:$C$630,0)))</f>
        <v/>
      </c>
      <c r="G540">
        <f>IF(ISNA(MATCH(531,'Transfer Engine'!$C$2:$C$630,0)),"",INDEX('Compliance Database'!$G$2:$G$630,MATCH(531,'Transfer Engine'!$C$2:$C$630,0)))</f>
        <v/>
      </c>
      <c r="H540">
        <f>IF(ISNA(MATCH(531,'Transfer Engine'!$C$2:$C$630,0)),"",INDEX('Compliance Database'!$H$2:$H$630,MATCH(531,'Transfer Engine'!$C$2:$C$630,0)))</f>
        <v/>
      </c>
      <c r="I540" s="8">
        <f>IF(ISNA(MATCH(531,'Transfer Engine'!$C$2:$C$630,0)),"",INDEX('Compliance Database'!$I$2:$I$630,MATCH(531,'Transfer Engine'!$C$2:$C$630,0)))</f>
        <v/>
      </c>
      <c r="J540" s="8">
        <f>IF(ISNA(MATCH(531,'Transfer Engine'!$C$2:$C$630,0)),"",INDEX('Compliance Database'!$J$2:$J$630,MATCH(531,'Transfer Engine'!$C$2:$C$630,0)))</f>
        <v/>
      </c>
      <c r="K540">
        <f>IF(ISNA(MATCH(531,'Transfer Engine'!$C$2:$C$630,0)),"",INDEX('Compliance Database'!$K$2:$K$630,MATCH(531,'Transfer Engine'!$C$2:$C$630,0)))</f>
        <v/>
      </c>
      <c r="L540" s="8">
        <f>IF(ISNA(MATCH(531,'Transfer Engine'!$C$2:$C$630,0)),"",INDEX('Compliance Database'!$L$2:$L$630,MATCH(531,'Transfer Engine'!$C$2:$C$630,0)))</f>
        <v/>
      </c>
      <c r="M540" s="8">
        <f>IF(ISNA(MATCH(531,'Transfer Engine'!$C$2:$C$630,0)),"",INDEX('Compliance Database'!$M$2:$M$630,MATCH(531,'Transfer Engine'!$C$2:$C$630,0)))</f>
        <v/>
      </c>
      <c r="N540" s="8">
        <f>IF(ISNA(MATCH(531,'Transfer Engine'!$C$2:$C$630,0)),"",INDEX('Compliance Database'!$N$2:$N$630,MATCH(531,'Transfer Engine'!$C$2:$C$630,0)))</f>
        <v/>
      </c>
      <c r="O540" s="8">
        <f>IF(ISNA(MATCH(531,'Transfer Engine'!$C$2:$C$630,0)),"",INDEX('Compliance Database'!$O$2:$O$630,MATCH(531,'Transfer Engine'!$C$2:$C$630,0)))</f>
        <v/>
      </c>
    </row>
    <row r="541">
      <c r="A541">
        <f>IF(ISNA(MATCH(532,'Transfer Engine'!$C$2:$C$630,0)),"",INDEX('Compliance Database'!$A$2:$A$630,MATCH(532,'Transfer Engine'!$C$2:$C$630,0)))</f>
        <v/>
      </c>
      <c r="B541">
        <f>IF(ISNA(MATCH(532,'Transfer Engine'!$C$2:$C$630,0)),"",INDEX('Compliance Database'!$B$2:$B$630,MATCH(532,'Transfer Engine'!$C$2:$C$630,0)))</f>
        <v/>
      </c>
      <c r="C541">
        <f>IF(ISNA(MATCH(532,'Transfer Engine'!$C$2:$C$630,0)),"",INDEX('Compliance Database'!$C$2:$C$630,MATCH(532,'Transfer Engine'!$C$2:$C$630,0)))</f>
        <v/>
      </c>
      <c r="D541" s="8">
        <f>IF(ISNA(MATCH(532,'Transfer Engine'!$C$2:$C$630,0)),"",INDEX('Compliance Database'!$D$2:$D$630,MATCH(532,'Transfer Engine'!$C$2:$C$630,0)))</f>
        <v/>
      </c>
      <c r="E541">
        <f>IF(ISNA(MATCH(532,'Transfer Engine'!$C$2:$C$630,0)),"",INDEX('Compliance Database'!$E$2:$E$630,MATCH(532,'Transfer Engine'!$C$2:$C$630,0)))</f>
        <v/>
      </c>
      <c r="F541">
        <f>IF(ISNA(MATCH(532,'Transfer Engine'!$C$2:$C$630,0)),"",INDEX('Compliance Database'!$F$2:$F$630,MATCH(532,'Transfer Engine'!$C$2:$C$630,0)))</f>
        <v/>
      </c>
      <c r="G541">
        <f>IF(ISNA(MATCH(532,'Transfer Engine'!$C$2:$C$630,0)),"",INDEX('Compliance Database'!$G$2:$G$630,MATCH(532,'Transfer Engine'!$C$2:$C$630,0)))</f>
        <v/>
      </c>
      <c r="H541">
        <f>IF(ISNA(MATCH(532,'Transfer Engine'!$C$2:$C$630,0)),"",INDEX('Compliance Database'!$H$2:$H$630,MATCH(532,'Transfer Engine'!$C$2:$C$630,0)))</f>
        <v/>
      </c>
      <c r="I541" s="8">
        <f>IF(ISNA(MATCH(532,'Transfer Engine'!$C$2:$C$630,0)),"",INDEX('Compliance Database'!$I$2:$I$630,MATCH(532,'Transfer Engine'!$C$2:$C$630,0)))</f>
        <v/>
      </c>
      <c r="J541" s="8">
        <f>IF(ISNA(MATCH(532,'Transfer Engine'!$C$2:$C$630,0)),"",INDEX('Compliance Database'!$J$2:$J$630,MATCH(532,'Transfer Engine'!$C$2:$C$630,0)))</f>
        <v/>
      </c>
      <c r="K541">
        <f>IF(ISNA(MATCH(532,'Transfer Engine'!$C$2:$C$630,0)),"",INDEX('Compliance Database'!$K$2:$K$630,MATCH(532,'Transfer Engine'!$C$2:$C$630,0)))</f>
        <v/>
      </c>
      <c r="L541" s="8">
        <f>IF(ISNA(MATCH(532,'Transfer Engine'!$C$2:$C$630,0)),"",INDEX('Compliance Database'!$L$2:$L$630,MATCH(532,'Transfer Engine'!$C$2:$C$630,0)))</f>
        <v/>
      </c>
      <c r="M541" s="8">
        <f>IF(ISNA(MATCH(532,'Transfer Engine'!$C$2:$C$630,0)),"",INDEX('Compliance Database'!$M$2:$M$630,MATCH(532,'Transfer Engine'!$C$2:$C$630,0)))</f>
        <v/>
      </c>
      <c r="N541" s="8">
        <f>IF(ISNA(MATCH(532,'Transfer Engine'!$C$2:$C$630,0)),"",INDEX('Compliance Database'!$N$2:$N$630,MATCH(532,'Transfer Engine'!$C$2:$C$630,0)))</f>
        <v/>
      </c>
      <c r="O541" s="8">
        <f>IF(ISNA(MATCH(532,'Transfer Engine'!$C$2:$C$630,0)),"",INDEX('Compliance Database'!$O$2:$O$630,MATCH(532,'Transfer Engine'!$C$2:$C$630,0)))</f>
        <v/>
      </c>
    </row>
    <row r="542">
      <c r="A542">
        <f>IF(ISNA(MATCH(533,'Transfer Engine'!$C$2:$C$630,0)),"",INDEX('Compliance Database'!$A$2:$A$630,MATCH(533,'Transfer Engine'!$C$2:$C$630,0)))</f>
        <v/>
      </c>
      <c r="B542">
        <f>IF(ISNA(MATCH(533,'Transfer Engine'!$C$2:$C$630,0)),"",INDEX('Compliance Database'!$B$2:$B$630,MATCH(533,'Transfer Engine'!$C$2:$C$630,0)))</f>
        <v/>
      </c>
      <c r="C542">
        <f>IF(ISNA(MATCH(533,'Transfer Engine'!$C$2:$C$630,0)),"",INDEX('Compliance Database'!$C$2:$C$630,MATCH(533,'Transfer Engine'!$C$2:$C$630,0)))</f>
        <v/>
      </c>
      <c r="D542" s="8">
        <f>IF(ISNA(MATCH(533,'Transfer Engine'!$C$2:$C$630,0)),"",INDEX('Compliance Database'!$D$2:$D$630,MATCH(533,'Transfer Engine'!$C$2:$C$630,0)))</f>
        <v/>
      </c>
      <c r="E542">
        <f>IF(ISNA(MATCH(533,'Transfer Engine'!$C$2:$C$630,0)),"",INDEX('Compliance Database'!$E$2:$E$630,MATCH(533,'Transfer Engine'!$C$2:$C$630,0)))</f>
        <v/>
      </c>
      <c r="F542">
        <f>IF(ISNA(MATCH(533,'Transfer Engine'!$C$2:$C$630,0)),"",INDEX('Compliance Database'!$F$2:$F$630,MATCH(533,'Transfer Engine'!$C$2:$C$630,0)))</f>
        <v/>
      </c>
      <c r="G542">
        <f>IF(ISNA(MATCH(533,'Transfer Engine'!$C$2:$C$630,0)),"",INDEX('Compliance Database'!$G$2:$G$630,MATCH(533,'Transfer Engine'!$C$2:$C$630,0)))</f>
        <v/>
      </c>
      <c r="H542">
        <f>IF(ISNA(MATCH(533,'Transfer Engine'!$C$2:$C$630,0)),"",INDEX('Compliance Database'!$H$2:$H$630,MATCH(533,'Transfer Engine'!$C$2:$C$630,0)))</f>
        <v/>
      </c>
      <c r="I542" s="8">
        <f>IF(ISNA(MATCH(533,'Transfer Engine'!$C$2:$C$630,0)),"",INDEX('Compliance Database'!$I$2:$I$630,MATCH(533,'Transfer Engine'!$C$2:$C$630,0)))</f>
        <v/>
      </c>
      <c r="J542" s="8">
        <f>IF(ISNA(MATCH(533,'Transfer Engine'!$C$2:$C$630,0)),"",INDEX('Compliance Database'!$J$2:$J$630,MATCH(533,'Transfer Engine'!$C$2:$C$630,0)))</f>
        <v/>
      </c>
      <c r="K542">
        <f>IF(ISNA(MATCH(533,'Transfer Engine'!$C$2:$C$630,0)),"",INDEX('Compliance Database'!$K$2:$K$630,MATCH(533,'Transfer Engine'!$C$2:$C$630,0)))</f>
        <v/>
      </c>
      <c r="L542" s="8">
        <f>IF(ISNA(MATCH(533,'Transfer Engine'!$C$2:$C$630,0)),"",INDEX('Compliance Database'!$L$2:$L$630,MATCH(533,'Transfer Engine'!$C$2:$C$630,0)))</f>
        <v/>
      </c>
      <c r="M542" s="8">
        <f>IF(ISNA(MATCH(533,'Transfer Engine'!$C$2:$C$630,0)),"",INDEX('Compliance Database'!$M$2:$M$630,MATCH(533,'Transfer Engine'!$C$2:$C$630,0)))</f>
        <v/>
      </c>
      <c r="N542" s="8">
        <f>IF(ISNA(MATCH(533,'Transfer Engine'!$C$2:$C$630,0)),"",INDEX('Compliance Database'!$N$2:$N$630,MATCH(533,'Transfer Engine'!$C$2:$C$630,0)))</f>
        <v/>
      </c>
      <c r="O542" s="8">
        <f>IF(ISNA(MATCH(533,'Transfer Engine'!$C$2:$C$630,0)),"",INDEX('Compliance Database'!$O$2:$O$630,MATCH(533,'Transfer Engine'!$C$2:$C$630,0)))</f>
        <v/>
      </c>
    </row>
    <row r="543">
      <c r="A543">
        <f>IF(ISNA(MATCH(534,'Transfer Engine'!$C$2:$C$630,0)),"",INDEX('Compliance Database'!$A$2:$A$630,MATCH(534,'Transfer Engine'!$C$2:$C$630,0)))</f>
        <v/>
      </c>
      <c r="B543">
        <f>IF(ISNA(MATCH(534,'Transfer Engine'!$C$2:$C$630,0)),"",INDEX('Compliance Database'!$B$2:$B$630,MATCH(534,'Transfer Engine'!$C$2:$C$630,0)))</f>
        <v/>
      </c>
      <c r="C543">
        <f>IF(ISNA(MATCH(534,'Transfer Engine'!$C$2:$C$630,0)),"",INDEX('Compliance Database'!$C$2:$C$630,MATCH(534,'Transfer Engine'!$C$2:$C$630,0)))</f>
        <v/>
      </c>
      <c r="D543" s="8">
        <f>IF(ISNA(MATCH(534,'Transfer Engine'!$C$2:$C$630,0)),"",INDEX('Compliance Database'!$D$2:$D$630,MATCH(534,'Transfer Engine'!$C$2:$C$630,0)))</f>
        <v/>
      </c>
      <c r="E543">
        <f>IF(ISNA(MATCH(534,'Transfer Engine'!$C$2:$C$630,0)),"",INDEX('Compliance Database'!$E$2:$E$630,MATCH(534,'Transfer Engine'!$C$2:$C$630,0)))</f>
        <v/>
      </c>
      <c r="F543">
        <f>IF(ISNA(MATCH(534,'Transfer Engine'!$C$2:$C$630,0)),"",INDEX('Compliance Database'!$F$2:$F$630,MATCH(534,'Transfer Engine'!$C$2:$C$630,0)))</f>
        <v/>
      </c>
      <c r="G543">
        <f>IF(ISNA(MATCH(534,'Transfer Engine'!$C$2:$C$630,0)),"",INDEX('Compliance Database'!$G$2:$G$630,MATCH(534,'Transfer Engine'!$C$2:$C$630,0)))</f>
        <v/>
      </c>
      <c r="H543">
        <f>IF(ISNA(MATCH(534,'Transfer Engine'!$C$2:$C$630,0)),"",INDEX('Compliance Database'!$H$2:$H$630,MATCH(534,'Transfer Engine'!$C$2:$C$630,0)))</f>
        <v/>
      </c>
      <c r="I543" s="8">
        <f>IF(ISNA(MATCH(534,'Transfer Engine'!$C$2:$C$630,0)),"",INDEX('Compliance Database'!$I$2:$I$630,MATCH(534,'Transfer Engine'!$C$2:$C$630,0)))</f>
        <v/>
      </c>
      <c r="J543" s="8">
        <f>IF(ISNA(MATCH(534,'Transfer Engine'!$C$2:$C$630,0)),"",INDEX('Compliance Database'!$J$2:$J$630,MATCH(534,'Transfer Engine'!$C$2:$C$630,0)))</f>
        <v/>
      </c>
      <c r="K543">
        <f>IF(ISNA(MATCH(534,'Transfer Engine'!$C$2:$C$630,0)),"",INDEX('Compliance Database'!$K$2:$K$630,MATCH(534,'Transfer Engine'!$C$2:$C$630,0)))</f>
        <v/>
      </c>
      <c r="L543" s="8">
        <f>IF(ISNA(MATCH(534,'Transfer Engine'!$C$2:$C$630,0)),"",INDEX('Compliance Database'!$L$2:$L$630,MATCH(534,'Transfer Engine'!$C$2:$C$630,0)))</f>
        <v/>
      </c>
      <c r="M543" s="8">
        <f>IF(ISNA(MATCH(534,'Transfer Engine'!$C$2:$C$630,0)),"",INDEX('Compliance Database'!$M$2:$M$630,MATCH(534,'Transfer Engine'!$C$2:$C$630,0)))</f>
        <v/>
      </c>
      <c r="N543" s="8">
        <f>IF(ISNA(MATCH(534,'Transfer Engine'!$C$2:$C$630,0)),"",INDEX('Compliance Database'!$N$2:$N$630,MATCH(534,'Transfer Engine'!$C$2:$C$630,0)))</f>
        <v/>
      </c>
      <c r="O543" s="8">
        <f>IF(ISNA(MATCH(534,'Transfer Engine'!$C$2:$C$630,0)),"",INDEX('Compliance Database'!$O$2:$O$630,MATCH(534,'Transfer Engine'!$C$2:$C$630,0)))</f>
        <v/>
      </c>
    </row>
    <row r="544">
      <c r="A544">
        <f>IF(ISNA(MATCH(535,'Transfer Engine'!$C$2:$C$630,0)),"",INDEX('Compliance Database'!$A$2:$A$630,MATCH(535,'Transfer Engine'!$C$2:$C$630,0)))</f>
        <v/>
      </c>
      <c r="B544">
        <f>IF(ISNA(MATCH(535,'Transfer Engine'!$C$2:$C$630,0)),"",INDEX('Compliance Database'!$B$2:$B$630,MATCH(535,'Transfer Engine'!$C$2:$C$630,0)))</f>
        <v/>
      </c>
      <c r="C544">
        <f>IF(ISNA(MATCH(535,'Transfer Engine'!$C$2:$C$630,0)),"",INDEX('Compliance Database'!$C$2:$C$630,MATCH(535,'Transfer Engine'!$C$2:$C$630,0)))</f>
        <v/>
      </c>
      <c r="D544" s="8">
        <f>IF(ISNA(MATCH(535,'Transfer Engine'!$C$2:$C$630,0)),"",INDEX('Compliance Database'!$D$2:$D$630,MATCH(535,'Transfer Engine'!$C$2:$C$630,0)))</f>
        <v/>
      </c>
      <c r="E544">
        <f>IF(ISNA(MATCH(535,'Transfer Engine'!$C$2:$C$630,0)),"",INDEX('Compliance Database'!$E$2:$E$630,MATCH(535,'Transfer Engine'!$C$2:$C$630,0)))</f>
        <v/>
      </c>
      <c r="F544">
        <f>IF(ISNA(MATCH(535,'Transfer Engine'!$C$2:$C$630,0)),"",INDEX('Compliance Database'!$F$2:$F$630,MATCH(535,'Transfer Engine'!$C$2:$C$630,0)))</f>
        <v/>
      </c>
      <c r="G544">
        <f>IF(ISNA(MATCH(535,'Transfer Engine'!$C$2:$C$630,0)),"",INDEX('Compliance Database'!$G$2:$G$630,MATCH(535,'Transfer Engine'!$C$2:$C$630,0)))</f>
        <v/>
      </c>
      <c r="H544">
        <f>IF(ISNA(MATCH(535,'Transfer Engine'!$C$2:$C$630,0)),"",INDEX('Compliance Database'!$H$2:$H$630,MATCH(535,'Transfer Engine'!$C$2:$C$630,0)))</f>
        <v/>
      </c>
      <c r="I544" s="8">
        <f>IF(ISNA(MATCH(535,'Transfer Engine'!$C$2:$C$630,0)),"",INDEX('Compliance Database'!$I$2:$I$630,MATCH(535,'Transfer Engine'!$C$2:$C$630,0)))</f>
        <v/>
      </c>
      <c r="J544" s="8">
        <f>IF(ISNA(MATCH(535,'Transfer Engine'!$C$2:$C$630,0)),"",INDEX('Compliance Database'!$J$2:$J$630,MATCH(535,'Transfer Engine'!$C$2:$C$630,0)))</f>
        <v/>
      </c>
      <c r="K544">
        <f>IF(ISNA(MATCH(535,'Transfer Engine'!$C$2:$C$630,0)),"",INDEX('Compliance Database'!$K$2:$K$630,MATCH(535,'Transfer Engine'!$C$2:$C$630,0)))</f>
        <v/>
      </c>
      <c r="L544" s="8">
        <f>IF(ISNA(MATCH(535,'Transfer Engine'!$C$2:$C$630,0)),"",INDEX('Compliance Database'!$L$2:$L$630,MATCH(535,'Transfer Engine'!$C$2:$C$630,0)))</f>
        <v/>
      </c>
      <c r="M544" s="8">
        <f>IF(ISNA(MATCH(535,'Transfer Engine'!$C$2:$C$630,0)),"",INDEX('Compliance Database'!$M$2:$M$630,MATCH(535,'Transfer Engine'!$C$2:$C$630,0)))</f>
        <v/>
      </c>
      <c r="N544" s="8">
        <f>IF(ISNA(MATCH(535,'Transfer Engine'!$C$2:$C$630,0)),"",INDEX('Compliance Database'!$N$2:$N$630,MATCH(535,'Transfer Engine'!$C$2:$C$630,0)))</f>
        <v/>
      </c>
      <c r="O544" s="8">
        <f>IF(ISNA(MATCH(535,'Transfer Engine'!$C$2:$C$630,0)),"",INDEX('Compliance Database'!$O$2:$O$630,MATCH(535,'Transfer Engine'!$C$2:$C$630,0)))</f>
        <v/>
      </c>
    </row>
    <row r="545">
      <c r="A545">
        <f>IF(ISNA(MATCH(536,'Transfer Engine'!$C$2:$C$630,0)),"",INDEX('Compliance Database'!$A$2:$A$630,MATCH(536,'Transfer Engine'!$C$2:$C$630,0)))</f>
        <v/>
      </c>
      <c r="B545">
        <f>IF(ISNA(MATCH(536,'Transfer Engine'!$C$2:$C$630,0)),"",INDEX('Compliance Database'!$B$2:$B$630,MATCH(536,'Transfer Engine'!$C$2:$C$630,0)))</f>
        <v/>
      </c>
      <c r="C545">
        <f>IF(ISNA(MATCH(536,'Transfer Engine'!$C$2:$C$630,0)),"",INDEX('Compliance Database'!$C$2:$C$630,MATCH(536,'Transfer Engine'!$C$2:$C$630,0)))</f>
        <v/>
      </c>
      <c r="D545" s="8">
        <f>IF(ISNA(MATCH(536,'Transfer Engine'!$C$2:$C$630,0)),"",INDEX('Compliance Database'!$D$2:$D$630,MATCH(536,'Transfer Engine'!$C$2:$C$630,0)))</f>
        <v/>
      </c>
      <c r="E545">
        <f>IF(ISNA(MATCH(536,'Transfer Engine'!$C$2:$C$630,0)),"",INDEX('Compliance Database'!$E$2:$E$630,MATCH(536,'Transfer Engine'!$C$2:$C$630,0)))</f>
        <v/>
      </c>
      <c r="F545">
        <f>IF(ISNA(MATCH(536,'Transfer Engine'!$C$2:$C$630,0)),"",INDEX('Compliance Database'!$F$2:$F$630,MATCH(536,'Transfer Engine'!$C$2:$C$630,0)))</f>
        <v/>
      </c>
      <c r="G545">
        <f>IF(ISNA(MATCH(536,'Transfer Engine'!$C$2:$C$630,0)),"",INDEX('Compliance Database'!$G$2:$G$630,MATCH(536,'Transfer Engine'!$C$2:$C$630,0)))</f>
        <v/>
      </c>
      <c r="H545">
        <f>IF(ISNA(MATCH(536,'Transfer Engine'!$C$2:$C$630,0)),"",INDEX('Compliance Database'!$H$2:$H$630,MATCH(536,'Transfer Engine'!$C$2:$C$630,0)))</f>
        <v/>
      </c>
      <c r="I545" s="8">
        <f>IF(ISNA(MATCH(536,'Transfer Engine'!$C$2:$C$630,0)),"",INDEX('Compliance Database'!$I$2:$I$630,MATCH(536,'Transfer Engine'!$C$2:$C$630,0)))</f>
        <v/>
      </c>
      <c r="J545" s="8">
        <f>IF(ISNA(MATCH(536,'Transfer Engine'!$C$2:$C$630,0)),"",INDEX('Compliance Database'!$J$2:$J$630,MATCH(536,'Transfer Engine'!$C$2:$C$630,0)))</f>
        <v/>
      </c>
      <c r="K545">
        <f>IF(ISNA(MATCH(536,'Transfer Engine'!$C$2:$C$630,0)),"",INDEX('Compliance Database'!$K$2:$K$630,MATCH(536,'Transfer Engine'!$C$2:$C$630,0)))</f>
        <v/>
      </c>
      <c r="L545" s="8">
        <f>IF(ISNA(MATCH(536,'Transfer Engine'!$C$2:$C$630,0)),"",INDEX('Compliance Database'!$L$2:$L$630,MATCH(536,'Transfer Engine'!$C$2:$C$630,0)))</f>
        <v/>
      </c>
      <c r="M545" s="8">
        <f>IF(ISNA(MATCH(536,'Transfer Engine'!$C$2:$C$630,0)),"",INDEX('Compliance Database'!$M$2:$M$630,MATCH(536,'Transfer Engine'!$C$2:$C$630,0)))</f>
        <v/>
      </c>
      <c r="N545" s="8">
        <f>IF(ISNA(MATCH(536,'Transfer Engine'!$C$2:$C$630,0)),"",INDEX('Compliance Database'!$N$2:$N$630,MATCH(536,'Transfer Engine'!$C$2:$C$630,0)))</f>
        <v/>
      </c>
      <c r="O545" s="8">
        <f>IF(ISNA(MATCH(536,'Transfer Engine'!$C$2:$C$630,0)),"",INDEX('Compliance Database'!$O$2:$O$630,MATCH(536,'Transfer Engine'!$C$2:$C$630,0)))</f>
        <v/>
      </c>
    </row>
    <row r="546">
      <c r="A546">
        <f>IF(ISNA(MATCH(537,'Transfer Engine'!$C$2:$C$630,0)),"",INDEX('Compliance Database'!$A$2:$A$630,MATCH(537,'Transfer Engine'!$C$2:$C$630,0)))</f>
        <v/>
      </c>
      <c r="B546">
        <f>IF(ISNA(MATCH(537,'Transfer Engine'!$C$2:$C$630,0)),"",INDEX('Compliance Database'!$B$2:$B$630,MATCH(537,'Transfer Engine'!$C$2:$C$630,0)))</f>
        <v/>
      </c>
      <c r="C546">
        <f>IF(ISNA(MATCH(537,'Transfer Engine'!$C$2:$C$630,0)),"",INDEX('Compliance Database'!$C$2:$C$630,MATCH(537,'Transfer Engine'!$C$2:$C$630,0)))</f>
        <v/>
      </c>
      <c r="D546" s="8">
        <f>IF(ISNA(MATCH(537,'Transfer Engine'!$C$2:$C$630,0)),"",INDEX('Compliance Database'!$D$2:$D$630,MATCH(537,'Transfer Engine'!$C$2:$C$630,0)))</f>
        <v/>
      </c>
      <c r="E546">
        <f>IF(ISNA(MATCH(537,'Transfer Engine'!$C$2:$C$630,0)),"",INDEX('Compliance Database'!$E$2:$E$630,MATCH(537,'Transfer Engine'!$C$2:$C$630,0)))</f>
        <v/>
      </c>
      <c r="F546">
        <f>IF(ISNA(MATCH(537,'Transfer Engine'!$C$2:$C$630,0)),"",INDEX('Compliance Database'!$F$2:$F$630,MATCH(537,'Transfer Engine'!$C$2:$C$630,0)))</f>
        <v/>
      </c>
      <c r="G546">
        <f>IF(ISNA(MATCH(537,'Transfer Engine'!$C$2:$C$630,0)),"",INDEX('Compliance Database'!$G$2:$G$630,MATCH(537,'Transfer Engine'!$C$2:$C$630,0)))</f>
        <v/>
      </c>
      <c r="H546">
        <f>IF(ISNA(MATCH(537,'Transfer Engine'!$C$2:$C$630,0)),"",INDEX('Compliance Database'!$H$2:$H$630,MATCH(537,'Transfer Engine'!$C$2:$C$630,0)))</f>
        <v/>
      </c>
      <c r="I546" s="8">
        <f>IF(ISNA(MATCH(537,'Transfer Engine'!$C$2:$C$630,0)),"",INDEX('Compliance Database'!$I$2:$I$630,MATCH(537,'Transfer Engine'!$C$2:$C$630,0)))</f>
        <v/>
      </c>
      <c r="J546" s="8">
        <f>IF(ISNA(MATCH(537,'Transfer Engine'!$C$2:$C$630,0)),"",INDEX('Compliance Database'!$J$2:$J$630,MATCH(537,'Transfer Engine'!$C$2:$C$630,0)))</f>
        <v/>
      </c>
      <c r="K546">
        <f>IF(ISNA(MATCH(537,'Transfer Engine'!$C$2:$C$630,0)),"",INDEX('Compliance Database'!$K$2:$K$630,MATCH(537,'Transfer Engine'!$C$2:$C$630,0)))</f>
        <v/>
      </c>
      <c r="L546" s="8">
        <f>IF(ISNA(MATCH(537,'Transfer Engine'!$C$2:$C$630,0)),"",INDEX('Compliance Database'!$L$2:$L$630,MATCH(537,'Transfer Engine'!$C$2:$C$630,0)))</f>
        <v/>
      </c>
      <c r="M546" s="8">
        <f>IF(ISNA(MATCH(537,'Transfer Engine'!$C$2:$C$630,0)),"",INDEX('Compliance Database'!$M$2:$M$630,MATCH(537,'Transfer Engine'!$C$2:$C$630,0)))</f>
        <v/>
      </c>
      <c r="N546" s="8">
        <f>IF(ISNA(MATCH(537,'Transfer Engine'!$C$2:$C$630,0)),"",INDEX('Compliance Database'!$N$2:$N$630,MATCH(537,'Transfer Engine'!$C$2:$C$630,0)))</f>
        <v/>
      </c>
      <c r="O546" s="8">
        <f>IF(ISNA(MATCH(537,'Transfer Engine'!$C$2:$C$630,0)),"",INDEX('Compliance Database'!$O$2:$O$630,MATCH(537,'Transfer Engine'!$C$2:$C$630,0)))</f>
        <v/>
      </c>
    </row>
    <row r="547">
      <c r="A547">
        <f>IF(ISNA(MATCH(538,'Transfer Engine'!$C$2:$C$630,0)),"",INDEX('Compliance Database'!$A$2:$A$630,MATCH(538,'Transfer Engine'!$C$2:$C$630,0)))</f>
        <v/>
      </c>
      <c r="B547">
        <f>IF(ISNA(MATCH(538,'Transfer Engine'!$C$2:$C$630,0)),"",INDEX('Compliance Database'!$B$2:$B$630,MATCH(538,'Transfer Engine'!$C$2:$C$630,0)))</f>
        <v/>
      </c>
      <c r="C547">
        <f>IF(ISNA(MATCH(538,'Transfer Engine'!$C$2:$C$630,0)),"",INDEX('Compliance Database'!$C$2:$C$630,MATCH(538,'Transfer Engine'!$C$2:$C$630,0)))</f>
        <v/>
      </c>
      <c r="D547" s="8">
        <f>IF(ISNA(MATCH(538,'Transfer Engine'!$C$2:$C$630,0)),"",INDEX('Compliance Database'!$D$2:$D$630,MATCH(538,'Transfer Engine'!$C$2:$C$630,0)))</f>
        <v/>
      </c>
      <c r="E547">
        <f>IF(ISNA(MATCH(538,'Transfer Engine'!$C$2:$C$630,0)),"",INDEX('Compliance Database'!$E$2:$E$630,MATCH(538,'Transfer Engine'!$C$2:$C$630,0)))</f>
        <v/>
      </c>
      <c r="F547">
        <f>IF(ISNA(MATCH(538,'Transfer Engine'!$C$2:$C$630,0)),"",INDEX('Compliance Database'!$F$2:$F$630,MATCH(538,'Transfer Engine'!$C$2:$C$630,0)))</f>
        <v/>
      </c>
      <c r="G547">
        <f>IF(ISNA(MATCH(538,'Transfer Engine'!$C$2:$C$630,0)),"",INDEX('Compliance Database'!$G$2:$G$630,MATCH(538,'Transfer Engine'!$C$2:$C$630,0)))</f>
        <v/>
      </c>
      <c r="H547">
        <f>IF(ISNA(MATCH(538,'Transfer Engine'!$C$2:$C$630,0)),"",INDEX('Compliance Database'!$H$2:$H$630,MATCH(538,'Transfer Engine'!$C$2:$C$630,0)))</f>
        <v/>
      </c>
      <c r="I547" s="8">
        <f>IF(ISNA(MATCH(538,'Transfer Engine'!$C$2:$C$630,0)),"",INDEX('Compliance Database'!$I$2:$I$630,MATCH(538,'Transfer Engine'!$C$2:$C$630,0)))</f>
        <v/>
      </c>
      <c r="J547" s="8">
        <f>IF(ISNA(MATCH(538,'Transfer Engine'!$C$2:$C$630,0)),"",INDEX('Compliance Database'!$J$2:$J$630,MATCH(538,'Transfer Engine'!$C$2:$C$630,0)))</f>
        <v/>
      </c>
      <c r="K547">
        <f>IF(ISNA(MATCH(538,'Transfer Engine'!$C$2:$C$630,0)),"",INDEX('Compliance Database'!$K$2:$K$630,MATCH(538,'Transfer Engine'!$C$2:$C$630,0)))</f>
        <v/>
      </c>
      <c r="L547" s="8">
        <f>IF(ISNA(MATCH(538,'Transfer Engine'!$C$2:$C$630,0)),"",INDEX('Compliance Database'!$L$2:$L$630,MATCH(538,'Transfer Engine'!$C$2:$C$630,0)))</f>
        <v/>
      </c>
      <c r="M547" s="8">
        <f>IF(ISNA(MATCH(538,'Transfer Engine'!$C$2:$C$630,0)),"",INDEX('Compliance Database'!$M$2:$M$630,MATCH(538,'Transfer Engine'!$C$2:$C$630,0)))</f>
        <v/>
      </c>
      <c r="N547" s="8">
        <f>IF(ISNA(MATCH(538,'Transfer Engine'!$C$2:$C$630,0)),"",INDEX('Compliance Database'!$N$2:$N$630,MATCH(538,'Transfer Engine'!$C$2:$C$630,0)))</f>
        <v/>
      </c>
      <c r="O547" s="8">
        <f>IF(ISNA(MATCH(538,'Transfer Engine'!$C$2:$C$630,0)),"",INDEX('Compliance Database'!$O$2:$O$630,MATCH(538,'Transfer Engine'!$C$2:$C$630,0)))</f>
        <v/>
      </c>
    </row>
    <row r="548">
      <c r="A548">
        <f>IF(ISNA(MATCH(539,'Transfer Engine'!$C$2:$C$630,0)),"",INDEX('Compliance Database'!$A$2:$A$630,MATCH(539,'Transfer Engine'!$C$2:$C$630,0)))</f>
        <v/>
      </c>
      <c r="B548">
        <f>IF(ISNA(MATCH(539,'Transfer Engine'!$C$2:$C$630,0)),"",INDEX('Compliance Database'!$B$2:$B$630,MATCH(539,'Transfer Engine'!$C$2:$C$630,0)))</f>
        <v/>
      </c>
      <c r="C548">
        <f>IF(ISNA(MATCH(539,'Transfer Engine'!$C$2:$C$630,0)),"",INDEX('Compliance Database'!$C$2:$C$630,MATCH(539,'Transfer Engine'!$C$2:$C$630,0)))</f>
        <v/>
      </c>
      <c r="D548" s="8">
        <f>IF(ISNA(MATCH(539,'Transfer Engine'!$C$2:$C$630,0)),"",INDEX('Compliance Database'!$D$2:$D$630,MATCH(539,'Transfer Engine'!$C$2:$C$630,0)))</f>
        <v/>
      </c>
      <c r="E548">
        <f>IF(ISNA(MATCH(539,'Transfer Engine'!$C$2:$C$630,0)),"",INDEX('Compliance Database'!$E$2:$E$630,MATCH(539,'Transfer Engine'!$C$2:$C$630,0)))</f>
        <v/>
      </c>
      <c r="F548">
        <f>IF(ISNA(MATCH(539,'Transfer Engine'!$C$2:$C$630,0)),"",INDEX('Compliance Database'!$F$2:$F$630,MATCH(539,'Transfer Engine'!$C$2:$C$630,0)))</f>
        <v/>
      </c>
      <c r="G548">
        <f>IF(ISNA(MATCH(539,'Transfer Engine'!$C$2:$C$630,0)),"",INDEX('Compliance Database'!$G$2:$G$630,MATCH(539,'Transfer Engine'!$C$2:$C$630,0)))</f>
        <v/>
      </c>
      <c r="H548">
        <f>IF(ISNA(MATCH(539,'Transfer Engine'!$C$2:$C$630,0)),"",INDEX('Compliance Database'!$H$2:$H$630,MATCH(539,'Transfer Engine'!$C$2:$C$630,0)))</f>
        <v/>
      </c>
      <c r="I548" s="8">
        <f>IF(ISNA(MATCH(539,'Transfer Engine'!$C$2:$C$630,0)),"",INDEX('Compliance Database'!$I$2:$I$630,MATCH(539,'Transfer Engine'!$C$2:$C$630,0)))</f>
        <v/>
      </c>
      <c r="J548" s="8">
        <f>IF(ISNA(MATCH(539,'Transfer Engine'!$C$2:$C$630,0)),"",INDEX('Compliance Database'!$J$2:$J$630,MATCH(539,'Transfer Engine'!$C$2:$C$630,0)))</f>
        <v/>
      </c>
      <c r="K548">
        <f>IF(ISNA(MATCH(539,'Transfer Engine'!$C$2:$C$630,0)),"",INDEX('Compliance Database'!$K$2:$K$630,MATCH(539,'Transfer Engine'!$C$2:$C$630,0)))</f>
        <v/>
      </c>
      <c r="L548" s="8">
        <f>IF(ISNA(MATCH(539,'Transfer Engine'!$C$2:$C$630,0)),"",INDEX('Compliance Database'!$L$2:$L$630,MATCH(539,'Transfer Engine'!$C$2:$C$630,0)))</f>
        <v/>
      </c>
      <c r="M548" s="8">
        <f>IF(ISNA(MATCH(539,'Transfer Engine'!$C$2:$C$630,0)),"",INDEX('Compliance Database'!$M$2:$M$630,MATCH(539,'Transfer Engine'!$C$2:$C$630,0)))</f>
        <v/>
      </c>
      <c r="N548" s="8">
        <f>IF(ISNA(MATCH(539,'Transfer Engine'!$C$2:$C$630,0)),"",INDEX('Compliance Database'!$N$2:$N$630,MATCH(539,'Transfer Engine'!$C$2:$C$630,0)))</f>
        <v/>
      </c>
      <c r="O548" s="8">
        <f>IF(ISNA(MATCH(539,'Transfer Engine'!$C$2:$C$630,0)),"",INDEX('Compliance Database'!$O$2:$O$630,MATCH(539,'Transfer Engine'!$C$2:$C$630,0)))</f>
        <v/>
      </c>
    </row>
    <row r="549">
      <c r="A549">
        <f>IF(ISNA(MATCH(540,'Transfer Engine'!$C$2:$C$630,0)),"",INDEX('Compliance Database'!$A$2:$A$630,MATCH(540,'Transfer Engine'!$C$2:$C$630,0)))</f>
        <v/>
      </c>
      <c r="B549">
        <f>IF(ISNA(MATCH(540,'Transfer Engine'!$C$2:$C$630,0)),"",INDEX('Compliance Database'!$B$2:$B$630,MATCH(540,'Transfer Engine'!$C$2:$C$630,0)))</f>
        <v/>
      </c>
      <c r="C549">
        <f>IF(ISNA(MATCH(540,'Transfer Engine'!$C$2:$C$630,0)),"",INDEX('Compliance Database'!$C$2:$C$630,MATCH(540,'Transfer Engine'!$C$2:$C$630,0)))</f>
        <v/>
      </c>
      <c r="D549" s="8">
        <f>IF(ISNA(MATCH(540,'Transfer Engine'!$C$2:$C$630,0)),"",INDEX('Compliance Database'!$D$2:$D$630,MATCH(540,'Transfer Engine'!$C$2:$C$630,0)))</f>
        <v/>
      </c>
      <c r="E549">
        <f>IF(ISNA(MATCH(540,'Transfer Engine'!$C$2:$C$630,0)),"",INDEX('Compliance Database'!$E$2:$E$630,MATCH(540,'Transfer Engine'!$C$2:$C$630,0)))</f>
        <v/>
      </c>
      <c r="F549">
        <f>IF(ISNA(MATCH(540,'Transfer Engine'!$C$2:$C$630,0)),"",INDEX('Compliance Database'!$F$2:$F$630,MATCH(540,'Transfer Engine'!$C$2:$C$630,0)))</f>
        <v/>
      </c>
      <c r="G549">
        <f>IF(ISNA(MATCH(540,'Transfer Engine'!$C$2:$C$630,0)),"",INDEX('Compliance Database'!$G$2:$G$630,MATCH(540,'Transfer Engine'!$C$2:$C$630,0)))</f>
        <v/>
      </c>
      <c r="H549">
        <f>IF(ISNA(MATCH(540,'Transfer Engine'!$C$2:$C$630,0)),"",INDEX('Compliance Database'!$H$2:$H$630,MATCH(540,'Transfer Engine'!$C$2:$C$630,0)))</f>
        <v/>
      </c>
      <c r="I549" s="8">
        <f>IF(ISNA(MATCH(540,'Transfer Engine'!$C$2:$C$630,0)),"",INDEX('Compliance Database'!$I$2:$I$630,MATCH(540,'Transfer Engine'!$C$2:$C$630,0)))</f>
        <v/>
      </c>
      <c r="J549" s="8">
        <f>IF(ISNA(MATCH(540,'Transfer Engine'!$C$2:$C$630,0)),"",INDEX('Compliance Database'!$J$2:$J$630,MATCH(540,'Transfer Engine'!$C$2:$C$630,0)))</f>
        <v/>
      </c>
      <c r="K549">
        <f>IF(ISNA(MATCH(540,'Transfer Engine'!$C$2:$C$630,0)),"",INDEX('Compliance Database'!$K$2:$K$630,MATCH(540,'Transfer Engine'!$C$2:$C$630,0)))</f>
        <v/>
      </c>
      <c r="L549" s="8">
        <f>IF(ISNA(MATCH(540,'Transfer Engine'!$C$2:$C$630,0)),"",INDEX('Compliance Database'!$L$2:$L$630,MATCH(540,'Transfer Engine'!$C$2:$C$630,0)))</f>
        <v/>
      </c>
      <c r="M549" s="8">
        <f>IF(ISNA(MATCH(540,'Transfer Engine'!$C$2:$C$630,0)),"",INDEX('Compliance Database'!$M$2:$M$630,MATCH(540,'Transfer Engine'!$C$2:$C$630,0)))</f>
        <v/>
      </c>
      <c r="N549" s="8">
        <f>IF(ISNA(MATCH(540,'Transfer Engine'!$C$2:$C$630,0)),"",INDEX('Compliance Database'!$N$2:$N$630,MATCH(540,'Transfer Engine'!$C$2:$C$630,0)))</f>
        <v/>
      </c>
      <c r="O549" s="8">
        <f>IF(ISNA(MATCH(540,'Transfer Engine'!$C$2:$C$630,0)),"",INDEX('Compliance Database'!$O$2:$O$630,MATCH(540,'Transfer Engine'!$C$2:$C$630,0)))</f>
        <v/>
      </c>
    </row>
    <row r="550">
      <c r="A550">
        <f>IF(ISNA(MATCH(541,'Transfer Engine'!$C$2:$C$630,0)),"",INDEX('Compliance Database'!$A$2:$A$630,MATCH(541,'Transfer Engine'!$C$2:$C$630,0)))</f>
        <v/>
      </c>
      <c r="B550">
        <f>IF(ISNA(MATCH(541,'Transfer Engine'!$C$2:$C$630,0)),"",INDEX('Compliance Database'!$B$2:$B$630,MATCH(541,'Transfer Engine'!$C$2:$C$630,0)))</f>
        <v/>
      </c>
      <c r="C550">
        <f>IF(ISNA(MATCH(541,'Transfer Engine'!$C$2:$C$630,0)),"",INDEX('Compliance Database'!$C$2:$C$630,MATCH(541,'Transfer Engine'!$C$2:$C$630,0)))</f>
        <v/>
      </c>
      <c r="D550" s="8">
        <f>IF(ISNA(MATCH(541,'Transfer Engine'!$C$2:$C$630,0)),"",INDEX('Compliance Database'!$D$2:$D$630,MATCH(541,'Transfer Engine'!$C$2:$C$630,0)))</f>
        <v/>
      </c>
      <c r="E550">
        <f>IF(ISNA(MATCH(541,'Transfer Engine'!$C$2:$C$630,0)),"",INDEX('Compliance Database'!$E$2:$E$630,MATCH(541,'Transfer Engine'!$C$2:$C$630,0)))</f>
        <v/>
      </c>
      <c r="F550">
        <f>IF(ISNA(MATCH(541,'Transfer Engine'!$C$2:$C$630,0)),"",INDEX('Compliance Database'!$F$2:$F$630,MATCH(541,'Transfer Engine'!$C$2:$C$630,0)))</f>
        <v/>
      </c>
      <c r="G550">
        <f>IF(ISNA(MATCH(541,'Transfer Engine'!$C$2:$C$630,0)),"",INDEX('Compliance Database'!$G$2:$G$630,MATCH(541,'Transfer Engine'!$C$2:$C$630,0)))</f>
        <v/>
      </c>
      <c r="H550">
        <f>IF(ISNA(MATCH(541,'Transfer Engine'!$C$2:$C$630,0)),"",INDEX('Compliance Database'!$H$2:$H$630,MATCH(541,'Transfer Engine'!$C$2:$C$630,0)))</f>
        <v/>
      </c>
      <c r="I550" s="8">
        <f>IF(ISNA(MATCH(541,'Transfer Engine'!$C$2:$C$630,0)),"",INDEX('Compliance Database'!$I$2:$I$630,MATCH(541,'Transfer Engine'!$C$2:$C$630,0)))</f>
        <v/>
      </c>
      <c r="J550" s="8">
        <f>IF(ISNA(MATCH(541,'Transfer Engine'!$C$2:$C$630,0)),"",INDEX('Compliance Database'!$J$2:$J$630,MATCH(541,'Transfer Engine'!$C$2:$C$630,0)))</f>
        <v/>
      </c>
      <c r="K550">
        <f>IF(ISNA(MATCH(541,'Transfer Engine'!$C$2:$C$630,0)),"",INDEX('Compliance Database'!$K$2:$K$630,MATCH(541,'Transfer Engine'!$C$2:$C$630,0)))</f>
        <v/>
      </c>
      <c r="L550" s="8">
        <f>IF(ISNA(MATCH(541,'Transfer Engine'!$C$2:$C$630,0)),"",INDEX('Compliance Database'!$L$2:$L$630,MATCH(541,'Transfer Engine'!$C$2:$C$630,0)))</f>
        <v/>
      </c>
      <c r="M550" s="8">
        <f>IF(ISNA(MATCH(541,'Transfer Engine'!$C$2:$C$630,0)),"",INDEX('Compliance Database'!$M$2:$M$630,MATCH(541,'Transfer Engine'!$C$2:$C$630,0)))</f>
        <v/>
      </c>
      <c r="N550" s="8">
        <f>IF(ISNA(MATCH(541,'Transfer Engine'!$C$2:$C$630,0)),"",INDEX('Compliance Database'!$N$2:$N$630,MATCH(541,'Transfer Engine'!$C$2:$C$630,0)))</f>
        <v/>
      </c>
      <c r="O550" s="8">
        <f>IF(ISNA(MATCH(541,'Transfer Engine'!$C$2:$C$630,0)),"",INDEX('Compliance Database'!$O$2:$O$630,MATCH(541,'Transfer Engine'!$C$2:$C$630,0)))</f>
        <v/>
      </c>
    </row>
    <row r="551">
      <c r="A551">
        <f>IF(ISNA(MATCH(542,'Transfer Engine'!$C$2:$C$630,0)),"",INDEX('Compliance Database'!$A$2:$A$630,MATCH(542,'Transfer Engine'!$C$2:$C$630,0)))</f>
        <v/>
      </c>
      <c r="B551">
        <f>IF(ISNA(MATCH(542,'Transfer Engine'!$C$2:$C$630,0)),"",INDEX('Compliance Database'!$B$2:$B$630,MATCH(542,'Transfer Engine'!$C$2:$C$630,0)))</f>
        <v/>
      </c>
      <c r="C551">
        <f>IF(ISNA(MATCH(542,'Transfer Engine'!$C$2:$C$630,0)),"",INDEX('Compliance Database'!$C$2:$C$630,MATCH(542,'Transfer Engine'!$C$2:$C$630,0)))</f>
        <v/>
      </c>
      <c r="D551" s="8">
        <f>IF(ISNA(MATCH(542,'Transfer Engine'!$C$2:$C$630,0)),"",INDEX('Compliance Database'!$D$2:$D$630,MATCH(542,'Transfer Engine'!$C$2:$C$630,0)))</f>
        <v/>
      </c>
      <c r="E551">
        <f>IF(ISNA(MATCH(542,'Transfer Engine'!$C$2:$C$630,0)),"",INDEX('Compliance Database'!$E$2:$E$630,MATCH(542,'Transfer Engine'!$C$2:$C$630,0)))</f>
        <v/>
      </c>
      <c r="F551">
        <f>IF(ISNA(MATCH(542,'Transfer Engine'!$C$2:$C$630,0)),"",INDEX('Compliance Database'!$F$2:$F$630,MATCH(542,'Transfer Engine'!$C$2:$C$630,0)))</f>
        <v/>
      </c>
      <c r="G551">
        <f>IF(ISNA(MATCH(542,'Transfer Engine'!$C$2:$C$630,0)),"",INDEX('Compliance Database'!$G$2:$G$630,MATCH(542,'Transfer Engine'!$C$2:$C$630,0)))</f>
        <v/>
      </c>
      <c r="H551">
        <f>IF(ISNA(MATCH(542,'Transfer Engine'!$C$2:$C$630,0)),"",INDEX('Compliance Database'!$H$2:$H$630,MATCH(542,'Transfer Engine'!$C$2:$C$630,0)))</f>
        <v/>
      </c>
      <c r="I551" s="8">
        <f>IF(ISNA(MATCH(542,'Transfer Engine'!$C$2:$C$630,0)),"",INDEX('Compliance Database'!$I$2:$I$630,MATCH(542,'Transfer Engine'!$C$2:$C$630,0)))</f>
        <v/>
      </c>
      <c r="J551" s="8">
        <f>IF(ISNA(MATCH(542,'Transfer Engine'!$C$2:$C$630,0)),"",INDEX('Compliance Database'!$J$2:$J$630,MATCH(542,'Transfer Engine'!$C$2:$C$630,0)))</f>
        <v/>
      </c>
      <c r="K551">
        <f>IF(ISNA(MATCH(542,'Transfer Engine'!$C$2:$C$630,0)),"",INDEX('Compliance Database'!$K$2:$K$630,MATCH(542,'Transfer Engine'!$C$2:$C$630,0)))</f>
        <v/>
      </c>
      <c r="L551" s="8">
        <f>IF(ISNA(MATCH(542,'Transfer Engine'!$C$2:$C$630,0)),"",INDEX('Compliance Database'!$L$2:$L$630,MATCH(542,'Transfer Engine'!$C$2:$C$630,0)))</f>
        <v/>
      </c>
      <c r="M551" s="8">
        <f>IF(ISNA(MATCH(542,'Transfer Engine'!$C$2:$C$630,0)),"",INDEX('Compliance Database'!$M$2:$M$630,MATCH(542,'Transfer Engine'!$C$2:$C$630,0)))</f>
        <v/>
      </c>
      <c r="N551" s="8">
        <f>IF(ISNA(MATCH(542,'Transfer Engine'!$C$2:$C$630,0)),"",INDEX('Compliance Database'!$N$2:$N$630,MATCH(542,'Transfer Engine'!$C$2:$C$630,0)))</f>
        <v/>
      </c>
      <c r="O551" s="8">
        <f>IF(ISNA(MATCH(542,'Transfer Engine'!$C$2:$C$630,0)),"",INDEX('Compliance Database'!$O$2:$O$630,MATCH(542,'Transfer Engine'!$C$2:$C$630,0)))</f>
        <v/>
      </c>
    </row>
    <row r="552">
      <c r="A552">
        <f>IF(ISNA(MATCH(543,'Transfer Engine'!$C$2:$C$630,0)),"",INDEX('Compliance Database'!$A$2:$A$630,MATCH(543,'Transfer Engine'!$C$2:$C$630,0)))</f>
        <v/>
      </c>
      <c r="B552">
        <f>IF(ISNA(MATCH(543,'Transfer Engine'!$C$2:$C$630,0)),"",INDEX('Compliance Database'!$B$2:$B$630,MATCH(543,'Transfer Engine'!$C$2:$C$630,0)))</f>
        <v/>
      </c>
      <c r="C552">
        <f>IF(ISNA(MATCH(543,'Transfer Engine'!$C$2:$C$630,0)),"",INDEX('Compliance Database'!$C$2:$C$630,MATCH(543,'Transfer Engine'!$C$2:$C$630,0)))</f>
        <v/>
      </c>
      <c r="D552" s="8">
        <f>IF(ISNA(MATCH(543,'Transfer Engine'!$C$2:$C$630,0)),"",INDEX('Compliance Database'!$D$2:$D$630,MATCH(543,'Transfer Engine'!$C$2:$C$630,0)))</f>
        <v/>
      </c>
      <c r="E552">
        <f>IF(ISNA(MATCH(543,'Transfer Engine'!$C$2:$C$630,0)),"",INDEX('Compliance Database'!$E$2:$E$630,MATCH(543,'Transfer Engine'!$C$2:$C$630,0)))</f>
        <v/>
      </c>
      <c r="F552">
        <f>IF(ISNA(MATCH(543,'Transfer Engine'!$C$2:$C$630,0)),"",INDEX('Compliance Database'!$F$2:$F$630,MATCH(543,'Transfer Engine'!$C$2:$C$630,0)))</f>
        <v/>
      </c>
      <c r="G552">
        <f>IF(ISNA(MATCH(543,'Transfer Engine'!$C$2:$C$630,0)),"",INDEX('Compliance Database'!$G$2:$G$630,MATCH(543,'Transfer Engine'!$C$2:$C$630,0)))</f>
        <v/>
      </c>
      <c r="H552">
        <f>IF(ISNA(MATCH(543,'Transfer Engine'!$C$2:$C$630,0)),"",INDEX('Compliance Database'!$H$2:$H$630,MATCH(543,'Transfer Engine'!$C$2:$C$630,0)))</f>
        <v/>
      </c>
      <c r="I552" s="8">
        <f>IF(ISNA(MATCH(543,'Transfer Engine'!$C$2:$C$630,0)),"",INDEX('Compliance Database'!$I$2:$I$630,MATCH(543,'Transfer Engine'!$C$2:$C$630,0)))</f>
        <v/>
      </c>
      <c r="J552" s="8">
        <f>IF(ISNA(MATCH(543,'Transfer Engine'!$C$2:$C$630,0)),"",INDEX('Compliance Database'!$J$2:$J$630,MATCH(543,'Transfer Engine'!$C$2:$C$630,0)))</f>
        <v/>
      </c>
      <c r="K552">
        <f>IF(ISNA(MATCH(543,'Transfer Engine'!$C$2:$C$630,0)),"",INDEX('Compliance Database'!$K$2:$K$630,MATCH(543,'Transfer Engine'!$C$2:$C$630,0)))</f>
        <v/>
      </c>
      <c r="L552" s="8">
        <f>IF(ISNA(MATCH(543,'Transfer Engine'!$C$2:$C$630,0)),"",INDEX('Compliance Database'!$L$2:$L$630,MATCH(543,'Transfer Engine'!$C$2:$C$630,0)))</f>
        <v/>
      </c>
      <c r="M552" s="8">
        <f>IF(ISNA(MATCH(543,'Transfer Engine'!$C$2:$C$630,0)),"",INDEX('Compliance Database'!$M$2:$M$630,MATCH(543,'Transfer Engine'!$C$2:$C$630,0)))</f>
        <v/>
      </c>
      <c r="N552" s="8">
        <f>IF(ISNA(MATCH(543,'Transfer Engine'!$C$2:$C$630,0)),"",INDEX('Compliance Database'!$N$2:$N$630,MATCH(543,'Transfer Engine'!$C$2:$C$630,0)))</f>
        <v/>
      </c>
      <c r="O552" s="8">
        <f>IF(ISNA(MATCH(543,'Transfer Engine'!$C$2:$C$630,0)),"",INDEX('Compliance Database'!$O$2:$O$630,MATCH(543,'Transfer Engine'!$C$2:$C$630,0)))</f>
        <v/>
      </c>
    </row>
    <row r="553">
      <c r="A553">
        <f>IF(ISNA(MATCH(544,'Transfer Engine'!$C$2:$C$630,0)),"",INDEX('Compliance Database'!$A$2:$A$630,MATCH(544,'Transfer Engine'!$C$2:$C$630,0)))</f>
        <v/>
      </c>
      <c r="B553">
        <f>IF(ISNA(MATCH(544,'Transfer Engine'!$C$2:$C$630,0)),"",INDEX('Compliance Database'!$B$2:$B$630,MATCH(544,'Transfer Engine'!$C$2:$C$630,0)))</f>
        <v/>
      </c>
      <c r="C553">
        <f>IF(ISNA(MATCH(544,'Transfer Engine'!$C$2:$C$630,0)),"",INDEX('Compliance Database'!$C$2:$C$630,MATCH(544,'Transfer Engine'!$C$2:$C$630,0)))</f>
        <v/>
      </c>
      <c r="D553" s="8">
        <f>IF(ISNA(MATCH(544,'Transfer Engine'!$C$2:$C$630,0)),"",INDEX('Compliance Database'!$D$2:$D$630,MATCH(544,'Transfer Engine'!$C$2:$C$630,0)))</f>
        <v/>
      </c>
      <c r="E553">
        <f>IF(ISNA(MATCH(544,'Transfer Engine'!$C$2:$C$630,0)),"",INDEX('Compliance Database'!$E$2:$E$630,MATCH(544,'Transfer Engine'!$C$2:$C$630,0)))</f>
        <v/>
      </c>
      <c r="F553">
        <f>IF(ISNA(MATCH(544,'Transfer Engine'!$C$2:$C$630,0)),"",INDEX('Compliance Database'!$F$2:$F$630,MATCH(544,'Transfer Engine'!$C$2:$C$630,0)))</f>
        <v/>
      </c>
      <c r="G553">
        <f>IF(ISNA(MATCH(544,'Transfer Engine'!$C$2:$C$630,0)),"",INDEX('Compliance Database'!$G$2:$G$630,MATCH(544,'Transfer Engine'!$C$2:$C$630,0)))</f>
        <v/>
      </c>
      <c r="H553">
        <f>IF(ISNA(MATCH(544,'Transfer Engine'!$C$2:$C$630,0)),"",INDEX('Compliance Database'!$H$2:$H$630,MATCH(544,'Transfer Engine'!$C$2:$C$630,0)))</f>
        <v/>
      </c>
      <c r="I553" s="8">
        <f>IF(ISNA(MATCH(544,'Transfer Engine'!$C$2:$C$630,0)),"",INDEX('Compliance Database'!$I$2:$I$630,MATCH(544,'Transfer Engine'!$C$2:$C$630,0)))</f>
        <v/>
      </c>
      <c r="J553" s="8">
        <f>IF(ISNA(MATCH(544,'Transfer Engine'!$C$2:$C$630,0)),"",INDEX('Compliance Database'!$J$2:$J$630,MATCH(544,'Transfer Engine'!$C$2:$C$630,0)))</f>
        <v/>
      </c>
      <c r="K553">
        <f>IF(ISNA(MATCH(544,'Transfer Engine'!$C$2:$C$630,0)),"",INDEX('Compliance Database'!$K$2:$K$630,MATCH(544,'Transfer Engine'!$C$2:$C$630,0)))</f>
        <v/>
      </c>
      <c r="L553" s="8">
        <f>IF(ISNA(MATCH(544,'Transfer Engine'!$C$2:$C$630,0)),"",INDEX('Compliance Database'!$L$2:$L$630,MATCH(544,'Transfer Engine'!$C$2:$C$630,0)))</f>
        <v/>
      </c>
      <c r="M553" s="8">
        <f>IF(ISNA(MATCH(544,'Transfer Engine'!$C$2:$C$630,0)),"",INDEX('Compliance Database'!$M$2:$M$630,MATCH(544,'Transfer Engine'!$C$2:$C$630,0)))</f>
        <v/>
      </c>
      <c r="N553" s="8">
        <f>IF(ISNA(MATCH(544,'Transfer Engine'!$C$2:$C$630,0)),"",INDEX('Compliance Database'!$N$2:$N$630,MATCH(544,'Transfer Engine'!$C$2:$C$630,0)))</f>
        <v/>
      </c>
      <c r="O553" s="8">
        <f>IF(ISNA(MATCH(544,'Transfer Engine'!$C$2:$C$630,0)),"",INDEX('Compliance Database'!$O$2:$O$630,MATCH(544,'Transfer Engine'!$C$2:$C$630,0)))</f>
        <v/>
      </c>
    </row>
    <row r="554">
      <c r="A554">
        <f>IF(ISNA(MATCH(545,'Transfer Engine'!$C$2:$C$630,0)),"",INDEX('Compliance Database'!$A$2:$A$630,MATCH(545,'Transfer Engine'!$C$2:$C$630,0)))</f>
        <v/>
      </c>
      <c r="B554">
        <f>IF(ISNA(MATCH(545,'Transfer Engine'!$C$2:$C$630,0)),"",INDEX('Compliance Database'!$B$2:$B$630,MATCH(545,'Transfer Engine'!$C$2:$C$630,0)))</f>
        <v/>
      </c>
      <c r="C554">
        <f>IF(ISNA(MATCH(545,'Transfer Engine'!$C$2:$C$630,0)),"",INDEX('Compliance Database'!$C$2:$C$630,MATCH(545,'Transfer Engine'!$C$2:$C$630,0)))</f>
        <v/>
      </c>
      <c r="D554" s="8">
        <f>IF(ISNA(MATCH(545,'Transfer Engine'!$C$2:$C$630,0)),"",INDEX('Compliance Database'!$D$2:$D$630,MATCH(545,'Transfer Engine'!$C$2:$C$630,0)))</f>
        <v/>
      </c>
      <c r="E554">
        <f>IF(ISNA(MATCH(545,'Transfer Engine'!$C$2:$C$630,0)),"",INDEX('Compliance Database'!$E$2:$E$630,MATCH(545,'Transfer Engine'!$C$2:$C$630,0)))</f>
        <v/>
      </c>
      <c r="F554">
        <f>IF(ISNA(MATCH(545,'Transfer Engine'!$C$2:$C$630,0)),"",INDEX('Compliance Database'!$F$2:$F$630,MATCH(545,'Transfer Engine'!$C$2:$C$630,0)))</f>
        <v/>
      </c>
      <c r="G554">
        <f>IF(ISNA(MATCH(545,'Transfer Engine'!$C$2:$C$630,0)),"",INDEX('Compliance Database'!$G$2:$G$630,MATCH(545,'Transfer Engine'!$C$2:$C$630,0)))</f>
        <v/>
      </c>
      <c r="H554">
        <f>IF(ISNA(MATCH(545,'Transfer Engine'!$C$2:$C$630,0)),"",INDEX('Compliance Database'!$H$2:$H$630,MATCH(545,'Transfer Engine'!$C$2:$C$630,0)))</f>
        <v/>
      </c>
      <c r="I554" s="8">
        <f>IF(ISNA(MATCH(545,'Transfer Engine'!$C$2:$C$630,0)),"",INDEX('Compliance Database'!$I$2:$I$630,MATCH(545,'Transfer Engine'!$C$2:$C$630,0)))</f>
        <v/>
      </c>
      <c r="J554" s="8">
        <f>IF(ISNA(MATCH(545,'Transfer Engine'!$C$2:$C$630,0)),"",INDEX('Compliance Database'!$J$2:$J$630,MATCH(545,'Transfer Engine'!$C$2:$C$630,0)))</f>
        <v/>
      </c>
      <c r="K554">
        <f>IF(ISNA(MATCH(545,'Transfer Engine'!$C$2:$C$630,0)),"",INDEX('Compliance Database'!$K$2:$K$630,MATCH(545,'Transfer Engine'!$C$2:$C$630,0)))</f>
        <v/>
      </c>
      <c r="L554" s="8">
        <f>IF(ISNA(MATCH(545,'Transfer Engine'!$C$2:$C$630,0)),"",INDEX('Compliance Database'!$L$2:$L$630,MATCH(545,'Transfer Engine'!$C$2:$C$630,0)))</f>
        <v/>
      </c>
      <c r="M554" s="8">
        <f>IF(ISNA(MATCH(545,'Transfer Engine'!$C$2:$C$630,0)),"",INDEX('Compliance Database'!$M$2:$M$630,MATCH(545,'Transfer Engine'!$C$2:$C$630,0)))</f>
        <v/>
      </c>
      <c r="N554" s="8">
        <f>IF(ISNA(MATCH(545,'Transfer Engine'!$C$2:$C$630,0)),"",INDEX('Compliance Database'!$N$2:$N$630,MATCH(545,'Transfer Engine'!$C$2:$C$630,0)))</f>
        <v/>
      </c>
      <c r="O554" s="8">
        <f>IF(ISNA(MATCH(545,'Transfer Engine'!$C$2:$C$630,0)),"",INDEX('Compliance Database'!$O$2:$O$630,MATCH(545,'Transfer Engine'!$C$2:$C$630,0)))</f>
        <v/>
      </c>
    </row>
    <row r="555">
      <c r="A555">
        <f>IF(ISNA(MATCH(546,'Transfer Engine'!$C$2:$C$630,0)),"",INDEX('Compliance Database'!$A$2:$A$630,MATCH(546,'Transfer Engine'!$C$2:$C$630,0)))</f>
        <v/>
      </c>
      <c r="B555">
        <f>IF(ISNA(MATCH(546,'Transfer Engine'!$C$2:$C$630,0)),"",INDEX('Compliance Database'!$B$2:$B$630,MATCH(546,'Transfer Engine'!$C$2:$C$630,0)))</f>
        <v/>
      </c>
      <c r="C555">
        <f>IF(ISNA(MATCH(546,'Transfer Engine'!$C$2:$C$630,0)),"",INDEX('Compliance Database'!$C$2:$C$630,MATCH(546,'Transfer Engine'!$C$2:$C$630,0)))</f>
        <v/>
      </c>
      <c r="D555" s="8">
        <f>IF(ISNA(MATCH(546,'Transfer Engine'!$C$2:$C$630,0)),"",INDEX('Compliance Database'!$D$2:$D$630,MATCH(546,'Transfer Engine'!$C$2:$C$630,0)))</f>
        <v/>
      </c>
      <c r="E555">
        <f>IF(ISNA(MATCH(546,'Transfer Engine'!$C$2:$C$630,0)),"",INDEX('Compliance Database'!$E$2:$E$630,MATCH(546,'Transfer Engine'!$C$2:$C$630,0)))</f>
        <v/>
      </c>
      <c r="F555">
        <f>IF(ISNA(MATCH(546,'Transfer Engine'!$C$2:$C$630,0)),"",INDEX('Compliance Database'!$F$2:$F$630,MATCH(546,'Transfer Engine'!$C$2:$C$630,0)))</f>
        <v/>
      </c>
      <c r="G555">
        <f>IF(ISNA(MATCH(546,'Transfer Engine'!$C$2:$C$630,0)),"",INDEX('Compliance Database'!$G$2:$G$630,MATCH(546,'Transfer Engine'!$C$2:$C$630,0)))</f>
        <v/>
      </c>
      <c r="H555">
        <f>IF(ISNA(MATCH(546,'Transfer Engine'!$C$2:$C$630,0)),"",INDEX('Compliance Database'!$H$2:$H$630,MATCH(546,'Transfer Engine'!$C$2:$C$630,0)))</f>
        <v/>
      </c>
      <c r="I555" s="8">
        <f>IF(ISNA(MATCH(546,'Transfer Engine'!$C$2:$C$630,0)),"",INDEX('Compliance Database'!$I$2:$I$630,MATCH(546,'Transfer Engine'!$C$2:$C$630,0)))</f>
        <v/>
      </c>
      <c r="J555" s="8">
        <f>IF(ISNA(MATCH(546,'Transfer Engine'!$C$2:$C$630,0)),"",INDEX('Compliance Database'!$J$2:$J$630,MATCH(546,'Transfer Engine'!$C$2:$C$630,0)))</f>
        <v/>
      </c>
      <c r="K555">
        <f>IF(ISNA(MATCH(546,'Transfer Engine'!$C$2:$C$630,0)),"",INDEX('Compliance Database'!$K$2:$K$630,MATCH(546,'Transfer Engine'!$C$2:$C$630,0)))</f>
        <v/>
      </c>
      <c r="L555" s="8">
        <f>IF(ISNA(MATCH(546,'Transfer Engine'!$C$2:$C$630,0)),"",INDEX('Compliance Database'!$L$2:$L$630,MATCH(546,'Transfer Engine'!$C$2:$C$630,0)))</f>
        <v/>
      </c>
      <c r="M555" s="8">
        <f>IF(ISNA(MATCH(546,'Transfer Engine'!$C$2:$C$630,0)),"",INDEX('Compliance Database'!$M$2:$M$630,MATCH(546,'Transfer Engine'!$C$2:$C$630,0)))</f>
        <v/>
      </c>
      <c r="N555" s="8">
        <f>IF(ISNA(MATCH(546,'Transfer Engine'!$C$2:$C$630,0)),"",INDEX('Compliance Database'!$N$2:$N$630,MATCH(546,'Transfer Engine'!$C$2:$C$630,0)))</f>
        <v/>
      </c>
      <c r="O555" s="8">
        <f>IF(ISNA(MATCH(546,'Transfer Engine'!$C$2:$C$630,0)),"",INDEX('Compliance Database'!$O$2:$O$630,MATCH(546,'Transfer Engine'!$C$2:$C$630,0)))</f>
        <v/>
      </c>
    </row>
    <row r="556">
      <c r="A556">
        <f>IF(ISNA(MATCH(547,'Transfer Engine'!$C$2:$C$630,0)),"",INDEX('Compliance Database'!$A$2:$A$630,MATCH(547,'Transfer Engine'!$C$2:$C$630,0)))</f>
        <v/>
      </c>
      <c r="B556">
        <f>IF(ISNA(MATCH(547,'Transfer Engine'!$C$2:$C$630,0)),"",INDEX('Compliance Database'!$B$2:$B$630,MATCH(547,'Transfer Engine'!$C$2:$C$630,0)))</f>
        <v/>
      </c>
      <c r="C556">
        <f>IF(ISNA(MATCH(547,'Transfer Engine'!$C$2:$C$630,0)),"",INDEX('Compliance Database'!$C$2:$C$630,MATCH(547,'Transfer Engine'!$C$2:$C$630,0)))</f>
        <v/>
      </c>
      <c r="D556" s="8">
        <f>IF(ISNA(MATCH(547,'Transfer Engine'!$C$2:$C$630,0)),"",INDEX('Compliance Database'!$D$2:$D$630,MATCH(547,'Transfer Engine'!$C$2:$C$630,0)))</f>
        <v/>
      </c>
      <c r="E556">
        <f>IF(ISNA(MATCH(547,'Transfer Engine'!$C$2:$C$630,0)),"",INDEX('Compliance Database'!$E$2:$E$630,MATCH(547,'Transfer Engine'!$C$2:$C$630,0)))</f>
        <v/>
      </c>
      <c r="F556">
        <f>IF(ISNA(MATCH(547,'Transfer Engine'!$C$2:$C$630,0)),"",INDEX('Compliance Database'!$F$2:$F$630,MATCH(547,'Transfer Engine'!$C$2:$C$630,0)))</f>
        <v/>
      </c>
      <c r="G556">
        <f>IF(ISNA(MATCH(547,'Transfer Engine'!$C$2:$C$630,0)),"",INDEX('Compliance Database'!$G$2:$G$630,MATCH(547,'Transfer Engine'!$C$2:$C$630,0)))</f>
        <v/>
      </c>
      <c r="H556">
        <f>IF(ISNA(MATCH(547,'Transfer Engine'!$C$2:$C$630,0)),"",INDEX('Compliance Database'!$H$2:$H$630,MATCH(547,'Transfer Engine'!$C$2:$C$630,0)))</f>
        <v/>
      </c>
      <c r="I556" s="8">
        <f>IF(ISNA(MATCH(547,'Transfer Engine'!$C$2:$C$630,0)),"",INDEX('Compliance Database'!$I$2:$I$630,MATCH(547,'Transfer Engine'!$C$2:$C$630,0)))</f>
        <v/>
      </c>
      <c r="J556" s="8">
        <f>IF(ISNA(MATCH(547,'Transfer Engine'!$C$2:$C$630,0)),"",INDEX('Compliance Database'!$J$2:$J$630,MATCH(547,'Transfer Engine'!$C$2:$C$630,0)))</f>
        <v/>
      </c>
      <c r="K556">
        <f>IF(ISNA(MATCH(547,'Transfer Engine'!$C$2:$C$630,0)),"",INDEX('Compliance Database'!$K$2:$K$630,MATCH(547,'Transfer Engine'!$C$2:$C$630,0)))</f>
        <v/>
      </c>
      <c r="L556" s="8">
        <f>IF(ISNA(MATCH(547,'Transfer Engine'!$C$2:$C$630,0)),"",INDEX('Compliance Database'!$L$2:$L$630,MATCH(547,'Transfer Engine'!$C$2:$C$630,0)))</f>
        <v/>
      </c>
      <c r="M556" s="8">
        <f>IF(ISNA(MATCH(547,'Transfer Engine'!$C$2:$C$630,0)),"",INDEX('Compliance Database'!$M$2:$M$630,MATCH(547,'Transfer Engine'!$C$2:$C$630,0)))</f>
        <v/>
      </c>
      <c r="N556" s="8">
        <f>IF(ISNA(MATCH(547,'Transfer Engine'!$C$2:$C$630,0)),"",INDEX('Compliance Database'!$N$2:$N$630,MATCH(547,'Transfer Engine'!$C$2:$C$630,0)))</f>
        <v/>
      </c>
      <c r="O556" s="8">
        <f>IF(ISNA(MATCH(547,'Transfer Engine'!$C$2:$C$630,0)),"",INDEX('Compliance Database'!$O$2:$O$630,MATCH(547,'Transfer Engine'!$C$2:$C$630,0)))</f>
        <v/>
      </c>
    </row>
    <row r="557">
      <c r="A557">
        <f>IF(ISNA(MATCH(548,'Transfer Engine'!$C$2:$C$630,0)),"",INDEX('Compliance Database'!$A$2:$A$630,MATCH(548,'Transfer Engine'!$C$2:$C$630,0)))</f>
        <v/>
      </c>
      <c r="B557">
        <f>IF(ISNA(MATCH(548,'Transfer Engine'!$C$2:$C$630,0)),"",INDEX('Compliance Database'!$B$2:$B$630,MATCH(548,'Transfer Engine'!$C$2:$C$630,0)))</f>
        <v/>
      </c>
      <c r="C557">
        <f>IF(ISNA(MATCH(548,'Transfer Engine'!$C$2:$C$630,0)),"",INDEX('Compliance Database'!$C$2:$C$630,MATCH(548,'Transfer Engine'!$C$2:$C$630,0)))</f>
        <v/>
      </c>
      <c r="D557" s="8">
        <f>IF(ISNA(MATCH(548,'Transfer Engine'!$C$2:$C$630,0)),"",INDEX('Compliance Database'!$D$2:$D$630,MATCH(548,'Transfer Engine'!$C$2:$C$630,0)))</f>
        <v/>
      </c>
      <c r="E557">
        <f>IF(ISNA(MATCH(548,'Transfer Engine'!$C$2:$C$630,0)),"",INDEX('Compliance Database'!$E$2:$E$630,MATCH(548,'Transfer Engine'!$C$2:$C$630,0)))</f>
        <v/>
      </c>
      <c r="F557">
        <f>IF(ISNA(MATCH(548,'Transfer Engine'!$C$2:$C$630,0)),"",INDEX('Compliance Database'!$F$2:$F$630,MATCH(548,'Transfer Engine'!$C$2:$C$630,0)))</f>
        <v/>
      </c>
      <c r="G557">
        <f>IF(ISNA(MATCH(548,'Transfer Engine'!$C$2:$C$630,0)),"",INDEX('Compliance Database'!$G$2:$G$630,MATCH(548,'Transfer Engine'!$C$2:$C$630,0)))</f>
        <v/>
      </c>
      <c r="H557">
        <f>IF(ISNA(MATCH(548,'Transfer Engine'!$C$2:$C$630,0)),"",INDEX('Compliance Database'!$H$2:$H$630,MATCH(548,'Transfer Engine'!$C$2:$C$630,0)))</f>
        <v/>
      </c>
      <c r="I557" s="8">
        <f>IF(ISNA(MATCH(548,'Transfer Engine'!$C$2:$C$630,0)),"",INDEX('Compliance Database'!$I$2:$I$630,MATCH(548,'Transfer Engine'!$C$2:$C$630,0)))</f>
        <v/>
      </c>
      <c r="J557" s="8">
        <f>IF(ISNA(MATCH(548,'Transfer Engine'!$C$2:$C$630,0)),"",INDEX('Compliance Database'!$J$2:$J$630,MATCH(548,'Transfer Engine'!$C$2:$C$630,0)))</f>
        <v/>
      </c>
      <c r="K557">
        <f>IF(ISNA(MATCH(548,'Transfer Engine'!$C$2:$C$630,0)),"",INDEX('Compliance Database'!$K$2:$K$630,MATCH(548,'Transfer Engine'!$C$2:$C$630,0)))</f>
        <v/>
      </c>
      <c r="L557" s="8">
        <f>IF(ISNA(MATCH(548,'Transfer Engine'!$C$2:$C$630,0)),"",INDEX('Compliance Database'!$L$2:$L$630,MATCH(548,'Transfer Engine'!$C$2:$C$630,0)))</f>
        <v/>
      </c>
      <c r="M557" s="8">
        <f>IF(ISNA(MATCH(548,'Transfer Engine'!$C$2:$C$630,0)),"",INDEX('Compliance Database'!$M$2:$M$630,MATCH(548,'Transfer Engine'!$C$2:$C$630,0)))</f>
        <v/>
      </c>
      <c r="N557" s="8">
        <f>IF(ISNA(MATCH(548,'Transfer Engine'!$C$2:$C$630,0)),"",INDEX('Compliance Database'!$N$2:$N$630,MATCH(548,'Transfer Engine'!$C$2:$C$630,0)))</f>
        <v/>
      </c>
      <c r="O557" s="8">
        <f>IF(ISNA(MATCH(548,'Transfer Engine'!$C$2:$C$630,0)),"",INDEX('Compliance Database'!$O$2:$O$630,MATCH(548,'Transfer Engine'!$C$2:$C$630,0)))</f>
        <v/>
      </c>
    </row>
    <row r="558">
      <c r="A558">
        <f>IF(ISNA(MATCH(549,'Transfer Engine'!$C$2:$C$630,0)),"",INDEX('Compliance Database'!$A$2:$A$630,MATCH(549,'Transfer Engine'!$C$2:$C$630,0)))</f>
        <v/>
      </c>
      <c r="B558">
        <f>IF(ISNA(MATCH(549,'Transfer Engine'!$C$2:$C$630,0)),"",INDEX('Compliance Database'!$B$2:$B$630,MATCH(549,'Transfer Engine'!$C$2:$C$630,0)))</f>
        <v/>
      </c>
      <c r="C558">
        <f>IF(ISNA(MATCH(549,'Transfer Engine'!$C$2:$C$630,0)),"",INDEX('Compliance Database'!$C$2:$C$630,MATCH(549,'Transfer Engine'!$C$2:$C$630,0)))</f>
        <v/>
      </c>
      <c r="D558" s="8">
        <f>IF(ISNA(MATCH(549,'Transfer Engine'!$C$2:$C$630,0)),"",INDEX('Compliance Database'!$D$2:$D$630,MATCH(549,'Transfer Engine'!$C$2:$C$630,0)))</f>
        <v/>
      </c>
      <c r="E558">
        <f>IF(ISNA(MATCH(549,'Transfer Engine'!$C$2:$C$630,0)),"",INDEX('Compliance Database'!$E$2:$E$630,MATCH(549,'Transfer Engine'!$C$2:$C$630,0)))</f>
        <v/>
      </c>
      <c r="F558">
        <f>IF(ISNA(MATCH(549,'Transfer Engine'!$C$2:$C$630,0)),"",INDEX('Compliance Database'!$F$2:$F$630,MATCH(549,'Transfer Engine'!$C$2:$C$630,0)))</f>
        <v/>
      </c>
      <c r="G558">
        <f>IF(ISNA(MATCH(549,'Transfer Engine'!$C$2:$C$630,0)),"",INDEX('Compliance Database'!$G$2:$G$630,MATCH(549,'Transfer Engine'!$C$2:$C$630,0)))</f>
        <v/>
      </c>
      <c r="H558">
        <f>IF(ISNA(MATCH(549,'Transfer Engine'!$C$2:$C$630,0)),"",INDEX('Compliance Database'!$H$2:$H$630,MATCH(549,'Transfer Engine'!$C$2:$C$630,0)))</f>
        <v/>
      </c>
      <c r="I558" s="8">
        <f>IF(ISNA(MATCH(549,'Transfer Engine'!$C$2:$C$630,0)),"",INDEX('Compliance Database'!$I$2:$I$630,MATCH(549,'Transfer Engine'!$C$2:$C$630,0)))</f>
        <v/>
      </c>
      <c r="J558" s="8">
        <f>IF(ISNA(MATCH(549,'Transfer Engine'!$C$2:$C$630,0)),"",INDEX('Compliance Database'!$J$2:$J$630,MATCH(549,'Transfer Engine'!$C$2:$C$630,0)))</f>
        <v/>
      </c>
      <c r="K558">
        <f>IF(ISNA(MATCH(549,'Transfer Engine'!$C$2:$C$630,0)),"",INDEX('Compliance Database'!$K$2:$K$630,MATCH(549,'Transfer Engine'!$C$2:$C$630,0)))</f>
        <v/>
      </c>
      <c r="L558" s="8">
        <f>IF(ISNA(MATCH(549,'Transfer Engine'!$C$2:$C$630,0)),"",INDEX('Compliance Database'!$L$2:$L$630,MATCH(549,'Transfer Engine'!$C$2:$C$630,0)))</f>
        <v/>
      </c>
      <c r="M558" s="8">
        <f>IF(ISNA(MATCH(549,'Transfer Engine'!$C$2:$C$630,0)),"",INDEX('Compliance Database'!$M$2:$M$630,MATCH(549,'Transfer Engine'!$C$2:$C$630,0)))</f>
        <v/>
      </c>
      <c r="N558" s="8">
        <f>IF(ISNA(MATCH(549,'Transfer Engine'!$C$2:$C$630,0)),"",INDEX('Compliance Database'!$N$2:$N$630,MATCH(549,'Transfer Engine'!$C$2:$C$630,0)))</f>
        <v/>
      </c>
      <c r="O558" s="8">
        <f>IF(ISNA(MATCH(549,'Transfer Engine'!$C$2:$C$630,0)),"",INDEX('Compliance Database'!$O$2:$O$630,MATCH(549,'Transfer Engine'!$C$2:$C$630,0)))</f>
        <v/>
      </c>
    </row>
    <row r="559">
      <c r="A559">
        <f>IF(ISNA(MATCH(550,'Transfer Engine'!$C$2:$C$630,0)),"",INDEX('Compliance Database'!$A$2:$A$630,MATCH(550,'Transfer Engine'!$C$2:$C$630,0)))</f>
        <v/>
      </c>
      <c r="B559">
        <f>IF(ISNA(MATCH(550,'Transfer Engine'!$C$2:$C$630,0)),"",INDEX('Compliance Database'!$B$2:$B$630,MATCH(550,'Transfer Engine'!$C$2:$C$630,0)))</f>
        <v/>
      </c>
      <c r="C559">
        <f>IF(ISNA(MATCH(550,'Transfer Engine'!$C$2:$C$630,0)),"",INDEX('Compliance Database'!$C$2:$C$630,MATCH(550,'Transfer Engine'!$C$2:$C$630,0)))</f>
        <v/>
      </c>
      <c r="D559" s="8">
        <f>IF(ISNA(MATCH(550,'Transfer Engine'!$C$2:$C$630,0)),"",INDEX('Compliance Database'!$D$2:$D$630,MATCH(550,'Transfer Engine'!$C$2:$C$630,0)))</f>
        <v/>
      </c>
      <c r="E559">
        <f>IF(ISNA(MATCH(550,'Transfer Engine'!$C$2:$C$630,0)),"",INDEX('Compliance Database'!$E$2:$E$630,MATCH(550,'Transfer Engine'!$C$2:$C$630,0)))</f>
        <v/>
      </c>
      <c r="F559">
        <f>IF(ISNA(MATCH(550,'Transfer Engine'!$C$2:$C$630,0)),"",INDEX('Compliance Database'!$F$2:$F$630,MATCH(550,'Transfer Engine'!$C$2:$C$630,0)))</f>
        <v/>
      </c>
      <c r="G559">
        <f>IF(ISNA(MATCH(550,'Transfer Engine'!$C$2:$C$630,0)),"",INDEX('Compliance Database'!$G$2:$G$630,MATCH(550,'Transfer Engine'!$C$2:$C$630,0)))</f>
        <v/>
      </c>
      <c r="H559">
        <f>IF(ISNA(MATCH(550,'Transfer Engine'!$C$2:$C$630,0)),"",INDEX('Compliance Database'!$H$2:$H$630,MATCH(550,'Transfer Engine'!$C$2:$C$630,0)))</f>
        <v/>
      </c>
      <c r="I559" s="8">
        <f>IF(ISNA(MATCH(550,'Transfer Engine'!$C$2:$C$630,0)),"",INDEX('Compliance Database'!$I$2:$I$630,MATCH(550,'Transfer Engine'!$C$2:$C$630,0)))</f>
        <v/>
      </c>
      <c r="J559" s="8">
        <f>IF(ISNA(MATCH(550,'Transfer Engine'!$C$2:$C$630,0)),"",INDEX('Compliance Database'!$J$2:$J$630,MATCH(550,'Transfer Engine'!$C$2:$C$630,0)))</f>
        <v/>
      </c>
      <c r="K559">
        <f>IF(ISNA(MATCH(550,'Transfer Engine'!$C$2:$C$630,0)),"",INDEX('Compliance Database'!$K$2:$K$630,MATCH(550,'Transfer Engine'!$C$2:$C$630,0)))</f>
        <v/>
      </c>
      <c r="L559" s="8">
        <f>IF(ISNA(MATCH(550,'Transfer Engine'!$C$2:$C$630,0)),"",INDEX('Compliance Database'!$L$2:$L$630,MATCH(550,'Transfer Engine'!$C$2:$C$630,0)))</f>
        <v/>
      </c>
      <c r="M559" s="8">
        <f>IF(ISNA(MATCH(550,'Transfer Engine'!$C$2:$C$630,0)),"",INDEX('Compliance Database'!$M$2:$M$630,MATCH(550,'Transfer Engine'!$C$2:$C$630,0)))</f>
        <v/>
      </c>
      <c r="N559" s="8">
        <f>IF(ISNA(MATCH(550,'Transfer Engine'!$C$2:$C$630,0)),"",INDEX('Compliance Database'!$N$2:$N$630,MATCH(550,'Transfer Engine'!$C$2:$C$630,0)))</f>
        <v/>
      </c>
      <c r="O559" s="8">
        <f>IF(ISNA(MATCH(550,'Transfer Engine'!$C$2:$C$630,0)),"",INDEX('Compliance Database'!$O$2:$O$630,MATCH(550,'Transfer Engine'!$C$2:$C$630,0)))</f>
        <v/>
      </c>
    </row>
    <row r="560">
      <c r="A560">
        <f>IF(ISNA(MATCH(551,'Transfer Engine'!$C$2:$C$630,0)),"",INDEX('Compliance Database'!$A$2:$A$630,MATCH(551,'Transfer Engine'!$C$2:$C$630,0)))</f>
        <v/>
      </c>
      <c r="B560">
        <f>IF(ISNA(MATCH(551,'Transfer Engine'!$C$2:$C$630,0)),"",INDEX('Compliance Database'!$B$2:$B$630,MATCH(551,'Transfer Engine'!$C$2:$C$630,0)))</f>
        <v/>
      </c>
      <c r="C560">
        <f>IF(ISNA(MATCH(551,'Transfer Engine'!$C$2:$C$630,0)),"",INDEX('Compliance Database'!$C$2:$C$630,MATCH(551,'Transfer Engine'!$C$2:$C$630,0)))</f>
        <v/>
      </c>
      <c r="D560" s="8">
        <f>IF(ISNA(MATCH(551,'Transfer Engine'!$C$2:$C$630,0)),"",INDEX('Compliance Database'!$D$2:$D$630,MATCH(551,'Transfer Engine'!$C$2:$C$630,0)))</f>
        <v/>
      </c>
      <c r="E560">
        <f>IF(ISNA(MATCH(551,'Transfer Engine'!$C$2:$C$630,0)),"",INDEX('Compliance Database'!$E$2:$E$630,MATCH(551,'Transfer Engine'!$C$2:$C$630,0)))</f>
        <v/>
      </c>
      <c r="F560">
        <f>IF(ISNA(MATCH(551,'Transfer Engine'!$C$2:$C$630,0)),"",INDEX('Compliance Database'!$F$2:$F$630,MATCH(551,'Transfer Engine'!$C$2:$C$630,0)))</f>
        <v/>
      </c>
      <c r="G560">
        <f>IF(ISNA(MATCH(551,'Transfer Engine'!$C$2:$C$630,0)),"",INDEX('Compliance Database'!$G$2:$G$630,MATCH(551,'Transfer Engine'!$C$2:$C$630,0)))</f>
        <v/>
      </c>
      <c r="H560">
        <f>IF(ISNA(MATCH(551,'Transfer Engine'!$C$2:$C$630,0)),"",INDEX('Compliance Database'!$H$2:$H$630,MATCH(551,'Transfer Engine'!$C$2:$C$630,0)))</f>
        <v/>
      </c>
      <c r="I560" s="8">
        <f>IF(ISNA(MATCH(551,'Transfer Engine'!$C$2:$C$630,0)),"",INDEX('Compliance Database'!$I$2:$I$630,MATCH(551,'Transfer Engine'!$C$2:$C$630,0)))</f>
        <v/>
      </c>
      <c r="J560" s="8">
        <f>IF(ISNA(MATCH(551,'Transfer Engine'!$C$2:$C$630,0)),"",INDEX('Compliance Database'!$J$2:$J$630,MATCH(551,'Transfer Engine'!$C$2:$C$630,0)))</f>
        <v/>
      </c>
      <c r="K560">
        <f>IF(ISNA(MATCH(551,'Transfer Engine'!$C$2:$C$630,0)),"",INDEX('Compliance Database'!$K$2:$K$630,MATCH(551,'Transfer Engine'!$C$2:$C$630,0)))</f>
        <v/>
      </c>
      <c r="L560" s="8">
        <f>IF(ISNA(MATCH(551,'Transfer Engine'!$C$2:$C$630,0)),"",INDEX('Compliance Database'!$L$2:$L$630,MATCH(551,'Transfer Engine'!$C$2:$C$630,0)))</f>
        <v/>
      </c>
      <c r="M560" s="8">
        <f>IF(ISNA(MATCH(551,'Transfer Engine'!$C$2:$C$630,0)),"",INDEX('Compliance Database'!$M$2:$M$630,MATCH(551,'Transfer Engine'!$C$2:$C$630,0)))</f>
        <v/>
      </c>
      <c r="N560" s="8">
        <f>IF(ISNA(MATCH(551,'Transfer Engine'!$C$2:$C$630,0)),"",INDEX('Compliance Database'!$N$2:$N$630,MATCH(551,'Transfer Engine'!$C$2:$C$630,0)))</f>
        <v/>
      </c>
      <c r="O560" s="8">
        <f>IF(ISNA(MATCH(551,'Transfer Engine'!$C$2:$C$630,0)),"",INDEX('Compliance Database'!$O$2:$O$630,MATCH(551,'Transfer Engine'!$C$2:$C$630,0)))</f>
        <v/>
      </c>
    </row>
    <row r="561">
      <c r="A561">
        <f>IF(ISNA(MATCH(552,'Transfer Engine'!$C$2:$C$630,0)),"",INDEX('Compliance Database'!$A$2:$A$630,MATCH(552,'Transfer Engine'!$C$2:$C$630,0)))</f>
        <v/>
      </c>
      <c r="B561">
        <f>IF(ISNA(MATCH(552,'Transfer Engine'!$C$2:$C$630,0)),"",INDEX('Compliance Database'!$B$2:$B$630,MATCH(552,'Transfer Engine'!$C$2:$C$630,0)))</f>
        <v/>
      </c>
      <c r="C561">
        <f>IF(ISNA(MATCH(552,'Transfer Engine'!$C$2:$C$630,0)),"",INDEX('Compliance Database'!$C$2:$C$630,MATCH(552,'Transfer Engine'!$C$2:$C$630,0)))</f>
        <v/>
      </c>
      <c r="D561" s="8">
        <f>IF(ISNA(MATCH(552,'Transfer Engine'!$C$2:$C$630,0)),"",INDEX('Compliance Database'!$D$2:$D$630,MATCH(552,'Transfer Engine'!$C$2:$C$630,0)))</f>
        <v/>
      </c>
      <c r="E561">
        <f>IF(ISNA(MATCH(552,'Transfer Engine'!$C$2:$C$630,0)),"",INDEX('Compliance Database'!$E$2:$E$630,MATCH(552,'Transfer Engine'!$C$2:$C$630,0)))</f>
        <v/>
      </c>
      <c r="F561">
        <f>IF(ISNA(MATCH(552,'Transfer Engine'!$C$2:$C$630,0)),"",INDEX('Compliance Database'!$F$2:$F$630,MATCH(552,'Transfer Engine'!$C$2:$C$630,0)))</f>
        <v/>
      </c>
      <c r="G561">
        <f>IF(ISNA(MATCH(552,'Transfer Engine'!$C$2:$C$630,0)),"",INDEX('Compliance Database'!$G$2:$G$630,MATCH(552,'Transfer Engine'!$C$2:$C$630,0)))</f>
        <v/>
      </c>
      <c r="H561">
        <f>IF(ISNA(MATCH(552,'Transfer Engine'!$C$2:$C$630,0)),"",INDEX('Compliance Database'!$H$2:$H$630,MATCH(552,'Transfer Engine'!$C$2:$C$630,0)))</f>
        <v/>
      </c>
      <c r="I561" s="8">
        <f>IF(ISNA(MATCH(552,'Transfer Engine'!$C$2:$C$630,0)),"",INDEX('Compliance Database'!$I$2:$I$630,MATCH(552,'Transfer Engine'!$C$2:$C$630,0)))</f>
        <v/>
      </c>
      <c r="J561" s="8">
        <f>IF(ISNA(MATCH(552,'Transfer Engine'!$C$2:$C$630,0)),"",INDEX('Compliance Database'!$J$2:$J$630,MATCH(552,'Transfer Engine'!$C$2:$C$630,0)))</f>
        <v/>
      </c>
      <c r="K561">
        <f>IF(ISNA(MATCH(552,'Transfer Engine'!$C$2:$C$630,0)),"",INDEX('Compliance Database'!$K$2:$K$630,MATCH(552,'Transfer Engine'!$C$2:$C$630,0)))</f>
        <v/>
      </c>
      <c r="L561" s="8">
        <f>IF(ISNA(MATCH(552,'Transfer Engine'!$C$2:$C$630,0)),"",INDEX('Compliance Database'!$L$2:$L$630,MATCH(552,'Transfer Engine'!$C$2:$C$630,0)))</f>
        <v/>
      </c>
      <c r="M561" s="8">
        <f>IF(ISNA(MATCH(552,'Transfer Engine'!$C$2:$C$630,0)),"",INDEX('Compliance Database'!$M$2:$M$630,MATCH(552,'Transfer Engine'!$C$2:$C$630,0)))</f>
        <v/>
      </c>
      <c r="N561" s="8">
        <f>IF(ISNA(MATCH(552,'Transfer Engine'!$C$2:$C$630,0)),"",INDEX('Compliance Database'!$N$2:$N$630,MATCH(552,'Transfer Engine'!$C$2:$C$630,0)))</f>
        <v/>
      </c>
      <c r="O561" s="8">
        <f>IF(ISNA(MATCH(552,'Transfer Engine'!$C$2:$C$630,0)),"",INDEX('Compliance Database'!$O$2:$O$630,MATCH(552,'Transfer Engine'!$C$2:$C$630,0)))</f>
        <v/>
      </c>
    </row>
    <row r="562">
      <c r="A562">
        <f>IF(ISNA(MATCH(553,'Transfer Engine'!$C$2:$C$630,0)),"",INDEX('Compliance Database'!$A$2:$A$630,MATCH(553,'Transfer Engine'!$C$2:$C$630,0)))</f>
        <v/>
      </c>
      <c r="B562">
        <f>IF(ISNA(MATCH(553,'Transfer Engine'!$C$2:$C$630,0)),"",INDEX('Compliance Database'!$B$2:$B$630,MATCH(553,'Transfer Engine'!$C$2:$C$630,0)))</f>
        <v/>
      </c>
      <c r="C562">
        <f>IF(ISNA(MATCH(553,'Transfer Engine'!$C$2:$C$630,0)),"",INDEX('Compliance Database'!$C$2:$C$630,MATCH(553,'Transfer Engine'!$C$2:$C$630,0)))</f>
        <v/>
      </c>
      <c r="D562" s="8">
        <f>IF(ISNA(MATCH(553,'Transfer Engine'!$C$2:$C$630,0)),"",INDEX('Compliance Database'!$D$2:$D$630,MATCH(553,'Transfer Engine'!$C$2:$C$630,0)))</f>
        <v/>
      </c>
      <c r="E562">
        <f>IF(ISNA(MATCH(553,'Transfer Engine'!$C$2:$C$630,0)),"",INDEX('Compliance Database'!$E$2:$E$630,MATCH(553,'Transfer Engine'!$C$2:$C$630,0)))</f>
        <v/>
      </c>
      <c r="F562">
        <f>IF(ISNA(MATCH(553,'Transfer Engine'!$C$2:$C$630,0)),"",INDEX('Compliance Database'!$F$2:$F$630,MATCH(553,'Transfer Engine'!$C$2:$C$630,0)))</f>
        <v/>
      </c>
      <c r="G562">
        <f>IF(ISNA(MATCH(553,'Transfer Engine'!$C$2:$C$630,0)),"",INDEX('Compliance Database'!$G$2:$G$630,MATCH(553,'Transfer Engine'!$C$2:$C$630,0)))</f>
        <v/>
      </c>
      <c r="H562">
        <f>IF(ISNA(MATCH(553,'Transfer Engine'!$C$2:$C$630,0)),"",INDEX('Compliance Database'!$H$2:$H$630,MATCH(553,'Transfer Engine'!$C$2:$C$630,0)))</f>
        <v/>
      </c>
      <c r="I562" s="8">
        <f>IF(ISNA(MATCH(553,'Transfer Engine'!$C$2:$C$630,0)),"",INDEX('Compliance Database'!$I$2:$I$630,MATCH(553,'Transfer Engine'!$C$2:$C$630,0)))</f>
        <v/>
      </c>
      <c r="J562" s="8">
        <f>IF(ISNA(MATCH(553,'Transfer Engine'!$C$2:$C$630,0)),"",INDEX('Compliance Database'!$J$2:$J$630,MATCH(553,'Transfer Engine'!$C$2:$C$630,0)))</f>
        <v/>
      </c>
      <c r="K562">
        <f>IF(ISNA(MATCH(553,'Transfer Engine'!$C$2:$C$630,0)),"",INDEX('Compliance Database'!$K$2:$K$630,MATCH(553,'Transfer Engine'!$C$2:$C$630,0)))</f>
        <v/>
      </c>
      <c r="L562" s="8">
        <f>IF(ISNA(MATCH(553,'Transfer Engine'!$C$2:$C$630,0)),"",INDEX('Compliance Database'!$L$2:$L$630,MATCH(553,'Transfer Engine'!$C$2:$C$630,0)))</f>
        <v/>
      </c>
      <c r="M562" s="8">
        <f>IF(ISNA(MATCH(553,'Transfer Engine'!$C$2:$C$630,0)),"",INDEX('Compliance Database'!$M$2:$M$630,MATCH(553,'Transfer Engine'!$C$2:$C$630,0)))</f>
        <v/>
      </c>
      <c r="N562" s="8">
        <f>IF(ISNA(MATCH(553,'Transfer Engine'!$C$2:$C$630,0)),"",INDEX('Compliance Database'!$N$2:$N$630,MATCH(553,'Transfer Engine'!$C$2:$C$630,0)))</f>
        <v/>
      </c>
      <c r="O562" s="8">
        <f>IF(ISNA(MATCH(553,'Transfer Engine'!$C$2:$C$630,0)),"",INDEX('Compliance Database'!$O$2:$O$630,MATCH(553,'Transfer Engine'!$C$2:$C$630,0)))</f>
        <v/>
      </c>
    </row>
    <row r="563">
      <c r="A563">
        <f>IF(ISNA(MATCH(554,'Transfer Engine'!$C$2:$C$630,0)),"",INDEX('Compliance Database'!$A$2:$A$630,MATCH(554,'Transfer Engine'!$C$2:$C$630,0)))</f>
        <v/>
      </c>
      <c r="B563">
        <f>IF(ISNA(MATCH(554,'Transfer Engine'!$C$2:$C$630,0)),"",INDEX('Compliance Database'!$B$2:$B$630,MATCH(554,'Transfer Engine'!$C$2:$C$630,0)))</f>
        <v/>
      </c>
      <c r="C563">
        <f>IF(ISNA(MATCH(554,'Transfer Engine'!$C$2:$C$630,0)),"",INDEX('Compliance Database'!$C$2:$C$630,MATCH(554,'Transfer Engine'!$C$2:$C$630,0)))</f>
        <v/>
      </c>
      <c r="D563" s="8">
        <f>IF(ISNA(MATCH(554,'Transfer Engine'!$C$2:$C$630,0)),"",INDEX('Compliance Database'!$D$2:$D$630,MATCH(554,'Transfer Engine'!$C$2:$C$630,0)))</f>
        <v/>
      </c>
      <c r="E563">
        <f>IF(ISNA(MATCH(554,'Transfer Engine'!$C$2:$C$630,0)),"",INDEX('Compliance Database'!$E$2:$E$630,MATCH(554,'Transfer Engine'!$C$2:$C$630,0)))</f>
        <v/>
      </c>
      <c r="F563">
        <f>IF(ISNA(MATCH(554,'Transfer Engine'!$C$2:$C$630,0)),"",INDEX('Compliance Database'!$F$2:$F$630,MATCH(554,'Transfer Engine'!$C$2:$C$630,0)))</f>
        <v/>
      </c>
      <c r="G563">
        <f>IF(ISNA(MATCH(554,'Transfer Engine'!$C$2:$C$630,0)),"",INDEX('Compliance Database'!$G$2:$G$630,MATCH(554,'Transfer Engine'!$C$2:$C$630,0)))</f>
        <v/>
      </c>
      <c r="H563">
        <f>IF(ISNA(MATCH(554,'Transfer Engine'!$C$2:$C$630,0)),"",INDEX('Compliance Database'!$H$2:$H$630,MATCH(554,'Transfer Engine'!$C$2:$C$630,0)))</f>
        <v/>
      </c>
      <c r="I563" s="8">
        <f>IF(ISNA(MATCH(554,'Transfer Engine'!$C$2:$C$630,0)),"",INDEX('Compliance Database'!$I$2:$I$630,MATCH(554,'Transfer Engine'!$C$2:$C$630,0)))</f>
        <v/>
      </c>
      <c r="J563" s="8">
        <f>IF(ISNA(MATCH(554,'Transfer Engine'!$C$2:$C$630,0)),"",INDEX('Compliance Database'!$J$2:$J$630,MATCH(554,'Transfer Engine'!$C$2:$C$630,0)))</f>
        <v/>
      </c>
      <c r="K563">
        <f>IF(ISNA(MATCH(554,'Transfer Engine'!$C$2:$C$630,0)),"",INDEX('Compliance Database'!$K$2:$K$630,MATCH(554,'Transfer Engine'!$C$2:$C$630,0)))</f>
        <v/>
      </c>
      <c r="L563" s="8">
        <f>IF(ISNA(MATCH(554,'Transfer Engine'!$C$2:$C$630,0)),"",INDEX('Compliance Database'!$L$2:$L$630,MATCH(554,'Transfer Engine'!$C$2:$C$630,0)))</f>
        <v/>
      </c>
      <c r="M563" s="8">
        <f>IF(ISNA(MATCH(554,'Transfer Engine'!$C$2:$C$630,0)),"",INDEX('Compliance Database'!$M$2:$M$630,MATCH(554,'Transfer Engine'!$C$2:$C$630,0)))</f>
        <v/>
      </c>
      <c r="N563" s="8">
        <f>IF(ISNA(MATCH(554,'Transfer Engine'!$C$2:$C$630,0)),"",INDEX('Compliance Database'!$N$2:$N$630,MATCH(554,'Transfer Engine'!$C$2:$C$630,0)))</f>
        <v/>
      </c>
      <c r="O563" s="8">
        <f>IF(ISNA(MATCH(554,'Transfer Engine'!$C$2:$C$630,0)),"",INDEX('Compliance Database'!$O$2:$O$630,MATCH(554,'Transfer Engine'!$C$2:$C$630,0)))</f>
        <v/>
      </c>
    </row>
    <row r="564">
      <c r="A564">
        <f>IF(ISNA(MATCH(555,'Transfer Engine'!$C$2:$C$630,0)),"",INDEX('Compliance Database'!$A$2:$A$630,MATCH(555,'Transfer Engine'!$C$2:$C$630,0)))</f>
        <v/>
      </c>
      <c r="B564">
        <f>IF(ISNA(MATCH(555,'Transfer Engine'!$C$2:$C$630,0)),"",INDEX('Compliance Database'!$B$2:$B$630,MATCH(555,'Transfer Engine'!$C$2:$C$630,0)))</f>
        <v/>
      </c>
      <c r="C564">
        <f>IF(ISNA(MATCH(555,'Transfer Engine'!$C$2:$C$630,0)),"",INDEX('Compliance Database'!$C$2:$C$630,MATCH(555,'Transfer Engine'!$C$2:$C$630,0)))</f>
        <v/>
      </c>
      <c r="D564" s="8">
        <f>IF(ISNA(MATCH(555,'Transfer Engine'!$C$2:$C$630,0)),"",INDEX('Compliance Database'!$D$2:$D$630,MATCH(555,'Transfer Engine'!$C$2:$C$630,0)))</f>
        <v/>
      </c>
      <c r="E564">
        <f>IF(ISNA(MATCH(555,'Transfer Engine'!$C$2:$C$630,0)),"",INDEX('Compliance Database'!$E$2:$E$630,MATCH(555,'Transfer Engine'!$C$2:$C$630,0)))</f>
        <v/>
      </c>
      <c r="F564">
        <f>IF(ISNA(MATCH(555,'Transfer Engine'!$C$2:$C$630,0)),"",INDEX('Compliance Database'!$F$2:$F$630,MATCH(555,'Transfer Engine'!$C$2:$C$630,0)))</f>
        <v/>
      </c>
      <c r="G564">
        <f>IF(ISNA(MATCH(555,'Transfer Engine'!$C$2:$C$630,0)),"",INDEX('Compliance Database'!$G$2:$G$630,MATCH(555,'Transfer Engine'!$C$2:$C$630,0)))</f>
        <v/>
      </c>
      <c r="H564">
        <f>IF(ISNA(MATCH(555,'Transfer Engine'!$C$2:$C$630,0)),"",INDEX('Compliance Database'!$H$2:$H$630,MATCH(555,'Transfer Engine'!$C$2:$C$630,0)))</f>
        <v/>
      </c>
      <c r="I564" s="8">
        <f>IF(ISNA(MATCH(555,'Transfer Engine'!$C$2:$C$630,0)),"",INDEX('Compliance Database'!$I$2:$I$630,MATCH(555,'Transfer Engine'!$C$2:$C$630,0)))</f>
        <v/>
      </c>
      <c r="J564" s="8">
        <f>IF(ISNA(MATCH(555,'Transfer Engine'!$C$2:$C$630,0)),"",INDEX('Compliance Database'!$J$2:$J$630,MATCH(555,'Transfer Engine'!$C$2:$C$630,0)))</f>
        <v/>
      </c>
      <c r="K564">
        <f>IF(ISNA(MATCH(555,'Transfer Engine'!$C$2:$C$630,0)),"",INDEX('Compliance Database'!$K$2:$K$630,MATCH(555,'Transfer Engine'!$C$2:$C$630,0)))</f>
        <v/>
      </c>
      <c r="L564" s="8">
        <f>IF(ISNA(MATCH(555,'Transfer Engine'!$C$2:$C$630,0)),"",INDEX('Compliance Database'!$L$2:$L$630,MATCH(555,'Transfer Engine'!$C$2:$C$630,0)))</f>
        <v/>
      </c>
      <c r="M564" s="8">
        <f>IF(ISNA(MATCH(555,'Transfer Engine'!$C$2:$C$630,0)),"",INDEX('Compliance Database'!$M$2:$M$630,MATCH(555,'Transfer Engine'!$C$2:$C$630,0)))</f>
        <v/>
      </c>
      <c r="N564" s="8">
        <f>IF(ISNA(MATCH(555,'Transfer Engine'!$C$2:$C$630,0)),"",INDEX('Compliance Database'!$N$2:$N$630,MATCH(555,'Transfer Engine'!$C$2:$C$630,0)))</f>
        <v/>
      </c>
      <c r="O564" s="8">
        <f>IF(ISNA(MATCH(555,'Transfer Engine'!$C$2:$C$630,0)),"",INDEX('Compliance Database'!$O$2:$O$630,MATCH(555,'Transfer Engine'!$C$2:$C$630,0)))</f>
        <v/>
      </c>
    </row>
    <row r="565">
      <c r="A565">
        <f>IF(ISNA(MATCH(556,'Transfer Engine'!$C$2:$C$630,0)),"",INDEX('Compliance Database'!$A$2:$A$630,MATCH(556,'Transfer Engine'!$C$2:$C$630,0)))</f>
        <v/>
      </c>
      <c r="B565">
        <f>IF(ISNA(MATCH(556,'Transfer Engine'!$C$2:$C$630,0)),"",INDEX('Compliance Database'!$B$2:$B$630,MATCH(556,'Transfer Engine'!$C$2:$C$630,0)))</f>
        <v/>
      </c>
      <c r="C565">
        <f>IF(ISNA(MATCH(556,'Transfer Engine'!$C$2:$C$630,0)),"",INDEX('Compliance Database'!$C$2:$C$630,MATCH(556,'Transfer Engine'!$C$2:$C$630,0)))</f>
        <v/>
      </c>
      <c r="D565" s="8">
        <f>IF(ISNA(MATCH(556,'Transfer Engine'!$C$2:$C$630,0)),"",INDEX('Compliance Database'!$D$2:$D$630,MATCH(556,'Transfer Engine'!$C$2:$C$630,0)))</f>
        <v/>
      </c>
      <c r="E565">
        <f>IF(ISNA(MATCH(556,'Transfer Engine'!$C$2:$C$630,0)),"",INDEX('Compliance Database'!$E$2:$E$630,MATCH(556,'Transfer Engine'!$C$2:$C$630,0)))</f>
        <v/>
      </c>
      <c r="F565">
        <f>IF(ISNA(MATCH(556,'Transfer Engine'!$C$2:$C$630,0)),"",INDEX('Compliance Database'!$F$2:$F$630,MATCH(556,'Transfer Engine'!$C$2:$C$630,0)))</f>
        <v/>
      </c>
      <c r="G565">
        <f>IF(ISNA(MATCH(556,'Transfer Engine'!$C$2:$C$630,0)),"",INDEX('Compliance Database'!$G$2:$G$630,MATCH(556,'Transfer Engine'!$C$2:$C$630,0)))</f>
        <v/>
      </c>
      <c r="H565">
        <f>IF(ISNA(MATCH(556,'Transfer Engine'!$C$2:$C$630,0)),"",INDEX('Compliance Database'!$H$2:$H$630,MATCH(556,'Transfer Engine'!$C$2:$C$630,0)))</f>
        <v/>
      </c>
      <c r="I565" s="8">
        <f>IF(ISNA(MATCH(556,'Transfer Engine'!$C$2:$C$630,0)),"",INDEX('Compliance Database'!$I$2:$I$630,MATCH(556,'Transfer Engine'!$C$2:$C$630,0)))</f>
        <v/>
      </c>
      <c r="J565" s="8">
        <f>IF(ISNA(MATCH(556,'Transfer Engine'!$C$2:$C$630,0)),"",INDEX('Compliance Database'!$J$2:$J$630,MATCH(556,'Transfer Engine'!$C$2:$C$630,0)))</f>
        <v/>
      </c>
      <c r="K565">
        <f>IF(ISNA(MATCH(556,'Transfer Engine'!$C$2:$C$630,0)),"",INDEX('Compliance Database'!$K$2:$K$630,MATCH(556,'Transfer Engine'!$C$2:$C$630,0)))</f>
        <v/>
      </c>
      <c r="L565" s="8">
        <f>IF(ISNA(MATCH(556,'Transfer Engine'!$C$2:$C$630,0)),"",INDEX('Compliance Database'!$L$2:$L$630,MATCH(556,'Transfer Engine'!$C$2:$C$630,0)))</f>
        <v/>
      </c>
      <c r="M565" s="8">
        <f>IF(ISNA(MATCH(556,'Transfer Engine'!$C$2:$C$630,0)),"",INDEX('Compliance Database'!$M$2:$M$630,MATCH(556,'Transfer Engine'!$C$2:$C$630,0)))</f>
        <v/>
      </c>
      <c r="N565" s="8">
        <f>IF(ISNA(MATCH(556,'Transfer Engine'!$C$2:$C$630,0)),"",INDEX('Compliance Database'!$N$2:$N$630,MATCH(556,'Transfer Engine'!$C$2:$C$630,0)))</f>
        <v/>
      </c>
      <c r="O565" s="8">
        <f>IF(ISNA(MATCH(556,'Transfer Engine'!$C$2:$C$630,0)),"",INDEX('Compliance Database'!$O$2:$O$630,MATCH(556,'Transfer Engine'!$C$2:$C$630,0)))</f>
        <v/>
      </c>
    </row>
    <row r="566">
      <c r="A566">
        <f>IF(ISNA(MATCH(557,'Transfer Engine'!$C$2:$C$630,0)),"",INDEX('Compliance Database'!$A$2:$A$630,MATCH(557,'Transfer Engine'!$C$2:$C$630,0)))</f>
        <v/>
      </c>
      <c r="B566">
        <f>IF(ISNA(MATCH(557,'Transfer Engine'!$C$2:$C$630,0)),"",INDEX('Compliance Database'!$B$2:$B$630,MATCH(557,'Transfer Engine'!$C$2:$C$630,0)))</f>
        <v/>
      </c>
      <c r="C566">
        <f>IF(ISNA(MATCH(557,'Transfer Engine'!$C$2:$C$630,0)),"",INDEX('Compliance Database'!$C$2:$C$630,MATCH(557,'Transfer Engine'!$C$2:$C$630,0)))</f>
        <v/>
      </c>
      <c r="D566" s="8">
        <f>IF(ISNA(MATCH(557,'Transfer Engine'!$C$2:$C$630,0)),"",INDEX('Compliance Database'!$D$2:$D$630,MATCH(557,'Transfer Engine'!$C$2:$C$630,0)))</f>
        <v/>
      </c>
      <c r="E566">
        <f>IF(ISNA(MATCH(557,'Transfer Engine'!$C$2:$C$630,0)),"",INDEX('Compliance Database'!$E$2:$E$630,MATCH(557,'Transfer Engine'!$C$2:$C$630,0)))</f>
        <v/>
      </c>
      <c r="F566">
        <f>IF(ISNA(MATCH(557,'Transfer Engine'!$C$2:$C$630,0)),"",INDEX('Compliance Database'!$F$2:$F$630,MATCH(557,'Transfer Engine'!$C$2:$C$630,0)))</f>
        <v/>
      </c>
      <c r="G566">
        <f>IF(ISNA(MATCH(557,'Transfer Engine'!$C$2:$C$630,0)),"",INDEX('Compliance Database'!$G$2:$G$630,MATCH(557,'Transfer Engine'!$C$2:$C$630,0)))</f>
        <v/>
      </c>
      <c r="H566">
        <f>IF(ISNA(MATCH(557,'Transfer Engine'!$C$2:$C$630,0)),"",INDEX('Compliance Database'!$H$2:$H$630,MATCH(557,'Transfer Engine'!$C$2:$C$630,0)))</f>
        <v/>
      </c>
      <c r="I566" s="8">
        <f>IF(ISNA(MATCH(557,'Transfer Engine'!$C$2:$C$630,0)),"",INDEX('Compliance Database'!$I$2:$I$630,MATCH(557,'Transfer Engine'!$C$2:$C$630,0)))</f>
        <v/>
      </c>
      <c r="J566" s="8">
        <f>IF(ISNA(MATCH(557,'Transfer Engine'!$C$2:$C$630,0)),"",INDEX('Compliance Database'!$J$2:$J$630,MATCH(557,'Transfer Engine'!$C$2:$C$630,0)))</f>
        <v/>
      </c>
      <c r="K566">
        <f>IF(ISNA(MATCH(557,'Transfer Engine'!$C$2:$C$630,0)),"",INDEX('Compliance Database'!$K$2:$K$630,MATCH(557,'Transfer Engine'!$C$2:$C$630,0)))</f>
        <v/>
      </c>
      <c r="L566" s="8">
        <f>IF(ISNA(MATCH(557,'Transfer Engine'!$C$2:$C$630,0)),"",INDEX('Compliance Database'!$L$2:$L$630,MATCH(557,'Transfer Engine'!$C$2:$C$630,0)))</f>
        <v/>
      </c>
      <c r="M566" s="8">
        <f>IF(ISNA(MATCH(557,'Transfer Engine'!$C$2:$C$630,0)),"",INDEX('Compliance Database'!$M$2:$M$630,MATCH(557,'Transfer Engine'!$C$2:$C$630,0)))</f>
        <v/>
      </c>
      <c r="N566" s="8">
        <f>IF(ISNA(MATCH(557,'Transfer Engine'!$C$2:$C$630,0)),"",INDEX('Compliance Database'!$N$2:$N$630,MATCH(557,'Transfer Engine'!$C$2:$C$630,0)))</f>
        <v/>
      </c>
      <c r="O566" s="8">
        <f>IF(ISNA(MATCH(557,'Transfer Engine'!$C$2:$C$630,0)),"",INDEX('Compliance Database'!$O$2:$O$630,MATCH(557,'Transfer Engine'!$C$2:$C$630,0)))</f>
        <v/>
      </c>
    </row>
    <row r="567">
      <c r="A567">
        <f>IF(ISNA(MATCH(558,'Transfer Engine'!$C$2:$C$630,0)),"",INDEX('Compliance Database'!$A$2:$A$630,MATCH(558,'Transfer Engine'!$C$2:$C$630,0)))</f>
        <v/>
      </c>
      <c r="B567">
        <f>IF(ISNA(MATCH(558,'Transfer Engine'!$C$2:$C$630,0)),"",INDEX('Compliance Database'!$B$2:$B$630,MATCH(558,'Transfer Engine'!$C$2:$C$630,0)))</f>
        <v/>
      </c>
      <c r="C567">
        <f>IF(ISNA(MATCH(558,'Transfer Engine'!$C$2:$C$630,0)),"",INDEX('Compliance Database'!$C$2:$C$630,MATCH(558,'Transfer Engine'!$C$2:$C$630,0)))</f>
        <v/>
      </c>
      <c r="D567" s="8">
        <f>IF(ISNA(MATCH(558,'Transfer Engine'!$C$2:$C$630,0)),"",INDEX('Compliance Database'!$D$2:$D$630,MATCH(558,'Transfer Engine'!$C$2:$C$630,0)))</f>
        <v/>
      </c>
      <c r="E567">
        <f>IF(ISNA(MATCH(558,'Transfer Engine'!$C$2:$C$630,0)),"",INDEX('Compliance Database'!$E$2:$E$630,MATCH(558,'Transfer Engine'!$C$2:$C$630,0)))</f>
        <v/>
      </c>
      <c r="F567">
        <f>IF(ISNA(MATCH(558,'Transfer Engine'!$C$2:$C$630,0)),"",INDEX('Compliance Database'!$F$2:$F$630,MATCH(558,'Transfer Engine'!$C$2:$C$630,0)))</f>
        <v/>
      </c>
      <c r="G567">
        <f>IF(ISNA(MATCH(558,'Transfer Engine'!$C$2:$C$630,0)),"",INDEX('Compliance Database'!$G$2:$G$630,MATCH(558,'Transfer Engine'!$C$2:$C$630,0)))</f>
        <v/>
      </c>
      <c r="H567">
        <f>IF(ISNA(MATCH(558,'Transfer Engine'!$C$2:$C$630,0)),"",INDEX('Compliance Database'!$H$2:$H$630,MATCH(558,'Transfer Engine'!$C$2:$C$630,0)))</f>
        <v/>
      </c>
      <c r="I567" s="8">
        <f>IF(ISNA(MATCH(558,'Transfer Engine'!$C$2:$C$630,0)),"",INDEX('Compliance Database'!$I$2:$I$630,MATCH(558,'Transfer Engine'!$C$2:$C$630,0)))</f>
        <v/>
      </c>
      <c r="J567" s="8">
        <f>IF(ISNA(MATCH(558,'Transfer Engine'!$C$2:$C$630,0)),"",INDEX('Compliance Database'!$J$2:$J$630,MATCH(558,'Transfer Engine'!$C$2:$C$630,0)))</f>
        <v/>
      </c>
      <c r="K567">
        <f>IF(ISNA(MATCH(558,'Transfer Engine'!$C$2:$C$630,0)),"",INDEX('Compliance Database'!$K$2:$K$630,MATCH(558,'Transfer Engine'!$C$2:$C$630,0)))</f>
        <v/>
      </c>
      <c r="L567" s="8">
        <f>IF(ISNA(MATCH(558,'Transfer Engine'!$C$2:$C$630,0)),"",INDEX('Compliance Database'!$L$2:$L$630,MATCH(558,'Transfer Engine'!$C$2:$C$630,0)))</f>
        <v/>
      </c>
      <c r="M567" s="8">
        <f>IF(ISNA(MATCH(558,'Transfer Engine'!$C$2:$C$630,0)),"",INDEX('Compliance Database'!$M$2:$M$630,MATCH(558,'Transfer Engine'!$C$2:$C$630,0)))</f>
        <v/>
      </c>
      <c r="N567" s="8">
        <f>IF(ISNA(MATCH(558,'Transfer Engine'!$C$2:$C$630,0)),"",INDEX('Compliance Database'!$N$2:$N$630,MATCH(558,'Transfer Engine'!$C$2:$C$630,0)))</f>
        <v/>
      </c>
      <c r="O567" s="8">
        <f>IF(ISNA(MATCH(558,'Transfer Engine'!$C$2:$C$630,0)),"",INDEX('Compliance Database'!$O$2:$O$630,MATCH(558,'Transfer Engine'!$C$2:$C$630,0)))</f>
        <v/>
      </c>
    </row>
    <row r="568">
      <c r="A568">
        <f>IF(ISNA(MATCH(559,'Transfer Engine'!$C$2:$C$630,0)),"",INDEX('Compliance Database'!$A$2:$A$630,MATCH(559,'Transfer Engine'!$C$2:$C$630,0)))</f>
        <v/>
      </c>
      <c r="B568">
        <f>IF(ISNA(MATCH(559,'Transfer Engine'!$C$2:$C$630,0)),"",INDEX('Compliance Database'!$B$2:$B$630,MATCH(559,'Transfer Engine'!$C$2:$C$630,0)))</f>
        <v/>
      </c>
      <c r="C568">
        <f>IF(ISNA(MATCH(559,'Transfer Engine'!$C$2:$C$630,0)),"",INDEX('Compliance Database'!$C$2:$C$630,MATCH(559,'Transfer Engine'!$C$2:$C$630,0)))</f>
        <v/>
      </c>
      <c r="D568" s="8">
        <f>IF(ISNA(MATCH(559,'Transfer Engine'!$C$2:$C$630,0)),"",INDEX('Compliance Database'!$D$2:$D$630,MATCH(559,'Transfer Engine'!$C$2:$C$630,0)))</f>
        <v/>
      </c>
      <c r="E568">
        <f>IF(ISNA(MATCH(559,'Transfer Engine'!$C$2:$C$630,0)),"",INDEX('Compliance Database'!$E$2:$E$630,MATCH(559,'Transfer Engine'!$C$2:$C$630,0)))</f>
        <v/>
      </c>
      <c r="F568">
        <f>IF(ISNA(MATCH(559,'Transfer Engine'!$C$2:$C$630,0)),"",INDEX('Compliance Database'!$F$2:$F$630,MATCH(559,'Transfer Engine'!$C$2:$C$630,0)))</f>
        <v/>
      </c>
      <c r="G568">
        <f>IF(ISNA(MATCH(559,'Transfer Engine'!$C$2:$C$630,0)),"",INDEX('Compliance Database'!$G$2:$G$630,MATCH(559,'Transfer Engine'!$C$2:$C$630,0)))</f>
        <v/>
      </c>
      <c r="H568">
        <f>IF(ISNA(MATCH(559,'Transfer Engine'!$C$2:$C$630,0)),"",INDEX('Compliance Database'!$H$2:$H$630,MATCH(559,'Transfer Engine'!$C$2:$C$630,0)))</f>
        <v/>
      </c>
      <c r="I568" s="8">
        <f>IF(ISNA(MATCH(559,'Transfer Engine'!$C$2:$C$630,0)),"",INDEX('Compliance Database'!$I$2:$I$630,MATCH(559,'Transfer Engine'!$C$2:$C$630,0)))</f>
        <v/>
      </c>
      <c r="J568" s="8">
        <f>IF(ISNA(MATCH(559,'Transfer Engine'!$C$2:$C$630,0)),"",INDEX('Compliance Database'!$J$2:$J$630,MATCH(559,'Transfer Engine'!$C$2:$C$630,0)))</f>
        <v/>
      </c>
      <c r="K568">
        <f>IF(ISNA(MATCH(559,'Transfer Engine'!$C$2:$C$630,0)),"",INDEX('Compliance Database'!$K$2:$K$630,MATCH(559,'Transfer Engine'!$C$2:$C$630,0)))</f>
        <v/>
      </c>
      <c r="L568" s="8">
        <f>IF(ISNA(MATCH(559,'Transfer Engine'!$C$2:$C$630,0)),"",INDEX('Compliance Database'!$L$2:$L$630,MATCH(559,'Transfer Engine'!$C$2:$C$630,0)))</f>
        <v/>
      </c>
      <c r="M568" s="8">
        <f>IF(ISNA(MATCH(559,'Transfer Engine'!$C$2:$C$630,0)),"",INDEX('Compliance Database'!$M$2:$M$630,MATCH(559,'Transfer Engine'!$C$2:$C$630,0)))</f>
        <v/>
      </c>
      <c r="N568" s="8">
        <f>IF(ISNA(MATCH(559,'Transfer Engine'!$C$2:$C$630,0)),"",INDEX('Compliance Database'!$N$2:$N$630,MATCH(559,'Transfer Engine'!$C$2:$C$630,0)))</f>
        <v/>
      </c>
      <c r="O568" s="8">
        <f>IF(ISNA(MATCH(559,'Transfer Engine'!$C$2:$C$630,0)),"",INDEX('Compliance Database'!$O$2:$O$630,MATCH(559,'Transfer Engine'!$C$2:$C$630,0)))</f>
        <v/>
      </c>
    </row>
    <row r="569">
      <c r="A569">
        <f>IF(ISNA(MATCH(560,'Transfer Engine'!$C$2:$C$630,0)),"",INDEX('Compliance Database'!$A$2:$A$630,MATCH(560,'Transfer Engine'!$C$2:$C$630,0)))</f>
        <v/>
      </c>
      <c r="B569">
        <f>IF(ISNA(MATCH(560,'Transfer Engine'!$C$2:$C$630,0)),"",INDEX('Compliance Database'!$B$2:$B$630,MATCH(560,'Transfer Engine'!$C$2:$C$630,0)))</f>
        <v/>
      </c>
      <c r="C569">
        <f>IF(ISNA(MATCH(560,'Transfer Engine'!$C$2:$C$630,0)),"",INDEX('Compliance Database'!$C$2:$C$630,MATCH(560,'Transfer Engine'!$C$2:$C$630,0)))</f>
        <v/>
      </c>
      <c r="D569" s="8">
        <f>IF(ISNA(MATCH(560,'Transfer Engine'!$C$2:$C$630,0)),"",INDEX('Compliance Database'!$D$2:$D$630,MATCH(560,'Transfer Engine'!$C$2:$C$630,0)))</f>
        <v/>
      </c>
      <c r="E569">
        <f>IF(ISNA(MATCH(560,'Transfer Engine'!$C$2:$C$630,0)),"",INDEX('Compliance Database'!$E$2:$E$630,MATCH(560,'Transfer Engine'!$C$2:$C$630,0)))</f>
        <v/>
      </c>
      <c r="F569">
        <f>IF(ISNA(MATCH(560,'Transfer Engine'!$C$2:$C$630,0)),"",INDEX('Compliance Database'!$F$2:$F$630,MATCH(560,'Transfer Engine'!$C$2:$C$630,0)))</f>
        <v/>
      </c>
      <c r="G569">
        <f>IF(ISNA(MATCH(560,'Transfer Engine'!$C$2:$C$630,0)),"",INDEX('Compliance Database'!$G$2:$G$630,MATCH(560,'Transfer Engine'!$C$2:$C$630,0)))</f>
        <v/>
      </c>
      <c r="H569">
        <f>IF(ISNA(MATCH(560,'Transfer Engine'!$C$2:$C$630,0)),"",INDEX('Compliance Database'!$H$2:$H$630,MATCH(560,'Transfer Engine'!$C$2:$C$630,0)))</f>
        <v/>
      </c>
      <c r="I569" s="8">
        <f>IF(ISNA(MATCH(560,'Transfer Engine'!$C$2:$C$630,0)),"",INDEX('Compliance Database'!$I$2:$I$630,MATCH(560,'Transfer Engine'!$C$2:$C$630,0)))</f>
        <v/>
      </c>
      <c r="J569" s="8">
        <f>IF(ISNA(MATCH(560,'Transfer Engine'!$C$2:$C$630,0)),"",INDEX('Compliance Database'!$J$2:$J$630,MATCH(560,'Transfer Engine'!$C$2:$C$630,0)))</f>
        <v/>
      </c>
      <c r="K569">
        <f>IF(ISNA(MATCH(560,'Transfer Engine'!$C$2:$C$630,0)),"",INDEX('Compliance Database'!$K$2:$K$630,MATCH(560,'Transfer Engine'!$C$2:$C$630,0)))</f>
        <v/>
      </c>
      <c r="L569" s="8">
        <f>IF(ISNA(MATCH(560,'Transfer Engine'!$C$2:$C$630,0)),"",INDEX('Compliance Database'!$L$2:$L$630,MATCH(560,'Transfer Engine'!$C$2:$C$630,0)))</f>
        <v/>
      </c>
      <c r="M569" s="8">
        <f>IF(ISNA(MATCH(560,'Transfer Engine'!$C$2:$C$630,0)),"",INDEX('Compliance Database'!$M$2:$M$630,MATCH(560,'Transfer Engine'!$C$2:$C$630,0)))</f>
        <v/>
      </c>
      <c r="N569" s="8">
        <f>IF(ISNA(MATCH(560,'Transfer Engine'!$C$2:$C$630,0)),"",INDEX('Compliance Database'!$N$2:$N$630,MATCH(560,'Transfer Engine'!$C$2:$C$630,0)))</f>
        <v/>
      </c>
      <c r="O569" s="8">
        <f>IF(ISNA(MATCH(560,'Transfer Engine'!$C$2:$C$630,0)),"",INDEX('Compliance Database'!$O$2:$O$630,MATCH(560,'Transfer Engine'!$C$2:$C$630,0)))</f>
        <v/>
      </c>
    </row>
    <row r="570">
      <c r="A570">
        <f>IF(ISNA(MATCH(561,'Transfer Engine'!$C$2:$C$630,0)),"",INDEX('Compliance Database'!$A$2:$A$630,MATCH(561,'Transfer Engine'!$C$2:$C$630,0)))</f>
        <v/>
      </c>
      <c r="B570">
        <f>IF(ISNA(MATCH(561,'Transfer Engine'!$C$2:$C$630,0)),"",INDEX('Compliance Database'!$B$2:$B$630,MATCH(561,'Transfer Engine'!$C$2:$C$630,0)))</f>
        <v/>
      </c>
      <c r="C570">
        <f>IF(ISNA(MATCH(561,'Transfer Engine'!$C$2:$C$630,0)),"",INDEX('Compliance Database'!$C$2:$C$630,MATCH(561,'Transfer Engine'!$C$2:$C$630,0)))</f>
        <v/>
      </c>
      <c r="D570" s="8">
        <f>IF(ISNA(MATCH(561,'Transfer Engine'!$C$2:$C$630,0)),"",INDEX('Compliance Database'!$D$2:$D$630,MATCH(561,'Transfer Engine'!$C$2:$C$630,0)))</f>
        <v/>
      </c>
      <c r="E570">
        <f>IF(ISNA(MATCH(561,'Transfer Engine'!$C$2:$C$630,0)),"",INDEX('Compliance Database'!$E$2:$E$630,MATCH(561,'Transfer Engine'!$C$2:$C$630,0)))</f>
        <v/>
      </c>
      <c r="F570">
        <f>IF(ISNA(MATCH(561,'Transfer Engine'!$C$2:$C$630,0)),"",INDEX('Compliance Database'!$F$2:$F$630,MATCH(561,'Transfer Engine'!$C$2:$C$630,0)))</f>
        <v/>
      </c>
      <c r="G570">
        <f>IF(ISNA(MATCH(561,'Transfer Engine'!$C$2:$C$630,0)),"",INDEX('Compliance Database'!$G$2:$G$630,MATCH(561,'Transfer Engine'!$C$2:$C$630,0)))</f>
        <v/>
      </c>
      <c r="H570">
        <f>IF(ISNA(MATCH(561,'Transfer Engine'!$C$2:$C$630,0)),"",INDEX('Compliance Database'!$H$2:$H$630,MATCH(561,'Transfer Engine'!$C$2:$C$630,0)))</f>
        <v/>
      </c>
      <c r="I570" s="8">
        <f>IF(ISNA(MATCH(561,'Transfer Engine'!$C$2:$C$630,0)),"",INDEX('Compliance Database'!$I$2:$I$630,MATCH(561,'Transfer Engine'!$C$2:$C$630,0)))</f>
        <v/>
      </c>
      <c r="J570" s="8">
        <f>IF(ISNA(MATCH(561,'Transfer Engine'!$C$2:$C$630,0)),"",INDEX('Compliance Database'!$J$2:$J$630,MATCH(561,'Transfer Engine'!$C$2:$C$630,0)))</f>
        <v/>
      </c>
      <c r="K570">
        <f>IF(ISNA(MATCH(561,'Transfer Engine'!$C$2:$C$630,0)),"",INDEX('Compliance Database'!$K$2:$K$630,MATCH(561,'Transfer Engine'!$C$2:$C$630,0)))</f>
        <v/>
      </c>
      <c r="L570" s="8">
        <f>IF(ISNA(MATCH(561,'Transfer Engine'!$C$2:$C$630,0)),"",INDEX('Compliance Database'!$L$2:$L$630,MATCH(561,'Transfer Engine'!$C$2:$C$630,0)))</f>
        <v/>
      </c>
      <c r="M570" s="8">
        <f>IF(ISNA(MATCH(561,'Transfer Engine'!$C$2:$C$630,0)),"",INDEX('Compliance Database'!$M$2:$M$630,MATCH(561,'Transfer Engine'!$C$2:$C$630,0)))</f>
        <v/>
      </c>
      <c r="N570" s="8">
        <f>IF(ISNA(MATCH(561,'Transfer Engine'!$C$2:$C$630,0)),"",INDEX('Compliance Database'!$N$2:$N$630,MATCH(561,'Transfer Engine'!$C$2:$C$630,0)))</f>
        <v/>
      </c>
      <c r="O570" s="8">
        <f>IF(ISNA(MATCH(561,'Transfer Engine'!$C$2:$C$630,0)),"",INDEX('Compliance Database'!$O$2:$O$630,MATCH(561,'Transfer Engine'!$C$2:$C$630,0)))</f>
        <v/>
      </c>
    </row>
    <row r="571">
      <c r="A571">
        <f>IF(ISNA(MATCH(562,'Transfer Engine'!$C$2:$C$630,0)),"",INDEX('Compliance Database'!$A$2:$A$630,MATCH(562,'Transfer Engine'!$C$2:$C$630,0)))</f>
        <v/>
      </c>
      <c r="B571">
        <f>IF(ISNA(MATCH(562,'Transfer Engine'!$C$2:$C$630,0)),"",INDEX('Compliance Database'!$B$2:$B$630,MATCH(562,'Transfer Engine'!$C$2:$C$630,0)))</f>
        <v/>
      </c>
      <c r="C571">
        <f>IF(ISNA(MATCH(562,'Transfer Engine'!$C$2:$C$630,0)),"",INDEX('Compliance Database'!$C$2:$C$630,MATCH(562,'Transfer Engine'!$C$2:$C$630,0)))</f>
        <v/>
      </c>
      <c r="D571" s="8">
        <f>IF(ISNA(MATCH(562,'Transfer Engine'!$C$2:$C$630,0)),"",INDEX('Compliance Database'!$D$2:$D$630,MATCH(562,'Transfer Engine'!$C$2:$C$630,0)))</f>
        <v/>
      </c>
      <c r="E571">
        <f>IF(ISNA(MATCH(562,'Transfer Engine'!$C$2:$C$630,0)),"",INDEX('Compliance Database'!$E$2:$E$630,MATCH(562,'Transfer Engine'!$C$2:$C$630,0)))</f>
        <v/>
      </c>
      <c r="F571">
        <f>IF(ISNA(MATCH(562,'Transfer Engine'!$C$2:$C$630,0)),"",INDEX('Compliance Database'!$F$2:$F$630,MATCH(562,'Transfer Engine'!$C$2:$C$630,0)))</f>
        <v/>
      </c>
      <c r="G571">
        <f>IF(ISNA(MATCH(562,'Transfer Engine'!$C$2:$C$630,0)),"",INDEX('Compliance Database'!$G$2:$G$630,MATCH(562,'Transfer Engine'!$C$2:$C$630,0)))</f>
        <v/>
      </c>
      <c r="H571">
        <f>IF(ISNA(MATCH(562,'Transfer Engine'!$C$2:$C$630,0)),"",INDEX('Compliance Database'!$H$2:$H$630,MATCH(562,'Transfer Engine'!$C$2:$C$630,0)))</f>
        <v/>
      </c>
      <c r="I571" s="8">
        <f>IF(ISNA(MATCH(562,'Transfer Engine'!$C$2:$C$630,0)),"",INDEX('Compliance Database'!$I$2:$I$630,MATCH(562,'Transfer Engine'!$C$2:$C$630,0)))</f>
        <v/>
      </c>
      <c r="J571" s="8">
        <f>IF(ISNA(MATCH(562,'Transfer Engine'!$C$2:$C$630,0)),"",INDEX('Compliance Database'!$J$2:$J$630,MATCH(562,'Transfer Engine'!$C$2:$C$630,0)))</f>
        <v/>
      </c>
      <c r="K571">
        <f>IF(ISNA(MATCH(562,'Transfer Engine'!$C$2:$C$630,0)),"",INDEX('Compliance Database'!$K$2:$K$630,MATCH(562,'Transfer Engine'!$C$2:$C$630,0)))</f>
        <v/>
      </c>
      <c r="L571" s="8">
        <f>IF(ISNA(MATCH(562,'Transfer Engine'!$C$2:$C$630,0)),"",INDEX('Compliance Database'!$L$2:$L$630,MATCH(562,'Transfer Engine'!$C$2:$C$630,0)))</f>
        <v/>
      </c>
      <c r="M571" s="8">
        <f>IF(ISNA(MATCH(562,'Transfer Engine'!$C$2:$C$630,0)),"",INDEX('Compliance Database'!$M$2:$M$630,MATCH(562,'Transfer Engine'!$C$2:$C$630,0)))</f>
        <v/>
      </c>
      <c r="N571" s="8">
        <f>IF(ISNA(MATCH(562,'Transfer Engine'!$C$2:$C$630,0)),"",INDEX('Compliance Database'!$N$2:$N$630,MATCH(562,'Transfer Engine'!$C$2:$C$630,0)))</f>
        <v/>
      </c>
      <c r="O571" s="8">
        <f>IF(ISNA(MATCH(562,'Transfer Engine'!$C$2:$C$630,0)),"",INDEX('Compliance Database'!$O$2:$O$630,MATCH(562,'Transfer Engine'!$C$2:$C$630,0)))</f>
        <v/>
      </c>
    </row>
    <row r="572">
      <c r="A572">
        <f>IF(ISNA(MATCH(563,'Transfer Engine'!$C$2:$C$630,0)),"",INDEX('Compliance Database'!$A$2:$A$630,MATCH(563,'Transfer Engine'!$C$2:$C$630,0)))</f>
        <v/>
      </c>
      <c r="B572">
        <f>IF(ISNA(MATCH(563,'Transfer Engine'!$C$2:$C$630,0)),"",INDEX('Compliance Database'!$B$2:$B$630,MATCH(563,'Transfer Engine'!$C$2:$C$630,0)))</f>
        <v/>
      </c>
      <c r="C572">
        <f>IF(ISNA(MATCH(563,'Transfer Engine'!$C$2:$C$630,0)),"",INDEX('Compliance Database'!$C$2:$C$630,MATCH(563,'Transfer Engine'!$C$2:$C$630,0)))</f>
        <v/>
      </c>
      <c r="D572" s="8">
        <f>IF(ISNA(MATCH(563,'Transfer Engine'!$C$2:$C$630,0)),"",INDEX('Compliance Database'!$D$2:$D$630,MATCH(563,'Transfer Engine'!$C$2:$C$630,0)))</f>
        <v/>
      </c>
      <c r="E572">
        <f>IF(ISNA(MATCH(563,'Transfer Engine'!$C$2:$C$630,0)),"",INDEX('Compliance Database'!$E$2:$E$630,MATCH(563,'Transfer Engine'!$C$2:$C$630,0)))</f>
        <v/>
      </c>
      <c r="F572">
        <f>IF(ISNA(MATCH(563,'Transfer Engine'!$C$2:$C$630,0)),"",INDEX('Compliance Database'!$F$2:$F$630,MATCH(563,'Transfer Engine'!$C$2:$C$630,0)))</f>
        <v/>
      </c>
      <c r="G572">
        <f>IF(ISNA(MATCH(563,'Transfer Engine'!$C$2:$C$630,0)),"",INDEX('Compliance Database'!$G$2:$G$630,MATCH(563,'Transfer Engine'!$C$2:$C$630,0)))</f>
        <v/>
      </c>
      <c r="H572">
        <f>IF(ISNA(MATCH(563,'Transfer Engine'!$C$2:$C$630,0)),"",INDEX('Compliance Database'!$H$2:$H$630,MATCH(563,'Transfer Engine'!$C$2:$C$630,0)))</f>
        <v/>
      </c>
      <c r="I572" s="8">
        <f>IF(ISNA(MATCH(563,'Transfer Engine'!$C$2:$C$630,0)),"",INDEX('Compliance Database'!$I$2:$I$630,MATCH(563,'Transfer Engine'!$C$2:$C$630,0)))</f>
        <v/>
      </c>
      <c r="J572" s="8">
        <f>IF(ISNA(MATCH(563,'Transfer Engine'!$C$2:$C$630,0)),"",INDEX('Compliance Database'!$J$2:$J$630,MATCH(563,'Transfer Engine'!$C$2:$C$630,0)))</f>
        <v/>
      </c>
      <c r="K572">
        <f>IF(ISNA(MATCH(563,'Transfer Engine'!$C$2:$C$630,0)),"",INDEX('Compliance Database'!$K$2:$K$630,MATCH(563,'Transfer Engine'!$C$2:$C$630,0)))</f>
        <v/>
      </c>
      <c r="L572" s="8">
        <f>IF(ISNA(MATCH(563,'Transfer Engine'!$C$2:$C$630,0)),"",INDEX('Compliance Database'!$L$2:$L$630,MATCH(563,'Transfer Engine'!$C$2:$C$630,0)))</f>
        <v/>
      </c>
      <c r="M572" s="8">
        <f>IF(ISNA(MATCH(563,'Transfer Engine'!$C$2:$C$630,0)),"",INDEX('Compliance Database'!$M$2:$M$630,MATCH(563,'Transfer Engine'!$C$2:$C$630,0)))</f>
        <v/>
      </c>
      <c r="N572" s="8">
        <f>IF(ISNA(MATCH(563,'Transfer Engine'!$C$2:$C$630,0)),"",INDEX('Compliance Database'!$N$2:$N$630,MATCH(563,'Transfer Engine'!$C$2:$C$630,0)))</f>
        <v/>
      </c>
      <c r="O572" s="8">
        <f>IF(ISNA(MATCH(563,'Transfer Engine'!$C$2:$C$630,0)),"",INDEX('Compliance Database'!$O$2:$O$630,MATCH(563,'Transfer Engine'!$C$2:$C$630,0)))</f>
        <v/>
      </c>
    </row>
    <row r="573">
      <c r="A573">
        <f>IF(ISNA(MATCH(564,'Transfer Engine'!$C$2:$C$630,0)),"",INDEX('Compliance Database'!$A$2:$A$630,MATCH(564,'Transfer Engine'!$C$2:$C$630,0)))</f>
        <v/>
      </c>
      <c r="B573">
        <f>IF(ISNA(MATCH(564,'Transfer Engine'!$C$2:$C$630,0)),"",INDEX('Compliance Database'!$B$2:$B$630,MATCH(564,'Transfer Engine'!$C$2:$C$630,0)))</f>
        <v/>
      </c>
      <c r="C573">
        <f>IF(ISNA(MATCH(564,'Transfer Engine'!$C$2:$C$630,0)),"",INDEX('Compliance Database'!$C$2:$C$630,MATCH(564,'Transfer Engine'!$C$2:$C$630,0)))</f>
        <v/>
      </c>
      <c r="D573" s="8">
        <f>IF(ISNA(MATCH(564,'Transfer Engine'!$C$2:$C$630,0)),"",INDEX('Compliance Database'!$D$2:$D$630,MATCH(564,'Transfer Engine'!$C$2:$C$630,0)))</f>
        <v/>
      </c>
      <c r="E573">
        <f>IF(ISNA(MATCH(564,'Transfer Engine'!$C$2:$C$630,0)),"",INDEX('Compliance Database'!$E$2:$E$630,MATCH(564,'Transfer Engine'!$C$2:$C$630,0)))</f>
        <v/>
      </c>
      <c r="F573">
        <f>IF(ISNA(MATCH(564,'Transfer Engine'!$C$2:$C$630,0)),"",INDEX('Compliance Database'!$F$2:$F$630,MATCH(564,'Transfer Engine'!$C$2:$C$630,0)))</f>
        <v/>
      </c>
      <c r="G573">
        <f>IF(ISNA(MATCH(564,'Transfer Engine'!$C$2:$C$630,0)),"",INDEX('Compliance Database'!$G$2:$G$630,MATCH(564,'Transfer Engine'!$C$2:$C$630,0)))</f>
        <v/>
      </c>
      <c r="H573">
        <f>IF(ISNA(MATCH(564,'Transfer Engine'!$C$2:$C$630,0)),"",INDEX('Compliance Database'!$H$2:$H$630,MATCH(564,'Transfer Engine'!$C$2:$C$630,0)))</f>
        <v/>
      </c>
      <c r="I573" s="8">
        <f>IF(ISNA(MATCH(564,'Transfer Engine'!$C$2:$C$630,0)),"",INDEX('Compliance Database'!$I$2:$I$630,MATCH(564,'Transfer Engine'!$C$2:$C$630,0)))</f>
        <v/>
      </c>
      <c r="J573" s="8">
        <f>IF(ISNA(MATCH(564,'Transfer Engine'!$C$2:$C$630,0)),"",INDEX('Compliance Database'!$J$2:$J$630,MATCH(564,'Transfer Engine'!$C$2:$C$630,0)))</f>
        <v/>
      </c>
      <c r="K573">
        <f>IF(ISNA(MATCH(564,'Transfer Engine'!$C$2:$C$630,0)),"",INDEX('Compliance Database'!$K$2:$K$630,MATCH(564,'Transfer Engine'!$C$2:$C$630,0)))</f>
        <v/>
      </c>
      <c r="L573" s="8">
        <f>IF(ISNA(MATCH(564,'Transfer Engine'!$C$2:$C$630,0)),"",INDEX('Compliance Database'!$L$2:$L$630,MATCH(564,'Transfer Engine'!$C$2:$C$630,0)))</f>
        <v/>
      </c>
      <c r="M573" s="8">
        <f>IF(ISNA(MATCH(564,'Transfer Engine'!$C$2:$C$630,0)),"",INDEX('Compliance Database'!$M$2:$M$630,MATCH(564,'Transfer Engine'!$C$2:$C$630,0)))</f>
        <v/>
      </c>
      <c r="N573" s="8">
        <f>IF(ISNA(MATCH(564,'Transfer Engine'!$C$2:$C$630,0)),"",INDEX('Compliance Database'!$N$2:$N$630,MATCH(564,'Transfer Engine'!$C$2:$C$630,0)))</f>
        <v/>
      </c>
      <c r="O573" s="8">
        <f>IF(ISNA(MATCH(564,'Transfer Engine'!$C$2:$C$630,0)),"",INDEX('Compliance Database'!$O$2:$O$630,MATCH(564,'Transfer Engine'!$C$2:$C$630,0)))</f>
        <v/>
      </c>
    </row>
    <row r="574">
      <c r="A574">
        <f>IF(ISNA(MATCH(565,'Transfer Engine'!$C$2:$C$630,0)),"",INDEX('Compliance Database'!$A$2:$A$630,MATCH(565,'Transfer Engine'!$C$2:$C$630,0)))</f>
        <v/>
      </c>
      <c r="B574">
        <f>IF(ISNA(MATCH(565,'Transfer Engine'!$C$2:$C$630,0)),"",INDEX('Compliance Database'!$B$2:$B$630,MATCH(565,'Transfer Engine'!$C$2:$C$630,0)))</f>
        <v/>
      </c>
      <c r="C574">
        <f>IF(ISNA(MATCH(565,'Transfer Engine'!$C$2:$C$630,0)),"",INDEX('Compliance Database'!$C$2:$C$630,MATCH(565,'Transfer Engine'!$C$2:$C$630,0)))</f>
        <v/>
      </c>
      <c r="D574" s="8">
        <f>IF(ISNA(MATCH(565,'Transfer Engine'!$C$2:$C$630,0)),"",INDEX('Compliance Database'!$D$2:$D$630,MATCH(565,'Transfer Engine'!$C$2:$C$630,0)))</f>
        <v/>
      </c>
      <c r="E574">
        <f>IF(ISNA(MATCH(565,'Transfer Engine'!$C$2:$C$630,0)),"",INDEX('Compliance Database'!$E$2:$E$630,MATCH(565,'Transfer Engine'!$C$2:$C$630,0)))</f>
        <v/>
      </c>
      <c r="F574">
        <f>IF(ISNA(MATCH(565,'Transfer Engine'!$C$2:$C$630,0)),"",INDEX('Compliance Database'!$F$2:$F$630,MATCH(565,'Transfer Engine'!$C$2:$C$630,0)))</f>
        <v/>
      </c>
      <c r="G574">
        <f>IF(ISNA(MATCH(565,'Transfer Engine'!$C$2:$C$630,0)),"",INDEX('Compliance Database'!$G$2:$G$630,MATCH(565,'Transfer Engine'!$C$2:$C$630,0)))</f>
        <v/>
      </c>
      <c r="H574">
        <f>IF(ISNA(MATCH(565,'Transfer Engine'!$C$2:$C$630,0)),"",INDEX('Compliance Database'!$H$2:$H$630,MATCH(565,'Transfer Engine'!$C$2:$C$630,0)))</f>
        <v/>
      </c>
      <c r="I574" s="8">
        <f>IF(ISNA(MATCH(565,'Transfer Engine'!$C$2:$C$630,0)),"",INDEX('Compliance Database'!$I$2:$I$630,MATCH(565,'Transfer Engine'!$C$2:$C$630,0)))</f>
        <v/>
      </c>
      <c r="J574" s="8">
        <f>IF(ISNA(MATCH(565,'Transfer Engine'!$C$2:$C$630,0)),"",INDEX('Compliance Database'!$J$2:$J$630,MATCH(565,'Transfer Engine'!$C$2:$C$630,0)))</f>
        <v/>
      </c>
      <c r="K574">
        <f>IF(ISNA(MATCH(565,'Transfer Engine'!$C$2:$C$630,0)),"",INDEX('Compliance Database'!$K$2:$K$630,MATCH(565,'Transfer Engine'!$C$2:$C$630,0)))</f>
        <v/>
      </c>
      <c r="L574" s="8">
        <f>IF(ISNA(MATCH(565,'Transfer Engine'!$C$2:$C$630,0)),"",INDEX('Compliance Database'!$L$2:$L$630,MATCH(565,'Transfer Engine'!$C$2:$C$630,0)))</f>
        <v/>
      </c>
      <c r="M574" s="8">
        <f>IF(ISNA(MATCH(565,'Transfer Engine'!$C$2:$C$630,0)),"",INDEX('Compliance Database'!$M$2:$M$630,MATCH(565,'Transfer Engine'!$C$2:$C$630,0)))</f>
        <v/>
      </c>
      <c r="N574" s="8">
        <f>IF(ISNA(MATCH(565,'Transfer Engine'!$C$2:$C$630,0)),"",INDEX('Compliance Database'!$N$2:$N$630,MATCH(565,'Transfer Engine'!$C$2:$C$630,0)))</f>
        <v/>
      </c>
      <c r="O574" s="8">
        <f>IF(ISNA(MATCH(565,'Transfer Engine'!$C$2:$C$630,0)),"",INDEX('Compliance Database'!$O$2:$O$630,MATCH(565,'Transfer Engine'!$C$2:$C$630,0)))</f>
        <v/>
      </c>
    </row>
    <row r="575">
      <c r="A575">
        <f>IF(ISNA(MATCH(566,'Transfer Engine'!$C$2:$C$630,0)),"",INDEX('Compliance Database'!$A$2:$A$630,MATCH(566,'Transfer Engine'!$C$2:$C$630,0)))</f>
        <v/>
      </c>
      <c r="B575">
        <f>IF(ISNA(MATCH(566,'Transfer Engine'!$C$2:$C$630,0)),"",INDEX('Compliance Database'!$B$2:$B$630,MATCH(566,'Transfer Engine'!$C$2:$C$630,0)))</f>
        <v/>
      </c>
      <c r="C575">
        <f>IF(ISNA(MATCH(566,'Transfer Engine'!$C$2:$C$630,0)),"",INDEX('Compliance Database'!$C$2:$C$630,MATCH(566,'Transfer Engine'!$C$2:$C$630,0)))</f>
        <v/>
      </c>
      <c r="D575" s="8">
        <f>IF(ISNA(MATCH(566,'Transfer Engine'!$C$2:$C$630,0)),"",INDEX('Compliance Database'!$D$2:$D$630,MATCH(566,'Transfer Engine'!$C$2:$C$630,0)))</f>
        <v/>
      </c>
      <c r="E575">
        <f>IF(ISNA(MATCH(566,'Transfer Engine'!$C$2:$C$630,0)),"",INDEX('Compliance Database'!$E$2:$E$630,MATCH(566,'Transfer Engine'!$C$2:$C$630,0)))</f>
        <v/>
      </c>
      <c r="F575">
        <f>IF(ISNA(MATCH(566,'Transfer Engine'!$C$2:$C$630,0)),"",INDEX('Compliance Database'!$F$2:$F$630,MATCH(566,'Transfer Engine'!$C$2:$C$630,0)))</f>
        <v/>
      </c>
      <c r="G575">
        <f>IF(ISNA(MATCH(566,'Transfer Engine'!$C$2:$C$630,0)),"",INDEX('Compliance Database'!$G$2:$G$630,MATCH(566,'Transfer Engine'!$C$2:$C$630,0)))</f>
        <v/>
      </c>
      <c r="H575">
        <f>IF(ISNA(MATCH(566,'Transfer Engine'!$C$2:$C$630,0)),"",INDEX('Compliance Database'!$H$2:$H$630,MATCH(566,'Transfer Engine'!$C$2:$C$630,0)))</f>
        <v/>
      </c>
      <c r="I575" s="8">
        <f>IF(ISNA(MATCH(566,'Transfer Engine'!$C$2:$C$630,0)),"",INDEX('Compliance Database'!$I$2:$I$630,MATCH(566,'Transfer Engine'!$C$2:$C$630,0)))</f>
        <v/>
      </c>
      <c r="J575" s="8">
        <f>IF(ISNA(MATCH(566,'Transfer Engine'!$C$2:$C$630,0)),"",INDEX('Compliance Database'!$J$2:$J$630,MATCH(566,'Transfer Engine'!$C$2:$C$630,0)))</f>
        <v/>
      </c>
      <c r="K575">
        <f>IF(ISNA(MATCH(566,'Transfer Engine'!$C$2:$C$630,0)),"",INDEX('Compliance Database'!$K$2:$K$630,MATCH(566,'Transfer Engine'!$C$2:$C$630,0)))</f>
        <v/>
      </c>
      <c r="L575" s="8">
        <f>IF(ISNA(MATCH(566,'Transfer Engine'!$C$2:$C$630,0)),"",INDEX('Compliance Database'!$L$2:$L$630,MATCH(566,'Transfer Engine'!$C$2:$C$630,0)))</f>
        <v/>
      </c>
      <c r="M575" s="8">
        <f>IF(ISNA(MATCH(566,'Transfer Engine'!$C$2:$C$630,0)),"",INDEX('Compliance Database'!$M$2:$M$630,MATCH(566,'Transfer Engine'!$C$2:$C$630,0)))</f>
        <v/>
      </c>
      <c r="N575" s="8">
        <f>IF(ISNA(MATCH(566,'Transfer Engine'!$C$2:$C$630,0)),"",INDEX('Compliance Database'!$N$2:$N$630,MATCH(566,'Transfer Engine'!$C$2:$C$630,0)))</f>
        <v/>
      </c>
      <c r="O575" s="8">
        <f>IF(ISNA(MATCH(566,'Transfer Engine'!$C$2:$C$630,0)),"",INDEX('Compliance Database'!$O$2:$O$630,MATCH(566,'Transfer Engine'!$C$2:$C$630,0)))</f>
        <v/>
      </c>
    </row>
    <row r="576">
      <c r="A576">
        <f>IF(ISNA(MATCH(567,'Transfer Engine'!$C$2:$C$630,0)),"",INDEX('Compliance Database'!$A$2:$A$630,MATCH(567,'Transfer Engine'!$C$2:$C$630,0)))</f>
        <v/>
      </c>
      <c r="B576">
        <f>IF(ISNA(MATCH(567,'Transfer Engine'!$C$2:$C$630,0)),"",INDEX('Compliance Database'!$B$2:$B$630,MATCH(567,'Transfer Engine'!$C$2:$C$630,0)))</f>
        <v/>
      </c>
      <c r="C576">
        <f>IF(ISNA(MATCH(567,'Transfer Engine'!$C$2:$C$630,0)),"",INDEX('Compliance Database'!$C$2:$C$630,MATCH(567,'Transfer Engine'!$C$2:$C$630,0)))</f>
        <v/>
      </c>
      <c r="D576" s="8">
        <f>IF(ISNA(MATCH(567,'Transfer Engine'!$C$2:$C$630,0)),"",INDEX('Compliance Database'!$D$2:$D$630,MATCH(567,'Transfer Engine'!$C$2:$C$630,0)))</f>
        <v/>
      </c>
      <c r="E576">
        <f>IF(ISNA(MATCH(567,'Transfer Engine'!$C$2:$C$630,0)),"",INDEX('Compliance Database'!$E$2:$E$630,MATCH(567,'Transfer Engine'!$C$2:$C$630,0)))</f>
        <v/>
      </c>
      <c r="F576">
        <f>IF(ISNA(MATCH(567,'Transfer Engine'!$C$2:$C$630,0)),"",INDEX('Compliance Database'!$F$2:$F$630,MATCH(567,'Transfer Engine'!$C$2:$C$630,0)))</f>
        <v/>
      </c>
      <c r="G576">
        <f>IF(ISNA(MATCH(567,'Transfer Engine'!$C$2:$C$630,0)),"",INDEX('Compliance Database'!$G$2:$G$630,MATCH(567,'Transfer Engine'!$C$2:$C$630,0)))</f>
        <v/>
      </c>
      <c r="H576">
        <f>IF(ISNA(MATCH(567,'Transfer Engine'!$C$2:$C$630,0)),"",INDEX('Compliance Database'!$H$2:$H$630,MATCH(567,'Transfer Engine'!$C$2:$C$630,0)))</f>
        <v/>
      </c>
      <c r="I576" s="8">
        <f>IF(ISNA(MATCH(567,'Transfer Engine'!$C$2:$C$630,0)),"",INDEX('Compliance Database'!$I$2:$I$630,MATCH(567,'Transfer Engine'!$C$2:$C$630,0)))</f>
        <v/>
      </c>
      <c r="J576" s="8">
        <f>IF(ISNA(MATCH(567,'Transfer Engine'!$C$2:$C$630,0)),"",INDEX('Compliance Database'!$J$2:$J$630,MATCH(567,'Transfer Engine'!$C$2:$C$630,0)))</f>
        <v/>
      </c>
      <c r="K576">
        <f>IF(ISNA(MATCH(567,'Transfer Engine'!$C$2:$C$630,0)),"",INDEX('Compliance Database'!$K$2:$K$630,MATCH(567,'Transfer Engine'!$C$2:$C$630,0)))</f>
        <v/>
      </c>
      <c r="L576" s="8">
        <f>IF(ISNA(MATCH(567,'Transfer Engine'!$C$2:$C$630,0)),"",INDEX('Compliance Database'!$L$2:$L$630,MATCH(567,'Transfer Engine'!$C$2:$C$630,0)))</f>
        <v/>
      </c>
      <c r="M576" s="8">
        <f>IF(ISNA(MATCH(567,'Transfer Engine'!$C$2:$C$630,0)),"",INDEX('Compliance Database'!$M$2:$M$630,MATCH(567,'Transfer Engine'!$C$2:$C$630,0)))</f>
        <v/>
      </c>
      <c r="N576" s="8">
        <f>IF(ISNA(MATCH(567,'Transfer Engine'!$C$2:$C$630,0)),"",INDEX('Compliance Database'!$N$2:$N$630,MATCH(567,'Transfer Engine'!$C$2:$C$630,0)))</f>
        <v/>
      </c>
      <c r="O576" s="8">
        <f>IF(ISNA(MATCH(567,'Transfer Engine'!$C$2:$C$630,0)),"",INDEX('Compliance Database'!$O$2:$O$630,MATCH(567,'Transfer Engine'!$C$2:$C$630,0)))</f>
        <v/>
      </c>
    </row>
    <row r="577">
      <c r="A577">
        <f>IF(ISNA(MATCH(568,'Transfer Engine'!$C$2:$C$630,0)),"",INDEX('Compliance Database'!$A$2:$A$630,MATCH(568,'Transfer Engine'!$C$2:$C$630,0)))</f>
        <v/>
      </c>
      <c r="B577">
        <f>IF(ISNA(MATCH(568,'Transfer Engine'!$C$2:$C$630,0)),"",INDEX('Compliance Database'!$B$2:$B$630,MATCH(568,'Transfer Engine'!$C$2:$C$630,0)))</f>
        <v/>
      </c>
      <c r="C577">
        <f>IF(ISNA(MATCH(568,'Transfer Engine'!$C$2:$C$630,0)),"",INDEX('Compliance Database'!$C$2:$C$630,MATCH(568,'Transfer Engine'!$C$2:$C$630,0)))</f>
        <v/>
      </c>
      <c r="D577" s="8">
        <f>IF(ISNA(MATCH(568,'Transfer Engine'!$C$2:$C$630,0)),"",INDEX('Compliance Database'!$D$2:$D$630,MATCH(568,'Transfer Engine'!$C$2:$C$630,0)))</f>
        <v/>
      </c>
      <c r="E577">
        <f>IF(ISNA(MATCH(568,'Transfer Engine'!$C$2:$C$630,0)),"",INDEX('Compliance Database'!$E$2:$E$630,MATCH(568,'Transfer Engine'!$C$2:$C$630,0)))</f>
        <v/>
      </c>
      <c r="F577">
        <f>IF(ISNA(MATCH(568,'Transfer Engine'!$C$2:$C$630,0)),"",INDEX('Compliance Database'!$F$2:$F$630,MATCH(568,'Transfer Engine'!$C$2:$C$630,0)))</f>
        <v/>
      </c>
      <c r="G577">
        <f>IF(ISNA(MATCH(568,'Transfer Engine'!$C$2:$C$630,0)),"",INDEX('Compliance Database'!$G$2:$G$630,MATCH(568,'Transfer Engine'!$C$2:$C$630,0)))</f>
        <v/>
      </c>
      <c r="H577">
        <f>IF(ISNA(MATCH(568,'Transfer Engine'!$C$2:$C$630,0)),"",INDEX('Compliance Database'!$H$2:$H$630,MATCH(568,'Transfer Engine'!$C$2:$C$630,0)))</f>
        <v/>
      </c>
      <c r="I577" s="8">
        <f>IF(ISNA(MATCH(568,'Transfer Engine'!$C$2:$C$630,0)),"",INDEX('Compliance Database'!$I$2:$I$630,MATCH(568,'Transfer Engine'!$C$2:$C$630,0)))</f>
        <v/>
      </c>
      <c r="J577" s="8">
        <f>IF(ISNA(MATCH(568,'Transfer Engine'!$C$2:$C$630,0)),"",INDEX('Compliance Database'!$J$2:$J$630,MATCH(568,'Transfer Engine'!$C$2:$C$630,0)))</f>
        <v/>
      </c>
      <c r="K577">
        <f>IF(ISNA(MATCH(568,'Transfer Engine'!$C$2:$C$630,0)),"",INDEX('Compliance Database'!$K$2:$K$630,MATCH(568,'Transfer Engine'!$C$2:$C$630,0)))</f>
        <v/>
      </c>
      <c r="L577" s="8">
        <f>IF(ISNA(MATCH(568,'Transfer Engine'!$C$2:$C$630,0)),"",INDEX('Compliance Database'!$L$2:$L$630,MATCH(568,'Transfer Engine'!$C$2:$C$630,0)))</f>
        <v/>
      </c>
      <c r="M577" s="8">
        <f>IF(ISNA(MATCH(568,'Transfer Engine'!$C$2:$C$630,0)),"",INDEX('Compliance Database'!$M$2:$M$630,MATCH(568,'Transfer Engine'!$C$2:$C$630,0)))</f>
        <v/>
      </c>
      <c r="N577" s="8">
        <f>IF(ISNA(MATCH(568,'Transfer Engine'!$C$2:$C$630,0)),"",INDEX('Compliance Database'!$N$2:$N$630,MATCH(568,'Transfer Engine'!$C$2:$C$630,0)))</f>
        <v/>
      </c>
      <c r="O577" s="8">
        <f>IF(ISNA(MATCH(568,'Transfer Engine'!$C$2:$C$630,0)),"",INDEX('Compliance Database'!$O$2:$O$630,MATCH(568,'Transfer Engine'!$C$2:$C$630,0)))</f>
        <v/>
      </c>
    </row>
    <row r="578">
      <c r="A578">
        <f>IF(ISNA(MATCH(569,'Transfer Engine'!$C$2:$C$630,0)),"",INDEX('Compliance Database'!$A$2:$A$630,MATCH(569,'Transfer Engine'!$C$2:$C$630,0)))</f>
        <v/>
      </c>
      <c r="B578">
        <f>IF(ISNA(MATCH(569,'Transfer Engine'!$C$2:$C$630,0)),"",INDEX('Compliance Database'!$B$2:$B$630,MATCH(569,'Transfer Engine'!$C$2:$C$630,0)))</f>
        <v/>
      </c>
      <c r="C578">
        <f>IF(ISNA(MATCH(569,'Transfer Engine'!$C$2:$C$630,0)),"",INDEX('Compliance Database'!$C$2:$C$630,MATCH(569,'Transfer Engine'!$C$2:$C$630,0)))</f>
        <v/>
      </c>
      <c r="D578" s="8">
        <f>IF(ISNA(MATCH(569,'Transfer Engine'!$C$2:$C$630,0)),"",INDEX('Compliance Database'!$D$2:$D$630,MATCH(569,'Transfer Engine'!$C$2:$C$630,0)))</f>
        <v/>
      </c>
      <c r="E578">
        <f>IF(ISNA(MATCH(569,'Transfer Engine'!$C$2:$C$630,0)),"",INDEX('Compliance Database'!$E$2:$E$630,MATCH(569,'Transfer Engine'!$C$2:$C$630,0)))</f>
        <v/>
      </c>
      <c r="F578">
        <f>IF(ISNA(MATCH(569,'Transfer Engine'!$C$2:$C$630,0)),"",INDEX('Compliance Database'!$F$2:$F$630,MATCH(569,'Transfer Engine'!$C$2:$C$630,0)))</f>
        <v/>
      </c>
      <c r="G578">
        <f>IF(ISNA(MATCH(569,'Transfer Engine'!$C$2:$C$630,0)),"",INDEX('Compliance Database'!$G$2:$G$630,MATCH(569,'Transfer Engine'!$C$2:$C$630,0)))</f>
        <v/>
      </c>
      <c r="H578">
        <f>IF(ISNA(MATCH(569,'Transfer Engine'!$C$2:$C$630,0)),"",INDEX('Compliance Database'!$H$2:$H$630,MATCH(569,'Transfer Engine'!$C$2:$C$630,0)))</f>
        <v/>
      </c>
      <c r="I578" s="8">
        <f>IF(ISNA(MATCH(569,'Transfer Engine'!$C$2:$C$630,0)),"",INDEX('Compliance Database'!$I$2:$I$630,MATCH(569,'Transfer Engine'!$C$2:$C$630,0)))</f>
        <v/>
      </c>
      <c r="J578" s="8">
        <f>IF(ISNA(MATCH(569,'Transfer Engine'!$C$2:$C$630,0)),"",INDEX('Compliance Database'!$J$2:$J$630,MATCH(569,'Transfer Engine'!$C$2:$C$630,0)))</f>
        <v/>
      </c>
      <c r="K578">
        <f>IF(ISNA(MATCH(569,'Transfer Engine'!$C$2:$C$630,0)),"",INDEX('Compliance Database'!$K$2:$K$630,MATCH(569,'Transfer Engine'!$C$2:$C$630,0)))</f>
        <v/>
      </c>
      <c r="L578" s="8">
        <f>IF(ISNA(MATCH(569,'Transfer Engine'!$C$2:$C$630,0)),"",INDEX('Compliance Database'!$L$2:$L$630,MATCH(569,'Transfer Engine'!$C$2:$C$630,0)))</f>
        <v/>
      </c>
      <c r="M578" s="8">
        <f>IF(ISNA(MATCH(569,'Transfer Engine'!$C$2:$C$630,0)),"",INDEX('Compliance Database'!$M$2:$M$630,MATCH(569,'Transfer Engine'!$C$2:$C$630,0)))</f>
        <v/>
      </c>
      <c r="N578" s="8">
        <f>IF(ISNA(MATCH(569,'Transfer Engine'!$C$2:$C$630,0)),"",INDEX('Compliance Database'!$N$2:$N$630,MATCH(569,'Transfer Engine'!$C$2:$C$630,0)))</f>
        <v/>
      </c>
      <c r="O578" s="8">
        <f>IF(ISNA(MATCH(569,'Transfer Engine'!$C$2:$C$630,0)),"",INDEX('Compliance Database'!$O$2:$O$630,MATCH(569,'Transfer Engine'!$C$2:$C$630,0)))</f>
        <v/>
      </c>
    </row>
    <row r="579">
      <c r="A579">
        <f>IF(ISNA(MATCH(570,'Transfer Engine'!$C$2:$C$630,0)),"",INDEX('Compliance Database'!$A$2:$A$630,MATCH(570,'Transfer Engine'!$C$2:$C$630,0)))</f>
        <v/>
      </c>
      <c r="B579">
        <f>IF(ISNA(MATCH(570,'Transfer Engine'!$C$2:$C$630,0)),"",INDEX('Compliance Database'!$B$2:$B$630,MATCH(570,'Transfer Engine'!$C$2:$C$630,0)))</f>
        <v/>
      </c>
      <c r="C579">
        <f>IF(ISNA(MATCH(570,'Transfer Engine'!$C$2:$C$630,0)),"",INDEX('Compliance Database'!$C$2:$C$630,MATCH(570,'Transfer Engine'!$C$2:$C$630,0)))</f>
        <v/>
      </c>
      <c r="D579" s="8">
        <f>IF(ISNA(MATCH(570,'Transfer Engine'!$C$2:$C$630,0)),"",INDEX('Compliance Database'!$D$2:$D$630,MATCH(570,'Transfer Engine'!$C$2:$C$630,0)))</f>
        <v/>
      </c>
      <c r="E579">
        <f>IF(ISNA(MATCH(570,'Transfer Engine'!$C$2:$C$630,0)),"",INDEX('Compliance Database'!$E$2:$E$630,MATCH(570,'Transfer Engine'!$C$2:$C$630,0)))</f>
        <v/>
      </c>
      <c r="F579">
        <f>IF(ISNA(MATCH(570,'Transfer Engine'!$C$2:$C$630,0)),"",INDEX('Compliance Database'!$F$2:$F$630,MATCH(570,'Transfer Engine'!$C$2:$C$630,0)))</f>
        <v/>
      </c>
      <c r="G579">
        <f>IF(ISNA(MATCH(570,'Transfer Engine'!$C$2:$C$630,0)),"",INDEX('Compliance Database'!$G$2:$G$630,MATCH(570,'Transfer Engine'!$C$2:$C$630,0)))</f>
        <v/>
      </c>
      <c r="H579">
        <f>IF(ISNA(MATCH(570,'Transfer Engine'!$C$2:$C$630,0)),"",INDEX('Compliance Database'!$H$2:$H$630,MATCH(570,'Transfer Engine'!$C$2:$C$630,0)))</f>
        <v/>
      </c>
      <c r="I579" s="8">
        <f>IF(ISNA(MATCH(570,'Transfer Engine'!$C$2:$C$630,0)),"",INDEX('Compliance Database'!$I$2:$I$630,MATCH(570,'Transfer Engine'!$C$2:$C$630,0)))</f>
        <v/>
      </c>
      <c r="J579" s="8">
        <f>IF(ISNA(MATCH(570,'Transfer Engine'!$C$2:$C$630,0)),"",INDEX('Compliance Database'!$J$2:$J$630,MATCH(570,'Transfer Engine'!$C$2:$C$630,0)))</f>
        <v/>
      </c>
      <c r="K579">
        <f>IF(ISNA(MATCH(570,'Transfer Engine'!$C$2:$C$630,0)),"",INDEX('Compliance Database'!$K$2:$K$630,MATCH(570,'Transfer Engine'!$C$2:$C$630,0)))</f>
        <v/>
      </c>
      <c r="L579" s="8">
        <f>IF(ISNA(MATCH(570,'Transfer Engine'!$C$2:$C$630,0)),"",INDEX('Compliance Database'!$L$2:$L$630,MATCH(570,'Transfer Engine'!$C$2:$C$630,0)))</f>
        <v/>
      </c>
      <c r="M579" s="8">
        <f>IF(ISNA(MATCH(570,'Transfer Engine'!$C$2:$C$630,0)),"",INDEX('Compliance Database'!$M$2:$M$630,MATCH(570,'Transfer Engine'!$C$2:$C$630,0)))</f>
        <v/>
      </c>
      <c r="N579" s="8">
        <f>IF(ISNA(MATCH(570,'Transfer Engine'!$C$2:$C$630,0)),"",INDEX('Compliance Database'!$N$2:$N$630,MATCH(570,'Transfer Engine'!$C$2:$C$630,0)))</f>
        <v/>
      </c>
      <c r="O579" s="8">
        <f>IF(ISNA(MATCH(570,'Transfer Engine'!$C$2:$C$630,0)),"",INDEX('Compliance Database'!$O$2:$O$630,MATCH(570,'Transfer Engine'!$C$2:$C$630,0)))</f>
        <v/>
      </c>
    </row>
    <row r="580">
      <c r="A580">
        <f>IF(ISNA(MATCH(571,'Transfer Engine'!$C$2:$C$630,0)),"",INDEX('Compliance Database'!$A$2:$A$630,MATCH(571,'Transfer Engine'!$C$2:$C$630,0)))</f>
        <v/>
      </c>
      <c r="B580">
        <f>IF(ISNA(MATCH(571,'Transfer Engine'!$C$2:$C$630,0)),"",INDEX('Compliance Database'!$B$2:$B$630,MATCH(571,'Transfer Engine'!$C$2:$C$630,0)))</f>
        <v/>
      </c>
      <c r="C580">
        <f>IF(ISNA(MATCH(571,'Transfer Engine'!$C$2:$C$630,0)),"",INDEX('Compliance Database'!$C$2:$C$630,MATCH(571,'Transfer Engine'!$C$2:$C$630,0)))</f>
        <v/>
      </c>
      <c r="D580" s="8">
        <f>IF(ISNA(MATCH(571,'Transfer Engine'!$C$2:$C$630,0)),"",INDEX('Compliance Database'!$D$2:$D$630,MATCH(571,'Transfer Engine'!$C$2:$C$630,0)))</f>
        <v/>
      </c>
      <c r="E580">
        <f>IF(ISNA(MATCH(571,'Transfer Engine'!$C$2:$C$630,0)),"",INDEX('Compliance Database'!$E$2:$E$630,MATCH(571,'Transfer Engine'!$C$2:$C$630,0)))</f>
        <v/>
      </c>
      <c r="F580">
        <f>IF(ISNA(MATCH(571,'Transfer Engine'!$C$2:$C$630,0)),"",INDEX('Compliance Database'!$F$2:$F$630,MATCH(571,'Transfer Engine'!$C$2:$C$630,0)))</f>
        <v/>
      </c>
      <c r="G580">
        <f>IF(ISNA(MATCH(571,'Transfer Engine'!$C$2:$C$630,0)),"",INDEX('Compliance Database'!$G$2:$G$630,MATCH(571,'Transfer Engine'!$C$2:$C$630,0)))</f>
        <v/>
      </c>
      <c r="H580">
        <f>IF(ISNA(MATCH(571,'Transfer Engine'!$C$2:$C$630,0)),"",INDEX('Compliance Database'!$H$2:$H$630,MATCH(571,'Transfer Engine'!$C$2:$C$630,0)))</f>
        <v/>
      </c>
      <c r="I580" s="8">
        <f>IF(ISNA(MATCH(571,'Transfer Engine'!$C$2:$C$630,0)),"",INDEX('Compliance Database'!$I$2:$I$630,MATCH(571,'Transfer Engine'!$C$2:$C$630,0)))</f>
        <v/>
      </c>
      <c r="J580" s="8">
        <f>IF(ISNA(MATCH(571,'Transfer Engine'!$C$2:$C$630,0)),"",INDEX('Compliance Database'!$J$2:$J$630,MATCH(571,'Transfer Engine'!$C$2:$C$630,0)))</f>
        <v/>
      </c>
      <c r="K580">
        <f>IF(ISNA(MATCH(571,'Transfer Engine'!$C$2:$C$630,0)),"",INDEX('Compliance Database'!$K$2:$K$630,MATCH(571,'Transfer Engine'!$C$2:$C$630,0)))</f>
        <v/>
      </c>
      <c r="L580" s="8">
        <f>IF(ISNA(MATCH(571,'Transfer Engine'!$C$2:$C$630,0)),"",INDEX('Compliance Database'!$L$2:$L$630,MATCH(571,'Transfer Engine'!$C$2:$C$630,0)))</f>
        <v/>
      </c>
      <c r="M580" s="8">
        <f>IF(ISNA(MATCH(571,'Transfer Engine'!$C$2:$C$630,0)),"",INDEX('Compliance Database'!$M$2:$M$630,MATCH(571,'Transfer Engine'!$C$2:$C$630,0)))</f>
        <v/>
      </c>
      <c r="N580" s="8">
        <f>IF(ISNA(MATCH(571,'Transfer Engine'!$C$2:$C$630,0)),"",INDEX('Compliance Database'!$N$2:$N$630,MATCH(571,'Transfer Engine'!$C$2:$C$630,0)))</f>
        <v/>
      </c>
      <c r="O580" s="8">
        <f>IF(ISNA(MATCH(571,'Transfer Engine'!$C$2:$C$630,0)),"",INDEX('Compliance Database'!$O$2:$O$630,MATCH(571,'Transfer Engine'!$C$2:$C$630,0)))</f>
        <v/>
      </c>
    </row>
    <row r="581">
      <c r="A581">
        <f>IF(ISNA(MATCH(572,'Transfer Engine'!$C$2:$C$630,0)),"",INDEX('Compliance Database'!$A$2:$A$630,MATCH(572,'Transfer Engine'!$C$2:$C$630,0)))</f>
        <v/>
      </c>
      <c r="B581">
        <f>IF(ISNA(MATCH(572,'Transfer Engine'!$C$2:$C$630,0)),"",INDEX('Compliance Database'!$B$2:$B$630,MATCH(572,'Transfer Engine'!$C$2:$C$630,0)))</f>
        <v/>
      </c>
      <c r="C581">
        <f>IF(ISNA(MATCH(572,'Transfer Engine'!$C$2:$C$630,0)),"",INDEX('Compliance Database'!$C$2:$C$630,MATCH(572,'Transfer Engine'!$C$2:$C$630,0)))</f>
        <v/>
      </c>
      <c r="D581" s="8">
        <f>IF(ISNA(MATCH(572,'Transfer Engine'!$C$2:$C$630,0)),"",INDEX('Compliance Database'!$D$2:$D$630,MATCH(572,'Transfer Engine'!$C$2:$C$630,0)))</f>
        <v/>
      </c>
      <c r="E581">
        <f>IF(ISNA(MATCH(572,'Transfer Engine'!$C$2:$C$630,0)),"",INDEX('Compliance Database'!$E$2:$E$630,MATCH(572,'Transfer Engine'!$C$2:$C$630,0)))</f>
        <v/>
      </c>
      <c r="F581">
        <f>IF(ISNA(MATCH(572,'Transfer Engine'!$C$2:$C$630,0)),"",INDEX('Compliance Database'!$F$2:$F$630,MATCH(572,'Transfer Engine'!$C$2:$C$630,0)))</f>
        <v/>
      </c>
      <c r="G581">
        <f>IF(ISNA(MATCH(572,'Transfer Engine'!$C$2:$C$630,0)),"",INDEX('Compliance Database'!$G$2:$G$630,MATCH(572,'Transfer Engine'!$C$2:$C$630,0)))</f>
        <v/>
      </c>
      <c r="H581">
        <f>IF(ISNA(MATCH(572,'Transfer Engine'!$C$2:$C$630,0)),"",INDEX('Compliance Database'!$H$2:$H$630,MATCH(572,'Transfer Engine'!$C$2:$C$630,0)))</f>
        <v/>
      </c>
      <c r="I581" s="8">
        <f>IF(ISNA(MATCH(572,'Transfer Engine'!$C$2:$C$630,0)),"",INDEX('Compliance Database'!$I$2:$I$630,MATCH(572,'Transfer Engine'!$C$2:$C$630,0)))</f>
        <v/>
      </c>
      <c r="J581" s="8">
        <f>IF(ISNA(MATCH(572,'Transfer Engine'!$C$2:$C$630,0)),"",INDEX('Compliance Database'!$J$2:$J$630,MATCH(572,'Transfer Engine'!$C$2:$C$630,0)))</f>
        <v/>
      </c>
      <c r="K581">
        <f>IF(ISNA(MATCH(572,'Transfer Engine'!$C$2:$C$630,0)),"",INDEX('Compliance Database'!$K$2:$K$630,MATCH(572,'Transfer Engine'!$C$2:$C$630,0)))</f>
        <v/>
      </c>
      <c r="L581" s="8">
        <f>IF(ISNA(MATCH(572,'Transfer Engine'!$C$2:$C$630,0)),"",INDEX('Compliance Database'!$L$2:$L$630,MATCH(572,'Transfer Engine'!$C$2:$C$630,0)))</f>
        <v/>
      </c>
      <c r="M581" s="8">
        <f>IF(ISNA(MATCH(572,'Transfer Engine'!$C$2:$C$630,0)),"",INDEX('Compliance Database'!$M$2:$M$630,MATCH(572,'Transfer Engine'!$C$2:$C$630,0)))</f>
        <v/>
      </c>
      <c r="N581" s="8">
        <f>IF(ISNA(MATCH(572,'Transfer Engine'!$C$2:$C$630,0)),"",INDEX('Compliance Database'!$N$2:$N$630,MATCH(572,'Transfer Engine'!$C$2:$C$630,0)))</f>
        <v/>
      </c>
      <c r="O581" s="8">
        <f>IF(ISNA(MATCH(572,'Transfer Engine'!$C$2:$C$630,0)),"",INDEX('Compliance Database'!$O$2:$O$630,MATCH(572,'Transfer Engine'!$C$2:$C$630,0)))</f>
        <v/>
      </c>
    </row>
    <row r="582">
      <c r="A582">
        <f>IF(ISNA(MATCH(573,'Transfer Engine'!$C$2:$C$630,0)),"",INDEX('Compliance Database'!$A$2:$A$630,MATCH(573,'Transfer Engine'!$C$2:$C$630,0)))</f>
        <v/>
      </c>
      <c r="B582">
        <f>IF(ISNA(MATCH(573,'Transfer Engine'!$C$2:$C$630,0)),"",INDEX('Compliance Database'!$B$2:$B$630,MATCH(573,'Transfer Engine'!$C$2:$C$630,0)))</f>
        <v/>
      </c>
      <c r="C582">
        <f>IF(ISNA(MATCH(573,'Transfer Engine'!$C$2:$C$630,0)),"",INDEX('Compliance Database'!$C$2:$C$630,MATCH(573,'Transfer Engine'!$C$2:$C$630,0)))</f>
        <v/>
      </c>
      <c r="D582" s="8">
        <f>IF(ISNA(MATCH(573,'Transfer Engine'!$C$2:$C$630,0)),"",INDEX('Compliance Database'!$D$2:$D$630,MATCH(573,'Transfer Engine'!$C$2:$C$630,0)))</f>
        <v/>
      </c>
      <c r="E582">
        <f>IF(ISNA(MATCH(573,'Transfer Engine'!$C$2:$C$630,0)),"",INDEX('Compliance Database'!$E$2:$E$630,MATCH(573,'Transfer Engine'!$C$2:$C$630,0)))</f>
        <v/>
      </c>
      <c r="F582">
        <f>IF(ISNA(MATCH(573,'Transfer Engine'!$C$2:$C$630,0)),"",INDEX('Compliance Database'!$F$2:$F$630,MATCH(573,'Transfer Engine'!$C$2:$C$630,0)))</f>
        <v/>
      </c>
      <c r="G582">
        <f>IF(ISNA(MATCH(573,'Transfer Engine'!$C$2:$C$630,0)),"",INDEX('Compliance Database'!$G$2:$G$630,MATCH(573,'Transfer Engine'!$C$2:$C$630,0)))</f>
        <v/>
      </c>
      <c r="H582">
        <f>IF(ISNA(MATCH(573,'Transfer Engine'!$C$2:$C$630,0)),"",INDEX('Compliance Database'!$H$2:$H$630,MATCH(573,'Transfer Engine'!$C$2:$C$630,0)))</f>
        <v/>
      </c>
      <c r="I582" s="8">
        <f>IF(ISNA(MATCH(573,'Transfer Engine'!$C$2:$C$630,0)),"",INDEX('Compliance Database'!$I$2:$I$630,MATCH(573,'Transfer Engine'!$C$2:$C$630,0)))</f>
        <v/>
      </c>
      <c r="J582" s="8">
        <f>IF(ISNA(MATCH(573,'Transfer Engine'!$C$2:$C$630,0)),"",INDEX('Compliance Database'!$J$2:$J$630,MATCH(573,'Transfer Engine'!$C$2:$C$630,0)))</f>
        <v/>
      </c>
      <c r="K582">
        <f>IF(ISNA(MATCH(573,'Transfer Engine'!$C$2:$C$630,0)),"",INDEX('Compliance Database'!$K$2:$K$630,MATCH(573,'Transfer Engine'!$C$2:$C$630,0)))</f>
        <v/>
      </c>
      <c r="L582" s="8">
        <f>IF(ISNA(MATCH(573,'Transfer Engine'!$C$2:$C$630,0)),"",INDEX('Compliance Database'!$L$2:$L$630,MATCH(573,'Transfer Engine'!$C$2:$C$630,0)))</f>
        <v/>
      </c>
      <c r="M582" s="8">
        <f>IF(ISNA(MATCH(573,'Transfer Engine'!$C$2:$C$630,0)),"",INDEX('Compliance Database'!$M$2:$M$630,MATCH(573,'Transfer Engine'!$C$2:$C$630,0)))</f>
        <v/>
      </c>
      <c r="N582" s="8">
        <f>IF(ISNA(MATCH(573,'Transfer Engine'!$C$2:$C$630,0)),"",INDEX('Compliance Database'!$N$2:$N$630,MATCH(573,'Transfer Engine'!$C$2:$C$630,0)))</f>
        <v/>
      </c>
      <c r="O582" s="8">
        <f>IF(ISNA(MATCH(573,'Transfer Engine'!$C$2:$C$630,0)),"",INDEX('Compliance Database'!$O$2:$O$630,MATCH(573,'Transfer Engine'!$C$2:$C$630,0)))</f>
        <v/>
      </c>
    </row>
    <row r="583">
      <c r="A583">
        <f>IF(ISNA(MATCH(574,'Transfer Engine'!$C$2:$C$630,0)),"",INDEX('Compliance Database'!$A$2:$A$630,MATCH(574,'Transfer Engine'!$C$2:$C$630,0)))</f>
        <v/>
      </c>
      <c r="B583">
        <f>IF(ISNA(MATCH(574,'Transfer Engine'!$C$2:$C$630,0)),"",INDEX('Compliance Database'!$B$2:$B$630,MATCH(574,'Transfer Engine'!$C$2:$C$630,0)))</f>
        <v/>
      </c>
      <c r="C583">
        <f>IF(ISNA(MATCH(574,'Transfer Engine'!$C$2:$C$630,0)),"",INDEX('Compliance Database'!$C$2:$C$630,MATCH(574,'Transfer Engine'!$C$2:$C$630,0)))</f>
        <v/>
      </c>
      <c r="D583" s="8">
        <f>IF(ISNA(MATCH(574,'Transfer Engine'!$C$2:$C$630,0)),"",INDEX('Compliance Database'!$D$2:$D$630,MATCH(574,'Transfer Engine'!$C$2:$C$630,0)))</f>
        <v/>
      </c>
      <c r="E583">
        <f>IF(ISNA(MATCH(574,'Transfer Engine'!$C$2:$C$630,0)),"",INDEX('Compliance Database'!$E$2:$E$630,MATCH(574,'Transfer Engine'!$C$2:$C$630,0)))</f>
        <v/>
      </c>
      <c r="F583">
        <f>IF(ISNA(MATCH(574,'Transfer Engine'!$C$2:$C$630,0)),"",INDEX('Compliance Database'!$F$2:$F$630,MATCH(574,'Transfer Engine'!$C$2:$C$630,0)))</f>
        <v/>
      </c>
      <c r="G583">
        <f>IF(ISNA(MATCH(574,'Transfer Engine'!$C$2:$C$630,0)),"",INDEX('Compliance Database'!$G$2:$G$630,MATCH(574,'Transfer Engine'!$C$2:$C$630,0)))</f>
        <v/>
      </c>
      <c r="H583">
        <f>IF(ISNA(MATCH(574,'Transfer Engine'!$C$2:$C$630,0)),"",INDEX('Compliance Database'!$H$2:$H$630,MATCH(574,'Transfer Engine'!$C$2:$C$630,0)))</f>
        <v/>
      </c>
      <c r="I583" s="8">
        <f>IF(ISNA(MATCH(574,'Transfer Engine'!$C$2:$C$630,0)),"",INDEX('Compliance Database'!$I$2:$I$630,MATCH(574,'Transfer Engine'!$C$2:$C$630,0)))</f>
        <v/>
      </c>
      <c r="J583" s="8">
        <f>IF(ISNA(MATCH(574,'Transfer Engine'!$C$2:$C$630,0)),"",INDEX('Compliance Database'!$J$2:$J$630,MATCH(574,'Transfer Engine'!$C$2:$C$630,0)))</f>
        <v/>
      </c>
      <c r="K583">
        <f>IF(ISNA(MATCH(574,'Transfer Engine'!$C$2:$C$630,0)),"",INDEX('Compliance Database'!$K$2:$K$630,MATCH(574,'Transfer Engine'!$C$2:$C$630,0)))</f>
        <v/>
      </c>
      <c r="L583" s="8">
        <f>IF(ISNA(MATCH(574,'Transfer Engine'!$C$2:$C$630,0)),"",INDEX('Compliance Database'!$L$2:$L$630,MATCH(574,'Transfer Engine'!$C$2:$C$630,0)))</f>
        <v/>
      </c>
      <c r="M583" s="8">
        <f>IF(ISNA(MATCH(574,'Transfer Engine'!$C$2:$C$630,0)),"",INDEX('Compliance Database'!$M$2:$M$630,MATCH(574,'Transfer Engine'!$C$2:$C$630,0)))</f>
        <v/>
      </c>
      <c r="N583" s="8">
        <f>IF(ISNA(MATCH(574,'Transfer Engine'!$C$2:$C$630,0)),"",INDEX('Compliance Database'!$N$2:$N$630,MATCH(574,'Transfer Engine'!$C$2:$C$630,0)))</f>
        <v/>
      </c>
      <c r="O583" s="8">
        <f>IF(ISNA(MATCH(574,'Transfer Engine'!$C$2:$C$630,0)),"",INDEX('Compliance Database'!$O$2:$O$630,MATCH(574,'Transfer Engine'!$C$2:$C$630,0)))</f>
        <v/>
      </c>
    </row>
    <row r="584">
      <c r="A584">
        <f>IF(ISNA(MATCH(575,'Transfer Engine'!$C$2:$C$630,0)),"",INDEX('Compliance Database'!$A$2:$A$630,MATCH(575,'Transfer Engine'!$C$2:$C$630,0)))</f>
        <v/>
      </c>
      <c r="B584">
        <f>IF(ISNA(MATCH(575,'Transfer Engine'!$C$2:$C$630,0)),"",INDEX('Compliance Database'!$B$2:$B$630,MATCH(575,'Transfer Engine'!$C$2:$C$630,0)))</f>
        <v/>
      </c>
      <c r="C584">
        <f>IF(ISNA(MATCH(575,'Transfer Engine'!$C$2:$C$630,0)),"",INDEX('Compliance Database'!$C$2:$C$630,MATCH(575,'Transfer Engine'!$C$2:$C$630,0)))</f>
        <v/>
      </c>
      <c r="D584" s="8">
        <f>IF(ISNA(MATCH(575,'Transfer Engine'!$C$2:$C$630,0)),"",INDEX('Compliance Database'!$D$2:$D$630,MATCH(575,'Transfer Engine'!$C$2:$C$630,0)))</f>
        <v/>
      </c>
      <c r="E584">
        <f>IF(ISNA(MATCH(575,'Transfer Engine'!$C$2:$C$630,0)),"",INDEX('Compliance Database'!$E$2:$E$630,MATCH(575,'Transfer Engine'!$C$2:$C$630,0)))</f>
        <v/>
      </c>
      <c r="F584">
        <f>IF(ISNA(MATCH(575,'Transfer Engine'!$C$2:$C$630,0)),"",INDEX('Compliance Database'!$F$2:$F$630,MATCH(575,'Transfer Engine'!$C$2:$C$630,0)))</f>
        <v/>
      </c>
      <c r="G584">
        <f>IF(ISNA(MATCH(575,'Transfer Engine'!$C$2:$C$630,0)),"",INDEX('Compliance Database'!$G$2:$G$630,MATCH(575,'Transfer Engine'!$C$2:$C$630,0)))</f>
        <v/>
      </c>
      <c r="H584">
        <f>IF(ISNA(MATCH(575,'Transfer Engine'!$C$2:$C$630,0)),"",INDEX('Compliance Database'!$H$2:$H$630,MATCH(575,'Transfer Engine'!$C$2:$C$630,0)))</f>
        <v/>
      </c>
      <c r="I584" s="8">
        <f>IF(ISNA(MATCH(575,'Transfer Engine'!$C$2:$C$630,0)),"",INDEX('Compliance Database'!$I$2:$I$630,MATCH(575,'Transfer Engine'!$C$2:$C$630,0)))</f>
        <v/>
      </c>
      <c r="J584" s="8">
        <f>IF(ISNA(MATCH(575,'Transfer Engine'!$C$2:$C$630,0)),"",INDEX('Compliance Database'!$J$2:$J$630,MATCH(575,'Transfer Engine'!$C$2:$C$630,0)))</f>
        <v/>
      </c>
      <c r="K584">
        <f>IF(ISNA(MATCH(575,'Transfer Engine'!$C$2:$C$630,0)),"",INDEX('Compliance Database'!$K$2:$K$630,MATCH(575,'Transfer Engine'!$C$2:$C$630,0)))</f>
        <v/>
      </c>
      <c r="L584" s="8">
        <f>IF(ISNA(MATCH(575,'Transfer Engine'!$C$2:$C$630,0)),"",INDEX('Compliance Database'!$L$2:$L$630,MATCH(575,'Transfer Engine'!$C$2:$C$630,0)))</f>
        <v/>
      </c>
      <c r="M584" s="8">
        <f>IF(ISNA(MATCH(575,'Transfer Engine'!$C$2:$C$630,0)),"",INDEX('Compliance Database'!$M$2:$M$630,MATCH(575,'Transfer Engine'!$C$2:$C$630,0)))</f>
        <v/>
      </c>
      <c r="N584" s="8">
        <f>IF(ISNA(MATCH(575,'Transfer Engine'!$C$2:$C$630,0)),"",INDEX('Compliance Database'!$N$2:$N$630,MATCH(575,'Transfer Engine'!$C$2:$C$630,0)))</f>
        <v/>
      </c>
      <c r="O584" s="8">
        <f>IF(ISNA(MATCH(575,'Transfer Engine'!$C$2:$C$630,0)),"",INDEX('Compliance Database'!$O$2:$O$630,MATCH(575,'Transfer Engine'!$C$2:$C$630,0)))</f>
        <v/>
      </c>
    </row>
    <row r="585">
      <c r="A585">
        <f>IF(ISNA(MATCH(576,'Transfer Engine'!$C$2:$C$630,0)),"",INDEX('Compliance Database'!$A$2:$A$630,MATCH(576,'Transfer Engine'!$C$2:$C$630,0)))</f>
        <v/>
      </c>
      <c r="B585">
        <f>IF(ISNA(MATCH(576,'Transfer Engine'!$C$2:$C$630,0)),"",INDEX('Compliance Database'!$B$2:$B$630,MATCH(576,'Transfer Engine'!$C$2:$C$630,0)))</f>
        <v/>
      </c>
      <c r="C585">
        <f>IF(ISNA(MATCH(576,'Transfer Engine'!$C$2:$C$630,0)),"",INDEX('Compliance Database'!$C$2:$C$630,MATCH(576,'Transfer Engine'!$C$2:$C$630,0)))</f>
        <v/>
      </c>
      <c r="D585" s="8">
        <f>IF(ISNA(MATCH(576,'Transfer Engine'!$C$2:$C$630,0)),"",INDEX('Compliance Database'!$D$2:$D$630,MATCH(576,'Transfer Engine'!$C$2:$C$630,0)))</f>
        <v/>
      </c>
      <c r="E585">
        <f>IF(ISNA(MATCH(576,'Transfer Engine'!$C$2:$C$630,0)),"",INDEX('Compliance Database'!$E$2:$E$630,MATCH(576,'Transfer Engine'!$C$2:$C$630,0)))</f>
        <v/>
      </c>
      <c r="F585">
        <f>IF(ISNA(MATCH(576,'Transfer Engine'!$C$2:$C$630,0)),"",INDEX('Compliance Database'!$F$2:$F$630,MATCH(576,'Transfer Engine'!$C$2:$C$630,0)))</f>
        <v/>
      </c>
      <c r="G585">
        <f>IF(ISNA(MATCH(576,'Transfer Engine'!$C$2:$C$630,0)),"",INDEX('Compliance Database'!$G$2:$G$630,MATCH(576,'Transfer Engine'!$C$2:$C$630,0)))</f>
        <v/>
      </c>
      <c r="H585">
        <f>IF(ISNA(MATCH(576,'Transfer Engine'!$C$2:$C$630,0)),"",INDEX('Compliance Database'!$H$2:$H$630,MATCH(576,'Transfer Engine'!$C$2:$C$630,0)))</f>
        <v/>
      </c>
      <c r="I585" s="8">
        <f>IF(ISNA(MATCH(576,'Transfer Engine'!$C$2:$C$630,0)),"",INDEX('Compliance Database'!$I$2:$I$630,MATCH(576,'Transfer Engine'!$C$2:$C$630,0)))</f>
        <v/>
      </c>
      <c r="J585" s="8">
        <f>IF(ISNA(MATCH(576,'Transfer Engine'!$C$2:$C$630,0)),"",INDEX('Compliance Database'!$J$2:$J$630,MATCH(576,'Transfer Engine'!$C$2:$C$630,0)))</f>
        <v/>
      </c>
      <c r="K585">
        <f>IF(ISNA(MATCH(576,'Transfer Engine'!$C$2:$C$630,0)),"",INDEX('Compliance Database'!$K$2:$K$630,MATCH(576,'Transfer Engine'!$C$2:$C$630,0)))</f>
        <v/>
      </c>
      <c r="L585" s="8">
        <f>IF(ISNA(MATCH(576,'Transfer Engine'!$C$2:$C$630,0)),"",INDEX('Compliance Database'!$L$2:$L$630,MATCH(576,'Transfer Engine'!$C$2:$C$630,0)))</f>
        <v/>
      </c>
      <c r="M585" s="8">
        <f>IF(ISNA(MATCH(576,'Transfer Engine'!$C$2:$C$630,0)),"",INDEX('Compliance Database'!$M$2:$M$630,MATCH(576,'Transfer Engine'!$C$2:$C$630,0)))</f>
        <v/>
      </c>
      <c r="N585" s="8">
        <f>IF(ISNA(MATCH(576,'Transfer Engine'!$C$2:$C$630,0)),"",INDEX('Compliance Database'!$N$2:$N$630,MATCH(576,'Transfer Engine'!$C$2:$C$630,0)))</f>
        <v/>
      </c>
      <c r="O585" s="8">
        <f>IF(ISNA(MATCH(576,'Transfer Engine'!$C$2:$C$630,0)),"",INDEX('Compliance Database'!$O$2:$O$630,MATCH(576,'Transfer Engine'!$C$2:$C$630,0)))</f>
        <v/>
      </c>
    </row>
    <row r="586">
      <c r="A586">
        <f>IF(ISNA(MATCH(577,'Transfer Engine'!$C$2:$C$630,0)),"",INDEX('Compliance Database'!$A$2:$A$630,MATCH(577,'Transfer Engine'!$C$2:$C$630,0)))</f>
        <v/>
      </c>
      <c r="B586">
        <f>IF(ISNA(MATCH(577,'Transfer Engine'!$C$2:$C$630,0)),"",INDEX('Compliance Database'!$B$2:$B$630,MATCH(577,'Transfer Engine'!$C$2:$C$630,0)))</f>
        <v/>
      </c>
      <c r="C586">
        <f>IF(ISNA(MATCH(577,'Transfer Engine'!$C$2:$C$630,0)),"",INDEX('Compliance Database'!$C$2:$C$630,MATCH(577,'Transfer Engine'!$C$2:$C$630,0)))</f>
        <v/>
      </c>
      <c r="D586" s="8">
        <f>IF(ISNA(MATCH(577,'Transfer Engine'!$C$2:$C$630,0)),"",INDEX('Compliance Database'!$D$2:$D$630,MATCH(577,'Transfer Engine'!$C$2:$C$630,0)))</f>
        <v/>
      </c>
      <c r="E586">
        <f>IF(ISNA(MATCH(577,'Transfer Engine'!$C$2:$C$630,0)),"",INDEX('Compliance Database'!$E$2:$E$630,MATCH(577,'Transfer Engine'!$C$2:$C$630,0)))</f>
        <v/>
      </c>
      <c r="F586">
        <f>IF(ISNA(MATCH(577,'Transfer Engine'!$C$2:$C$630,0)),"",INDEX('Compliance Database'!$F$2:$F$630,MATCH(577,'Transfer Engine'!$C$2:$C$630,0)))</f>
        <v/>
      </c>
      <c r="G586">
        <f>IF(ISNA(MATCH(577,'Transfer Engine'!$C$2:$C$630,0)),"",INDEX('Compliance Database'!$G$2:$G$630,MATCH(577,'Transfer Engine'!$C$2:$C$630,0)))</f>
        <v/>
      </c>
      <c r="H586">
        <f>IF(ISNA(MATCH(577,'Transfer Engine'!$C$2:$C$630,0)),"",INDEX('Compliance Database'!$H$2:$H$630,MATCH(577,'Transfer Engine'!$C$2:$C$630,0)))</f>
        <v/>
      </c>
      <c r="I586" s="8">
        <f>IF(ISNA(MATCH(577,'Transfer Engine'!$C$2:$C$630,0)),"",INDEX('Compliance Database'!$I$2:$I$630,MATCH(577,'Transfer Engine'!$C$2:$C$630,0)))</f>
        <v/>
      </c>
      <c r="J586" s="8">
        <f>IF(ISNA(MATCH(577,'Transfer Engine'!$C$2:$C$630,0)),"",INDEX('Compliance Database'!$J$2:$J$630,MATCH(577,'Transfer Engine'!$C$2:$C$630,0)))</f>
        <v/>
      </c>
      <c r="K586">
        <f>IF(ISNA(MATCH(577,'Transfer Engine'!$C$2:$C$630,0)),"",INDEX('Compliance Database'!$K$2:$K$630,MATCH(577,'Transfer Engine'!$C$2:$C$630,0)))</f>
        <v/>
      </c>
      <c r="L586" s="8">
        <f>IF(ISNA(MATCH(577,'Transfer Engine'!$C$2:$C$630,0)),"",INDEX('Compliance Database'!$L$2:$L$630,MATCH(577,'Transfer Engine'!$C$2:$C$630,0)))</f>
        <v/>
      </c>
      <c r="M586" s="8">
        <f>IF(ISNA(MATCH(577,'Transfer Engine'!$C$2:$C$630,0)),"",INDEX('Compliance Database'!$M$2:$M$630,MATCH(577,'Transfer Engine'!$C$2:$C$630,0)))</f>
        <v/>
      </c>
      <c r="N586" s="8">
        <f>IF(ISNA(MATCH(577,'Transfer Engine'!$C$2:$C$630,0)),"",INDEX('Compliance Database'!$N$2:$N$630,MATCH(577,'Transfer Engine'!$C$2:$C$630,0)))</f>
        <v/>
      </c>
      <c r="O586" s="8">
        <f>IF(ISNA(MATCH(577,'Transfer Engine'!$C$2:$C$630,0)),"",INDEX('Compliance Database'!$O$2:$O$630,MATCH(577,'Transfer Engine'!$C$2:$C$630,0)))</f>
        <v/>
      </c>
    </row>
    <row r="587">
      <c r="A587">
        <f>IF(ISNA(MATCH(578,'Transfer Engine'!$C$2:$C$630,0)),"",INDEX('Compliance Database'!$A$2:$A$630,MATCH(578,'Transfer Engine'!$C$2:$C$630,0)))</f>
        <v/>
      </c>
      <c r="B587">
        <f>IF(ISNA(MATCH(578,'Transfer Engine'!$C$2:$C$630,0)),"",INDEX('Compliance Database'!$B$2:$B$630,MATCH(578,'Transfer Engine'!$C$2:$C$630,0)))</f>
        <v/>
      </c>
      <c r="C587">
        <f>IF(ISNA(MATCH(578,'Transfer Engine'!$C$2:$C$630,0)),"",INDEX('Compliance Database'!$C$2:$C$630,MATCH(578,'Transfer Engine'!$C$2:$C$630,0)))</f>
        <v/>
      </c>
      <c r="D587" s="8">
        <f>IF(ISNA(MATCH(578,'Transfer Engine'!$C$2:$C$630,0)),"",INDEX('Compliance Database'!$D$2:$D$630,MATCH(578,'Transfer Engine'!$C$2:$C$630,0)))</f>
        <v/>
      </c>
      <c r="E587">
        <f>IF(ISNA(MATCH(578,'Transfer Engine'!$C$2:$C$630,0)),"",INDEX('Compliance Database'!$E$2:$E$630,MATCH(578,'Transfer Engine'!$C$2:$C$630,0)))</f>
        <v/>
      </c>
      <c r="F587">
        <f>IF(ISNA(MATCH(578,'Transfer Engine'!$C$2:$C$630,0)),"",INDEX('Compliance Database'!$F$2:$F$630,MATCH(578,'Transfer Engine'!$C$2:$C$630,0)))</f>
        <v/>
      </c>
      <c r="G587">
        <f>IF(ISNA(MATCH(578,'Transfer Engine'!$C$2:$C$630,0)),"",INDEX('Compliance Database'!$G$2:$G$630,MATCH(578,'Transfer Engine'!$C$2:$C$630,0)))</f>
        <v/>
      </c>
      <c r="H587">
        <f>IF(ISNA(MATCH(578,'Transfer Engine'!$C$2:$C$630,0)),"",INDEX('Compliance Database'!$H$2:$H$630,MATCH(578,'Transfer Engine'!$C$2:$C$630,0)))</f>
        <v/>
      </c>
      <c r="I587" s="8">
        <f>IF(ISNA(MATCH(578,'Transfer Engine'!$C$2:$C$630,0)),"",INDEX('Compliance Database'!$I$2:$I$630,MATCH(578,'Transfer Engine'!$C$2:$C$630,0)))</f>
        <v/>
      </c>
      <c r="J587" s="8">
        <f>IF(ISNA(MATCH(578,'Transfer Engine'!$C$2:$C$630,0)),"",INDEX('Compliance Database'!$J$2:$J$630,MATCH(578,'Transfer Engine'!$C$2:$C$630,0)))</f>
        <v/>
      </c>
      <c r="K587">
        <f>IF(ISNA(MATCH(578,'Transfer Engine'!$C$2:$C$630,0)),"",INDEX('Compliance Database'!$K$2:$K$630,MATCH(578,'Transfer Engine'!$C$2:$C$630,0)))</f>
        <v/>
      </c>
      <c r="L587" s="8">
        <f>IF(ISNA(MATCH(578,'Transfer Engine'!$C$2:$C$630,0)),"",INDEX('Compliance Database'!$L$2:$L$630,MATCH(578,'Transfer Engine'!$C$2:$C$630,0)))</f>
        <v/>
      </c>
      <c r="M587" s="8">
        <f>IF(ISNA(MATCH(578,'Transfer Engine'!$C$2:$C$630,0)),"",INDEX('Compliance Database'!$M$2:$M$630,MATCH(578,'Transfer Engine'!$C$2:$C$630,0)))</f>
        <v/>
      </c>
      <c r="N587" s="8">
        <f>IF(ISNA(MATCH(578,'Transfer Engine'!$C$2:$C$630,0)),"",INDEX('Compliance Database'!$N$2:$N$630,MATCH(578,'Transfer Engine'!$C$2:$C$630,0)))</f>
        <v/>
      </c>
      <c r="O587" s="8">
        <f>IF(ISNA(MATCH(578,'Transfer Engine'!$C$2:$C$630,0)),"",INDEX('Compliance Database'!$O$2:$O$630,MATCH(578,'Transfer Engine'!$C$2:$C$630,0)))</f>
        <v/>
      </c>
    </row>
    <row r="588">
      <c r="A588">
        <f>IF(ISNA(MATCH(579,'Transfer Engine'!$C$2:$C$630,0)),"",INDEX('Compliance Database'!$A$2:$A$630,MATCH(579,'Transfer Engine'!$C$2:$C$630,0)))</f>
        <v/>
      </c>
      <c r="B588">
        <f>IF(ISNA(MATCH(579,'Transfer Engine'!$C$2:$C$630,0)),"",INDEX('Compliance Database'!$B$2:$B$630,MATCH(579,'Transfer Engine'!$C$2:$C$630,0)))</f>
        <v/>
      </c>
      <c r="C588">
        <f>IF(ISNA(MATCH(579,'Transfer Engine'!$C$2:$C$630,0)),"",INDEX('Compliance Database'!$C$2:$C$630,MATCH(579,'Transfer Engine'!$C$2:$C$630,0)))</f>
        <v/>
      </c>
      <c r="D588" s="8">
        <f>IF(ISNA(MATCH(579,'Transfer Engine'!$C$2:$C$630,0)),"",INDEX('Compliance Database'!$D$2:$D$630,MATCH(579,'Transfer Engine'!$C$2:$C$630,0)))</f>
        <v/>
      </c>
      <c r="E588">
        <f>IF(ISNA(MATCH(579,'Transfer Engine'!$C$2:$C$630,0)),"",INDEX('Compliance Database'!$E$2:$E$630,MATCH(579,'Transfer Engine'!$C$2:$C$630,0)))</f>
        <v/>
      </c>
      <c r="F588">
        <f>IF(ISNA(MATCH(579,'Transfer Engine'!$C$2:$C$630,0)),"",INDEX('Compliance Database'!$F$2:$F$630,MATCH(579,'Transfer Engine'!$C$2:$C$630,0)))</f>
        <v/>
      </c>
      <c r="G588">
        <f>IF(ISNA(MATCH(579,'Transfer Engine'!$C$2:$C$630,0)),"",INDEX('Compliance Database'!$G$2:$G$630,MATCH(579,'Transfer Engine'!$C$2:$C$630,0)))</f>
        <v/>
      </c>
      <c r="H588">
        <f>IF(ISNA(MATCH(579,'Transfer Engine'!$C$2:$C$630,0)),"",INDEX('Compliance Database'!$H$2:$H$630,MATCH(579,'Transfer Engine'!$C$2:$C$630,0)))</f>
        <v/>
      </c>
      <c r="I588" s="8">
        <f>IF(ISNA(MATCH(579,'Transfer Engine'!$C$2:$C$630,0)),"",INDEX('Compliance Database'!$I$2:$I$630,MATCH(579,'Transfer Engine'!$C$2:$C$630,0)))</f>
        <v/>
      </c>
      <c r="J588" s="8">
        <f>IF(ISNA(MATCH(579,'Transfer Engine'!$C$2:$C$630,0)),"",INDEX('Compliance Database'!$J$2:$J$630,MATCH(579,'Transfer Engine'!$C$2:$C$630,0)))</f>
        <v/>
      </c>
      <c r="K588">
        <f>IF(ISNA(MATCH(579,'Transfer Engine'!$C$2:$C$630,0)),"",INDEX('Compliance Database'!$K$2:$K$630,MATCH(579,'Transfer Engine'!$C$2:$C$630,0)))</f>
        <v/>
      </c>
      <c r="L588" s="8">
        <f>IF(ISNA(MATCH(579,'Transfer Engine'!$C$2:$C$630,0)),"",INDEX('Compliance Database'!$L$2:$L$630,MATCH(579,'Transfer Engine'!$C$2:$C$630,0)))</f>
        <v/>
      </c>
      <c r="M588" s="8">
        <f>IF(ISNA(MATCH(579,'Transfer Engine'!$C$2:$C$630,0)),"",INDEX('Compliance Database'!$M$2:$M$630,MATCH(579,'Transfer Engine'!$C$2:$C$630,0)))</f>
        <v/>
      </c>
      <c r="N588" s="8">
        <f>IF(ISNA(MATCH(579,'Transfer Engine'!$C$2:$C$630,0)),"",INDEX('Compliance Database'!$N$2:$N$630,MATCH(579,'Transfer Engine'!$C$2:$C$630,0)))</f>
        <v/>
      </c>
      <c r="O588" s="8">
        <f>IF(ISNA(MATCH(579,'Transfer Engine'!$C$2:$C$630,0)),"",INDEX('Compliance Database'!$O$2:$O$630,MATCH(579,'Transfer Engine'!$C$2:$C$630,0)))</f>
        <v/>
      </c>
    </row>
    <row r="589">
      <c r="A589">
        <f>IF(ISNA(MATCH(580,'Transfer Engine'!$C$2:$C$630,0)),"",INDEX('Compliance Database'!$A$2:$A$630,MATCH(580,'Transfer Engine'!$C$2:$C$630,0)))</f>
        <v/>
      </c>
      <c r="B589">
        <f>IF(ISNA(MATCH(580,'Transfer Engine'!$C$2:$C$630,0)),"",INDEX('Compliance Database'!$B$2:$B$630,MATCH(580,'Transfer Engine'!$C$2:$C$630,0)))</f>
        <v/>
      </c>
      <c r="C589">
        <f>IF(ISNA(MATCH(580,'Transfer Engine'!$C$2:$C$630,0)),"",INDEX('Compliance Database'!$C$2:$C$630,MATCH(580,'Transfer Engine'!$C$2:$C$630,0)))</f>
        <v/>
      </c>
      <c r="D589" s="8">
        <f>IF(ISNA(MATCH(580,'Transfer Engine'!$C$2:$C$630,0)),"",INDEX('Compliance Database'!$D$2:$D$630,MATCH(580,'Transfer Engine'!$C$2:$C$630,0)))</f>
        <v/>
      </c>
      <c r="E589">
        <f>IF(ISNA(MATCH(580,'Transfer Engine'!$C$2:$C$630,0)),"",INDEX('Compliance Database'!$E$2:$E$630,MATCH(580,'Transfer Engine'!$C$2:$C$630,0)))</f>
        <v/>
      </c>
      <c r="F589">
        <f>IF(ISNA(MATCH(580,'Transfer Engine'!$C$2:$C$630,0)),"",INDEX('Compliance Database'!$F$2:$F$630,MATCH(580,'Transfer Engine'!$C$2:$C$630,0)))</f>
        <v/>
      </c>
      <c r="G589">
        <f>IF(ISNA(MATCH(580,'Transfer Engine'!$C$2:$C$630,0)),"",INDEX('Compliance Database'!$G$2:$G$630,MATCH(580,'Transfer Engine'!$C$2:$C$630,0)))</f>
        <v/>
      </c>
      <c r="H589">
        <f>IF(ISNA(MATCH(580,'Transfer Engine'!$C$2:$C$630,0)),"",INDEX('Compliance Database'!$H$2:$H$630,MATCH(580,'Transfer Engine'!$C$2:$C$630,0)))</f>
        <v/>
      </c>
      <c r="I589" s="8">
        <f>IF(ISNA(MATCH(580,'Transfer Engine'!$C$2:$C$630,0)),"",INDEX('Compliance Database'!$I$2:$I$630,MATCH(580,'Transfer Engine'!$C$2:$C$630,0)))</f>
        <v/>
      </c>
      <c r="J589" s="8">
        <f>IF(ISNA(MATCH(580,'Transfer Engine'!$C$2:$C$630,0)),"",INDEX('Compliance Database'!$J$2:$J$630,MATCH(580,'Transfer Engine'!$C$2:$C$630,0)))</f>
        <v/>
      </c>
      <c r="K589">
        <f>IF(ISNA(MATCH(580,'Transfer Engine'!$C$2:$C$630,0)),"",INDEX('Compliance Database'!$K$2:$K$630,MATCH(580,'Transfer Engine'!$C$2:$C$630,0)))</f>
        <v/>
      </c>
      <c r="L589" s="8">
        <f>IF(ISNA(MATCH(580,'Transfer Engine'!$C$2:$C$630,0)),"",INDEX('Compliance Database'!$L$2:$L$630,MATCH(580,'Transfer Engine'!$C$2:$C$630,0)))</f>
        <v/>
      </c>
      <c r="M589" s="8">
        <f>IF(ISNA(MATCH(580,'Transfer Engine'!$C$2:$C$630,0)),"",INDEX('Compliance Database'!$M$2:$M$630,MATCH(580,'Transfer Engine'!$C$2:$C$630,0)))</f>
        <v/>
      </c>
      <c r="N589" s="8">
        <f>IF(ISNA(MATCH(580,'Transfer Engine'!$C$2:$C$630,0)),"",INDEX('Compliance Database'!$N$2:$N$630,MATCH(580,'Transfer Engine'!$C$2:$C$630,0)))</f>
        <v/>
      </c>
      <c r="O589" s="8">
        <f>IF(ISNA(MATCH(580,'Transfer Engine'!$C$2:$C$630,0)),"",INDEX('Compliance Database'!$O$2:$O$630,MATCH(580,'Transfer Engine'!$C$2:$C$630,0)))</f>
        <v/>
      </c>
    </row>
    <row r="590">
      <c r="A590">
        <f>IF(ISNA(MATCH(581,'Transfer Engine'!$C$2:$C$630,0)),"",INDEX('Compliance Database'!$A$2:$A$630,MATCH(581,'Transfer Engine'!$C$2:$C$630,0)))</f>
        <v/>
      </c>
      <c r="B590">
        <f>IF(ISNA(MATCH(581,'Transfer Engine'!$C$2:$C$630,0)),"",INDEX('Compliance Database'!$B$2:$B$630,MATCH(581,'Transfer Engine'!$C$2:$C$630,0)))</f>
        <v/>
      </c>
      <c r="C590">
        <f>IF(ISNA(MATCH(581,'Transfer Engine'!$C$2:$C$630,0)),"",INDEX('Compliance Database'!$C$2:$C$630,MATCH(581,'Transfer Engine'!$C$2:$C$630,0)))</f>
        <v/>
      </c>
      <c r="D590" s="8">
        <f>IF(ISNA(MATCH(581,'Transfer Engine'!$C$2:$C$630,0)),"",INDEX('Compliance Database'!$D$2:$D$630,MATCH(581,'Transfer Engine'!$C$2:$C$630,0)))</f>
        <v/>
      </c>
      <c r="E590">
        <f>IF(ISNA(MATCH(581,'Transfer Engine'!$C$2:$C$630,0)),"",INDEX('Compliance Database'!$E$2:$E$630,MATCH(581,'Transfer Engine'!$C$2:$C$630,0)))</f>
        <v/>
      </c>
      <c r="F590">
        <f>IF(ISNA(MATCH(581,'Transfer Engine'!$C$2:$C$630,0)),"",INDEX('Compliance Database'!$F$2:$F$630,MATCH(581,'Transfer Engine'!$C$2:$C$630,0)))</f>
        <v/>
      </c>
      <c r="G590">
        <f>IF(ISNA(MATCH(581,'Transfer Engine'!$C$2:$C$630,0)),"",INDEX('Compliance Database'!$G$2:$G$630,MATCH(581,'Transfer Engine'!$C$2:$C$630,0)))</f>
        <v/>
      </c>
      <c r="H590">
        <f>IF(ISNA(MATCH(581,'Transfer Engine'!$C$2:$C$630,0)),"",INDEX('Compliance Database'!$H$2:$H$630,MATCH(581,'Transfer Engine'!$C$2:$C$630,0)))</f>
        <v/>
      </c>
      <c r="I590" s="8">
        <f>IF(ISNA(MATCH(581,'Transfer Engine'!$C$2:$C$630,0)),"",INDEX('Compliance Database'!$I$2:$I$630,MATCH(581,'Transfer Engine'!$C$2:$C$630,0)))</f>
        <v/>
      </c>
      <c r="J590" s="8">
        <f>IF(ISNA(MATCH(581,'Transfer Engine'!$C$2:$C$630,0)),"",INDEX('Compliance Database'!$J$2:$J$630,MATCH(581,'Transfer Engine'!$C$2:$C$630,0)))</f>
        <v/>
      </c>
      <c r="K590">
        <f>IF(ISNA(MATCH(581,'Transfer Engine'!$C$2:$C$630,0)),"",INDEX('Compliance Database'!$K$2:$K$630,MATCH(581,'Transfer Engine'!$C$2:$C$630,0)))</f>
        <v/>
      </c>
      <c r="L590" s="8">
        <f>IF(ISNA(MATCH(581,'Transfer Engine'!$C$2:$C$630,0)),"",INDEX('Compliance Database'!$L$2:$L$630,MATCH(581,'Transfer Engine'!$C$2:$C$630,0)))</f>
        <v/>
      </c>
      <c r="M590" s="8">
        <f>IF(ISNA(MATCH(581,'Transfer Engine'!$C$2:$C$630,0)),"",INDEX('Compliance Database'!$M$2:$M$630,MATCH(581,'Transfer Engine'!$C$2:$C$630,0)))</f>
        <v/>
      </c>
      <c r="N590" s="8">
        <f>IF(ISNA(MATCH(581,'Transfer Engine'!$C$2:$C$630,0)),"",INDEX('Compliance Database'!$N$2:$N$630,MATCH(581,'Transfer Engine'!$C$2:$C$630,0)))</f>
        <v/>
      </c>
      <c r="O590" s="8">
        <f>IF(ISNA(MATCH(581,'Transfer Engine'!$C$2:$C$630,0)),"",INDEX('Compliance Database'!$O$2:$O$630,MATCH(581,'Transfer Engine'!$C$2:$C$630,0)))</f>
        <v/>
      </c>
    </row>
    <row r="591">
      <c r="A591">
        <f>IF(ISNA(MATCH(582,'Transfer Engine'!$C$2:$C$630,0)),"",INDEX('Compliance Database'!$A$2:$A$630,MATCH(582,'Transfer Engine'!$C$2:$C$630,0)))</f>
        <v/>
      </c>
      <c r="B591">
        <f>IF(ISNA(MATCH(582,'Transfer Engine'!$C$2:$C$630,0)),"",INDEX('Compliance Database'!$B$2:$B$630,MATCH(582,'Transfer Engine'!$C$2:$C$630,0)))</f>
        <v/>
      </c>
      <c r="C591">
        <f>IF(ISNA(MATCH(582,'Transfer Engine'!$C$2:$C$630,0)),"",INDEX('Compliance Database'!$C$2:$C$630,MATCH(582,'Transfer Engine'!$C$2:$C$630,0)))</f>
        <v/>
      </c>
      <c r="D591" s="8">
        <f>IF(ISNA(MATCH(582,'Transfer Engine'!$C$2:$C$630,0)),"",INDEX('Compliance Database'!$D$2:$D$630,MATCH(582,'Transfer Engine'!$C$2:$C$630,0)))</f>
        <v/>
      </c>
      <c r="E591">
        <f>IF(ISNA(MATCH(582,'Transfer Engine'!$C$2:$C$630,0)),"",INDEX('Compliance Database'!$E$2:$E$630,MATCH(582,'Transfer Engine'!$C$2:$C$630,0)))</f>
        <v/>
      </c>
      <c r="F591">
        <f>IF(ISNA(MATCH(582,'Transfer Engine'!$C$2:$C$630,0)),"",INDEX('Compliance Database'!$F$2:$F$630,MATCH(582,'Transfer Engine'!$C$2:$C$630,0)))</f>
        <v/>
      </c>
      <c r="G591">
        <f>IF(ISNA(MATCH(582,'Transfer Engine'!$C$2:$C$630,0)),"",INDEX('Compliance Database'!$G$2:$G$630,MATCH(582,'Transfer Engine'!$C$2:$C$630,0)))</f>
        <v/>
      </c>
      <c r="H591">
        <f>IF(ISNA(MATCH(582,'Transfer Engine'!$C$2:$C$630,0)),"",INDEX('Compliance Database'!$H$2:$H$630,MATCH(582,'Transfer Engine'!$C$2:$C$630,0)))</f>
        <v/>
      </c>
      <c r="I591" s="8">
        <f>IF(ISNA(MATCH(582,'Transfer Engine'!$C$2:$C$630,0)),"",INDEX('Compliance Database'!$I$2:$I$630,MATCH(582,'Transfer Engine'!$C$2:$C$630,0)))</f>
        <v/>
      </c>
      <c r="J591" s="8">
        <f>IF(ISNA(MATCH(582,'Transfer Engine'!$C$2:$C$630,0)),"",INDEX('Compliance Database'!$J$2:$J$630,MATCH(582,'Transfer Engine'!$C$2:$C$630,0)))</f>
        <v/>
      </c>
      <c r="K591">
        <f>IF(ISNA(MATCH(582,'Transfer Engine'!$C$2:$C$630,0)),"",INDEX('Compliance Database'!$K$2:$K$630,MATCH(582,'Transfer Engine'!$C$2:$C$630,0)))</f>
        <v/>
      </c>
      <c r="L591" s="8">
        <f>IF(ISNA(MATCH(582,'Transfer Engine'!$C$2:$C$630,0)),"",INDEX('Compliance Database'!$L$2:$L$630,MATCH(582,'Transfer Engine'!$C$2:$C$630,0)))</f>
        <v/>
      </c>
      <c r="M591" s="8">
        <f>IF(ISNA(MATCH(582,'Transfer Engine'!$C$2:$C$630,0)),"",INDEX('Compliance Database'!$M$2:$M$630,MATCH(582,'Transfer Engine'!$C$2:$C$630,0)))</f>
        <v/>
      </c>
      <c r="N591" s="8">
        <f>IF(ISNA(MATCH(582,'Transfer Engine'!$C$2:$C$630,0)),"",INDEX('Compliance Database'!$N$2:$N$630,MATCH(582,'Transfer Engine'!$C$2:$C$630,0)))</f>
        <v/>
      </c>
      <c r="O591" s="8">
        <f>IF(ISNA(MATCH(582,'Transfer Engine'!$C$2:$C$630,0)),"",INDEX('Compliance Database'!$O$2:$O$630,MATCH(582,'Transfer Engine'!$C$2:$C$630,0)))</f>
        <v/>
      </c>
    </row>
    <row r="592">
      <c r="A592">
        <f>IF(ISNA(MATCH(583,'Transfer Engine'!$C$2:$C$630,0)),"",INDEX('Compliance Database'!$A$2:$A$630,MATCH(583,'Transfer Engine'!$C$2:$C$630,0)))</f>
        <v/>
      </c>
      <c r="B592">
        <f>IF(ISNA(MATCH(583,'Transfer Engine'!$C$2:$C$630,0)),"",INDEX('Compliance Database'!$B$2:$B$630,MATCH(583,'Transfer Engine'!$C$2:$C$630,0)))</f>
        <v/>
      </c>
      <c r="C592">
        <f>IF(ISNA(MATCH(583,'Transfer Engine'!$C$2:$C$630,0)),"",INDEX('Compliance Database'!$C$2:$C$630,MATCH(583,'Transfer Engine'!$C$2:$C$630,0)))</f>
        <v/>
      </c>
      <c r="D592" s="8">
        <f>IF(ISNA(MATCH(583,'Transfer Engine'!$C$2:$C$630,0)),"",INDEX('Compliance Database'!$D$2:$D$630,MATCH(583,'Transfer Engine'!$C$2:$C$630,0)))</f>
        <v/>
      </c>
      <c r="E592">
        <f>IF(ISNA(MATCH(583,'Transfer Engine'!$C$2:$C$630,0)),"",INDEX('Compliance Database'!$E$2:$E$630,MATCH(583,'Transfer Engine'!$C$2:$C$630,0)))</f>
        <v/>
      </c>
      <c r="F592">
        <f>IF(ISNA(MATCH(583,'Transfer Engine'!$C$2:$C$630,0)),"",INDEX('Compliance Database'!$F$2:$F$630,MATCH(583,'Transfer Engine'!$C$2:$C$630,0)))</f>
        <v/>
      </c>
      <c r="G592">
        <f>IF(ISNA(MATCH(583,'Transfer Engine'!$C$2:$C$630,0)),"",INDEX('Compliance Database'!$G$2:$G$630,MATCH(583,'Transfer Engine'!$C$2:$C$630,0)))</f>
        <v/>
      </c>
      <c r="H592">
        <f>IF(ISNA(MATCH(583,'Transfer Engine'!$C$2:$C$630,0)),"",INDEX('Compliance Database'!$H$2:$H$630,MATCH(583,'Transfer Engine'!$C$2:$C$630,0)))</f>
        <v/>
      </c>
      <c r="I592" s="8">
        <f>IF(ISNA(MATCH(583,'Transfer Engine'!$C$2:$C$630,0)),"",INDEX('Compliance Database'!$I$2:$I$630,MATCH(583,'Transfer Engine'!$C$2:$C$630,0)))</f>
        <v/>
      </c>
      <c r="J592" s="8">
        <f>IF(ISNA(MATCH(583,'Transfer Engine'!$C$2:$C$630,0)),"",INDEX('Compliance Database'!$J$2:$J$630,MATCH(583,'Transfer Engine'!$C$2:$C$630,0)))</f>
        <v/>
      </c>
      <c r="K592">
        <f>IF(ISNA(MATCH(583,'Transfer Engine'!$C$2:$C$630,0)),"",INDEX('Compliance Database'!$K$2:$K$630,MATCH(583,'Transfer Engine'!$C$2:$C$630,0)))</f>
        <v/>
      </c>
      <c r="L592" s="8">
        <f>IF(ISNA(MATCH(583,'Transfer Engine'!$C$2:$C$630,0)),"",INDEX('Compliance Database'!$L$2:$L$630,MATCH(583,'Transfer Engine'!$C$2:$C$630,0)))</f>
        <v/>
      </c>
      <c r="M592" s="8">
        <f>IF(ISNA(MATCH(583,'Transfer Engine'!$C$2:$C$630,0)),"",INDEX('Compliance Database'!$M$2:$M$630,MATCH(583,'Transfer Engine'!$C$2:$C$630,0)))</f>
        <v/>
      </c>
      <c r="N592" s="8">
        <f>IF(ISNA(MATCH(583,'Transfer Engine'!$C$2:$C$630,0)),"",INDEX('Compliance Database'!$N$2:$N$630,MATCH(583,'Transfer Engine'!$C$2:$C$630,0)))</f>
        <v/>
      </c>
      <c r="O592" s="8">
        <f>IF(ISNA(MATCH(583,'Transfer Engine'!$C$2:$C$630,0)),"",INDEX('Compliance Database'!$O$2:$O$630,MATCH(583,'Transfer Engine'!$C$2:$C$630,0)))</f>
        <v/>
      </c>
    </row>
    <row r="593">
      <c r="A593">
        <f>IF(ISNA(MATCH(584,'Transfer Engine'!$C$2:$C$630,0)),"",INDEX('Compliance Database'!$A$2:$A$630,MATCH(584,'Transfer Engine'!$C$2:$C$630,0)))</f>
        <v/>
      </c>
      <c r="B593">
        <f>IF(ISNA(MATCH(584,'Transfer Engine'!$C$2:$C$630,0)),"",INDEX('Compliance Database'!$B$2:$B$630,MATCH(584,'Transfer Engine'!$C$2:$C$630,0)))</f>
        <v/>
      </c>
      <c r="C593">
        <f>IF(ISNA(MATCH(584,'Transfer Engine'!$C$2:$C$630,0)),"",INDEX('Compliance Database'!$C$2:$C$630,MATCH(584,'Transfer Engine'!$C$2:$C$630,0)))</f>
        <v/>
      </c>
      <c r="D593" s="8">
        <f>IF(ISNA(MATCH(584,'Transfer Engine'!$C$2:$C$630,0)),"",INDEX('Compliance Database'!$D$2:$D$630,MATCH(584,'Transfer Engine'!$C$2:$C$630,0)))</f>
        <v/>
      </c>
      <c r="E593">
        <f>IF(ISNA(MATCH(584,'Transfer Engine'!$C$2:$C$630,0)),"",INDEX('Compliance Database'!$E$2:$E$630,MATCH(584,'Transfer Engine'!$C$2:$C$630,0)))</f>
        <v/>
      </c>
      <c r="F593">
        <f>IF(ISNA(MATCH(584,'Transfer Engine'!$C$2:$C$630,0)),"",INDEX('Compliance Database'!$F$2:$F$630,MATCH(584,'Transfer Engine'!$C$2:$C$630,0)))</f>
        <v/>
      </c>
      <c r="G593">
        <f>IF(ISNA(MATCH(584,'Transfer Engine'!$C$2:$C$630,0)),"",INDEX('Compliance Database'!$G$2:$G$630,MATCH(584,'Transfer Engine'!$C$2:$C$630,0)))</f>
        <v/>
      </c>
      <c r="H593">
        <f>IF(ISNA(MATCH(584,'Transfer Engine'!$C$2:$C$630,0)),"",INDEX('Compliance Database'!$H$2:$H$630,MATCH(584,'Transfer Engine'!$C$2:$C$630,0)))</f>
        <v/>
      </c>
      <c r="I593" s="8">
        <f>IF(ISNA(MATCH(584,'Transfer Engine'!$C$2:$C$630,0)),"",INDEX('Compliance Database'!$I$2:$I$630,MATCH(584,'Transfer Engine'!$C$2:$C$630,0)))</f>
        <v/>
      </c>
      <c r="J593" s="8">
        <f>IF(ISNA(MATCH(584,'Transfer Engine'!$C$2:$C$630,0)),"",INDEX('Compliance Database'!$J$2:$J$630,MATCH(584,'Transfer Engine'!$C$2:$C$630,0)))</f>
        <v/>
      </c>
      <c r="K593">
        <f>IF(ISNA(MATCH(584,'Transfer Engine'!$C$2:$C$630,0)),"",INDEX('Compliance Database'!$K$2:$K$630,MATCH(584,'Transfer Engine'!$C$2:$C$630,0)))</f>
        <v/>
      </c>
      <c r="L593" s="8">
        <f>IF(ISNA(MATCH(584,'Transfer Engine'!$C$2:$C$630,0)),"",INDEX('Compliance Database'!$L$2:$L$630,MATCH(584,'Transfer Engine'!$C$2:$C$630,0)))</f>
        <v/>
      </c>
      <c r="M593" s="8">
        <f>IF(ISNA(MATCH(584,'Transfer Engine'!$C$2:$C$630,0)),"",INDEX('Compliance Database'!$M$2:$M$630,MATCH(584,'Transfer Engine'!$C$2:$C$630,0)))</f>
        <v/>
      </c>
      <c r="N593" s="8">
        <f>IF(ISNA(MATCH(584,'Transfer Engine'!$C$2:$C$630,0)),"",INDEX('Compliance Database'!$N$2:$N$630,MATCH(584,'Transfer Engine'!$C$2:$C$630,0)))</f>
        <v/>
      </c>
      <c r="O593" s="8">
        <f>IF(ISNA(MATCH(584,'Transfer Engine'!$C$2:$C$630,0)),"",INDEX('Compliance Database'!$O$2:$O$630,MATCH(584,'Transfer Engine'!$C$2:$C$630,0)))</f>
        <v/>
      </c>
    </row>
    <row r="594">
      <c r="A594">
        <f>IF(ISNA(MATCH(585,'Transfer Engine'!$C$2:$C$630,0)),"",INDEX('Compliance Database'!$A$2:$A$630,MATCH(585,'Transfer Engine'!$C$2:$C$630,0)))</f>
        <v/>
      </c>
      <c r="B594">
        <f>IF(ISNA(MATCH(585,'Transfer Engine'!$C$2:$C$630,0)),"",INDEX('Compliance Database'!$B$2:$B$630,MATCH(585,'Transfer Engine'!$C$2:$C$630,0)))</f>
        <v/>
      </c>
      <c r="C594">
        <f>IF(ISNA(MATCH(585,'Transfer Engine'!$C$2:$C$630,0)),"",INDEX('Compliance Database'!$C$2:$C$630,MATCH(585,'Transfer Engine'!$C$2:$C$630,0)))</f>
        <v/>
      </c>
      <c r="D594" s="8">
        <f>IF(ISNA(MATCH(585,'Transfer Engine'!$C$2:$C$630,0)),"",INDEX('Compliance Database'!$D$2:$D$630,MATCH(585,'Transfer Engine'!$C$2:$C$630,0)))</f>
        <v/>
      </c>
      <c r="E594">
        <f>IF(ISNA(MATCH(585,'Transfer Engine'!$C$2:$C$630,0)),"",INDEX('Compliance Database'!$E$2:$E$630,MATCH(585,'Transfer Engine'!$C$2:$C$630,0)))</f>
        <v/>
      </c>
      <c r="F594">
        <f>IF(ISNA(MATCH(585,'Transfer Engine'!$C$2:$C$630,0)),"",INDEX('Compliance Database'!$F$2:$F$630,MATCH(585,'Transfer Engine'!$C$2:$C$630,0)))</f>
        <v/>
      </c>
      <c r="G594">
        <f>IF(ISNA(MATCH(585,'Transfer Engine'!$C$2:$C$630,0)),"",INDEX('Compliance Database'!$G$2:$G$630,MATCH(585,'Transfer Engine'!$C$2:$C$630,0)))</f>
        <v/>
      </c>
      <c r="H594">
        <f>IF(ISNA(MATCH(585,'Transfer Engine'!$C$2:$C$630,0)),"",INDEX('Compliance Database'!$H$2:$H$630,MATCH(585,'Transfer Engine'!$C$2:$C$630,0)))</f>
        <v/>
      </c>
      <c r="I594" s="8">
        <f>IF(ISNA(MATCH(585,'Transfer Engine'!$C$2:$C$630,0)),"",INDEX('Compliance Database'!$I$2:$I$630,MATCH(585,'Transfer Engine'!$C$2:$C$630,0)))</f>
        <v/>
      </c>
      <c r="J594" s="8">
        <f>IF(ISNA(MATCH(585,'Transfer Engine'!$C$2:$C$630,0)),"",INDEX('Compliance Database'!$J$2:$J$630,MATCH(585,'Transfer Engine'!$C$2:$C$630,0)))</f>
        <v/>
      </c>
      <c r="K594">
        <f>IF(ISNA(MATCH(585,'Transfer Engine'!$C$2:$C$630,0)),"",INDEX('Compliance Database'!$K$2:$K$630,MATCH(585,'Transfer Engine'!$C$2:$C$630,0)))</f>
        <v/>
      </c>
      <c r="L594" s="8">
        <f>IF(ISNA(MATCH(585,'Transfer Engine'!$C$2:$C$630,0)),"",INDEX('Compliance Database'!$L$2:$L$630,MATCH(585,'Transfer Engine'!$C$2:$C$630,0)))</f>
        <v/>
      </c>
      <c r="M594" s="8">
        <f>IF(ISNA(MATCH(585,'Transfer Engine'!$C$2:$C$630,0)),"",INDEX('Compliance Database'!$M$2:$M$630,MATCH(585,'Transfer Engine'!$C$2:$C$630,0)))</f>
        <v/>
      </c>
      <c r="N594" s="8">
        <f>IF(ISNA(MATCH(585,'Transfer Engine'!$C$2:$C$630,0)),"",INDEX('Compliance Database'!$N$2:$N$630,MATCH(585,'Transfer Engine'!$C$2:$C$630,0)))</f>
        <v/>
      </c>
      <c r="O594" s="8">
        <f>IF(ISNA(MATCH(585,'Transfer Engine'!$C$2:$C$630,0)),"",INDEX('Compliance Database'!$O$2:$O$630,MATCH(585,'Transfer Engine'!$C$2:$C$630,0)))</f>
        <v/>
      </c>
    </row>
    <row r="595">
      <c r="A595">
        <f>IF(ISNA(MATCH(586,'Transfer Engine'!$C$2:$C$630,0)),"",INDEX('Compliance Database'!$A$2:$A$630,MATCH(586,'Transfer Engine'!$C$2:$C$630,0)))</f>
        <v/>
      </c>
      <c r="B595">
        <f>IF(ISNA(MATCH(586,'Transfer Engine'!$C$2:$C$630,0)),"",INDEX('Compliance Database'!$B$2:$B$630,MATCH(586,'Transfer Engine'!$C$2:$C$630,0)))</f>
        <v/>
      </c>
      <c r="C595">
        <f>IF(ISNA(MATCH(586,'Transfer Engine'!$C$2:$C$630,0)),"",INDEX('Compliance Database'!$C$2:$C$630,MATCH(586,'Transfer Engine'!$C$2:$C$630,0)))</f>
        <v/>
      </c>
      <c r="D595" s="8">
        <f>IF(ISNA(MATCH(586,'Transfer Engine'!$C$2:$C$630,0)),"",INDEX('Compliance Database'!$D$2:$D$630,MATCH(586,'Transfer Engine'!$C$2:$C$630,0)))</f>
        <v/>
      </c>
      <c r="E595">
        <f>IF(ISNA(MATCH(586,'Transfer Engine'!$C$2:$C$630,0)),"",INDEX('Compliance Database'!$E$2:$E$630,MATCH(586,'Transfer Engine'!$C$2:$C$630,0)))</f>
        <v/>
      </c>
      <c r="F595">
        <f>IF(ISNA(MATCH(586,'Transfer Engine'!$C$2:$C$630,0)),"",INDEX('Compliance Database'!$F$2:$F$630,MATCH(586,'Transfer Engine'!$C$2:$C$630,0)))</f>
        <v/>
      </c>
      <c r="G595">
        <f>IF(ISNA(MATCH(586,'Transfer Engine'!$C$2:$C$630,0)),"",INDEX('Compliance Database'!$G$2:$G$630,MATCH(586,'Transfer Engine'!$C$2:$C$630,0)))</f>
        <v/>
      </c>
      <c r="H595">
        <f>IF(ISNA(MATCH(586,'Transfer Engine'!$C$2:$C$630,0)),"",INDEX('Compliance Database'!$H$2:$H$630,MATCH(586,'Transfer Engine'!$C$2:$C$630,0)))</f>
        <v/>
      </c>
      <c r="I595" s="8">
        <f>IF(ISNA(MATCH(586,'Transfer Engine'!$C$2:$C$630,0)),"",INDEX('Compliance Database'!$I$2:$I$630,MATCH(586,'Transfer Engine'!$C$2:$C$630,0)))</f>
        <v/>
      </c>
      <c r="J595" s="8">
        <f>IF(ISNA(MATCH(586,'Transfer Engine'!$C$2:$C$630,0)),"",INDEX('Compliance Database'!$J$2:$J$630,MATCH(586,'Transfer Engine'!$C$2:$C$630,0)))</f>
        <v/>
      </c>
      <c r="K595">
        <f>IF(ISNA(MATCH(586,'Transfer Engine'!$C$2:$C$630,0)),"",INDEX('Compliance Database'!$K$2:$K$630,MATCH(586,'Transfer Engine'!$C$2:$C$630,0)))</f>
        <v/>
      </c>
      <c r="L595" s="8">
        <f>IF(ISNA(MATCH(586,'Transfer Engine'!$C$2:$C$630,0)),"",INDEX('Compliance Database'!$L$2:$L$630,MATCH(586,'Transfer Engine'!$C$2:$C$630,0)))</f>
        <v/>
      </c>
      <c r="M595" s="8">
        <f>IF(ISNA(MATCH(586,'Transfer Engine'!$C$2:$C$630,0)),"",INDEX('Compliance Database'!$M$2:$M$630,MATCH(586,'Transfer Engine'!$C$2:$C$630,0)))</f>
        <v/>
      </c>
      <c r="N595" s="8">
        <f>IF(ISNA(MATCH(586,'Transfer Engine'!$C$2:$C$630,0)),"",INDEX('Compliance Database'!$N$2:$N$630,MATCH(586,'Transfer Engine'!$C$2:$C$630,0)))</f>
        <v/>
      </c>
      <c r="O595" s="8">
        <f>IF(ISNA(MATCH(586,'Transfer Engine'!$C$2:$C$630,0)),"",INDEX('Compliance Database'!$O$2:$O$630,MATCH(586,'Transfer Engine'!$C$2:$C$630,0)))</f>
        <v/>
      </c>
    </row>
    <row r="596">
      <c r="A596">
        <f>IF(ISNA(MATCH(587,'Transfer Engine'!$C$2:$C$630,0)),"",INDEX('Compliance Database'!$A$2:$A$630,MATCH(587,'Transfer Engine'!$C$2:$C$630,0)))</f>
        <v/>
      </c>
      <c r="B596">
        <f>IF(ISNA(MATCH(587,'Transfer Engine'!$C$2:$C$630,0)),"",INDEX('Compliance Database'!$B$2:$B$630,MATCH(587,'Transfer Engine'!$C$2:$C$630,0)))</f>
        <v/>
      </c>
      <c r="C596">
        <f>IF(ISNA(MATCH(587,'Transfer Engine'!$C$2:$C$630,0)),"",INDEX('Compliance Database'!$C$2:$C$630,MATCH(587,'Transfer Engine'!$C$2:$C$630,0)))</f>
        <v/>
      </c>
      <c r="D596" s="8">
        <f>IF(ISNA(MATCH(587,'Transfer Engine'!$C$2:$C$630,0)),"",INDEX('Compliance Database'!$D$2:$D$630,MATCH(587,'Transfer Engine'!$C$2:$C$630,0)))</f>
        <v/>
      </c>
      <c r="E596">
        <f>IF(ISNA(MATCH(587,'Transfer Engine'!$C$2:$C$630,0)),"",INDEX('Compliance Database'!$E$2:$E$630,MATCH(587,'Transfer Engine'!$C$2:$C$630,0)))</f>
        <v/>
      </c>
      <c r="F596">
        <f>IF(ISNA(MATCH(587,'Transfer Engine'!$C$2:$C$630,0)),"",INDEX('Compliance Database'!$F$2:$F$630,MATCH(587,'Transfer Engine'!$C$2:$C$630,0)))</f>
        <v/>
      </c>
      <c r="G596">
        <f>IF(ISNA(MATCH(587,'Transfer Engine'!$C$2:$C$630,0)),"",INDEX('Compliance Database'!$G$2:$G$630,MATCH(587,'Transfer Engine'!$C$2:$C$630,0)))</f>
        <v/>
      </c>
      <c r="H596">
        <f>IF(ISNA(MATCH(587,'Transfer Engine'!$C$2:$C$630,0)),"",INDEX('Compliance Database'!$H$2:$H$630,MATCH(587,'Transfer Engine'!$C$2:$C$630,0)))</f>
        <v/>
      </c>
      <c r="I596" s="8">
        <f>IF(ISNA(MATCH(587,'Transfer Engine'!$C$2:$C$630,0)),"",INDEX('Compliance Database'!$I$2:$I$630,MATCH(587,'Transfer Engine'!$C$2:$C$630,0)))</f>
        <v/>
      </c>
      <c r="J596" s="8">
        <f>IF(ISNA(MATCH(587,'Transfer Engine'!$C$2:$C$630,0)),"",INDEX('Compliance Database'!$J$2:$J$630,MATCH(587,'Transfer Engine'!$C$2:$C$630,0)))</f>
        <v/>
      </c>
      <c r="K596">
        <f>IF(ISNA(MATCH(587,'Transfer Engine'!$C$2:$C$630,0)),"",INDEX('Compliance Database'!$K$2:$K$630,MATCH(587,'Transfer Engine'!$C$2:$C$630,0)))</f>
        <v/>
      </c>
      <c r="L596" s="8">
        <f>IF(ISNA(MATCH(587,'Transfer Engine'!$C$2:$C$630,0)),"",INDEX('Compliance Database'!$L$2:$L$630,MATCH(587,'Transfer Engine'!$C$2:$C$630,0)))</f>
        <v/>
      </c>
      <c r="M596" s="8">
        <f>IF(ISNA(MATCH(587,'Transfer Engine'!$C$2:$C$630,0)),"",INDEX('Compliance Database'!$M$2:$M$630,MATCH(587,'Transfer Engine'!$C$2:$C$630,0)))</f>
        <v/>
      </c>
      <c r="N596" s="8">
        <f>IF(ISNA(MATCH(587,'Transfer Engine'!$C$2:$C$630,0)),"",INDEX('Compliance Database'!$N$2:$N$630,MATCH(587,'Transfer Engine'!$C$2:$C$630,0)))</f>
        <v/>
      </c>
      <c r="O596" s="8">
        <f>IF(ISNA(MATCH(587,'Transfer Engine'!$C$2:$C$630,0)),"",INDEX('Compliance Database'!$O$2:$O$630,MATCH(587,'Transfer Engine'!$C$2:$C$630,0)))</f>
        <v/>
      </c>
    </row>
    <row r="597">
      <c r="A597">
        <f>IF(ISNA(MATCH(588,'Transfer Engine'!$C$2:$C$630,0)),"",INDEX('Compliance Database'!$A$2:$A$630,MATCH(588,'Transfer Engine'!$C$2:$C$630,0)))</f>
        <v/>
      </c>
      <c r="B597">
        <f>IF(ISNA(MATCH(588,'Transfer Engine'!$C$2:$C$630,0)),"",INDEX('Compliance Database'!$B$2:$B$630,MATCH(588,'Transfer Engine'!$C$2:$C$630,0)))</f>
        <v/>
      </c>
      <c r="C597">
        <f>IF(ISNA(MATCH(588,'Transfer Engine'!$C$2:$C$630,0)),"",INDEX('Compliance Database'!$C$2:$C$630,MATCH(588,'Transfer Engine'!$C$2:$C$630,0)))</f>
        <v/>
      </c>
      <c r="D597" s="8">
        <f>IF(ISNA(MATCH(588,'Transfer Engine'!$C$2:$C$630,0)),"",INDEX('Compliance Database'!$D$2:$D$630,MATCH(588,'Transfer Engine'!$C$2:$C$630,0)))</f>
        <v/>
      </c>
      <c r="E597">
        <f>IF(ISNA(MATCH(588,'Transfer Engine'!$C$2:$C$630,0)),"",INDEX('Compliance Database'!$E$2:$E$630,MATCH(588,'Transfer Engine'!$C$2:$C$630,0)))</f>
        <v/>
      </c>
      <c r="F597">
        <f>IF(ISNA(MATCH(588,'Transfer Engine'!$C$2:$C$630,0)),"",INDEX('Compliance Database'!$F$2:$F$630,MATCH(588,'Transfer Engine'!$C$2:$C$630,0)))</f>
        <v/>
      </c>
      <c r="G597">
        <f>IF(ISNA(MATCH(588,'Transfer Engine'!$C$2:$C$630,0)),"",INDEX('Compliance Database'!$G$2:$G$630,MATCH(588,'Transfer Engine'!$C$2:$C$630,0)))</f>
        <v/>
      </c>
      <c r="H597">
        <f>IF(ISNA(MATCH(588,'Transfer Engine'!$C$2:$C$630,0)),"",INDEX('Compliance Database'!$H$2:$H$630,MATCH(588,'Transfer Engine'!$C$2:$C$630,0)))</f>
        <v/>
      </c>
      <c r="I597" s="8">
        <f>IF(ISNA(MATCH(588,'Transfer Engine'!$C$2:$C$630,0)),"",INDEX('Compliance Database'!$I$2:$I$630,MATCH(588,'Transfer Engine'!$C$2:$C$630,0)))</f>
        <v/>
      </c>
      <c r="J597" s="8">
        <f>IF(ISNA(MATCH(588,'Transfer Engine'!$C$2:$C$630,0)),"",INDEX('Compliance Database'!$J$2:$J$630,MATCH(588,'Transfer Engine'!$C$2:$C$630,0)))</f>
        <v/>
      </c>
      <c r="K597">
        <f>IF(ISNA(MATCH(588,'Transfer Engine'!$C$2:$C$630,0)),"",INDEX('Compliance Database'!$K$2:$K$630,MATCH(588,'Transfer Engine'!$C$2:$C$630,0)))</f>
        <v/>
      </c>
      <c r="L597" s="8">
        <f>IF(ISNA(MATCH(588,'Transfer Engine'!$C$2:$C$630,0)),"",INDEX('Compliance Database'!$L$2:$L$630,MATCH(588,'Transfer Engine'!$C$2:$C$630,0)))</f>
        <v/>
      </c>
      <c r="M597" s="8">
        <f>IF(ISNA(MATCH(588,'Transfer Engine'!$C$2:$C$630,0)),"",INDEX('Compliance Database'!$M$2:$M$630,MATCH(588,'Transfer Engine'!$C$2:$C$630,0)))</f>
        <v/>
      </c>
      <c r="N597" s="8">
        <f>IF(ISNA(MATCH(588,'Transfer Engine'!$C$2:$C$630,0)),"",INDEX('Compliance Database'!$N$2:$N$630,MATCH(588,'Transfer Engine'!$C$2:$C$630,0)))</f>
        <v/>
      </c>
      <c r="O597" s="8">
        <f>IF(ISNA(MATCH(588,'Transfer Engine'!$C$2:$C$630,0)),"",INDEX('Compliance Database'!$O$2:$O$630,MATCH(588,'Transfer Engine'!$C$2:$C$630,0)))</f>
        <v/>
      </c>
    </row>
    <row r="598">
      <c r="A598">
        <f>IF(ISNA(MATCH(589,'Transfer Engine'!$C$2:$C$630,0)),"",INDEX('Compliance Database'!$A$2:$A$630,MATCH(589,'Transfer Engine'!$C$2:$C$630,0)))</f>
        <v/>
      </c>
      <c r="B598">
        <f>IF(ISNA(MATCH(589,'Transfer Engine'!$C$2:$C$630,0)),"",INDEX('Compliance Database'!$B$2:$B$630,MATCH(589,'Transfer Engine'!$C$2:$C$630,0)))</f>
        <v/>
      </c>
      <c r="C598">
        <f>IF(ISNA(MATCH(589,'Transfer Engine'!$C$2:$C$630,0)),"",INDEX('Compliance Database'!$C$2:$C$630,MATCH(589,'Transfer Engine'!$C$2:$C$630,0)))</f>
        <v/>
      </c>
      <c r="D598" s="8">
        <f>IF(ISNA(MATCH(589,'Transfer Engine'!$C$2:$C$630,0)),"",INDEX('Compliance Database'!$D$2:$D$630,MATCH(589,'Transfer Engine'!$C$2:$C$630,0)))</f>
        <v/>
      </c>
      <c r="E598">
        <f>IF(ISNA(MATCH(589,'Transfer Engine'!$C$2:$C$630,0)),"",INDEX('Compliance Database'!$E$2:$E$630,MATCH(589,'Transfer Engine'!$C$2:$C$630,0)))</f>
        <v/>
      </c>
      <c r="F598">
        <f>IF(ISNA(MATCH(589,'Transfer Engine'!$C$2:$C$630,0)),"",INDEX('Compliance Database'!$F$2:$F$630,MATCH(589,'Transfer Engine'!$C$2:$C$630,0)))</f>
        <v/>
      </c>
      <c r="G598">
        <f>IF(ISNA(MATCH(589,'Transfer Engine'!$C$2:$C$630,0)),"",INDEX('Compliance Database'!$G$2:$G$630,MATCH(589,'Transfer Engine'!$C$2:$C$630,0)))</f>
        <v/>
      </c>
      <c r="H598">
        <f>IF(ISNA(MATCH(589,'Transfer Engine'!$C$2:$C$630,0)),"",INDEX('Compliance Database'!$H$2:$H$630,MATCH(589,'Transfer Engine'!$C$2:$C$630,0)))</f>
        <v/>
      </c>
      <c r="I598" s="8">
        <f>IF(ISNA(MATCH(589,'Transfer Engine'!$C$2:$C$630,0)),"",INDEX('Compliance Database'!$I$2:$I$630,MATCH(589,'Transfer Engine'!$C$2:$C$630,0)))</f>
        <v/>
      </c>
      <c r="J598" s="8">
        <f>IF(ISNA(MATCH(589,'Transfer Engine'!$C$2:$C$630,0)),"",INDEX('Compliance Database'!$J$2:$J$630,MATCH(589,'Transfer Engine'!$C$2:$C$630,0)))</f>
        <v/>
      </c>
      <c r="K598">
        <f>IF(ISNA(MATCH(589,'Transfer Engine'!$C$2:$C$630,0)),"",INDEX('Compliance Database'!$K$2:$K$630,MATCH(589,'Transfer Engine'!$C$2:$C$630,0)))</f>
        <v/>
      </c>
      <c r="L598" s="8">
        <f>IF(ISNA(MATCH(589,'Transfer Engine'!$C$2:$C$630,0)),"",INDEX('Compliance Database'!$L$2:$L$630,MATCH(589,'Transfer Engine'!$C$2:$C$630,0)))</f>
        <v/>
      </c>
      <c r="M598" s="8">
        <f>IF(ISNA(MATCH(589,'Transfer Engine'!$C$2:$C$630,0)),"",INDEX('Compliance Database'!$M$2:$M$630,MATCH(589,'Transfer Engine'!$C$2:$C$630,0)))</f>
        <v/>
      </c>
      <c r="N598" s="8">
        <f>IF(ISNA(MATCH(589,'Transfer Engine'!$C$2:$C$630,0)),"",INDEX('Compliance Database'!$N$2:$N$630,MATCH(589,'Transfer Engine'!$C$2:$C$630,0)))</f>
        <v/>
      </c>
      <c r="O598" s="8">
        <f>IF(ISNA(MATCH(589,'Transfer Engine'!$C$2:$C$630,0)),"",INDEX('Compliance Database'!$O$2:$O$630,MATCH(589,'Transfer Engine'!$C$2:$C$630,0)))</f>
        <v/>
      </c>
    </row>
    <row r="599">
      <c r="A599">
        <f>IF(ISNA(MATCH(590,'Transfer Engine'!$C$2:$C$630,0)),"",INDEX('Compliance Database'!$A$2:$A$630,MATCH(590,'Transfer Engine'!$C$2:$C$630,0)))</f>
        <v/>
      </c>
      <c r="B599">
        <f>IF(ISNA(MATCH(590,'Transfer Engine'!$C$2:$C$630,0)),"",INDEX('Compliance Database'!$B$2:$B$630,MATCH(590,'Transfer Engine'!$C$2:$C$630,0)))</f>
        <v/>
      </c>
      <c r="C599">
        <f>IF(ISNA(MATCH(590,'Transfer Engine'!$C$2:$C$630,0)),"",INDEX('Compliance Database'!$C$2:$C$630,MATCH(590,'Transfer Engine'!$C$2:$C$630,0)))</f>
        <v/>
      </c>
      <c r="D599" s="8">
        <f>IF(ISNA(MATCH(590,'Transfer Engine'!$C$2:$C$630,0)),"",INDEX('Compliance Database'!$D$2:$D$630,MATCH(590,'Transfer Engine'!$C$2:$C$630,0)))</f>
        <v/>
      </c>
      <c r="E599">
        <f>IF(ISNA(MATCH(590,'Transfer Engine'!$C$2:$C$630,0)),"",INDEX('Compliance Database'!$E$2:$E$630,MATCH(590,'Transfer Engine'!$C$2:$C$630,0)))</f>
        <v/>
      </c>
      <c r="F599">
        <f>IF(ISNA(MATCH(590,'Transfer Engine'!$C$2:$C$630,0)),"",INDEX('Compliance Database'!$F$2:$F$630,MATCH(590,'Transfer Engine'!$C$2:$C$630,0)))</f>
        <v/>
      </c>
      <c r="G599">
        <f>IF(ISNA(MATCH(590,'Transfer Engine'!$C$2:$C$630,0)),"",INDEX('Compliance Database'!$G$2:$G$630,MATCH(590,'Transfer Engine'!$C$2:$C$630,0)))</f>
        <v/>
      </c>
      <c r="H599">
        <f>IF(ISNA(MATCH(590,'Transfer Engine'!$C$2:$C$630,0)),"",INDEX('Compliance Database'!$H$2:$H$630,MATCH(590,'Transfer Engine'!$C$2:$C$630,0)))</f>
        <v/>
      </c>
      <c r="I599" s="8">
        <f>IF(ISNA(MATCH(590,'Transfer Engine'!$C$2:$C$630,0)),"",INDEX('Compliance Database'!$I$2:$I$630,MATCH(590,'Transfer Engine'!$C$2:$C$630,0)))</f>
        <v/>
      </c>
      <c r="J599" s="8">
        <f>IF(ISNA(MATCH(590,'Transfer Engine'!$C$2:$C$630,0)),"",INDEX('Compliance Database'!$J$2:$J$630,MATCH(590,'Transfer Engine'!$C$2:$C$630,0)))</f>
        <v/>
      </c>
      <c r="K599">
        <f>IF(ISNA(MATCH(590,'Transfer Engine'!$C$2:$C$630,0)),"",INDEX('Compliance Database'!$K$2:$K$630,MATCH(590,'Transfer Engine'!$C$2:$C$630,0)))</f>
        <v/>
      </c>
      <c r="L599" s="8">
        <f>IF(ISNA(MATCH(590,'Transfer Engine'!$C$2:$C$630,0)),"",INDEX('Compliance Database'!$L$2:$L$630,MATCH(590,'Transfer Engine'!$C$2:$C$630,0)))</f>
        <v/>
      </c>
      <c r="M599" s="8">
        <f>IF(ISNA(MATCH(590,'Transfer Engine'!$C$2:$C$630,0)),"",INDEX('Compliance Database'!$M$2:$M$630,MATCH(590,'Transfer Engine'!$C$2:$C$630,0)))</f>
        <v/>
      </c>
      <c r="N599" s="8">
        <f>IF(ISNA(MATCH(590,'Transfer Engine'!$C$2:$C$630,0)),"",INDEX('Compliance Database'!$N$2:$N$630,MATCH(590,'Transfer Engine'!$C$2:$C$630,0)))</f>
        <v/>
      </c>
      <c r="O599" s="8">
        <f>IF(ISNA(MATCH(590,'Transfer Engine'!$C$2:$C$630,0)),"",INDEX('Compliance Database'!$O$2:$O$630,MATCH(590,'Transfer Engine'!$C$2:$C$630,0)))</f>
        <v/>
      </c>
    </row>
    <row r="600">
      <c r="A600">
        <f>IF(ISNA(MATCH(591,'Transfer Engine'!$C$2:$C$630,0)),"",INDEX('Compliance Database'!$A$2:$A$630,MATCH(591,'Transfer Engine'!$C$2:$C$630,0)))</f>
        <v/>
      </c>
      <c r="B600">
        <f>IF(ISNA(MATCH(591,'Transfer Engine'!$C$2:$C$630,0)),"",INDEX('Compliance Database'!$B$2:$B$630,MATCH(591,'Transfer Engine'!$C$2:$C$630,0)))</f>
        <v/>
      </c>
      <c r="C600">
        <f>IF(ISNA(MATCH(591,'Transfer Engine'!$C$2:$C$630,0)),"",INDEX('Compliance Database'!$C$2:$C$630,MATCH(591,'Transfer Engine'!$C$2:$C$630,0)))</f>
        <v/>
      </c>
      <c r="D600" s="8">
        <f>IF(ISNA(MATCH(591,'Transfer Engine'!$C$2:$C$630,0)),"",INDEX('Compliance Database'!$D$2:$D$630,MATCH(591,'Transfer Engine'!$C$2:$C$630,0)))</f>
        <v/>
      </c>
      <c r="E600">
        <f>IF(ISNA(MATCH(591,'Transfer Engine'!$C$2:$C$630,0)),"",INDEX('Compliance Database'!$E$2:$E$630,MATCH(591,'Transfer Engine'!$C$2:$C$630,0)))</f>
        <v/>
      </c>
      <c r="F600">
        <f>IF(ISNA(MATCH(591,'Transfer Engine'!$C$2:$C$630,0)),"",INDEX('Compliance Database'!$F$2:$F$630,MATCH(591,'Transfer Engine'!$C$2:$C$630,0)))</f>
        <v/>
      </c>
      <c r="G600">
        <f>IF(ISNA(MATCH(591,'Transfer Engine'!$C$2:$C$630,0)),"",INDEX('Compliance Database'!$G$2:$G$630,MATCH(591,'Transfer Engine'!$C$2:$C$630,0)))</f>
        <v/>
      </c>
      <c r="H600">
        <f>IF(ISNA(MATCH(591,'Transfer Engine'!$C$2:$C$630,0)),"",INDEX('Compliance Database'!$H$2:$H$630,MATCH(591,'Transfer Engine'!$C$2:$C$630,0)))</f>
        <v/>
      </c>
      <c r="I600" s="8">
        <f>IF(ISNA(MATCH(591,'Transfer Engine'!$C$2:$C$630,0)),"",INDEX('Compliance Database'!$I$2:$I$630,MATCH(591,'Transfer Engine'!$C$2:$C$630,0)))</f>
        <v/>
      </c>
      <c r="J600" s="8">
        <f>IF(ISNA(MATCH(591,'Transfer Engine'!$C$2:$C$630,0)),"",INDEX('Compliance Database'!$J$2:$J$630,MATCH(591,'Transfer Engine'!$C$2:$C$630,0)))</f>
        <v/>
      </c>
      <c r="K600">
        <f>IF(ISNA(MATCH(591,'Transfer Engine'!$C$2:$C$630,0)),"",INDEX('Compliance Database'!$K$2:$K$630,MATCH(591,'Transfer Engine'!$C$2:$C$630,0)))</f>
        <v/>
      </c>
      <c r="L600" s="8">
        <f>IF(ISNA(MATCH(591,'Transfer Engine'!$C$2:$C$630,0)),"",INDEX('Compliance Database'!$L$2:$L$630,MATCH(591,'Transfer Engine'!$C$2:$C$630,0)))</f>
        <v/>
      </c>
      <c r="M600" s="8">
        <f>IF(ISNA(MATCH(591,'Transfer Engine'!$C$2:$C$630,0)),"",INDEX('Compliance Database'!$M$2:$M$630,MATCH(591,'Transfer Engine'!$C$2:$C$630,0)))</f>
        <v/>
      </c>
      <c r="N600" s="8">
        <f>IF(ISNA(MATCH(591,'Transfer Engine'!$C$2:$C$630,0)),"",INDEX('Compliance Database'!$N$2:$N$630,MATCH(591,'Transfer Engine'!$C$2:$C$630,0)))</f>
        <v/>
      </c>
      <c r="O600" s="8">
        <f>IF(ISNA(MATCH(591,'Transfer Engine'!$C$2:$C$630,0)),"",INDEX('Compliance Database'!$O$2:$O$630,MATCH(591,'Transfer Engine'!$C$2:$C$630,0)))</f>
        <v/>
      </c>
    </row>
    <row r="601">
      <c r="A601">
        <f>IF(ISNA(MATCH(592,'Transfer Engine'!$C$2:$C$630,0)),"",INDEX('Compliance Database'!$A$2:$A$630,MATCH(592,'Transfer Engine'!$C$2:$C$630,0)))</f>
        <v/>
      </c>
      <c r="B601">
        <f>IF(ISNA(MATCH(592,'Transfer Engine'!$C$2:$C$630,0)),"",INDEX('Compliance Database'!$B$2:$B$630,MATCH(592,'Transfer Engine'!$C$2:$C$630,0)))</f>
        <v/>
      </c>
      <c r="C601">
        <f>IF(ISNA(MATCH(592,'Transfer Engine'!$C$2:$C$630,0)),"",INDEX('Compliance Database'!$C$2:$C$630,MATCH(592,'Transfer Engine'!$C$2:$C$630,0)))</f>
        <v/>
      </c>
      <c r="D601" s="8">
        <f>IF(ISNA(MATCH(592,'Transfer Engine'!$C$2:$C$630,0)),"",INDEX('Compliance Database'!$D$2:$D$630,MATCH(592,'Transfer Engine'!$C$2:$C$630,0)))</f>
        <v/>
      </c>
      <c r="E601">
        <f>IF(ISNA(MATCH(592,'Transfer Engine'!$C$2:$C$630,0)),"",INDEX('Compliance Database'!$E$2:$E$630,MATCH(592,'Transfer Engine'!$C$2:$C$630,0)))</f>
        <v/>
      </c>
      <c r="F601">
        <f>IF(ISNA(MATCH(592,'Transfer Engine'!$C$2:$C$630,0)),"",INDEX('Compliance Database'!$F$2:$F$630,MATCH(592,'Transfer Engine'!$C$2:$C$630,0)))</f>
        <v/>
      </c>
      <c r="G601">
        <f>IF(ISNA(MATCH(592,'Transfer Engine'!$C$2:$C$630,0)),"",INDEX('Compliance Database'!$G$2:$G$630,MATCH(592,'Transfer Engine'!$C$2:$C$630,0)))</f>
        <v/>
      </c>
      <c r="H601">
        <f>IF(ISNA(MATCH(592,'Transfer Engine'!$C$2:$C$630,0)),"",INDEX('Compliance Database'!$H$2:$H$630,MATCH(592,'Transfer Engine'!$C$2:$C$630,0)))</f>
        <v/>
      </c>
      <c r="I601" s="8">
        <f>IF(ISNA(MATCH(592,'Transfer Engine'!$C$2:$C$630,0)),"",INDEX('Compliance Database'!$I$2:$I$630,MATCH(592,'Transfer Engine'!$C$2:$C$630,0)))</f>
        <v/>
      </c>
      <c r="J601" s="8">
        <f>IF(ISNA(MATCH(592,'Transfer Engine'!$C$2:$C$630,0)),"",INDEX('Compliance Database'!$J$2:$J$630,MATCH(592,'Transfer Engine'!$C$2:$C$630,0)))</f>
        <v/>
      </c>
      <c r="K601">
        <f>IF(ISNA(MATCH(592,'Transfer Engine'!$C$2:$C$630,0)),"",INDEX('Compliance Database'!$K$2:$K$630,MATCH(592,'Transfer Engine'!$C$2:$C$630,0)))</f>
        <v/>
      </c>
      <c r="L601" s="8">
        <f>IF(ISNA(MATCH(592,'Transfer Engine'!$C$2:$C$630,0)),"",INDEX('Compliance Database'!$L$2:$L$630,MATCH(592,'Transfer Engine'!$C$2:$C$630,0)))</f>
        <v/>
      </c>
      <c r="M601" s="8">
        <f>IF(ISNA(MATCH(592,'Transfer Engine'!$C$2:$C$630,0)),"",INDEX('Compliance Database'!$M$2:$M$630,MATCH(592,'Transfer Engine'!$C$2:$C$630,0)))</f>
        <v/>
      </c>
      <c r="N601" s="8">
        <f>IF(ISNA(MATCH(592,'Transfer Engine'!$C$2:$C$630,0)),"",INDEX('Compliance Database'!$N$2:$N$630,MATCH(592,'Transfer Engine'!$C$2:$C$630,0)))</f>
        <v/>
      </c>
      <c r="O601" s="8">
        <f>IF(ISNA(MATCH(592,'Transfer Engine'!$C$2:$C$630,0)),"",INDEX('Compliance Database'!$O$2:$O$630,MATCH(592,'Transfer Engine'!$C$2:$C$630,0)))</f>
        <v/>
      </c>
    </row>
    <row r="602">
      <c r="A602">
        <f>IF(ISNA(MATCH(593,'Transfer Engine'!$C$2:$C$630,0)),"",INDEX('Compliance Database'!$A$2:$A$630,MATCH(593,'Transfer Engine'!$C$2:$C$630,0)))</f>
        <v/>
      </c>
      <c r="B602">
        <f>IF(ISNA(MATCH(593,'Transfer Engine'!$C$2:$C$630,0)),"",INDEX('Compliance Database'!$B$2:$B$630,MATCH(593,'Transfer Engine'!$C$2:$C$630,0)))</f>
        <v/>
      </c>
      <c r="C602">
        <f>IF(ISNA(MATCH(593,'Transfer Engine'!$C$2:$C$630,0)),"",INDEX('Compliance Database'!$C$2:$C$630,MATCH(593,'Transfer Engine'!$C$2:$C$630,0)))</f>
        <v/>
      </c>
      <c r="D602" s="8">
        <f>IF(ISNA(MATCH(593,'Transfer Engine'!$C$2:$C$630,0)),"",INDEX('Compliance Database'!$D$2:$D$630,MATCH(593,'Transfer Engine'!$C$2:$C$630,0)))</f>
        <v/>
      </c>
      <c r="E602">
        <f>IF(ISNA(MATCH(593,'Transfer Engine'!$C$2:$C$630,0)),"",INDEX('Compliance Database'!$E$2:$E$630,MATCH(593,'Transfer Engine'!$C$2:$C$630,0)))</f>
        <v/>
      </c>
      <c r="F602">
        <f>IF(ISNA(MATCH(593,'Transfer Engine'!$C$2:$C$630,0)),"",INDEX('Compliance Database'!$F$2:$F$630,MATCH(593,'Transfer Engine'!$C$2:$C$630,0)))</f>
        <v/>
      </c>
      <c r="G602">
        <f>IF(ISNA(MATCH(593,'Transfer Engine'!$C$2:$C$630,0)),"",INDEX('Compliance Database'!$G$2:$G$630,MATCH(593,'Transfer Engine'!$C$2:$C$630,0)))</f>
        <v/>
      </c>
      <c r="H602">
        <f>IF(ISNA(MATCH(593,'Transfer Engine'!$C$2:$C$630,0)),"",INDEX('Compliance Database'!$H$2:$H$630,MATCH(593,'Transfer Engine'!$C$2:$C$630,0)))</f>
        <v/>
      </c>
      <c r="I602" s="8">
        <f>IF(ISNA(MATCH(593,'Transfer Engine'!$C$2:$C$630,0)),"",INDEX('Compliance Database'!$I$2:$I$630,MATCH(593,'Transfer Engine'!$C$2:$C$630,0)))</f>
        <v/>
      </c>
      <c r="J602" s="8">
        <f>IF(ISNA(MATCH(593,'Transfer Engine'!$C$2:$C$630,0)),"",INDEX('Compliance Database'!$J$2:$J$630,MATCH(593,'Transfer Engine'!$C$2:$C$630,0)))</f>
        <v/>
      </c>
      <c r="K602">
        <f>IF(ISNA(MATCH(593,'Transfer Engine'!$C$2:$C$630,0)),"",INDEX('Compliance Database'!$K$2:$K$630,MATCH(593,'Transfer Engine'!$C$2:$C$630,0)))</f>
        <v/>
      </c>
      <c r="L602" s="8">
        <f>IF(ISNA(MATCH(593,'Transfer Engine'!$C$2:$C$630,0)),"",INDEX('Compliance Database'!$L$2:$L$630,MATCH(593,'Transfer Engine'!$C$2:$C$630,0)))</f>
        <v/>
      </c>
      <c r="M602" s="8">
        <f>IF(ISNA(MATCH(593,'Transfer Engine'!$C$2:$C$630,0)),"",INDEX('Compliance Database'!$M$2:$M$630,MATCH(593,'Transfer Engine'!$C$2:$C$630,0)))</f>
        <v/>
      </c>
      <c r="N602" s="8">
        <f>IF(ISNA(MATCH(593,'Transfer Engine'!$C$2:$C$630,0)),"",INDEX('Compliance Database'!$N$2:$N$630,MATCH(593,'Transfer Engine'!$C$2:$C$630,0)))</f>
        <v/>
      </c>
      <c r="O602" s="8">
        <f>IF(ISNA(MATCH(593,'Transfer Engine'!$C$2:$C$630,0)),"",INDEX('Compliance Database'!$O$2:$O$630,MATCH(593,'Transfer Engine'!$C$2:$C$630,0)))</f>
        <v/>
      </c>
    </row>
    <row r="603">
      <c r="A603">
        <f>IF(ISNA(MATCH(594,'Transfer Engine'!$C$2:$C$630,0)),"",INDEX('Compliance Database'!$A$2:$A$630,MATCH(594,'Transfer Engine'!$C$2:$C$630,0)))</f>
        <v/>
      </c>
      <c r="B603">
        <f>IF(ISNA(MATCH(594,'Transfer Engine'!$C$2:$C$630,0)),"",INDEX('Compliance Database'!$B$2:$B$630,MATCH(594,'Transfer Engine'!$C$2:$C$630,0)))</f>
        <v/>
      </c>
      <c r="C603">
        <f>IF(ISNA(MATCH(594,'Transfer Engine'!$C$2:$C$630,0)),"",INDEX('Compliance Database'!$C$2:$C$630,MATCH(594,'Transfer Engine'!$C$2:$C$630,0)))</f>
        <v/>
      </c>
      <c r="D603" s="8">
        <f>IF(ISNA(MATCH(594,'Transfer Engine'!$C$2:$C$630,0)),"",INDEX('Compliance Database'!$D$2:$D$630,MATCH(594,'Transfer Engine'!$C$2:$C$630,0)))</f>
        <v/>
      </c>
      <c r="E603">
        <f>IF(ISNA(MATCH(594,'Transfer Engine'!$C$2:$C$630,0)),"",INDEX('Compliance Database'!$E$2:$E$630,MATCH(594,'Transfer Engine'!$C$2:$C$630,0)))</f>
        <v/>
      </c>
      <c r="F603">
        <f>IF(ISNA(MATCH(594,'Transfer Engine'!$C$2:$C$630,0)),"",INDEX('Compliance Database'!$F$2:$F$630,MATCH(594,'Transfer Engine'!$C$2:$C$630,0)))</f>
        <v/>
      </c>
      <c r="G603">
        <f>IF(ISNA(MATCH(594,'Transfer Engine'!$C$2:$C$630,0)),"",INDEX('Compliance Database'!$G$2:$G$630,MATCH(594,'Transfer Engine'!$C$2:$C$630,0)))</f>
        <v/>
      </c>
      <c r="H603">
        <f>IF(ISNA(MATCH(594,'Transfer Engine'!$C$2:$C$630,0)),"",INDEX('Compliance Database'!$H$2:$H$630,MATCH(594,'Transfer Engine'!$C$2:$C$630,0)))</f>
        <v/>
      </c>
      <c r="I603" s="8">
        <f>IF(ISNA(MATCH(594,'Transfer Engine'!$C$2:$C$630,0)),"",INDEX('Compliance Database'!$I$2:$I$630,MATCH(594,'Transfer Engine'!$C$2:$C$630,0)))</f>
        <v/>
      </c>
      <c r="J603" s="8">
        <f>IF(ISNA(MATCH(594,'Transfer Engine'!$C$2:$C$630,0)),"",INDEX('Compliance Database'!$J$2:$J$630,MATCH(594,'Transfer Engine'!$C$2:$C$630,0)))</f>
        <v/>
      </c>
      <c r="K603">
        <f>IF(ISNA(MATCH(594,'Transfer Engine'!$C$2:$C$630,0)),"",INDEX('Compliance Database'!$K$2:$K$630,MATCH(594,'Transfer Engine'!$C$2:$C$630,0)))</f>
        <v/>
      </c>
      <c r="L603" s="8">
        <f>IF(ISNA(MATCH(594,'Transfer Engine'!$C$2:$C$630,0)),"",INDEX('Compliance Database'!$L$2:$L$630,MATCH(594,'Transfer Engine'!$C$2:$C$630,0)))</f>
        <v/>
      </c>
      <c r="M603" s="8">
        <f>IF(ISNA(MATCH(594,'Transfer Engine'!$C$2:$C$630,0)),"",INDEX('Compliance Database'!$M$2:$M$630,MATCH(594,'Transfer Engine'!$C$2:$C$630,0)))</f>
        <v/>
      </c>
      <c r="N603" s="8">
        <f>IF(ISNA(MATCH(594,'Transfer Engine'!$C$2:$C$630,0)),"",INDEX('Compliance Database'!$N$2:$N$630,MATCH(594,'Transfer Engine'!$C$2:$C$630,0)))</f>
        <v/>
      </c>
      <c r="O603" s="8">
        <f>IF(ISNA(MATCH(594,'Transfer Engine'!$C$2:$C$630,0)),"",INDEX('Compliance Database'!$O$2:$O$630,MATCH(594,'Transfer Engine'!$C$2:$C$630,0)))</f>
        <v/>
      </c>
    </row>
    <row r="604">
      <c r="A604">
        <f>IF(ISNA(MATCH(595,'Transfer Engine'!$C$2:$C$630,0)),"",INDEX('Compliance Database'!$A$2:$A$630,MATCH(595,'Transfer Engine'!$C$2:$C$630,0)))</f>
        <v/>
      </c>
      <c r="B604">
        <f>IF(ISNA(MATCH(595,'Transfer Engine'!$C$2:$C$630,0)),"",INDEX('Compliance Database'!$B$2:$B$630,MATCH(595,'Transfer Engine'!$C$2:$C$630,0)))</f>
        <v/>
      </c>
      <c r="C604">
        <f>IF(ISNA(MATCH(595,'Transfer Engine'!$C$2:$C$630,0)),"",INDEX('Compliance Database'!$C$2:$C$630,MATCH(595,'Transfer Engine'!$C$2:$C$630,0)))</f>
        <v/>
      </c>
      <c r="D604" s="8">
        <f>IF(ISNA(MATCH(595,'Transfer Engine'!$C$2:$C$630,0)),"",INDEX('Compliance Database'!$D$2:$D$630,MATCH(595,'Transfer Engine'!$C$2:$C$630,0)))</f>
        <v/>
      </c>
      <c r="E604">
        <f>IF(ISNA(MATCH(595,'Transfer Engine'!$C$2:$C$630,0)),"",INDEX('Compliance Database'!$E$2:$E$630,MATCH(595,'Transfer Engine'!$C$2:$C$630,0)))</f>
        <v/>
      </c>
      <c r="F604">
        <f>IF(ISNA(MATCH(595,'Transfer Engine'!$C$2:$C$630,0)),"",INDEX('Compliance Database'!$F$2:$F$630,MATCH(595,'Transfer Engine'!$C$2:$C$630,0)))</f>
        <v/>
      </c>
      <c r="G604">
        <f>IF(ISNA(MATCH(595,'Transfer Engine'!$C$2:$C$630,0)),"",INDEX('Compliance Database'!$G$2:$G$630,MATCH(595,'Transfer Engine'!$C$2:$C$630,0)))</f>
        <v/>
      </c>
      <c r="H604">
        <f>IF(ISNA(MATCH(595,'Transfer Engine'!$C$2:$C$630,0)),"",INDEX('Compliance Database'!$H$2:$H$630,MATCH(595,'Transfer Engine'!$C$2:$C$630,0)))</f>
        <v/>
      </c>
      <c r="I604" s="8">
        <f>IF(ISNA(MATCH(595,'Transfer Engine'!$C$2:$C$630,0)),"",INDEX('Compliance Database'!$I$2:$I$630,MATCH(595,'Transfer Engine'!$C$2:$C$630,0)))</f>
        <v/>
      </c>
      <c r="J604" s="8">
        <f>IF(ISNA(MATCH(595,'Transfer Engine'!$C$2:$C$630,0)),"",INDEX('Compliance Database'!$J$2:$J$630,MATCH(595,'Transfer Engine'!$C$2:$C$630,0)))</f>
        <v/>
      </c>
      <c r="K604">
        <f>IF(ISNA(MATCH(595,'Transfer Engine'!$C$2:$C$630,0)),"",INDEX('Compliance Database'!$K$2:$K$630,MATCH(595,'Transfer Engine'!$C$2:$C$630,0)))</f>
        <v/>
      </c>
      <c r="L604" s="8">
        <f>IF(ISNA(MATCH(595,'Transfer Engine'!$C$2:$C$630,0)),"",INDEX('Compliance Database'!$L$2:$L$630,MATCH(595,'Transfer Engine'!$C$2:$C$630,0)))</f>
        <v/>
      </c>
      <c r="M604" s="8">
        <f>IF(ISNA(MATCH(595,'Transfer Engine'!$C$2:$C$630,0)),"",INDEX('Compliance Database'!$M$2:$M$630,MATCH(595,'Transfer Engine'!$C$2:$C$630,0)))</f>
        <v/>
      </c>
      <c r="N604" s="8">
        <f>IF(ISNA(MATCH(595,'Transfer Engine'!$C$2:$C$630,0)),"",INDEX('Compliance Database'!$N$2:$N$630,MATCH(595,'Transfer Engine'!$C$2:$C$630,0)))</f>
        <v/>
      </c>
      <c r="O604" s="8">
        <f>IF(ISNA(MATCH(595,'Transfer Engine'!$C$2:$C$630,0)),"",INDEX('Compliance Database'!$O$2:$O$630,MATCH(595,'Transfer Engine'!$C$2:$C$630,0)))</f>
        <v/>
      </c>
    </row>
    <row r="605">
      <c r="A605">
        <f>IF(ISNA(MATCH(596,'Transfer Engine'!$C$2:$C$630,0)),"",INDEX('Compliance Database'!$A$2:$A$630,MATCH(596,'Transfer Engine'!$C$2:$C$630,0)))</f>
        <v/>
      </c>
      <c r="B605">
        <f>IF(ISNA(MATCH(596,'Transfer Engine'!$C$2:$C$630,0)),"",INDEX('Compliance Database'!$B$2:$B$630,MATCH(596,'Transfer Engine'!$C$2:$C$630,0)))</f>
        <v/>
      </c>
      <c r="C605">
        <f>IF(ISNA(MATCH(596,'Transfer Engine'!$C$2:$C$630,0)),"",INDEX('Compliance Database'!$C$2:$C$630,MATCH(596,'Transfer Engine'!$C$2:$C$630,0)))</f>
        <v/>
      </c>
      <c r="D605" s="8">
        <f>IF(ISNA(MATCH(596,'Transfer Engine'!$C$2:$C$630,0)),"",INDEX('Compliance Database'!$D$2:$D$630,MATCH(596,'Transfer Engine'!$C$2:$C$630,0)))</f>
        <v/>
      </c>
      <c r="E605">
        <f>IF(ISNA(MATCH(596,'Transfer Engine'!$C$2:$C$630,0)),"",INDEX('Compliance Database'!$E$2:$E$630,MATCH(596,'Transfer Engine'!$C$2:$C$630,0)))</f>
        <v/>
      </c>
      <c r="F605">
        <f>IF(ISNA(MATCH(596,'Transfer Engine'!$C$2:$C$630,0)),"",INDEX('Compliance Database'!$F$2:$F$630,MATCH(596,'Transfer Engine'!$C$2:$C$630,0)))</f>
        <v/>
      </c>
      <c r="G605">
        <f>IF(ISNA(MATCH(596,'Transfer Engine'!$C$2:$C$630,0)),"",INDEX('Compliance Database'!$G$2:$G$630,MATCH(596,'Transfer Engine'!$C$2:$C$630,0)))</f>
        <v/>
      </c>
      <c r="H605">
        <f>IF(ISNA(MATCH(596,'Transfer Engine'!$C$2:$C$630,0)),"",INDEX('Compliance Database'!$H$2:$H$630,MATCH(596,'Transfer Engine'!$C$2:$C$630,0)))</f>
        <v/>
      </c>
      <c r="I605" s="8">
        <f>IF(ISNA(MATCH(596,'Transfer Engine'!$C$2:$C$630,0)),"",INDEX('Compliance Database'!$I$2:$I$630,MATCH(596,'Transfer Engine'!$C$2:$C$630,0)))</f>
        <v/>
      </c>
      <c r="J605" s="8">
        <f>IF(ISNA(MATCH(596,'Transfer Engine'!$C$2:$C$630,0)),"",INDEX('Compliance Database'!$J$2:$J$630,MATCH(596,'Transfer Engine'!$C$2:$C$630,0)))</f>
        <v/>
      </c>
      <c r="K605">
        <f>IF(ISNA(MATCH(596,'Transfer Engine'!$C$2:$C$630,0)),"",INDEX('Compliance Database'!$K$2:$K$630,MATCH(596,'Transfer Engine'!$C$2:$C$630,0)))</f>
        <v/>
      </c>
      <c r="L605" s="8">
        <f>IF(ISNA(MATCH(596,'Transfer Engine'!$C$2:$C$630,0)),"",INDEX('Compliance Database'!$L$2:$L$630,MATCH(596,'Transfer Engine'!$C$2:$C$630,0)))</f>
        <v/>
      </c>
      <c r="M605" s="8">
        <f>IF(ISNA(MATCH(596,'Transfer Engine'!$C$2:$C$630,0)),"",INDEX('Compliance Database'!$M$2:$M$630,MATCH(596,'Transfer Engine'!$C$2:$C$630,0)))</f>
        <v/>
      </c>
      <c r="N605" s="8">
        <f>IF(ISNA(MATCH(596,'Transfer Engine'!$C$2:$C$630,0)),"",INDEX('Compliance Database'!$N$2:$N$630,MATCH(596,'Transfer Engine'!$C$2:$C$630,0)))</f>
        <v/>
      </c>
      <c r="O605" s="8">
        <f>IF(ISNA(MATCH(596,'Transfer Engine'!$C$2:$C$630,0)),"",INDEX('Compliance Database'!$O$2:$O$630,MATCH(596,'Transfer Engine'!$C$2:$C$630,0)))</f>
        <v/>
      </c>
    </row>
    <row r="606">
      <c r="A606">
        <f>IF(ISNA(MATCH(597,'Transfer Engine'!$C$2:$C$630,0)),"",INDEX('Compliance Database'!$A$2:$A$630,MATCH(597,'Transfer Engine'!$C$2:$C$630,0)))</f>
        <v/>
      </c>
      <c r="B606">
        <f>IF(ISNA(MATCH(597,'Transfer Engine'!$C$2:$C$630,0)),"",INDEX('Compliance Database'!$B$2:$B$630,MATCH(597,'Transfer Engine'!$C$2:$C$630,0)))</f>
        <v/>
      </c>
      <c r="C606">
        <f>IF(ISNA(MATCH(597,'Transfer Engine'!$C$2:$C$630,0)),"",INDEX('Compliance Database'!$C$2:$C$630,MATCH(597,'Transfer Engine'!$C$2:$C$630,0)))</f>
        <v/>
      </c>
      <c r="D606" s="8">
        <f>IF(ISNA(MATCH(597,'Transfer Engine'!$C$2:$C$630,0)),"",INDEX('Compliance Database'!$D$2:$D$630,MATCH(597,'Transfer Engine'!$C$2:$C$630,0)))</f>
        <v/>
      </c>
      <c r="E606">
        <f>IF(ISNA(MATCH(597,'Transfer Engine'!$C$2:$C$630,0)),"",INDEX('Compliance Database'!$E$2:$E$630,MATCH(597,'Transfer Engine'!$C$2:$C$630,0)))</f>
        <v/>
      </c>
      <c r="F606">
        <f>IF(ISNA(MATCH(597,'Transfer Engine'!$C$2:$C$630,0)),"",INDEX('Compliance Database'!$F$2:$F$630,MATCH(597,'Transfer Engine'!$C$2:$C$630,0)))</f>
        <v/>
      </c>
      <c r="G606">
        <f>IF(ISNA(MATCH(597,'Transfer Engine'!$C$2:$C$630,0)),"",INDEX('Compliance Database'!$G$2:$G$630,MATCH(597,'Transfer Engine'!$C$2:$C$630,0)))</f>
        <v/>
      </c>
      <c r="H606">
        <f>IF(ISNA(MATCH(597,'Transfer Engine'!$C$2:$C$630,0)),"",INDEX('Compliance Database'!$H$2:$H$630,MATCH(597,'Transfer Engine'!$C$2:$C$630,0)))</f>
        <v/>
      </c>
      <c r="I606" s="8">
        <f>IF(ISNA(MATCH(597,'Transfer Engine'!$C$2:$C$630,0)),"",INDEX('Compliance Database'!$I$2:$I$630,MATCH(597,'Transfer Engine'!$C$2:$C$630,0)))</f>
        <v/>
      </c>
      <c r="J606" s="8">
        <f>IF(ISNA(MATCH(597,'Transfer Engine'!$C$2:$C$630,0)),"",INDEX('Compliance Database'!$J$2:$J$630,MATCH(597,'Transfer Engine'!$C$2:$C$630,0)))</f>
        <v/>
      </c>
      <c r="K606">
        <f>IF(ISNA(MATCH(597,'Transfer Engine'!$C$2:$C$630,0)),"",INDEX('Compliance Database'!$K$2:$K$630,MATCH(597,'Transfer Engine'!$C$2:$C$630,0)))</f>
        <v/>
      </c>
      <c r="L606" s="8">
        <f>IF(ISNA(MATCH(597,'Transfer Engine'!$C$2:$C$630,0)),"",INDEX('Compliance Database'!$L$2:$L$630,MATCH(597,'Transfer Engine'!$C$2:$C$630,0)))</f>
        <v/>
      </c>
      <c r="M606" s="8">
        <f>IF(ISNA(MATCH(597,'Transfer Engine'!$C$2:$C$630,0)),"",INDEX('Compliance Database'!$M$2:$M$630,MATCH(597,'Transfer Engine'!$C$2:$C$630,0)))</f>
        <v/>
      </c>
      <c r="N606" s="8">
        <f>IF(ISNA(MATCH(597,'Transfer Engine'!$C$2:$C$630,0)),"",INDEX('Compliance Database'!$N$2:$N$630,MATCH(597,'Transfer Engine'!$C$2:$C$630,0)))</f>
        <v/>
      </c>
      <c r="O606" s="8">
        <f>IF(ISNA(MATCH(597,'Transfer Engine'!$C$2:$C$630,0)),"",INDEX('Compliance Database'!$O$2:$O$630,MATCH(597,'Transfer Engine'!$C$2:$C$630,0)))</f>
        <v/>
      </c>
    </row>
    <row r="607">
      <c r="A607">
        <f>IF(ISNA(MATCH(598,'Transfer Engine'!$C$2:$C$630,0)),"",INDEX('Compliance Database'!$A$2:$A$630,MATCH(598,'Transfer Engine'!$C$2:$C$630,0)))</f>
        <v/>
      </c>
      <c r="B607">
        <f>IF(ISNA(MATCH(598,'Transfer Engine'!$C$2:$C$630,0)),"",INDEX('Compliance Database'!$B$2:$B$630,MATCH(598,'Transfer Engine'!$C$2:$C$630,0)))</f>
        <v/>
      </c>
      <c r="C607">
        <f>IF(ISNA(MATCH(598,'Transfer Engine'!$C$2:$C$630,0)),"",INDEX('Compliance Database'!$C$2:$C$630,MATCH(598,'Transfer Engine'!$C$2:$C$630,0)))</f>
        <v/>
      </c>
      <c r="D607" s="8">
        <f>IF(ISNA(MATCH(598,'Transfer Engine'!$C$2:$C$630,0)),"",INDEX('Compliance Database'!$D$2:$D$630,MATCH(598,'Transfer Engine'!$C$2:$C$630,0)))</f>
        <v/>
      </c>
      <c r="E607">
        <f>IF(ISNA(MATCH(598,'Transfer Engine'!$C$2:$C$630,0)),"",INDEX('Compliance Database'!$E$2:$E$630,MATCH(598,'Transfer Engine'!$C$2:$C$630,0)))</f>
        <v/>
      </c>
      <c r="F607">
        <f>IF(ISNA(MATCH(598,'Transfer Engine'!$C$2:$C$630,0)),"",INDEX('Compliance Database'!$F$2:$F$630,MATCH(598,'Transfer Engine'!$C$2:$C$630,0)))</f>
        <v/>
      </c>
      <c r="G607">
        <f>IF(ISNA(MATCH(598,'Transfer Engine'!$C$2:$C$630,0)),"",INDEX('Compliance Database'!$G$2:$G$630,MATCH(598,'Transfer Engine'!$C$2:$C$630,0)))</f>
        <v/>
      </c>
      <c r="H607">
        <f>IF(ISNA(MATCH(598,'Transfer Engine'!$C$2:$C$630,0)),"",INDEX('Compliance Database'!$H$2:$H$630,MATCH(598,'Transfer Engine'!$C$2:$C$630,0)))</f>
        <v/>
      </c>
      <c r="I607" s="8">
        <f>IF(ISNA(MATCH(598,'Transfer Engine'!$C$2:$C$630,0)),"",INDEX('Compliance Database'!$I$2:$I$630,MATCH(598,'Transfer Engine'!$C$2:$C$630,0)))</f>
        <v/>
      </c>
      <c r="J607" s="8">
        <f>IF(ISNA(MATCH(598,'Transfer Engine'!$C$2:$C$630,0)),"",INDEX('Compliance Database'!$J$2:$J$630,MATCH(598,'Transfer Engine'!$C$2:$C$630,0)))</f>
        <v/>
      </c>
      <c r="K607">
        <f>IF(ISNA(MATCH(598,'Transfer Engine'!$C$2:$C$630,0)),"",INDEX('Compliance Database'!$K$2:$K$630,MATCH(598,'Transfer Engine'!$C$2:$C$630,0)))</f>
        <v/>
      </c>
      <c r="L607" s="8">
        <f>IF(ISNA(MATCH(598,'Transfer Engine'!$C$2:$C$630,0)),"",INDEX('Compliance Database'!$L$2:$L$630,MATCH(598,'Transfer Engine'!$C$2:$C$630,0)))</f>
        <v/>
      </c>
      <c r="M607" s="8">
        <f>IF(ISNA(MATCH(598,'Transfer Engine'!$C$2:$C$630,0)),"",INDEX('Compliance Database'!$M$2:$M$630,MATCH(598,'Transfer Engine'!$C$2:$C$630,0)))</f>
        <v/>
      </c>
      <c r="N607" s="8">
        <f>IF(ISNA(MATCH(598,'Transfer Engine'!$C$2:$C$630,0)),"",INDEX('Compliance Database'!$N$2:$N$630,MATCH(598,'Transfer Engine'!$C$2:$C$630,0)))</f>
        <v/>
      </c>
      <c r="O607" s="8">
        <f>IF(ISNA(MATCH(598,'Transfer Engine'!$C$2:$C$630,0)),"",INDEX('Compliance Database'!$O$2:$O$630,MATCH(598,'Transfer Engine'!$C$2:$C$630,0)))</f>
        <v/>
      </c>
    </row>
    <row r="608">
      <c r="A608">
        <f>IF(ISNA(MATCH(599,'Transfer Engine'!$C$2:$C$630,0)),"",INDEX('Compliance Database'!$A$2:$A$630,MATCH(599,'Transfer Engine'!$C$2:$C$630,0)))</f>
        <v/>
      </c>
      <c r="B608">
        <f>IF(ISNA(MATCH(599,'Transfer Engine'!$C$2:$C$630,0)),"",INDEX('Compliance Database'!$B$2:$B$630,MATCH(599,'Transfer Engine'!$C$2:$C$630,0)))</f>
        <v/>
      </c>
      <c r="C608">
        <f>IF(ISNA(MATCH(599,'Transfer Engine'!$C$2:$C$630,0)),"",INDEX('Compliance Database'!$C$2:$C$630,MATCH(599,'Transfer Engine'!$C$2:$C$630,0)))</f>
        <v/>
      </c>
      <c r="D608" s="8">
        <f>IF(ISNA(MATCH(599,'Transfer Engine'!$C$2:$C$630,0)),"",INDEX('Compliance Database'!$D$2:$D$630,MATCH(599,'Transfer Engine'!$C$2:$C$630,0)))</f>
        <v/>
      </c>
      <c r="E608">
        <f>IF(ISNA(MATCH(599,'Transfer Engine'!$C$2:$C$630,0)),"",INDEX('Compliance Database'!$E$2:$E$630,MATCH(599,'Transfer Engine'!$C$2:$C$630,0)))</f>
        <v/>
      </c>
      <c r="F608">
        <f>IF(ISNA(MATCH(599,'Transfer Engine'!$C$2:$C$630,0)),"",INDEX('Compliance Database'!$F$2:$F$630,MATCH(599,'Transfer Engine'!$C$2:$C$630,0)))</f>
        <v/>
      </c>
      <c r="G608">
        <f>IF(ISNA(MATCH(599,'Transfer Engine'!$C$2:$C$630,0)),"",INDEX('Compliance Database'!$G$2:$G$630,MATCH(599,'Transfer Engine'!$C$2:$C$630,0)))</f>
        <v/>
      </c>
      <c r="H608">
        <f>IF(ISNA(MATCH(599,'Transfer Engine'!$C$2:$C$630,0)),"",INDEX('Compliance Database'!$H$2:$H$630,MATCH(599,'Transfer Engine'!$C$2:$C$630,0)))</f>
        <v/>
      </c>
      <c r="I608" s="8">
        <f>IF(ISNA(MATCH(599,'Transfer Engine'!$C$2:$C$630,0)),"",INDEX('Compliance Database'!$I$2:$I$630,MATCH(599,'Transfer Engine'!$C$2:$C$630,0)))</f>
        <v/>
      </c>
      <c r="J608" s="8">
        <f>IF(ISNA(MATCH(599,'Transfer Engine'!$C$2:$C$630,0)),"",INDEX('Compliance Database'!$J$2:$J$630,MATCH(599,'Transfer Engine'!$C$2:$C$630,0)))</f>
        <v/>
      </c>
      <c r="K608">
        <f>IF(ISNA(MATCH(599,'Transfer Engine'!$C$2:$C$630,0)),"",INDEX('Compliance Database'!$K$2:$K$630,MATCH(599,'Transfer Engine'!$C$2:$C$630,0)))</f>
        <v/>
      </c>
      <c r="L608" s="8">
        <f>IF(ISNA(MATCH(599,'Transfer Engine'!$C$2:$C$630,0)),"",INDEX('Compliance Database'!$L$2:$L$630,MATCH(599,'Transfer Engine'!$C$2:$C$630,0)))</f>
        <v/>
      </c>
      <c r="M608" s="8">
        <f>IF(ISNA(MATCH(599,'Transfer Engine'!$C$2:$C$630,0)),"",INDEX('Compliance Database'!$M$2:$M$630,MATCH(599,'Transfer Engine'!$C$2:$C$630,0)))</f>
        <v/>
      </c>
      <c r="N608" s="8">
        <f>IF(ISNA(MATCH(599,'Transfer Engine'!$C$2:$C$630,0)),"",INDEX('Compliance Database'!$N$2:$N$630,MATCH(599,'Transfer Engine'!$C$2:$C$630,0)))</f>
        <v/>
      </c>
      <c r="O608" s="8">
        <f>IF(ISNA(MATCH(599,'Transfer Engine'!$C$2:$C$630,0)),"",INDEX('Compliance Database'!$O$2:$O$630,MATCH(599,'Transfer Engine'!$C$2:$C$630,0)))</f>
        <v/>
      </c>
    </row>
    <row r="609">
      <c r="A609">
        <f>IF(ISNA(MATCH(600,'Transfer Engine'!$C$2:$C$630,0)),"",INDEX('Compliance Database'!$A$2:$A$630,MATCH(600,'Transfer Engine'!$C$2:$C$630,0)))</f>
        <v/>
      </c>
      <c r="B609">
        <f>IF(ISNA(MATCH(600,'Transfer Engine'!$C$2:$C$630,0)),"",INDEX('Compliance Database'!$B$2:$B$630,MATCH(600,'Transfer Engine'!$C$2:$C$630,0)))</f>
        <v/>
      </c>
      <c r="C609">
        <f>IF(ISNA(MATCH(600,'Transfer Engine'!$C$2:$C$630,0)),"",INDEX('Compliance Database'!$C$2:$C$630,MATCH(600,'Transfer Engine'!$C$2:$C$630,0)))</f>
        <v/>
      </c>
      <c r="D609" s="8">
        <f>IF(ISNA(MATCH(600,'Transfer Engine'!$C$2:$C$630,0)),"",INDEX('Compliance Database'!$D$2:$D$630,MATCH(600,'Transfer Engine'!$C$2:$C$630,0)))</f>
        <v/>
      </c>
      <c r="E609">
        <f>IF(ISNA(MATCH(600,'Transfer Engine'!$C$2:$C$630,0)),"",INDEX('Compliance Database'!$E$2:$E$630,MATCH(600,'Transfer Engine'!$C$2:$C$630,0)))</f>
        <v/>
      </c>
      <c r="F609">
        <f>IF(ISNA(MATCH(600,'Transfer Engine'!$C$2:$C$630,0)),"",INDEX('Compliance Database'!$F$2:$F$630,MATCH(600,'Transfer Engine'!$C$2:$C$630,0)))</f>
        <v/>
      </c>
      <c r="G609">
        <f>IF(ISNA(MATCH(600,'Transfer Engine'!$C$2:$C$630,0)),"",INDEX('Compliance Database'!$G$2:$G$630,MATCH(600,'Transfer Engine'!$C$2:$C$630,0)))</f>
        <v/>
      </c>
      <c r="H609">
        <f>IF(ISNA(MATCH(600,'Transfer Engine'!$C$2:$C$630,0)),"",INDEX('Compliance Database'!$H$2:$H$630,MATCH(600,'Transfer Engine'!$C$2:$C$630,0)))</f>
        <v/>
      </c>
      <c r="I609" s="8">
        <f>IF(ISNA(MATCH(600,'Transfer Engine'!$C$2:$C$630,0)),"",INDEX('Compliance Database'!$I$2:$I$630,MATCH(600,'Transfer Engine'!$C$2:$C$630,0)))</f>
        <v/>
      </c>
      <c r="J609" s="8">
        <f>IF(ISNA(MATCH(600,'Transfer Engine'!$C$2:$C$630,0)),"",INDEX('Compliance Database'!$J$2:$J$630,MATCH(600,'Transfer Engine'!$C$2:$C$630,0)))</f>
        <v/>
      </c>
      <c r="K609">
        <f>IF(ISNA(MATCH(600,'Transfer Engine'!$C$2:$C$630,0)),"",INDEX('Compliance Database'!$K$2:$K$630,MATCH(600,'Transfer Engine'!$C$2:$C$630,0)))</f>
        <v/>
      </c>
      <c r="L609" s="8">
        <f>IF(ISNA(MATCH(600,'Transfer Engine'!$C$2:$C$630,0)),"",INDEX('Compliance Database'!$L$2:$L$630,MATCH(600,'Transfer Engine'!$C$2:$C$630,0)))</f>
        <v/>
      </c>
      <c r="M609" s="8">
        <f>IF(ISNA(MATCH(600,'Transfer Engine'!$C$2:$C$630,0)),"",INDEX('Compliance Database'!$M$2:$M$630,MATCH(600,'Transfer Engine'!$C$2:$C$630,0)))</f>
        <v/>
      </c>
      <c r="N609" s="8">
        <f>IF(ISNA(MATCH(600,'Transfer Engine'!$C$2:$C$630,0)),"",INDEX('Compliance Database'!$N$2:$N$630,MATCH(600,'Transfer Engine'!$C$2:$C$630,0)))</f>
        <v/>
      </c>
      <c r="O609" s="8">
        <f>IF(ISNA(MATCH(600,'Transfer Engine'!$C$2:$C$630,0)),"",INDEX('Compliance Database'!$O$2:$O$630,MATCH(600,'Transfer Engine'!$C$2:$C$630,0)))</f>
        <v/>
      </c>
    </row>
    <row r="610">
      <c r="A610">
        <f>IF(ISNA(MATCH(601,'Transfer Engine'!$C$2:$C$630,0)),"",INDEX('Compliance Database'!$A$2:$A$630,MATCH(601,'Transfer Engine'!$C$2:$C$630,0)))</f>
        <v/>
      </c>
      <c r="B610">
        <f>IF(ISNA(MATCH(601,'Transfer Engine'!$C$2:$C$630,0)),"",INDEX('Compliance Database'!$B$2:$B$630,MATCH(601,'Transfer Engine'!$C$2:$C$630,0)))</f>
        <v/>
      </c>
      <c r="C610">
        <f>IF(ISNA(MATCH(601,'Transfer Engine'!$C$2:$C$630,0)),"",INDEX('Compliance Database'!$C$2:$C$630,MATCH(601,'Transfer Engine'!$C$2:$C$630,0)))</f>
        <v/>
      </c>
      <c r="D610" s="8">
        <f>IF(ISNA(MATCH(601,'Transfer Engine'!$C$2:$C$630,0)),"",INDEX('Compliance Database'!$D$2:$D$630,MATCH(601,'Transfer Engine'!$C$2:$C$630,0)))</f>
        <v/>
      </c>
      <c r="E610">
        <f>IF(ISNA(MATCH(601,'Transfer Engine'!$C$2:$C$630,0)),"",INDEX('Compliance Database'!$E$2:$E$630,MATCH(601,'Transfer Engine'!$C$2:$C$630,0)))</f>
        <v/>
      </c>
      <c r="F610">
        <f>IF(ISNA(MATCH(601,'Transfer Engine'!$C$2:$C$630,0)),"",INDEX('Compliance Database'!$F$2:$F$630,MATCH(601,'Transfer Engine'!$C$2:$C$630,0)))</f>
        <v/>
      </c>
      <c r="G610">
        <f>IF(ISNA(MATCH(601,'Transfer Engine'!$C$2:$C$630,0)),"",INDEX('Compliance Database'!$G$2:$G$630,MATCH(601,'Transfer Engine'!$C$2:$C$630,0)))</f>
        <v/>
      </c>
      <c r="H610">
        <f>IF(ISNA(MATCH(601,'Transfer Engine'!$C$2:$C$630,0)),"",INDEX('Compliance Database'!$H$2:$H$630,MATCH(601,'Transfer Engine'!$C$2:$C$630,0)))</f>
        <v/>
      </c>
      <c r="I610" s="8">
        <f>IF(ISNA(MATCH(601,'Transfer Engine'!$C$2:$C$630,0)),"",INDEX('Compliance Database'!$I$2:$I$630,MATCH(601,'Transfer Engine'!$C$2:$C$630,0)))</f>
        <v/>
      </c>
      <c r="J610" s="8">
        <f>IF(ISNA(MATCH(601,'Transfer Engine'!$C$2:$C$630,0)),"",INDEX('Compliance Database'!$J$2:$J$630,MATCH(601,'Transfer Engine'!$C$2:$C$630,0)))</f>
        <v/>
      </c>
      <c r="K610">
        <f>IF(ISNA(MATCH(601,'Transfer Engine'!$C$2:$C$630,0)),"",INDEX('Compliance Database'!$K$2:$K$630,MATCH(601,'Transfer Engine'!$C$2:$C$630,0)))</f>
        <v/>
      </c>
      <c r="L610" s="8">
        <f>IF(ISNA(MATCH(601,'Transfer Engine'!$C$2:$C$630,0)),"",INDEX('Compliance Database'!$L$2:$L$630,MATCH(601,'Transfer Engine'!$C$2:$C$630,0)))</f>
        <v/>
      </c>
      <c r="M610" s="8">
        <f>IF(ISNA(MATCH(601,'Transfer Engine'!$C$2:$C$630,0)),"",INDEX('Compliance Database'!$M$2:$M$630,MATCH(601,'Transfer Engine'!$C$2:$C$630,0)))</f>
        <v/>
      </c>
      <c r="N610" s="8">
        <f>IF(ISNA(MATCH(601,'Transfer Engine'!$C$2:$C$630,0)),"",INDEX('Compliance Database'!$N$2:$N$630,MATCH(601,'Transfer Engine'!$C$2:$C$630,0)))</f>
        <v/>
      </c>
      <c r="O610" s="8">
        <f>IF(ISNA(MATCH(601,'Transfer Engine'!$C$2:$C$630,0)),"",INDEX('Compliance Database'!$O$2:$O$630,MATCH(601,'Transfer Engine'!$C$2:$C$630,0)))</f>
        <v/>
      </c>
    </row>
    <row r="611">
      <c r="A611">
        <f>IF(ISNA(MATCH(602,'Transfer Engine'!$C$2:$C$630,0)),"",INDEX('Compliance Database'!$A$2:$A$630,MATCH(602,'Transfer Engine'!$C$2:$C$630,0)))</f>
        <v/>
      </c>
      <c r="B611">
        <f>IF(ISNA(MATCH(602,'Transfer Engine'!$C$2:$C$630,0)),"",INDEX('Compliance Database'!$B$2:$B$630,MATCH(602,'Transfer Engine'!$C$2:$C$630,0)))</f>
        <v/>
      </c>
      <c r="C611">
        <f>IF(ISNA(MATCH(602,'Transfer Engine'!$C$2:$C$630,0)),"",INDEX('Compliance Database'!$C$2:$C$630,MATCH(602,'Transfer Engine'!$C$2:$C$630,0)))</f>
        <v/>
      </c>
      <c r="D611" s="8">
        <f>IF(ISNA(MATCH(602,'Transfer Engine'!$C$2:$C$630,0)),"",INDEX('Compliance Database'!$D$2:$D$630,MATCH(602,'Transfer Engine'!$C$2:$C$630,0)))</f>
        <v/>
      </c>
      <c r="E611">
        <f>IF(ISNA(MATCH(602,'Transfer Engine'!$C$2:$C$630,0)),"",INDEX('Compliance Database'!$E$2:$E$630,MATCH(602,'Transfer Engine'!$C$2:$C$630,0)))</f>
        <v/>
      </c>
      <c r="F611">
        <f>IF(ISNA(MATCH(602,'Transfer Engine'!$C$2:$C$630,0)),"",INDEX('Compliance Database'!$F$2:$F$630,MATCH(602,'Transfer Engine'!$C$2:$C$630,0)))</f>
        <v/>
      </c>
      <c r="G611">
        <f>IF(ISNA(MATCH(602,'Transfer Engine'!$C$2:$C$630,0)),"",INDEX('Compliance Database'!$G$2:$G$630,MATCH(602,'Transfer Engine'!$C$2:$C$630,0)))</f>
        <v/>
      </c>
      <c r="H611">
        <f>IF(ISNA(MATCH(602,'Transfer Engine'!$C$2:$C$630,0)),"",INDEX('Compliance Database'!$H$2:$H$630,MATCH(602,'Transfer Engine'!$C$2:$C$630,0)))</f>
        <v/>
      </c>
      <c r="I611" s="8">
        <f>IF(ISNA(MATCH(602,'Transfer Engine'!$C$2:$C$630,0)),"",INDEX('Compliance Database'!$I$2:$I$630,MATCH(602,'Transfer Engine'!$C$2:$C$630,0)))</f>
        <v/>
      </c>
      <c r="J611" s="8">
        <f>IF(ISNA(MATCH(602,'Transfer Engine'!$C$2:$C$630,0)),"",INDEX('Compliance Database'!$J$2:$J$630,MATCH(602,'Transfer Engine'!$C$2:$C$630,0)))</f>
        <v/>
      </c>
      <c r="K611">
        <f>IF(ISNA(MATCH(602,'Transfer Engine'!$C$2:$C$630,0)),"",INDEX('Compliance Database'!$K$2:$K$630,MATCH(602,'Transfer Engine'!$C$2:$C$630,0)))</f>
        <v/>
      </c>
      <c r="L611" s="8">
        <f>IF(ISNA(MATCH(602,'Transfer Engine'!$C$2:$C$630,0)),"",INDEX('Compliance Database'!$L$2:$L$630,MATCH(602,'Transfer Engine'!$C$2:$C$630,0)))</f>
        <v/>
      </c>
      <c r="M611" s="8">
        <f>IF(ISNA(MATCH(602,'Transfer Engine'!$C$2:$C$630,0)),"",INDEX('Compliance Database'!$M$2:$M$630,MATCH(602,'Transfer Engine'!$C$2:$C$630,0)))</f>
        <v/>
      </c>
      <c r="N611" s="8">
        <f>IF(ISNA(MATCH(602,'Transfer Engine'!$C$2:$C$630,0)),"",INDEX('Compliance Database'!$N$2:$N$630,MATCH(602,'Transfer Engine'!$C$2:$C$630,0)))</f>
        <v/>
      </c>
      <c r="O611" s="8">
        <f>IF(ISNA(MATCH(602,'Transfer Engine'!$C$2:$C$630,0)),"",INDEX('Compliance Database'!$O$2:$O$630,MATCH(602,'Transfer Engine'!$C$2:$C$630,0)))</f>
        <v/>
      </c>
    </row>
    <row r="612">
      <c r="A612">
        <f>IF(ISNA(MATCH(603,'Transfer Engine'!$C$2:$C$630,0)),"",INDEX('Compliance Database'!$A$2:$A$630,MATCH(603,'Transfer Engine'!$C$2:$C$630,0)))</f>
        <v/>
      </c>
      <c r="B612">
        <f>IF(ISNA(MATCH(603,'Transfer Engine'!$C$2:$C$630,0)),"",INDEX('Compliance Database'!$B$2:$B$630,MATCH(603,'Transfer Engine'!$C$2:$C$630,0)))</f>
        <v/>
      </c>
      <c r="C612">
        <f>IF(ISNA(MATCH(603,'Transfer Engine'!$C$2:$C$630,0)),"",INDEX('Compliance Database'!$C$2:$C$630,MATCH(603,'Transfer Engine'!$C$2:$C$630,0)))</f>
        <v/>
      </c>
      <c r="D612" s="8">
        <f>IF(ISNA(MATCH(603,'Transfer Engine'!$C$2:$C$630,0)),"",INDEX('Compliance Database'!$D$2:$D$630,MATCH(603,'Transfer Engine'!$C$2:$C$630,0)))</f>
        <v/>
      </c>
      <c r="E612">
        <f>IF(ISNA(MATCH(603,'Transfer Engine'!$C$2:$C$630,0)),"",INDEX('Compliance Database'!$E$2:$E$630,MATCH(603,'Transfer Engine'!$C$2:$C$630,0)))</f>
        <v/>
      </c>
      <c r="F612">
        <f>IF(ISNA(MATCH(603,'Transfer Engine'!$C$2:$C$630,0)),"",INDEX('Compliance Database'!$F$2:$F$630,MATCH(603,'Transfer Engine'!$C$2:$C$630,0)))</f>
        <v/>
      </c>
      <c r="G612">
        <f>IF(ISNA(MATCH(603,'Transfer Engine'!$C$2:$C$630,0)),"",INDEX('Compliance Database'!$G$2:$G$630,MATCH(603,'Transfer Engine'!$C$2:$C$630,0)))</f>
        <v/>
      </c>
      <c r="H612">
        <f>IF(ISNA(MATCH(603,'Transfer Engine'!$C$2:$C$630,0)),"",INDEX('Compliance Database'!$H$2:$H$630,MATCH(603,'Transfer Engine'!$C$2:$C$630,0)))</f>
        <v/>
      </c>
      <c r="I612" s="8">
        <f>IF(ISNA(MATCH(603,'Transfer Engine'!$C$2:$C$630,0)),"",INDEX('Compliance Database'!$I$2:$I$630,MATCH(603,'Transfer Engine'!$C$2:$C$630,0)))</f>
        <v/>
      </c>
      <c r="J612" s="8">
        <f>IF(ISNA(MATCH(603,'Transfer Engine'!$C$2:$C$630,0)),"",INDEX('Compliance Database'!$J$2:$J$630,MATCH(603,'Transfer Engine'!$C$2:$C$630,0)))</f>
        <v/>
      </c>
      <c r="K612">
        <f>IF(ISNA(MATCH(603,'Transfer Engine'!$C$2:$C$630,0)),"",INDEX('Compliance Database'!$K$2:$K$630,MATCH(603,'Transfer Engine'!$C$2:$C$630,0)))</f>
        <v/>
      </c>
      <c r="L612" s="8">
        <f>IF(ISNA(MATCH(603,'Transfer Engine'!$C$2:$C$630,0)),"",INDEX('Compliance Database'!$L$2:$L$630,MATCH(603,'Transfer Engine'!$C$2:$C$630,0)))</f>
        <v/>
      </c>
      <c r="M612" s="8">
        <f>IF(ISNA(MATCH(603,'Transfer Engine'!$C$2:$C$630,0)),"",INDEX('Compliance Database'!$M$2:$M$630,MATCH(603,'Transfer Engine'!$C$2:$C$630,0)))</f>
        <v/>
      </c>
      <c r="N612" s="8">
        <f>IF(ISNA(MATCH(603,'Transfer Engine'!$C$2:$C$630,0)),"",INDEX('Compliance Database'!$N$2:$N$630,MATCH(603,'Transfer Engine'!$C$2:$C$630,0)))</f>
        <v/>
      </c>
      <c r="O612" s="8">
        <f>IF(ISNA(MATCH(603,'Transfer Engine'!$C$2:$C$630,0)),"",INDEX('Compliance Database'!$O$2:$O$630,MATCH(603,'Transfer Engine'!$C$2:$C$630,0)))</f>
        <v/>
      </c>
    </row>
    <row r="613">
      <c r="A613">
        <f>IF(ISNA(MATCH(604,'Transfer Engine'!$C$2:$C$630,0)),"",INDEX('Compliance Database'!$A$2:$A$630,MATCH(604,'Transfer Engine'!$C$2:$C$630,0)))</f>
        <v/>
      </c>
      <c r="B613">
        <f>IF(ISNA(MATCH(604,'Transfer Engine'!$C$2:$C$630,0)),"",INDEX('Compliance Database'!$B$2:$B$630,MATCH(604,'Transfer Engine'!$C$2:$C$630,0)))</f>
        <v/>
      </c>
      <c r="C613">
        <f>IF(ISNA(MATCH(604,'Transfer Engine'!$C$2:$C$630,0)),"",INDEX('Compliance Database'!$C$2:$C$630,MATCH(604,'Transfer Engine'!$C$2:$C$630,0)))</f>
        <v/>
      </c>
      <c r="D613" s="8">
        <f>IF(ISNA(MATCH(604,'Transfer Engine'!$C$2:$C$630,0)),"",INDEX('Compliance Database'!$D$2:$D$630,MATCH(604,'Transfer Engine'!$C$2:$C$630,0)))</f>
        <v/>
      </c>
      <c r="E613">
        <f>IF(ISNA(MATCH(604,'Transfer Engine'!$C$2:$C$630,0)),"",INDEX('Compliance Database'!$E$2:$E$630,MATCH(604,'Transfer Engine'!$C$2:$C$630,0)))</f>
        <v/>
      </c>
      <c r="F613">
        <f>IF(ISNA(MATCH(604,'Transfer Engine'!$C$2:$C$630,0)),"",INDEX('Compliance Database'!$F$2:$F$630,MATCH(604,'Transfer Engine'!$C$2:$C$630,0)))</f>
        <v/>
      </c>
      <c r="G613">
        <f>IF(ISNA(MATCH(604,'Transfer Engine'!$C$2:$C$630,0)),"",INDEX('Compliance Database'!$G$2:$G$630,MATCH(604,'Transfer Engine'!$C$2:$C$630,0)))</f>
        <v/>
      </c>
      <c r="H613">
        <f>IF(ISNA(MATCH(604,'Transfer Engine'!$C$2:$C$630,0)),"",INDEX('Compliance Database'!$H$2:$H$630,MATCH(604,'Transfer Engine'!$C$2:$C$630,0)))</f>
        <v/>
      </c>
      <c r="I613" s="8">
        <f>IF(ISNA(MATCH(604,'Transfer Engine'!$C$2:$C$630,0)),"",INDEX('Compliance Database'!$I$2:$I$630,MATCH(604,'Transfer Engine'!$C$2:$C$630,0)))</f>
        <v/>
      </c>
      <c r="J613" s="8">
        <f>IF(ISNA(MATCH(604,'Transfer Engine'!$C$2:$C$630,0)),"",INDEX('Compliance Database'!$J$2:$J$630,MATCH(604,'Transfer Engine'!$C$2:$C$630,0)))</f>
        <v/>
      </c>
      <c r="K613">
        <f>IF(ISNA(MATCH(604,'Transfer Engine'!$C$2:$C$630,0)),"",INDEX('Compliance Database'!$K$2:$K$630,MATCH(604,'Transfer Engine'!$C$2:$C$630,0)))</f>
        <v/>
      </c>
      <c r="L613" s="8">
        <f>IF(ISNA(MATCH(604,'Transfer Engine'!$C$2:$C$630,0)),"",INDEX('Compliance Database'!$L$2:$L$630,MATCH(604,'Transfer Engine'!$C$2:$C$630,0)))</f>
        <v/>
      </c>
      <c r="M613" s="8">
        <f>IF(ISNA(MATCH(604,'Transfer Engine'!$C$2:$C$630,0)),"",INDEX('Compliance Database'!$M$2:$M$630,MATCH(604,'Transfer Engine'!$C$2:$C$630,0)))</f>
        <v/>
      </c>
      <c r="N613" s="8">
        <f>IF(ISNA(MATCH(604,'Transfer Engine'!$C$2:$C$630,0)),"",INDEX('Compliance Database'!$N$2:$N$630,MATCH(604,'Transfer Engine'!$C$2:$C$630,0)))</f>
        <v/>
      </c>
      <c r="O613" s="8">
        <f>IF(ISNA(MATCH(604,'Transfer Engine'!$C$2:$C$630,0)),"",INDEX('Compliance Database'!$O$2:$O$630,MATCH(604,'Transfer Engine'!$C$2:$C$630,0)))</f>
        <v/>
      </c>
    </row>
    <row r="614">
      <c r="A614">
        <f>IF(ISNA(MATCH(605,'Transfer Engine'!$C$2:$C$630,0)),"",INDEX('Compliance Database'!$A$2:$A$630,MATCH(605,'Transfer Engine'!$C$2:$C$630,0)))</f>
        <v/>
      </c>
      <c r="B614">
        <f>IF(ISNA(MATCH(605,'Transfer Engine'!$C$2:$C$630,0)),"",INDEX('Compliance Database'!$B$2:$B$630,MATCH(605,'Transfer Engine'!$C$2:$C$630,0)))</f>
        <v/>
      </c>
      <c r="C614">
        <f>IF(ISNA(MATCH(605,'Transfer Engine'!$C$2:$C$630,0)),"",INDEX('Compliance Database'!$C$2:$C$630,MATCH(605,'Transfer Engine'!$C$2:$C$630,0)))</f>
        <v/>
      </c>
      <c r="D614" s="8">
        <f>IF(ISNA(MATCH(605,'Transfer Engine'!$C$2:$C$630,0)),"",INDEX('Compliance Database'!$D$2:$D$630,MATCH(605,'Transfer Engine'!$C$2:$C$630,0)))</f>
        <v/>
      </c>
      <c r="E614">
        <f>IF(ISNA(MATCH(605,'Transfer Engine'!$C$2:$C$630,0)),"",INDEX('Compliance Database'!$E$2:$E$630,MATCH(605,'Transfer Engine'!$C$2:$C$630,0)))</f>
        <v/>
      </c>
      <c r="F614">
        <f>IF(ISNA(MATCH(605,'Transfer Engine'!$C$2:$C$630,0)),"",INDEX('Compliance Database'!$F$2:$F$630,MATCH(605,'Transfer Engine'!$C$2:$C$630,0)))</f>
        <v/>
      </c>
      <c r="G614">
        <f>IF(ISNA(MATCH(605,'Transfer Engine'!$C$2:$C$630,0)),"",INDEX('Compliance Database'!$G$2:$G$630,MATCH(605,'Transfer Engine'!$C$2:$C$630,0)))</f>
        <v/>
      </c>
      <c r="H614">
        <f>IF(ISNA(MATCH(605,'Transfer Engine'!$C$2:$C$630,0)),"",INDEX('Compliance Database'!$H$2:$H$630,MATCH(605,'Transfer Engine'!$C$2:$C$630,0)))</f>
        <v/>
      </c>
      <c r="I614" s="8">
        <f>IF(ISNA(MATCH(605,'Transfer Engine'!$C$2:$C$630,0)),"",INDEX('Compliance Database'!$I$2:$I$630,MATCH(605,'Transfer Engine'!$C$2:$C$630,0)))</f>
        <v/>
      </c>
      <c r="J614" s="8">
        <f>IF(ISNA(MATCH(605,'Transfer Engine'!$C$2:$C$630,0)),"",INDEX('Compliance Database'!$J$2:$J$630,MATCH(605,'Transfer Engine'!$C$2:$C$630,0)))</f>
        <v/>
      </c>
      <c r="K614">
        <f>IF(ISNA(MATCH(605,'Transfer Engine'!$C$2:$C$630,0)),"",INDEX('Compliance Database'!$K$2:$K$630,MATCH(605,'Transfer Engine'!$C$2:$C$630,0)))</f>
        <v/>
      </c>
      <c r="L614" s="8">
        <f>IF(ISNA(MATCH(605,'Transfer Engine'!$C$2:$C$630,0)),"",INDEX('Compliance Database'!$L$2:$L$630,MATCH(605,'Transfer Engine'!$C$2:$C$630,0)))</f>
        <v/>
      </c>
      <c r="M614" s="8">
        <f>IF(ISNA(MATCH(605,'Transfer Engine'!$C$2:$C$630,0)),"",INDEX('Compliance Database'!$M$2:$M$630,MATCH(605,'Transfer Engine'!$C$2:$C$630,0)))</f>
        <v/>
      </c>
      <c r="N614" s="8">
        <f>IF(ISNA(MATCH(605,'Transfer Engine'!$C$2:$C$630,0)),"",INDEX('Compliance Database'!$N$2:$N$630,MATCH(605,'Transfer Engine'!$C$2:$C$630,0)))</f>
        <v/>
      </c>
      <c r="O614" s="8">
        <f>IF(ISNA(MATCH(605,'Transfer Engine'!$C$2:$C$630,0)),"",INDEX('Compliance Database'!$O$2:$O$630,MATCH(605,'Transfer Engine'!$C$2:$C$630,0)))</f>
        <v/>
      </c>
    </row>
    <row r="615">
      <c r="A615">
        <f>IF(ISNA(MATCH(606,'Transfer Engine'!$C$2:$C$630,0)),"",INDEX('Compliance Database'!$A$2:$A$630,MATCH(606,'Transfer Engine'!$C$2:$C$630,0)))</f>
        <v/>
      </c>
      <c r="B615">
        <f>IF(ISNA(MATCH(606,'Transfer Engine'!$C$2:$C$630,0)),"",INDEX('Compliance Database'!$B$2:$B$630,MATCH(606,'Transfer Engine'!$C$2:$C$630,0)))</f>
        <v/>
      </c>
      <c r="C615">
        <f>IF(ISNA(MATCH(606,'Transfer Engine'!$C$2:$C$630,0)),"",INDEX('Compliance Database'!$C$2:$C$630,MATCH(606,'Transfer Engine'!$C$2:$C$630,0)))</f>
        <v/>
      </c>
      <c r="D615" s="8">
        <f>IF(ISNA(MATCH(606,'Transfer Engine'!$C$2:$C$630,0)),"",INDEX('Compliance Database'!$D$2:$D$630,MATCH(606,'Transfer Engine'!$C$2:$C$630,0)))</f>
        <v/>
      </c>
      <c r="E615">
        <f>IF(ISNA(MATCH(606,'Transfer Engine'!$C$2:$C$630,0)),"",INDEX('Compliance Database'!$E$2:$E$630,MATCH(606,'Transfer Engine'!$C$2:$C$630,0)))</f>
        <v/>
      </c>
      <c r="F615">
        <f>IF(ISNA(MATCH(606,'Transfer Engine'!$C$2:$C$630,0)),"",INDEX('Compliance Database'!$F$2:$F$630,MATCH(606,'Transfer Engine'!$C$2:$C$630,0)))</f>
        <v/>
      </c>
      <c r="G615">
        <f>IF(ISNA(MATCH(606,'Transfer Engine'!$C$2:$C$630,0)),"",INDEX('Compliance Database'!$G$2:$G$630,MATCH(606,'Transfer Engine'!$C$2:$C$630,0)))</f>
        <v/>
      </c>
      <c r="H615">
        <f>IF(ISNA(MATCH(606,'Transfer Engine'!$C$2:$C$630,0)),"",INDEX('Compliance Database'!$H$2:$H$630,MATCH(606,'Transfer Engine'!$C$2:$C$630,0)))</f>
        <v/>
      </c>
      <c r="I615" s="8">
        <f>IF(ISNA(MATCH(606,'Transfer Engine'!$C$2:$C$630,0)),"",INDEX('Compliance Database'!$I$2:$I$630,MATCH(606,'Transfer Engine'!$C$2:$C$630,0)))</f>
        <v/>
      </c>
      <c r="J615" s="8">
        <f>IF(ISNA(MATCH(606,'Transfer Engine'!$C$2:$C$630,0)),"",INDEX('Compliance Database'!$J$2:$J$630,MATCH(606,'Transfer Engine'!$C$2:$C$630,0)))</f>
        <v/>
      </c>
      <c r="K615">
        <f>IF(ISNA(MATCH(606,'Transfer Engine'!$C$2:$C$630,0)),"",INDEX('Compliance Database'!$K$2:$K$630,MATCH(606,'Transfer Engine'!$C$2:$C$630,0)))</f>
        <v/>
      </c>
      <c r="L615" s="8">
        <f>IF(ISNA(MATCH(606,'Transfer Engine'!$C$2:$C$630,0)),"",INDEX('Compliance Database'!$L$2:$L$630,MATCH(606,'Transfer Engine'!$C$2:$C$630,0)))</f>
        <v/>
      </c>
      <c r="M615" s="8">
        <f>IF(ISNA(MATCH(606,'Transfer Engine'!$C$2:$C$630,0)),"",INDEX('Compliance Database'!$M$2:$M$630,MATCH(606,'Transfer Engine'!$C$2:$C$630,0)))</f>
        <v/>
      </c>
      <c r="N615" s="8">
        <f>IF(ISNA(MATCH(606,'Transfer Engine'!$C$2:$C$630,0)),"",INDEX('Compliance Database'!$N$2:$N$630,MATCH(606,'Transfer Engine'!$C$2:$C$630,0)))</f>
        <v/>
      </c>
      <c r="O615" s="8">
        <f>IF(ISNA(MATCH(606,'Transfer Engine'!$C$2:$C$630,0)),"",INDEX('Compliance Database'!$O$2:$O$630,MATCH(606,'Transfer Engine'!$C$2:$C$630,0)))</f>
        <v/>
      </c>
    </row>
    <row r="616">
      <c r="A616">
        <f>IF(ISNA(MATCH(607,'Transfer Engine'!$C$2:$C$630,0)),"",INDEX('Compliance Database'!$A$2:$A$630,MATCH(607,'Transfer Engine'!$C$2:$C$630,0)))</f>
        <v/>
      </c>
      <c r="B616">
        <f>IF(ISNA(MATCH(607,'Transfer Engine'!$C$2:$C$630,0)),"",INDEX('Compliance Database'!$B$2:$B$630,MATCH(607,'Transfer Engine'!$C$2:$C$630,0)))</f>
        <v/>
      </c>
      <c r="C616">
        <f>IF(ISNA(MATCH(607,'Transfer Engine'!$C$2:$C$630,0)),"",INDEX('Compliance Database'!$C$2:$C$630,MATCH(607,'Transfer Engine'!$C$2:$C$630,0)))</f>
        <v/>
      </c>
      <c r="D616" s="8">
        <f>IF(ISNA(MATCH(607,'Transfer Engine'!$C$2:$C$630,0)),"",INDEX('Compliance Database'!$D$2:$D$630,MATCH(607,'Transfer Engine'!$C$2:$C$630,0)))</f>
        <v/>
      </c>
      <c r="E616">
        <f>IF(ISNA(MATCH(607,'Transfer Engine'!$C$2:$C$630,0)),"",INDEX('Compliance Database'!$E$2:$E$630,MATCH(607,'Transfer Engine'!$C$2:$C$630,0)))</f>
        <v/>
      </c>
      <c r="F616">
        <f>IF(ISNA(MATCH(607,'Transfer Engine'!$C$2:$C$630,0)),"",INDEX('Compliance Database'!$F$2:$F$630,MATCH(607,'Transfer Engine'!$C$2:$C$630,0)))</f>
        <v/>
      </c>
      <c r="G616">
        <f>IF(ISNA(MATCH(607,'Transfer Engine'!$C$2:$C$630,0)),"",INDEX('Compliance Database'!$G$2:$G$630,MATCH(607,'Transfer Engine'!$C$2:$C$630,0)))</f>
        <v/>
      </c>
      <c r="H616">
        <f>IF(ISNA(MATCH(607,'Transfer Engine'!$C$2:$C$630,0)),"",INDEX('Compliance Database'!$H$2:$H$630,MATCH(607,'Transfer Engine'!$C$2:$C$630,0)))</f>
        <v/>
      </c>
      <c r="I616" s="8">
        <f>IF(ISNA(MATCH(607,'Transfer Engine'!$C$2:$C$630,0)),"",INDEX('Compliance Database'!$I$2:$I$630,MATCH(607,'Transfer Engine'!$C$2:$C$630,0)))</f>
        <v/>
      </c>
      <c r="J616" s="8">
        <f>IF(ISNA(MATCH(607,'Transfer Engine'!$C$2:$C$630,0)),"",INDEX('Compliance Database'!$J$2:$J$630,MATCH(607,'Transfer Engine'!$C$2:$C$630,0)))</f>
        <v/>
      </c>
      <c r="K616">
        <f>IF(ISNA(MATCH(607,'Transfer Engine'!$C$2:$C$630,0)),"",INDEX('Compliance Database'!$K$2:$K$630,MATCH(607,'Transfer Engine'!$C$2:$C$630,0)))</f>
        <v/>
      </c>
      <c r="L616" s="8">
        <f>IF(ISNA(MATCH(607,'Transfer Engine'!$C$2:$C$630,0)),"",INDEX('Compliance Database'!$L$2:$L$630,MATCH(607,'Transfer Engine'!$C$2:$C$630,0)))</f>
        <v/>
      </c>
      <c r="M616" s="8">
        <f>IF(ISNA(MATCH(607,'Transfer Engine'!$C$2:$C$630,0)),"",INDEX('Compliance Database'!$M$2:$M$630,MATCH(607,'Transfer Engine'!$C$2:$C$630,0)))</f>
        <v/>
      </c>
      <c r="N616" s="8">
        <f>IF(ISNA(MATCH(607,'Transfer Engine'!$C$2:$C$630,0)),"",INDEX('Compliance Database'!$N$2:$N$630,MATCH(607,'Transfer Engine'!$C$2:$C$630,0)))</f>
        <v/>
      </c>
      <c r="O616" s="8">
        <f>IF(ISNA(MATCH(607,'Transfer Engine'!$C$2:$C$630,0)),"",INDEX('Compliance Database'!$O$2:$O$630,MATCH(607,'Transfer Engine'!$C$2:$C$630,0)))</f>
        <v/>
      </c>
    </row>
    <row r="617">
      <c r="A617">
        <f>IF(ISNA(MATCH(608,'Transfer Engine'!$C$2:$C$630,0)),"",INDEX('Compliance Database'!$A$2:$A$630,MATCH(608,'Transfer Engine'!$C$2:$C$630,0)))</f>
        <v/>
      </c>
      <c r="B617">
        <f>IF(ISNA(MATCH(608,'Transfer Engine'!$C$2:$C$630,0)),"",INDEX('Compliance Database'!$B$2:$B$630,MATCH(608,'Transfer Engine'!$C$2:$C$630,0)))</f>
        <v/>
      </c>
      <c r="C617">
        <f>IF(ISNA(MATCH(608,'Transfer Engine'!$C$2:$C$630,0)),"",INDEX('Compliance Database'!$C$2:$C$630,MATCH(608,'Transfer Engine'!$C$2:$C$630,0)))</f>
        <v/>
      </c>
      <c r="D617" s="8">
        <f>IF(ISNA(MATCH(608,'Transfer Engine'!$C$2:$C$630,0)),"",INDEX('Compliance Database'!$D$2:$D$630,MATCH(608,'Transfer Engine'!$C$2:$C$630,0)))</f>
        <v/>
      </c>
      <c r="E617">
        <f>IF(ISNA(MATCH(608,'Transfer Engine'!$C$2:$C$630,0)),"",INDEX('Compliance Database'!$E$2:$E$630,MATCH(608,'Transfer Engine'!$C$2:$C$630,0)))</f>
        <v/>
      </c>
      <c r="F617">
        <f>IF(ISNA(MATCH(608,'Transfer Engine'!$C$2:$C$630,0)),"",INDEX('Compliance Database'!$F$2:$F$630,MATCH(608,'Transfer Engine'!$C$2:$C$630,0)))</f>
        <v/>
      </c>
      <c r="G617">
        <f>IF(ISNA(MATCH(608,'Transfer Engine'!$C$2:$C$630,0)),"",INDEX('Compliance Database'!$G$2:$G$630,MATCH(608,'Transfer Engine'!$C$2:$C$630,0)))</f>
        <v/>
      </c>
      <c r="H617">
        <f>IF(ISNA(MATCH(608,'Transfer Engine'!$C$2:$C$630,0)),"",INDEX('Compliance Database'!$H$2:$H$630,MATCH(608,'Transfer Engine'!$C$2:$C$630,0)))</f>
        <v/>
      </c>
      <c r="I617" s="8">
        <f>IF(ISNA(MATCH(608,'Transfer Engine'!$C$2:$C$630,0)),"",INDEX('Compliance Database'!$I$2:$I$630,MATCH(608,'Transfer Engine'!$C$2:$C$630,0)))</f>
        <v/>
      </c>
      <c r="J617" s="8">
        <f>IF(ISNA(MATCH(608,'Transfer Engine'!$C$2:$C$630,0)),"",INDEX('Compliance Database'!$J$2:$J$630,MATCH(608,'Transfer Engine'!$C$2:$C$630,0)))</f>
        <v/>
      </c>
      <c r="K617">
        <f>IF(ISNA(MATCH(608,'Transfer Engine'!$C$2:$C$630,0)),"",INDEX('Compliance Database'!$K$2:$K$630,MATCH(608,'Transfer Engine'!$C$2:$C$630,0)))</f>
        <v/>
      </c>
      <c r="L617" s="8">
        <f>IF(ISNA(MATCH(608,'Transfer Engine'!$C$2:$C$630,0)),"",INDEX('Compliance Database'!$L$2:$L$630,MATCH(608,'Transfer Engine'!$C$2:$C$630,0)))</f>
        <v/>
      </c>
      <c r="M617" s="8">
        <f>IF(ISNA(MATCH(608,'Transfer Engine'!$C$2:$C$630,0)),"",INDEX('Compliance Database'!$M$2:$M$630,MATCH(608,'Transfer Engine'!$C$2:$C$630,0)))</f>
        <v/>
      </c>
      <c r="N617" s="8">
        <f>IF(ISNA(MATCH(608,'Transfer Engine'!$C$2:$C$630,0)),"",INDEX('Compliance Database'!$N$2:$N$630,MATCH(608,'Transfer Engine'!$C$2:$C$630,0)))</f>
        <v/>
      </c>
      <c r="O617" s="8">
        <f>IF(ISNA(MATCH(608,'Transfer Engine'!$C$2:$C$630,0)),"",INDEX('Compliance Database'!$O$2:$O$630,MATCH(608,'Transfer Engine'!$C$2:$C$630,0)))</f>
        <v/>
      </c>
    </row>
    <row r="618">
      <c r="A618">
        <f>IF(ISNA(MATCH(609,'Transfer Engine'!$C$2:$C$630,0)),"",INDEX('Compliance Database'!$A$2:$A$630,MATCH(609,'Transfer Engine'!$C$2:$C$630,0)))</f>
        <v/>
      </c>
      <c r="B618">
        <f>IF(ISNA(MATCH(609,'Transfer Engine'!$C$2:$C$630,0)),"",INDEX('Compliance Database'!$B$2:$B$630,MATCH(609,'Transfer Engine'!$C$2:$C$630,0)))</f>
        <v/>
      </c>
      <c r="C618">
        <f>IF(ISNA(MATCH(609,'Transfer Engine'!$C$2:$C$630,0)),"",INDEX('Compliance Database'!$C$2:$C$630,MATCH(609,'Transfer Engine'!$C$2:$C$630,0)))</f>
        <v/>
      </c>
      <c r="D618" s="8">
        <f>IF(ISNA(MATCH(609,'Transfer Engine'!$C$2:$C$630,0)),"",INDEX('Compliance Database'!$D$2:$D$630,MATCH(609,'Transfer Engine'!$C$2:$C$630,0)))</f>
        <v/>
      </c>
      <c r="E618">
        <f>IF(ISNA(MATCH(609,'Transfer Engine'!$C$2:$C$630,0)),"",INDEX('Compliance Database'!$E$2:$E$630,MATCH(609,'Transfer Engine'!$C$2:$C$630,0)))</f>
        <v/>
      </c>
      <c r="F618">
        <f>IF(ISNA(MATCH(609,'Transfer Engine'!$C$2:$C$630,0)),"",INDEX('Compliance Database'!$F$2:$F$630,MATCH(609,'Transfer Engine'!$C$2:$C$630,0)))</f>
        <v/>
      </c>
      <c r="G618">
        <f>IF(ISNA(MATCH(609,'Transfer Engine'!$C$2:$C$630,0)),"",INDEX('Compliance Database'!$G$2:$G$630,MATCH(609,'Transfer Engine'!$C$2:$C$630,0)))</f>
        <v/>
      </c>
      <c r="H618">
        <f>IF(ISNA(MATCH(609,'Transfer Engine'!$C$2:$C$630,0)),"",INDEX('Compliance Database'!$H$2:$H$630,MATCH(609,'Transfer Engine'!$C$2:$C$630,0)))</f>
        <v/>
      </c>
      <c r="I618" s="8">
        <f>IF(ISNA(MATCH(609,'Transfer Engine'!$C$2:$C$630,0)),"",INDEX('Compliance Database'!$I$2:$I$630,MATCH(609,'Transfer Engine'!$C$2:$C$630,0)))</f>
        <v/>
      </c>
      <c r="J618" s="8">
        <f>IF(ISNA(MATCH(609,'Transfer Engine'!$C$2:$C$630,0)),"",INDEX('Compliance Database'!$J$2:$J$630,MATCH(609,'Transfer Engine'!$C$2:$C$630,0)))</f>
        <v/>
      </c>
      <c r="K618">
        <f>IF(ISNA(MATCH(609,'Transfer Engine'!$C$2:$C$630,0)),"",INDEX('Compliance Database'!$K$2:$K$630,MATCH(609,'Transfer Engine'!$C$2:$C$630,0)))</f>
        <v/>
      </c>
      <c r="L618" s="8">
        <f>IF(ISNA(MATCH(609,'Transfer Engine'!$C$2:$C$630,0)),"",INDEX('Compliance Database'!$L$2:$L$630,MATCH(609,'Transfer Engine'!$C$2:$C$630,0)))</f>
        <v/>
      </c>
      <c r="M618" s="8">
        <f>IF(ISNA(MATCH(609,'Transfer Engine'!$C$2:$C$630,0)),"",INDEX('Compliance Database'!$M$2:$M$630,MATCH(609,'Transfer Engine'!$C$2:$C$630,0)))</f>
        <v/>
      </c>
      <c r="N618" s="8">
        <f>IF(ISNA(MATCH(609,'Transfer Engine'!$C$2:$C$630,0)),"",INDEX('Compliance Database'!$N$2:$N$630,MATCH(609,'Transfer Engine'!$C$2:$C$630,0)))</f>
        <v/>
      </c>
      <c r="O618" s="8">
        <f>IF(ISNA(MATCH(609,'Transfer Engine'!$C$2:$C$630,0)),"",INDEX('Compliance Database'!$O$2:$O$630,MATCH(609,'Transfer Engine'!$C$2:$C$630,0)))</f>
        <v/>
      </c>
    </row>
    <row r="619">
      <c r="A619">
        <f>IF(ISNA(MATCH(610,'Transfer Engine'!$C$2:$C$630,0)),"",INDEX('Compliance Database'!$A$2:$A$630,MATCH(610,'Transfer Engine'!$C$2:$C$630,0)))</f>
        <v/>
      </c>
      <c r="B619">
        <f>IF(ISNA(MATCH(610,'Transfer Engine'!$C$2:$C$630,0)),"",INDEX('Compliance Database'!$B$2:$B$630,MATCH(610,'Transfer Engine'!$C$2:$C$630,0)))</f>
        <v/>
      </c>
      <c r="C619">
        <f>IF(ISNA(MATCH(610,'Transfer Engine'!$C$2:$C$630,0)),"",INDEX('Compliance Database'!$C$2:$C$630,MATCH(610,'Transfer Engine'!$C$2:$C$630,0)))</f>
        <v/>
      </c>
      <c r="D619" s="8">
        <f>IF(ISNA(MATCH(610,'Transfer Engine'!$C$2:$C$630,0)),"",INDEX('Compliance Database'!$D$2:$D$630,MATCH(610,'Transfer Engine'!$C$2:$C$630,0)))</f>
        <v/>
      </c>
      <c r="E619">
        <f>IF(ISNA(MATCH(610,'Transfer Engine'!$C$2:$C$630,0)),"",INDEX('Compliance Database'!$E$2:$E$630,MATCH(610,'Transfer Engine'!$C$2:$C$630,0)))</f>
        <v/>
      </c>
      <c r="F619">
        <f>IF(ISNA(MATCH(610,'Transfer Engine'!$C$2:$C$630,0)),"",INDEX('Compliance Database'!$F$2:$F$630,MATCH(610,'Transfer Engine'!$C$2:$C$630,0)))</f>
        <v/>
      </c>
      <c r="G619">
        <f>IF(ISNA(MATCH(610,'Transfer Engine'!$C$2:$C$630,0)),"",INDEX('Compliance Database'!$G$2:$G$630,MATCH(610,'Transfer Engine'!$C$2:$C$630,0)))</f>
        <v/>
      </c>
      <c r="H619">
        <f>IF(ISNA(MATCH(610,'Transfer Engine'!$C$2:$C$630,0)),"",INDEX('Compliance Database'!$H$2:$H$630,MATCH(610,'Transfer Engine'!$C$2:$C$630,0)))</f>
        <v/>
      </c>
      <c r="I619" s="8">
        <f>IF(ISNA(MATCH(610,'Transfer Engine'!$C$2:$C$630,0)),"",INDEX('Compliance Database'!$I$2:$I$630,MATCH(610,'Transfer Engine'!$C$2:$C$630,0)))</f>
        <v/>
      </c>
      <c r="J619" s="8">
        <f>IF(ISNA(MATCH(610,'Transfer Engine'!$C$2:$C$630,0)),"",INDEX('Compliance Database'!$J$2:$J$630,MATCH(610,'Transfer Engine'!$C$2:$C$630,0)))</f>
        <v/>
      </c>
      <c r="K619">
        <f>IF(ISNA(MATCH(610,'Transfer Engine'!$C$2:$C$630,0)),"",INDEX('Compliance Database'!$K$2:$K$630,MATCH(610,'Transfer Engine'!$C$2:$C$630,0)))</f>
        <v/>
      </c>
      <c r="L619" s="8">
        <f>IF(ISNA(MATCH(610,'Transfer Engine'!$C$2:$C$630,0)),"",INDEX('Compliance Database'!$L$2:$L$630,MATCH(610,'Transfer Engine'!$C$2:$C$630,0)))</f>
        <v/>
      </c>
      <c r="M619" s="8">
        <f>IF(ISNA(MATCH(610,'Transfer Engine'!$C$2:$C$630,0)),"",INDEX('Compliance Database'!$M$2:$M$630,MATCH(610,'Transfer Engine'!$C$2:$C$630,0)))</f>
        <v/>
      </c>
      <c r="N619" s="8">
        <f>IF(ISNA(MATCH(610,'Transfer Engine'!$C$2:$C$630,0)),"",INDEX('Compliance Database'!$N$2:$N$630,MATCH(610,'Transfer Engine'!$C$2:$C$630,0)))</f>
        <v/>
      </c>
      <c r="O619" s="8">
        <f>IF(ISNA(MATCH(610,'Transfer Engine'!$C$2:$C$630,0)),"",INDEX('Compliance Database'!$O$2:$O$630,MATCH(610,'Transfer Engine'!$C$2:$C$630,0)))</f>
        <v/>
      </c>
    </row>
    <row r="620">
      <c r="A620">
        <f>IF(ISNA(MATCH(611,'Transfer Engine'!$C$2:$C$630,0)),"",INDEX('Compliance Database'!$A$2:$A$630,MATCH(611,'Transfer Engine'!$C$2:$C$630,0)))</f>
        <v/>
      </c>
      <c r="B620">
        <f>IF(ISNA(MATCH(611,'Transfer Engine'!$C$2:$C$630,0)),"",INDEX('Compliance Database'!$B$2:$B$630,MATCH(611,'Transfer Engine'!$C$2:$C$630,0)))</f>
        <v/>
      </c>
      <c r="C620">
        <f>IF(ISNA(MATCH(611,'Transfer Engine'!$C$2:$C$630,0)),"",INDEX('Compliance Database'!$C$2:$C$630,MATCH(611,'Transfer Engine'!$C$2:$C$630,0)))</f>
        <v/>
      </c>
      <c r="D620" s="8">
        <f>IF(ISNA(MATCH(611,'Transfer Engine'!$C$2:$C$630,0)),"",INDEX('Compliance Database'!$D$2:$D$630,MATCH(611,'Transfer Engine'!$C$2:$C$630,0)))</f>
        <v/>
      </c>
      <c r="E620">
        <f>IF(ISNA(MATCH(611,'Transfer Engine'!$C$2:$C$630,0)),"",INDEX('Compliance Database'!$E$2:$E$630,MATCH(611,'Transfer Engine'!$C$2:$C$630,0)))</f>
        <v/>
      </c>
      <c r="F620">
        <f>IF(ISNA(MATCH(611,'Transfer Engine'!$C$2:$C$630,0)),"",INDEX('Compliance Database'!$F$2:$F$630,MATCH(611,'Transfer Engine'!$C$2:$C$630,0)))</f>
        <v/>
      </c>
      <c r="G620">
        <f>IF(ISNA(MATCH(611,'Transfer Engine'!$C$2:$C$630,0)),"",INDEX('Compliance Database'!$G$2:$G$630,MATCH(611,'Transfer Engine'!$C$2:$C$630,0)))</f>
        <v/>
      </c>
      <c r="H620">
        <f>IF(ISNA(MATCH(611,'Transfer Engine'!$C$2:$C$630,0)),"",INDEX('Compliance Database'!$H$2:$H$630,MATCH(611,'Transfer Engine'!$C$2:$C$630,0)))</f>
        <v/>
      </c>
      <c r="I620" s="8">
        <f>IF(ISNA(MATCH(611,'Transfer Engine'!$C$2:$C$630,0)),"",INDEX('Compliance Database'!$I$2:$I$630,MATCH(611,'Transfer Engine'!$C$2:$C$630,0)))</f>
        <v/>
      </c>
      <c r="J620" s="8">
        <f>IF(ISNA(MATCH(611,'Transfer Engine'!$C$2:$C$630,0)),"",INDEX('Compliance Database'!$J$2:$J$630,MATCH(611,'Transfer Engine'!$C$2:$C$630,0)))</f>
        <v/>
      </c>
      <c r="K620">
        <f>IF(ISNA(MATCH(611,'Transfer Engine'!$C$2:$C$630,0)),"",INDEX('Compliance Database'!$K$2:$K$630,MATCH(611,'Transfer Engine'!$C$2:$C$630,0)))</f>
        <v/>
      </c>
      <c r="L620" s="8">
        <f>IF(ISNA(MATCH(611,'Transfer Engine'!$C$2:$C$630,0)),"",INDEX('Compliance Database'!$L$2:$L$630,MATCH(611,'Transfer Engine'!$C$2:$C$630,0)))</f>
        <v/>
      </c>
      <c r="M620" s="8">
        <f>IF(ISNA(MATCH(611,'Transfer Engine'!$C$2:$C$630,0)),"",INDEX('Compliance Database'!$M$2:$M$630,MATCH(611,'Transfer Engine'!$C$2:$C$630,0)))</f>
        <v/>
      </c>
      <c r="N620" s="8">
        <f>IF(ISNA(MATCH(611,'Transfer Engine'!$C$2:$C$630,0)),"",INDEX('Compliance Database'!$N$2:$N$630,MATCH(611,'Transfer Engine'!$C$2:$C$630,0)))</f>
        <v/>
      </c>
      <c r="O620" s="8">
        <f>IF(ISNA(MATCH(611,'Transfer Engine'!$C$2:$C$630,0)),"",INDEX('Compliance Database'!$O$2:$O$630,MATCH(611,'Transfer Engine'!$C$2:$C$630,0)))</f>
        <v/>
      </c>
    </row>
    <row r="621">
      <c r="A621">
        <f>IF(ISNA(MATCH(612,'Transfer Engine'!$C$2:$C$630,0)),"",INDEX('Compliance Database'!$A$2:$A$630,MATCH(612,'Transfer Engine'!$C$2:$C$630,0)))</f>
        <v/>
      </c>
      <c r="B621">
        <f>IF(ISNA(MATCH(612,'Transfer Engine'!$C$2:$C$630,0)),"",INDEX('Compliance Database'!$B$2:$B$630,MATCH(612,'Transfer Engine'!$C$2:$C$630,0)))</f>
        <v/>
      </c>
      <c r="C621">
        <f>IF(ISNA(MATCH(612,'Transfer Engine'!$C$2:$C$630,0)),"",INDEX('Compliance Database'!$C$2:$C$630,MATCH(612,'Transfer Engine'!$C$2:$C$630,0)))</f>
        <v/>
      </c>
      <c r="D621" s="8">
        <f>IF(ISNA(MATCH(612,'Transfer Engine'!$C$2:$C$630,0)),"",INDEX('Compliance Database'!$D$2:$D$630,MATCH(612,'Transfer Engine'!$C$2:$C$630,0)))</f>
        <v/>
      </c>
      <c r="E621">
        <f>IF(ISNA(MATCH(612,'Transfer Engine'!$C$2:$C$630,0)),"",INDEX('Compliance Database'!$E$2:$E$630,MATCH(612,'Transfer Engine'!$C$2:$C$630,0)))</f>
        <v/>
      </c>
      <c r="F621">
        <f>IF(ISNA(MATCH(612,'Transfer Engine'!$C$2:$C$630,0)),"",INDEX('Compliance Database'!$F$2:$F$630,MATCH(612,'Transfer Engine'!$C$2:$C$630,0)))</f>
        <v/>
      </c>
      <c r="G621">
        <f>IF(ISNA(MATCH(612,'Transfer Engine'!$C$2:$C$630,0)),"",INDEX('Compliance Database'!$G$2:$G$630,MATCH(612,'Transfer Engine'!$C$2:$C$630,0)))</f>
        <v/>
      </c>
      <c r="H621">
        <f>IF(ISNA(MATCH(612,'Transfer Engine'!$C$2:$C$630,0)),"",INDEX('Compliance Database'!$H$2:$H$630,MATCH(612,'Transfer Engine'!$C$2:$C$630,0)))</f>
        <v/>
      </c>
      <c r="I621" s="8">
        <f>IF(ISNA(MATCH(612,'Transfer Engine'!$C$2:$C$630,0)),"",INDEX('Compliance Database'!$I$2:$I$630,MATCH(612,'Transfer Engine'!$C$2:$C$630,0)))</f>
        <v/>
      </c>
      <c r="J621" s="8">
        <f>IF(ISNA(MATCH(612,'Transfer Engine'!$C$2:$C$630,0)),"",INDEX('Compliance Database'!$J$2:$J$630,MATCH(612,'Transfer Engine'!$C$2:$C$630,0)))</f>
        <v/>
      </c>
      <c r="K621">
        <f>IF(ISNA(MATCH(612,'Transfer Engine'!$C$2:$C$630,0)),"",INDEX('Compliance Database'!$K$2:$K$630,MATCH(612,'Transfer Engine'!$C$2:$C$630,0)))</f>
        <v/>
      </c>
      <c r="L621" s="8">
        <f>IF(ISNA(MATCH(612,'Transfer Engine'!$C$2:$C$630,0)),"",INDEX('Compliance Database'!$L$2:$L$630,MATCH(612,'Transfer Engine'!$C$2:$C$630,0)))</f>
        <v/>
      </c>
      <c r="M621" s="8">
        <f>IF(ISNA(MATCH(612,'Transfer Engine'!$C$2:$C$630,0)),"",INDEX('Compliance Database'!$M$2:$M$630,MATCH(612,'Transfer Engine'!$C$2:$C$630,0)))</f>
        <v/>
      </c>
      <c r="N621" s="8">
        <f>IF(ISNA(MATCH(612,'Transfer Engine'!$C$2:$C$630,0)),"",INDEX('Compliance Database'!$N$2:$N$630,MATCH(612,'Transfer Engine'!$C$2:$C$630,0)))</f>
        <v/>
      </c>
      <c r="O621" s="8">
        <f>IF(ISNA(MATCH(612,'Transfer Engine'!$C$2:$C$630,0)),"",INDEX('Compliance Database'!$O$2:$O$630,MATCH(612,'Transfer Engine'!$C$2:$C$630,0)))</f>
        <v/>
      </c>
    </row>
    <row r="622">
      <c r="A622">
        <f>IF(ISNA(MATCH(613,'Transfer Engine'!$C$2:$C$630,0)),"",INDEX('Compliance Database'!$A$2:$A$630,MATCH(613,'Transfer Engine'!$C$2:$C$630,0)))</f>
        <v/>
      </c>
      <c r="B622">
        <f>IF(ISNA(MATCH(613,'Transfer Engine'!$C$2:$C$630,0)),"",INDEX('Compliance Database'!$B$2:$B$630,MATCH(613,'Transfer Engine'!$C$2:$C$630,0)))</f>
        <v/>
      </c>
      <c r="C622">
        <f>IF(ISNA(MATCH(613,'Transfer Engine'!$C$2:$C$630,0)),"",INDEX('Compliance Database'!$C$2:$C$630,MATCH(613,'Transfer Engine'!$C$2:$C$630,0)))</f>
        <v/>
      </c>
      <c r="D622" s="8">
        <f>IF(ISNA(MATCH(613,'Transfer Engine'!$C$2:$C$630,0)),"",INDEX('Compliance Database'!$D$2:$D$630,MATCH(613,'Transfer Engine'!$C$2:$C$630,0)))</f>
        <v/>
      </c>
      <c r="E622">
        <f>IF(ISNA(MATCH(613,'Transfer Engine'!$C$2:$C$630,0)),"",INDEX('Compliance Database'!$E$2:$E$630,MATCH(613,'Transfer Engine'!$C$2:$C$630,0)))</f>
        <v/>
      </c>
      <c r="F622">
        <f>IF(ISNA(MATCH(613,'Transfer Engine'!$C$2:$C$630,0)),"",INDEX('Compliance Database'!$F$2:$F$630,MATCH(613,'Transfer Engine'!$C$2:$C$630,0)))</f>
        <v/>
      </c>
      <c r="G622">
        <f>IF(ISNA(MATCH(613,'Transfer Engine'!$C$2:$C$630,0)),"",INDEX('Compliance Database'!$G$2:$G$630,MATCH(613,'Transfer Engine'!$C$2:$C$630,0)))</f>
        <v/>
      </c>
      <c r="H622">
        <f>IF(ISNA(MATCH(613,'Transfer Engine'!$C$2:$C$630,0)),"",INDEX('Compliance Database'!$H$2:$H$630,MATCH(613,'Transfer Engine'!$C$2:$C$630,0)))</f>
        <v/>
      </c>
      <c r="I622" s="8">
        <f>IF(ISNA(MATCH(613,'Transfer Engine'!$C$2:$C$630,0)),"",INDEX('Compliance Database'!$I$2:$I$630,MATCH(613,'Transfer Engine'!$C$2:$C$630,0)))</f>
        <v/>
      </c>
      <c r="J622" s="8">
        <f>IF(ISNA(MATCH(613,'Transfer Engine'!$C$2:$C$630,0)),"",INDEX('Compliance Database'!$J$2:$J$630,MATCH(613,'Transfer Engine'!$C$2:$C$630,0)))</f>
        <v/>
      </c>
      <c r="K622">
        <f>IF(ISNA(MATCH(613,'Transfer Engine'!$C$2:$C$630,0)),"",INDEX('Compliance Database'!$K$2:$K$630,MATCH(613,'Transfer Engine'!$C$2:$C$630,0)))</f>
        <v/>
      </c>
      <c r="L622" s="8">
        <f>IF(ISNA(MATCH(613,'Transfer Engine'!$C$2:$C$630,0)),"",INDEX('Compliance Database'!$L$2:$L$630,MATCH(613,'Transfer Engine'!$C$2:$C$630,0)))</f>
        <v/>
      </c>
      <c r="M622" s="8">
        <f>IF(ISNA(MATCH(613,'Transfer Engine'!$C$2:$C$630,0)),"",INDEX('Compliance Database'!$M$2:$M$630,MATCH(613,'Transfer Engine'!$C$2:$C$630,0)))</f>
        <v/>
      </c>
      <c r="N622" s="8">
        <f>IF(ISNA(MATCH(613,'Transfer Engine'!$C$2:$C$630,0)),"",INDEX('Compliance Database'!$N$2:$N$630,MATCH(613,'Transfer Engine'!$C$2:$C$630,0)))</f>
        <v/>
      </c>
      <c r="O622" s="8">
        <f>IF(ISNA(MATCH(613,'Transfer Engine'!$C$2:$C$630,0)),"",INDEX('Compliance Database'!$O$2:$O$630,MATCH(613,'Transfer Engine'!$C$2:$C$630,0)))</f>
        <v/>
      </c>
    </row>
    <row r="623">
      <c r="A623">
        <f>IF(ISNA(MATCH(614,'Transfer Engine'!$C$2:$C$630,0)),"",INDEX('Compliance Database'!$A$2:$A$630,MATCH(614,'Transfer Engine'!$C$2:$C$630,0)))</f>
        <v/>
      </c>
      <c r="B623">
        <f>IF(ISNA(MATCH(614,'Transfer Engine'!$C$2:$C$630,0)),"",INDEX('Compliance Database'!$B$2:$B$630,MATCH(614,'Transfer Engine'!$C$2:$C$630,0)))</f>
        <v/>
      </c>
      <c r="C623">
        <f>IF(ISNA(MATCH(614,'Transfer Engine'!$C$2:$C$630,0)),"",INDEX('Compliance Database'!$C$2:$C$630,MATCH(614,'Transfer Engine'!$C$2:$C$630,0)))</f>
        <v/>
      </c>
      <c r="D623" s="8">
        <f>IF(ISNA(MATCH(614,'Transfer Engine'!$C$2:$C$630,0)),"",INDEX('Compliance Database'!$D$2:$D$630,MATCH(614,'Transfer Engine'!$C$2:$C$630,0)))</f>
        <v/>
      </c>
      <c r="E623">
        <f>IF(ISNA(MATCH(614,'Transfer Engine'!$C$2:$C$630,0)),"",INDEX('Compliance Database'!$E$2:$E$630,MATCH(614,'Transfer Engine'!$C$2:$C$630,0)))</f>
        <v/>
      </c>
      <c r="F623">
        <f>IF(ISNA(MATCH(614,'Transfer Engine'!$C$2:$C$630,0)),"",INDEX('Compliance Database'!$F$2:$F$630,MATCH(614,'Transfer Engine'!$C$2:$C$630,0)))</f>
        <v/>
      </c>
      <c r="G623">
        <f>IF(ISNA(MATCH(614,'Transfer Engine'!$C$2:$C$630,0)),"",INDEX('Compliance Database'!$G$2:$G$630,MATCH(614,'Transfer Engine'!$C$2:$C$630,0)))</f>
        <v/>
      </c>
      <c r="H623">
        <f>IF(ISNA(MATCH(614,'Transfer Engine'!$C$2:$C$630,0)),"",INDEX('Compliance Database'!$H$2:$H$630,MATCH(614,'Transfer Engine'!$C$2:$C$630,0)))</f>
        <v/>
      </c>
      <c r="I623" s="8">
        <f>IF(ISNA(MATCH(614,'Transfer Engine'!$C$2:$C$630,0)),"",INDEX('Compliance Database'!$I$2:$I$630,MATCH(614,'Transfer Engine'!$C$2:$C$630,0)))</f>
        <v/>
      </c>
      <c r="J623" s="8">
        <f>IF(ISNA(MATCH(614,'Transfer Engine'!$C$2:$C$630,0)),"",INDEX('Compliance Database'!$J$2:$J$630,MATCH(614,'Transfer Engine'!$C$2:$C$630,0)))</f>
        <v/>
      </c>
      <c r="K623">
        <f>IF(ISNA(MATCH(614,'Transfer Engine'!$C$2:$C$630,0)),"",INDEX('Compliance Database'!$K$2:$K$630,MATCH(614,'Transfer Engine'!$C$2:$C$630,0)))</f>
        <v/>
      </c>
      <c r="L623" s="8">
        <f>IF(ISNA(MATCH(614,'Transfer Engine'!$C$2:$C$630,0)),"",INDEX('Compliance Database'!$L$2:$L$630,MATCH(614,'Transfer Engine'!$C$2:$C$630,0)))</f>
        <v/>
      </c>
      <c r="M623" s="8">
        <f>IF(ISNA(MATCH(614,'Transfer Engine'!$C$2:$C$630,0)),"",INDEX('Compliance Database'!$M$2:$M$630,MATCH(614,'Transfer Engine'!$C$2:$C$630,0)))</f>
        <v/>
      </c>
      <c r="N623" s="8">
        <f>IF(ISNA(MATCH(614,'Transfer Engine'!$C$2:$C$630,0)),"",INDEX('Compliance Database'!$N$2:$N$630,MATCH(614,'Transfer Engine'!$C$2:$C$630,0)))</f>
        <v/>
      </c>
      <c r="O623" s="8">
        <f>IF(ISNA(MATCH(614,'Transfer Engine'!$C$2:$C$630,0)),"",INDEX('Compliance Database'!$O$2:$O$630,MATCH(614,'Transfer Engine'!$C$2:$C$630,0)))</f>
        <v/>
      </c>
    </row>
    <row r="624">
      <c r="A624">
        <f>IF(ISNA(MATCH(615,'Transfer Engine'!$C$2:$C$630,0)),"",INDEX('Compliance Database'!$A$2:$A$630,MATCH(615,'Transfer Engine'!$C$2:$C$630,0)))</f>
        <v/>
      </c>
      <c r="B624">
        <f>IF(ISNA(MATCH(615,'Transfer Engine'!$C$2:$C$630,0)),"",INDEX('Compliance Database'!$B$2:$B$630,MATCH(615,'Transfer Engine'!$C$2:$C$630,0)))</f>
        <v/>
      </c>
      <c r="C624">
        <f>IF(ISNA(MATCH(615,'Transfer Engine'!$C$2:$C$630,0)),"",INDEX('Compliance Database'!$C$2:$C$630,MATCH(615,'Transfer Engine'!$C$2:$C$630,0)))</f>
        <v/>
      </c>
      <c r="D624" s="8">
        <f>IF(ISNA(MATCH(615,'Transfer Engine'!$C$2:$C$630,0)),"",INDEX('Compliance Database'!$D$2:$D$630,MATCH(615,'Transfer Engine'!$C$2:$C$630,0)))</f>
        <v/>
      </c>
      <c r="E624">
        <f>IF(ISNA(MATCH(615,'Transfer Engine'!$C$2:$C$630,0)),"",INDEX('Compliance Database'!$E$2:$E$630,MATCH(615,'Transfer Engine'!$C$2:$C$630,0)))</f>
        <v/>
      </c>
      <c r="F624">
        <f>IF(ISNA(MATCH(615,'Transfer Engine'!$C$2:$C$630,0)),"",INDEX('Compliance Database'!$F$2:$F$630,MATCH(615,'Transfer Engine'!$C$2:$C$630,0)))</f>
        <v/>
      </c>
      <c r="G624">
        <f>IF(ISNA(MATCH(615,'Transfer Engine'!$C$2:$C$630,0)),"",INDEX('Compliance Database'!$G$2:$G$630,MATCH(615,'Transfer Engine'!$C$2:$C$630,0)))</f>
        <v/>
      </c>
      <c r="H624">
        <f>IF(ISNA(MATCH(615,'Transfer Engine'!$C$2:$C$630,0)),"",INDEX('Compliance Database'!$H$2:$H$630,MATCH(615,'Transfer Engine'!$C$2:$C$630,0)))</f>
        <v/>
      </c>
      <c r="I624" s="8">
        <f>IF(ISNA(MATCH(615,'Transfer Engine'!$C$2:$C$630,0)),"",INDEX('Compliance Database'!$I$2:$I$630,MATCH(615,'Transfer Engine'!$C$2:$C$630,0)))</f>
        <v/>
      </c>
      <c r="J624" s="8">
        <f>IF(ISNA(MATCH(615,'Transfer Engine'!$C$2:$C$630,0)),"",INDEX('Compliance Database'!$J$2:$J$630,MATCH(615,'Transfer Engine'!$C$2:$C$630,0)))</f>
        <v/>
      </c>
      <c r="K624">
        <f>IF(ISNA(MATCH(615,'Transfer Engine'!$C$2:$C$630,0)),"",INDEX('Compliance Database'!$K$2:$K$630,MATCH(615,'Transfer Engine'!$C$2:$C$630,0)))</f>
        <v/>
      </c>
      <c r="L624" s="8">
        <f>IF(ISNA(MATCH(615,'Transfer Engine'!$C$2:$C$630,0)),"",INDEX('Compliance Database'!$L$2:$L$630,MATCH(615,'Transfer Engine'!$C$2:$C$630,0)))</f>
        <v/>
      </c>
      <c r="M624" s="8">
        <f>IF(ISNA(MATCH(615,'Transfer Engine'!$C$2:$C$630,0)),"",INDEX('Compliance Database'!$M$2:$M$630,MATCH(615,'Transfer Engine'!$C$2:$C$630,0)))</f>
        <v/>
      </c>
      <c r="N624" s="8">
        <f>IF(ISNA(MATCH(615,'Transfer Engine'!$C$2:$C$630,0)),"",INDEX('Compliance Database'!$N$2:$N$630,MATCH(615,'Transfer Engine'!$C$2:$C$630,0)))</f>
        <v/>
      </c>
      <c r="O624" s="8">
        <f>IF(ISNA(MATCH(615,'Transfer Engine'!$C$2:$C$630,0)),"",INDEX('Compliance Database'!$O$2:$O$630,MATCH(615,'Transfer Engine'!$C$2:$C$630,0)))</f>
        <v/>
      </c>
    </row>
    <row r="625">
      <c r="A625">
        <f>IF(ISNA(MATCH(616,'Transfer Engine'!$C$2:$C$630,0)),"",INDEX('Compliance Database'!$A$2:$A$630,MATCH(616,'Transfer Engine'!$C$2:$C$630,0)))</f>
        <v/>
      </c>
      <c r="B625">
        <f>IF(ISNA(MATCH(616,'Transfer Engine'!$C$2:$C$630,0)),"",INDEX('Compliance Database'!$B$2:$B$630,MATCH(616,'Transfer Engine'!$C$2:$C$630,0)))</f>
        <v/>
      </c>
      <c r="C625">
        <f>IF(ISNA(MATCH(616,'Transfer Engine'!$C$2:$C$630,0)),"",INDEX('Compliance Database'!$C$2:$C$630,MATCH(616,'Transfer Engine'!$C$2:$C$630,0)))</f>
        <v/>
      </c>
      <c r="D625" s="8">
        <f>IF(ISNA(MATCH(616,'Transfer Engine'!$C$2:$C$630,0)),"",INDEX('Compliance Database'!$D$2:$D$630,MATCH(616,'Transfer Engine'!$C$2:$C$630,0)))</f>
        <v/>
      </c>
      <c r="E625">
        <f>IF(ISNA(MATCH(616,'Transfer Engine'!$C$2:$C$630,0)),"",INDEX('Compliance Database'!$E$2:$E$630,MATCH(616,'Transfer Engine'!$C$2:$C$630,0)))</f>
        <v/>
      </c>
      <c r="F625">
        <f>IF(ISNA(MATCH(616,'Transfer Engine'!$C$2:$C$630,0)),"",INDEX('Compliance Database'!$F$2:$F$630,MATCH(616,'Transfer Engine'!$C$2:$C$630,0)))</f>
        <v/>
      </c>
      <c r="G625">
        <f>IF(ISNA(MATCH(616,'Transfer Engine'!$C$2:$C$630,0)),"",INDEX('Compliance Database'!$G$2:$G$630,MATCH(616,'Transfer Engine'!$C$2:$C$630,0)))</f>
        <v/>
      </c>
      <c r="H625">
        <f>IF(ISNA(MATCH(616,'Transfer Engine'!$C$2:$C$630,0)),"",INDEX('Compliance Database'!$H$2:$H$630,MATCH(616,'Transfer Engine'!$C$2:$C$630,0)))</f>
        <v/>
      </c>
      <c r="I625" s="8">
        <f>IF(ISNA(MATCH(616,'Transfer Engine'!$C$2:$C$630,0)),"",INDEX('Compliance Database'!$I$2:$I$630,MATCH(616,'Transfer Engine'!$C$2:$C$630,0)))</f>
        <v/>
      </c>
      <c r="J625" s="8">
        <f>IF(ISNA(MATCH(616,'Transfer Engine'!$C$2:$C$630,0)),"",INDEX('Compliance Database'!$J$2:$J$630,MATCH(616,'Transfer Engine'!$C$2:$C$630,0)))</f>
        <v/>
      </c>
      <c r="K625">
        <f>IF(ISNA(MATCH(616,'Transfer Engine'!$C$2:$C$630,0)),"",INDEX('Compliance Database'!$K$2:$K$630,MATCH(616,'Transfer Engine'!$C$2:$C$630,0)))</f>
        <v/>
      </c>
      <c r="L625" s="8">
        <f>IF(ISNA(MATCH(616,'Transfer Engine'!$C$2:$C$630,0)),"",INDEX('Compliance Database'!$L$2:$L$630,MATCH(616,'Transfer Engine'!$C$2:$C$630,0)))</f>
        <v/>
      </c>
      <c r="M625" s="8">
        <f>IF(ISNA(MATCH(616,'Transfer Engine'!$C$2:$C$630,0)),"",INDEX('Compliance Database'!$M$2:$M$630,MATCH(616,'Transfer Engine'!$C$2:$C$630,0)))</f>
        <v/>
      </c>
      <c r="N625" s="8">
        <f>IF(ISNA(MATCH(616,'Transfer Engine'!$C$2:$C$630,0)),"",INDEX('Compliance Database'!$N$2:$N$630,MATCH(616,'Transfer Engine'!$C$2:$C$630,0)))</f>
        <v/>
      </c>
      <c r="O625" s="8">
        <f>IF(ISNA(MATCH(616,'Transfer Engine'!$C$2:$C$630,0)),"",INDEX('Compliance Database'!$O$2:$O$630,MATCH(616,'Transfer Engine'!$C$2:$C$630,0)))</f>
        <v/>
      </c>
    </row>
    <row r="626">
      <c r="A626">
        <f>IF(ISNA(MATCH(617,'Transfer Engine'!$C$2:$C$630,0)),"",INDEX('Compliance Database'!$A$2:$A$630,MATCH(617,'Transfer Engine'!$C$2:$C$630,0)))</f>
        <v/>
      </c>
      <c r="B626">
        <f>IF(ISNA(MATCH(617,'Transfer Engine'!$C$2:$C$630,0)),"",INDEX('Compliance Database'!$B$2:$B$630,MATCH(617,'Transfer Engine'!$C$2:$C$630,0)))</f>
        <v/>
      </c>
      <c r="C626">
        <f>IF(ISNA(MATCH(617,'Transfer Engine'!$C$2:$C$630,0)),"",INDEX('Compliance Database'!$C$2:$C$630,MATCH(617,'Transfer Engine'!$C$2:$C$630,0)))</f>
        <v/>
      </c>
      <c r="D626" s="8">
        <f>IF(ISNA(MATCH(617,'Transfer Engine'!$C$2:$C$630,0)),"",INDEX('Compliance Database'!$D$2:$D$630,MATCH(617,'Transfer Engine'!$C$2:$C$630,0)))</f>
        <v/>
      </c>
      <c r="E626">
        <f>IF(ISNA(MATCH(617,'Transfer Engine'!$C$2:$C$630,0)),"",INDEX('Compliance Database'!$E$2:$E$630,MATCH(617,'Transfer Engine'!$C$2:$C$630,0)))</f>
        <v/>
      </c>
      <c r="F626">
        <f>IF(ISNA(MATCH(617,'Transfer Engine'!$C$2:$C$630,0)),"",INDEX('Compliance Database'!$F$2:$F$630,MATCH(617,'Transfer Engine'!$C$2:$C$630,0)))</f>
        <v/>
      </c>
      <c r="G626">
        <f>IF(ISNA(MATCH(617,'Transfer Engine'!$C$2:$C$630,0)),"",INDEX('Compliance Database'!$G$2:$G$630,MATCH(617,'Transfer Engine'!$C$2:$C$630,0)))</f>
        <v/>
      </c>
      <c r="H626">
        <f>IF(ISNA(MATCH(617,'Transfer Engine'!$C$2:$C$630,0)),"",INDEX('Compliance Database'!$H$2:$H$630,MATCH(617,'Transfer Engine'!$C$2:$C$630,0)))</f>
        <v/>
      </c>
      <c r="I626" s="8">
        <f>IF(ISNA(MATCH(617,'Transfer Engine'!$C$2:$C$630,0)),"",INDEX('Compliance Database'!$I$2:$I$630,MATCH(617,'Transfer Engine'!$C$2:$C$630,0)))</f>
        <v/>
      </c>
      <c r="J626" s="8">
        <f>IF(ISNA(MATCH(617,'Transfer Engine'!$C$2:$C$630,0)),"",INDEX('Compliance Database'!$J$2:$J$630,MATCH(617,'Transfer Engine'!$C$2:$C$630,0)))</f>
        <v/>
      </c>
      <c r="K626">
        <f>IF(ISNA(MATCH(617,'Transfer Engine'!$C$2:$C$630,0)),"",INDEX('Compliance Database'!$K$2:$K$630,MATCH(617,'Transfer Engine'!$C$2:$C$630,0)))</f>
        <v/>
      </c>
      <c r="L626" s="8">
        <f>IF(ISNA(MATCH(617,'Transfer Engine'!$C$2:$C$630,0)),"",INDEX('Compliance Database'!$L$2:$L$630,MATCH(617,'Transfer Engine'!$C$2:$C$630,0)))</f>
        <v/>
      </c>
      <c r="M626" s="8">
        <f>IF(ISNA(MATCH(617,'Transfer Engine'!$C$2:$C$630,0)),"",INDEX('Compliance Database'!$M$2:$M$630,MATCH(617,'Transfer Engine'!$C$2:$C$630,0)))</f>
        <v/>
      </c>
      <c r="N626" s="8">
        <f>IF(ISNA(MATCH(617,'Transfer Engine'!$C$2:$C$630,0)),"",INDEX('Compliance Database'!$N$2:$N$630,MATCH(617,'Transfer Engine'!$C$2:$C$630,0)))</f>
        <v/>
      </c>
      <c r="O626" s="8">
        <f>IF(ISNA(MATCH(617,'Transfer Engine'!$C$2:$C$630,0)),"",INDEX('Compliance Database'!$O$2:$O$630,MATCH(617,'Transfer Engine'!$C$2:$C$630,0)))</f>
        <v/>
      </c>
    </row>
    <row r="627">
      <c r="A627">
        <f>IF(ISNA(MATCH(618,'Transfer Engine'!$C$2:$C$630,0)),"",INDEX('Compliance Database'!$A$2:$A$630,MATCH(618,'Transfer Engine'!$C$2:$C$630,0)))</f>
        <v/>
      </c>
      <c r="B627">
        <f>IF(ISNA(MATCH(618,'Transfer Engine'!$C$2:$C$630,0)),"",INDEX('Compliance Database'!$B$2:$B$630,MATCH(618,'Transfer Engine'!$C$2:$C$630,0)))</f>
        <v/>
      </c>
      <c r="C627">
        <f>IF(ISNA(MATCH(618,'Transfer Engine'!$C$2:$C$630,0)),"",INDEX('Compliance Database'!$C$2:$C$630,MATCH(618,'Transfer Engine'!$C$2:$C$630,0)))</f>
        <v/>
      </c>
      <c r="D627" s="8">
        <f>IF(ISNA(MATCH(618,'Transfer Engine'!$C$2:$C$630,0)),"",INDEX('Compliance Database'!$D$2:$D$630,MATCH(618,'Transfer Engine'!$C$2:$C$630,0)))</f>
        <v/>
      </c>
      <c r="E627">
        <f>IF(ISNA(MATCH(618,'Transfer Engine'!$C$2:$C$630,0)),"",INDEX('Compliance Database'!$E$2:$E$630,MATCH(618,'Transfer Engine'!$C$2:$C$630,0)))</f>
        <v/>
      </c>
      <c r="F627">
        <f>IF(ISNA(MATCH(618,'Transfer Engine'!$C$2:$C$630,0)),"",INDEX('Compliance Database'!$F$2:$F$630,MATCH(618,'Transfer Engine'!$C$2:$C$630,0)))</f>
        <v/>
      </c>
      <c r="G627">
        <f>IF(ISNA(MATCH(618,'Transfer Engine'!$C$2:$C$630,0)),"",INDEX('Compliance Database'!$G$2:$G$630,MATCH(618,'Transfer Engine'!$C$2:$C$630,0)))</f>
        <v/>
      </c>
      <c r="H627">
        <f>IF(ISNA(MATCH(618,'Transfer Engine'!$C$2:$C$630,0)),"",INDEX('Compliance Database'!$H$2:$H$630,MATCH(618,'Transfer Engine'!$C$2:$C$630,0)))</f>
        <v/>
      </c>
      <c r="I627" s="8">
        <f>IF(ISNA(MATCH(618,'Transfer Engine'!$C$2:$C$630,0)),"",INDEX('Compliance Database'!$I$2:$I$630,MATCH(618,'Transfer Engine'!$C$2:$C$630,0)))</f>
        <v/>
      </c>
      <c r="J627" s="8">
        <f>IF(ISNA(MATCH(618,'Transfer Engine'!$C$2:$C$630,0)),"",INDEX('Compliance Database'!$J$2:$J$630,MATCH(618,'Transfer Engine'!$C$2:$C$630,0)))</f>
        <v/>
      </c>
      <c r="K627">
        <f>IF(ISNA(MATCH(618,'Transfer Engine'!$C$2:$C$630,0)),"",INDEX('Compliance Database'!$K$2:$K$630,MATCH(618,'Transfer Engine'!$C$2:$C$630,0)))</f>
        <v/>
      </c>
      <c r="L627" s="8">
        <f>IF(ISNA(MATCH(618,'Transfer Engine'!$C$2:$C$630,0)),"",INDEX('Compliance Database'!$L$2:$L$630,MATCH(618,'Transfer Engine'!$C$2:$C$630,0)))</f>
        <v/>
      </c>
      <c r="M627" s="8">
        <f>IF(ISNA(MATCH(618,'Transfer Engine'!$C$2:$C$630,0)),"",INDEX('Compliance Database'!$M$2:$M$630,MATCH(618,'Transfer Engine'!$C$2:$C$630,0)))</f>
        <v/>
      </c>
      <c r="N627" s="8">
        <f>IF(ISNA(MATCH(618,'Transfer Engine'!$C$2:$C$630,0)),"",INDEX('Compliance Database'!$N$2:$N$630,MATCH(618,'Transfer Engine'!$C$2:$C$630,0)))</f>
        <v/>
      </c>
      <c r="O627" s="8">
        <f>IF(ISNA(MATCH(618,'Transfer Engine'!$C$2:$C$630,0)),"",INDEX('Compliance Database'!$O$2:$O$630,MATCH(618,'Transfer Engine'!$C$2:$C$630,0)))</f>
        <v/>
      </c>
    </row>
    <row r="628">
      <c r="A628">
        <f>IF(ISNA(MATCH(619,'Transfer Engine'!$C$2:$C$630,0)),"",INDEX('Compliance Database'!$A$2:$A$630,MATCH(619,'Transfer Engine'!$C$2:$C$630,0)))</f>
        <v/>
      </c>
      <c r="B628">
        <f>IF(ISNA(MATCH(619,'Transfer Engine'!$C$2:$C$630,0)),"",INDEX('Compliance Database'!$B$2:$B$630,MATCH(619,'Transfer Engine'!$C$2:$C$630,0)))</f>
        <v/>
      </c>
      <c r="C628">
        <f>IF(ISNA(MATCH(619,'Transfer Engine'!$C$2:$C$630,0)),"",INDEX('Compliance Database'!$C$2:$C$630,MATCH(619,'Transfer Engine'!$C$2:$C$630,0)))</f>
        <v/>
      </c>
      <c r="D628" s="8">
        <f>IF(ISNA(MATCH(619,'Transfer Engine'!$C$2:$C$630,0)),"",INDEX('Compliance Database'!$D$2:$D$630,MATCH(619,'Transfer Engine'!$C$2:$C$630,0)))</f>
        <v/>
      </c>
      <c r="E628">
        <f>IF(ISNA(MATCH(619,'Transfer Engine'!$C$2:$C$630,0)),"",INDEX('Compliance Database'!$E$2:$E$630,MATCH(619,'Transfer Engine'!$C$2:$C$630,0)))</f>
        <v/>
      </c>
      <c r="F628">
        <f>IF(ISNA(MATCH(619,'Transfer Engine'!$C$2:$C$630,0)),"",INDEX('Compliance Database'!$F$2:$F$630,MATCH(619,'Transfer Engine'!$C$2:$C$630,0)))</f>
        <v/>
      </c>
      <c r="G628">
        <f>IF(ISNA(MATCH(619,'Transfer Engine'!$C$2:$C$630,0)),"",INDEX('Compliance Database'!$G$2:$G$630,MATCH(619,'Transfer Engine'!$C$2:$C$630,0)))</f>
        <v/>
      </c>
      <c r="H628">
        <f>IF(ISNA(MATCH(619,'Transfer Engine'!$C$2:$C$630,0)),"",INDEX('Compliance Database'!$H$2:$H$630,MATCH(619,'Transfer Engine'!$C$2:$C$630,0)))</f>
        <v/>
      </c>
      <c r="I628" s="8">
        <f>IF(ISNA(MATCH(619,'Transfer Engine'!$C$2:$C$630,0)),"",INDEX('Compliance Database'!$I$2:$I$630,MATCH(619,'Transfer Engine'!$C$2:$C$630,0)))</f>
        <v/>
      </c>
      <c r="J628" s="8">
        <f>IF(ISNA(MATCH(619,'Transfer Engine'!$C$2:$C$630,0)),"",INDEX('Compliance Database'!$J$2:$J$630,MATCH(619,'Transfer Engine'!$C$2:$C$630,0)))</f>
        <v/>
      </c>
      <c r="K628">
        <f>IF(ISNA(MATCH(619,'Transfer Engine'!$C$2:$C$630,0)),"",INDEX('Compliance Database'!$K$2:$K$630,MATCH(619,'Transfer Engine'!$C$2:$C$630,0)))</f>
        <v/>
      </c>
      <c r="L628" s="8">
        <f>IF(ISNA(MATCH(619,'Transfer Engine'!$C$2:$C$630,0)),"",INDEX('Compliance Database'!$L$2:$L$630,MATCH(619,'Transfer Engine'!$C$2:$C$630,0)))</f>
        <v/>
      </c>
      <c r="M628" s="8">
        <f>IF(ISNA(MATCH(619,'Transfer Engine'!$C$2:$C$630,0)),"",INDEX('Compliance Database'!$M$2:$M$630,MATCH(619,'Transfer Engine'!$C$2:$C$630,0)))</f>
        <v/>
      </c>
      <c r="N628" s="8">
        <f>IF(ISNA(MATCH(619,'Transfer Engine'!$C$2:$C$630,0)),"",INDEX('Compliance Database'!$N$2:$N$630,MATCH(619,'Transfer Engine'!$C$2:$C$630,0)))</f>
        <v/>
      </c>
      <c r="O628" s="8">
        <f>IF(ISNA(MATCH(619,'Transfer Engine'!$C$2:$C$630,0)),"",INDEX('Compliance Database'!$O$2:$O$630,MATCH(619,'Transfer Engine'!$C$2:$C$630,0)))</f>
        <v/>
      </c>
    </row>
    <row r="629">
      <c r="A629">
        <f>IF(ISNA(MATCH(620,'Transfer Engine'!$C$2:$C$630,0)),"",INDEX('Compliance Database'!$A$2:$A$630,MATCH(620,'Transfer Engine'!$C$2:$C$630,0)))</f>
        <v/>
      </c>
      <c r="B629">
        <f>IF(ISNA(MATCH(620,'Transfer Engine'!$C$2:$C$630,0)),"",INDEX('Compliance Database'!$B$2:$B$630,MATCH(620,'Transfer Engine'!$C$2:$C$630,0)))</f>
        <v/>
      </c>
      <c r="C629">
        <f>IF(ISNA(MATCH(620,'Transfer Engine'!$C$2:$C$630,0)),"",INDEX('Compliance Database'!$C$2:$C$630,MATCH(620,'Transfer Engine'!$C$2:$C$630,0)))</f>
        <v/>
      </c>
      <c r="D629" s="8">
        <f>IF(ISNA(MATCH(620,'Transfer Engine'!$C$2:$C$630,0)),"",INDEX('Compliance Database'!$D$2:$D$630,MATCH(620,'Transfer Engine'!$C$2:$C$630,0)))</f>
        <v/>
      </c>
      <c r="E629">
        <f>IF(ISNA(MATCH(620,'Transfer Engine'!$C$2:$C$630,0)),"",INDEX('Compliance Database'!$E$2:$E$630,MATCH(620,'Transfer Engine'!$C$2:$C$630,0)))</f>
        <v/>
      </c>
      <c r="F629">
        <f>IF(ISNA(MATCH(620,'Transfer Engine'!$C$2:$C$630,0)),"",INDEX('Compliance Database'!$F$2:$F$630,MATCH(620,'Transfer Engine'!$C$2:$C$630,0)))</f>
        <v/>
      </c>
      <c r="G629">
        <f>IF(ISNA(MATCH(620,'Transfer Engine'!$C$2:$C$630,0)),"",INDEX('Compliance Database'!$G$2:$G$630,MATCH(620,'Transfer Engine'!$C$2:$C$630,0)))</f>
        <v/>
      </c>
      <c r="H629">
        <f>IF(ISNA(MATCH(620,'Transfer Engine'!$C$2:$C$630,0)),"",INDEX('Compliance Database'!$H$2:$H$630,MATCH(620,'Transfer Engine'!$C$2:$C$630,0)))</f>
        <v/>
      </c>
      <c r="I629" s="8">
        <f>IF(ISNA(MATCH(620,'Transfer Engine'!$C$2:$C$630,0)),"",INDEX('Compliance Database'!$I$2:$I$630,MATCH(620,'Transfer Engine'!$C$2:$C$630,0)))</f>
        <v/>
      </c>
      <c r="J629" s="8">
        <f>IF(ISNA(MATCH(620,'Transfer Engine'!$C$2:$C$630,0)),"",INDEX('Compliance Database'!$J$2:$J$630,MATCH(620,'Transfer Engine'!$C$2:$C$630,0)))</f>
        <v/>
      </c>
      <c r="K629">
        <f>IF(ISNA(MATCH(620,'Transfer Engine'!$C$2:$C$630,0)),"",INDEX('Compliance Database'!$K$2:$K$630,MATCH(620,'Transfer Engine'!$C$2:$C$630,0)))</f>
        <v/>
      </c>
      <c r="L629" s="8">
        <f>IF(ISNA(MATCH(620,'Transfer Engine'!$C$2:$C$630,0)),"",INDEX('Compliance Database'!$L$2:$L$630,MATCH(620,'Transfer Engine'!$C$2:$C$630,0)))</f>
        <v/>
      </c>
      <c r="M629" s="8">
        <f>IF(ISNA(MATCH(620,'Transfer Engine'!$C$2:$C$630,0)),"",INDEX('Compliance Database'!$M$2:$M$630,MATCH(620,'Transfer Engine'!$C$2:$C$630,0)))</f>
        <v/>
      </c>
      <c r="N629" s="8">
        <f>IF(ISNA(MATCH(620,'Transfer Engine'!$C$2:$C$630,0)),"",INDEX('Compliance Database'!$N$2:$N$630,MATCH(620,'Transfer Engine'!$C$2:$C$630,0)))</f>
        <v/>
      </c>
      <c r="O629" s="8">
        <f>IF(ISNA(MATCH(620,'Transfer Engine'!$C$2:$C$630,0)),"",INDEX('Compliance Database'!$O$2:$O$630,MATCH(620,'Transfer Engine'!$C$2:$C$630,0)))</f>
        <v/>
      </c>
    </row>
    <row r="630">
      <c r="A630">
        <f>IF(ISNA(MATCH(621,'Transfer Engine'!$C$2:$C$630,0)),"",INDEX('Compliance Database'!$A$2:$A$630,MATCH(621,'Transfer Engine'!$C$2:$C$630,0)))</f>
        <v/>
      </c>
      <c r="B630">
        <f>IF(ISNA(MATCH(621,'Transfer Engine'!$C$2:$C$630,0)),"",INDEX('Compliance Database'!$B$2:$B$630,MATCH(621,'Transfer Engine'!$C$2:$C$630,0)))</f>
        <v/>
      </c>
      <c r="C630">
        <f>IF(ISNA(MATCH(621,'Transfer Engine'!$C$2:$C$630,0)),"",INDEX('Compliance Database'!$C$2:$C$630,MATCH(621,'Transfer Engine'!$C$2:$C$630,0)))</f>
        <v/>
      </c>
      <c r="D630" s="8">
        <f>IF(ISNA(MATCH(621,'Transfer Engine'!$C$2:$C$630,0)),"",INDEX('Compliance Database'!$D$2:$D$630,MATCH(621,'Transfer Engine'!$C$2:$C$630,0)))</f>
        <v/>
      </c>
      <c r="E630">
        <f>IF(ISNA(MATCH(621,'Transfer Engine'!$C$2:$C$630,0)),"",INDEX('Compliance Database'!$E$2:$E$630,MATCH(621,'Transfer Engine'!$C$2:$C$630,0)))</f>
        <v/>
      </c>
      <c r="F630">
        <f>IF(ISNA(MATCH(621,'Transfer Engine'!$C$2:$C$630,0)),"",INDEX('Compliance Database'!$F$2:$F$630,MATCH(621,'Transfer Engine'!$C$2:$C$630,0)))</f>
        <v/>
      </c>
      <c r="G630">
        <f>IF(ISNA(MATCH(621,'Transfer Engine'!$C$2:$C$630,0)),"",INDEX('Compliance Database'!$G$2:$G$630,MATCH(621,'Transfer Engine'!$C$2:$C$630,0)))</f>
        <v/>
      </c>
      <c r="H630">
        <f>IF(ISNA(MATCH(621,'Transfer Engine'!$C$2:$C$630,0)),"",INDEX('Compliance Database'!$H$2:$H$630,MATCH(621,'Transfer Engine'!$C$2:$C$630,0)))</f>
        <v/>
      </c>
      <c r="I630" s="8">
        <f>IF(ISNA(MATCH(621,'Transfer Engine'!$C$2:$C$630,0)),"",INDEX('Compliance Database'!$I$2:$I$630,MATCH(621,'Transfer Engine'!$C$2:$C$630,0)))</f>
        <v/>
      </c>
      <c r="J630" s="8">
        <f>IF(ISNA(MATCH(621,'Transfer Engine'!$C$2:$C$630,0)),"",INDEX('Compliance Database'!$J$2:$J$630,MATCH(621,'Transfer Engine'!$C$2:$C$630,0)))</f>
        <v/>
      </c>
      <c r="K630">
        <f>IF(ISNA(MATCH(621,'Transfer Engine'!$C$2:$C$630,0)),"",INDEX('Compliance Database'!$K$2:$K$630,MATCH(621,'Transfer Engine'!$C$2:$C$630,0)))</f>
        <v/>
      </c>
      <c r="L630" s="8">
        <f>IF(ISNA(MATCH(621,'Transfer Engine'!$C$2:$C$630,0)),"",INDEX('Compliance Database'!$L$2:$L$630,MATCH(621,'Transfer Engine'!$C$2:$C$630,0)))</f>
        <v/>
      </c>
      <c r="M630" s="8">
        <f>IF(ISNA(MATCH(621,'Transfer Engine'!$C$2:$C$630,0)),"",INDEX('Compliance Database'!$M$2:$M$630,MATCH(621,'Transfer Engine'!$C$2:$C$630,0)))</f>
        <v/>
      </c>
      <c r="N630" s="8">
        <f>IF(ISNA(MATCH(621,'Transfer Engine'!$C$2:$C$630,0)),"",INDEX('Compliance Database'!$N$2:$N$630,MATCH(621,'Transfer Engine'!$C$2:$C$630,0)))</f>
        <v/>
      </c>
      <c r="O630" s="8">
        <f>IF(ISNA(MATCH(621,'Transfer Engine'!$C$2:$C$630,0)),"",INDEX('Compliance Database'!$O$2:$O$630,MATCH(621,'Transfer Engine'!$C$2:$C$630,0)))</f>
        <v/>
      </c>
    </row>
    <row r="631">
      <c r="A631">
        <f>IF(ISNA(MATCH(622,'Transfer Engine'!$C$2:$C$630,0)),"",INDEX('Compliance Database'!$A$2:$A$630,MATCH(622,'Transfer Engine'!$C$2:$C$630,0)))</f>
        <v/>
      </c>
      <c r="B631">
        <f>IF(ISNA(MATCH(622,'Transfer Engine'!$C$2:$C$630,0)),"",INDEX('Compliance Database'!$B$2:$B$630,MATCH(622,'Transfer Engine'!$C$2:$C$630,0)))</f>
        <v/>
      </c>
      <c r="C631">
        <f>IF(ISNA(MATCH(622,'Transfer Engine'!$C$2:$C$630,0)),"",INDEX('Compliance Database'!$C$2:$C$630,MATCH(622,'Transfer Engine'!$C$2:$C$630,0)))</f>
        <v/>
      </c>
      <c r="D631" s="8">
        <f>IF(ISNA(MATCH(622,'Transfer Engine'!$C$2:$C$630,0)),"",INDEX('Compliance Database'!$D$2:$D$630,MATCH(622,'Transfer Engine'!$C$2:$C$630,0)))</f>
        <v/>
      </c>
      <c r="E631">
        <f>IF(ISNA(MATCH(622,'Transfer Engine'!$C$2:$C$630,0)),"",INDEX('Compliance Database'!$E$2:$E$630,MATCH(622,'Transfer Engine'!$C$2:$C$630,0)))</f>
        <v/>
      </c>
      <c r="F631">
        <f>IF(ISNA(MATCH(622,'Transfer Engine'!$C$2:$C$630,0)),"",INDEX('Compliance Database'!$F$2:$F$630,MATCH(622,'Transfer Engine'!$C$2:$C$630,0)))</f>
        <v/>
      </c>
      <c r="G631">
        <f>IF(ISNA(MATCH(622,'Transfer Engine'!$C$2:$C$630,0)),"",INDEX('Compliance Database'!$G$2:$G$630,MATCH(622,'Transfer Engine'!$C$2:$C$630,0)))</f>
        <v/>
      </c>
      <c r="H631">
        <f>IF(ISNA(MATCH(622,'Transfer Engine'!$C$2:$C$630,0)),"",INDEX('Compliance Database'!$H$2:$H$630,MATCH(622,'Transfer Engine'!$C$2:$C$630,0)))</f>
        <v/>
      </c>
      <c r="I631" s="8">
        <f>IF(ISNA(MATCH(622,'Transfer Engine'!$C$2:$C$630,0)),"",INDEX('Compliance Database'!$I$2:$I$630,MATCH(622,'Transfer Engine'!$C$2:$C$630,0)))</f>
        <v/>
      </c>
      <c r="J631" s="8">
        <f>IF(ISNA(MATCH(622,'Transfer Engine'!$C$2:$C$630,0)),"",INDEX('Compliance Database'!$J$2:$J$630,MATCH(622,'Transfer Engine'!$C$2:$C$630,0)))</f>
        <v/>
      </c>
      <c r="K631">
        <f>IF(ISNA(MATCH(622,'Transfer Engine'!$C$2:$C$630,0)),"",INDEX('Compliance Database'!$K$2:$K$630,MATCH(622,'Transfer Engine'!$C$2:$C$630,0)))</f>
        <v/>
      </c>
      <c r="L631" s="8">
        <f>IF(ISNA(MATCH(622,'Transfer Engine'!$C$2:$C$630,0)),"",INDEX('Compliance Database'!$L$2:$L$630,MATCH(622,'Transfer Engine'!$C$2:$C$630,0)))</f>
        <v/>
      </c>
      <c r="M631" s="8">
        <f>IF(ISNA(MATCH(622,'Transfer Engine'!$C$2:$C$630,0)),"",INDEX('Compliance Database'!$M$2:$M$630,MATCH(622,'Transfer Engine'!$C$2:$C$630,0)))</f>
        <v/>
      </c>
      <c r="N631" s="8">
        <f>IF(ISNA(MATCH(622,'Transfer Engine'!$C$2:$C$630,0)),"",INDEX('Compliance Database'!$N$2:$N$630,MATCH(622,'Transfer Engine'!$C$2:$C$630,0)))</f>
        <v/>
      </c>
      <c r="O631" s="8">
        <f>IF(ISNA(MATCH(622,'Transfer Engine'!$C$2:$C$630,0)),"",INDEX('Compliance Database'!$O$2:$O$630,MATCH(622,'Transfer Engine'!$C$2:$C$630,0)))</f>
        <v/>
      </c>
    </row>
    <row r="632">
      <c r="A632">
        <f>IF(ISNA(MATCH(623,'Transfer Engine'!$C$2:$C$630,0)),"",INDEX('Compliance Database'!$A$2:$A$630,MATCH(623,'Transfer Engine'!$C$2:$C$630,0)))</f>
        <v/>
      </c>
      <c r="B632">
        <f>IF(ISNA(MATCH(623,'Transfer Engine'!$C$2:$C$630,0)),"",INDEX('Compliance Database'!$B$2:$B$630,MATCH(623,'Transfer Engine'!$C$2:$C$630,0)))</f>
        <v/>
      </c>
      <c r="C632">
        <f>IF(ISNA(MATCH(623,'Transfer Engine'!$C$2:$C$630,0)),"",INDEX('Compliance Database'!$C$2:$C$630,MATCH(623,'Transfer Engine'!$C$2:$C$630,0)))</f>
        <v/>
      </c>
      <c r="D632" s="8">
        <f>IF(ISNA(MATCH(623,'Transfer Engine'!$C$2:$C$630,0)),"",INDEX('Compliance Database'!$D$2:$D$630,MATCH(623,'Transfer Engine'!$C$2:$C$630,0)))</f>
        <v/>
      </c>
      <c r="E632">
        <f>IF(ISNA(MATCH(623,'Transfer Engine'!$C$2:$C$630,0)),"",INDEX('Compliance Database'!$E$2:$E$630,MATCH(623,'Transfer Engine'!$C$2:$C$630,0)))</f>
        <v/>
      </c>
      <c r="F632">
        <f>IF(ISNA(MATCH(623,'Transfer Engine'!$C$2:$C$630,0)),"",INDEX('Compliance Database'!$F$2:$F$630,MATCH(623,'Transfer Engine'!$C$2:$C$630,0)))</f>
        <v/>
      </c>
      <c r="G632">
        <f>IF(ISNA(MATCH(623,'Transfer Engine'!$C$2:$C$630,0)),"",INDEX('Compliance Database'!$G$2:$G$630,MATCH(623,'Transfer Engine'!$C$2:$C$630,0)))</f>
        <v/>
      </c>
      <c r="H632">
        <f>IF(ISNA(MATCH(623,'Transfer Engine'!$C$2:$C$630,0)),"",INDEX('Compliance Database'!$H$2:$H$630,MATCH(623,'Transfer Engine'!$C$2:$C$630,0)))</f>
        <v/>
      </c>
      <c r="I632" s="8">
        <f>IF(ISNA(MATCH(623,'Transfer Engine'!$C$2:$C$630,0)),"",INDEX('Compliance Database'!$I$2:$I$630,MATCH(623,'Transfer Engine'!$C$2:$C$630,0)))</f>
        <v/>
      </c>
      <c r="J632" s="8">
        <f>IF(ISNA(MATCH(623,'Transfer Engine'!$C$2:$C$630,0)),"",INDEX('Compliance Database'!$J$2:$J$630,MATCH(623,'Transfer Engine'!$C$2:$C$630,0)))</f>
        <v/>
      </c>
      <c r="K632">
        <f>IF(ISNA(MATCH(623,'Transfer Engine'!$C$2:$C$630,0)),"",INDEX('Compliance Database'!$K$2:$K$630,MATCH(623,'Transfer Engine'!$C$2:$C$630,0)))</f>
        <v/>
      </c>
      <c r="L632" s="8">
        <f>IF(ISNA(MATCH(623,'Transfer Engine'!$C$2:$C$630,0)),"",INDEX('Compliance Database'!$L$2:$L$630,MATCH(623,'Transfer Engine'!$C$2:$C$630,0)))</f>
        <v/>
      </c>
      <c r="M632" s="8">
        <f>IF(ISNA(MATCH(623,'Transfer Engine'!$C$2:$C$630,0)),"",INDEX('Compliance Database'!$M$2:$M$630,MATCH(623,'Transfer Engine'!$C$2:$C$630,0)))</f>
        <v/>
      </c>
      <c r="N632" s="8">
        <f>IF(ISNA(MATCH(623,'Transfer Engine'!$C$2:$C$630,0)),"",INDEX('Compliance Database'!$N$2:$N$630,MATCH(623,'Transfer Engine'!$C$2:$C$630,0)))</f>
        <v/>
      </c>
      <c r="O632" s="8">
        <f>IF(ISNA(MATCH(623,'Transfer Engine'!$C$2:$C$630,0)),"",INDEX('Compliance Database'!$O$2:$O$630,MATCH(623,'Transfer Engine'!$C$2:$C$630,0)))</f>
        <v/>
      </c>
    </row>
    <row r="633">
      <c r="A633">
        <f>IF(ISNA(MATCH(624,'Transfer Engine'!$C$2:$C$630,0)),"",INDEX('Compliance Database'!$A$2:$A$630,MATCH(624,'Transfer Engine'!$C$2:$C$630,0)))</f>
        <v/>
      </c>
      <c r="B633">
        <f>IF(ISNA(MATCH(624,'Transfer Engine'!$C$2:$C$630,0)),"",INDEX('Compliance Database'!$B$2:$B$630,MATCH(624,'Transfer Engine'!$C$2:$C$630,0)))</f>
        <v/>
      </c>
      <c r="C633">
        <f>IF(ISNA(MATCH(624,'Transfer Engine'!$C$2:$C$630,0)),"",INDEX('Compliance Database'!$C$2:$C$630,MATCH(624,'Transfer Engine'!$C$2:$C$630,0)))</f>
        <v/>
      </c>
      <c r="D633" s="8">
        <f>IF(ISNA(MATCH(624,'Transfer Engine'!$C$2:$C$630,0)),"",INDEX('Compliance Database'!$D$2:$D$630,MATCH(624,'Transfer Engine'!$C$2:$C$630,0)))</f>
        <v/>
      </c>
      <c r="E633">
        <f>IF(ISNA(MATCH(624,'Transfer Engine'!$C$2:$C$630,0)),"",INDEX('Compliance Database'!$E$2:$E$630,MATCH(624,'Transfer Engine'!$C$2:$C$630,0)))</f>
        <v/>
      </c>
      <c r="F633">
        <f>IF(ISNA(MATCH(624,'Transfer Engine'!$C$2:$C$630,0)),"",INDEX('Compliance Database'!$F$2:$F$630,MATCH(624,'Transfer Engine'!$C$2:$C$630,0)))</f>
        <v/>
      </c>
      <c r="G633">
        <f>IF(ISNA(MATCH(624,'Transfer Engine'!$C$2:$C$630,0)),"",INDEX('Compliance Database'!$G$2:$G$630,MATCH(624,'Transfer Engine'!$C$2:$C$630,0)))</f>
        <v/>
      </c>
      <c r="H633">
        <f>IF(ISNA(MATCH(624,'Transfer Engine'!$C$2:$C$630,0)),"",INDEX('Compliance Database'!$H$2:$H$630,MATCH(624,'Transfer Engine'!$C$2:$C$630,0)))</f>
        <v/>
      </c>
      <c r="I633" s="8">
        <f>IF(ISNA(MATCH(624,'Transfer Engine'!$C$2:$C$630,0)),"",INDEX('Compliance Database'!$I$2:$I$630,MATCH(624,'Transfer Engine'!$C$2:$C$630,0)))</f>
        <v/>
      </c>
      <c r="J633" s="8">
        <f>IF(ISNA(MATCH(624,'Transfer Engine'!$C$2:$C$630,0)),"",INDEX('Compliance Database'!$J$2:$J$630,MATCH(624,'Transfer Engine'!$C$2:$C$630,0)))</f>
        <v/>
      </c>
      <c r="K633">
        <f>IF(ISNA(MATCH(624,'Transfer Engine'!$C$2:$C$630,0)),"",INDEX('Compliance Database'!$K$2:$K$630,MATCH(624,'Transfer Engine'!$C$2:$C$630,0)))</f>
        <v/>
      </c>
      <c r="L633" s="8">
        <f>IF(ISNA(MATCH(624,'Transfer Engine'!$C$2:$C$630,0)),"",INDEX('Compliance Database'!$L$2:$L$630,MATCH(624,'Transfer Engine'!$C$2:$C$630,0)))</f>
        <v/>
      </c>
      <c r="M633" s="8">
        <f>IF(ISNA(MATCH(624,'Transfer Engine'!$C$2:$C$630,0)),"",INDEX('Compliance Database'!$M$2:$M$630,MATCH(624,'Transfer Engine'!$C$2:$C$630,0)))</f>
        <v/>
      </c>
      <c r="N633" s="8">
        <f>IF(ISNA(MATCH(624,'Transfer Engine'!$C$2:$C$630,0)),"",INDEX('Compliance Database'!$N$2:$N$630,MATCH(624,'Transfer Engine'!$C$2:$C$630,0)))</f>
        <v/>
      </c>
      <c r="O633" s="8">
        <f>IF(ISNA(MATCH(624,'Transfer Engine'!$C$2:$C$630,0)),"",INDEX('Compliance Database'!$O$2:$O$630,MATCH(624,'Transfer Engine'!$C$2:$C$630,0)))</f>
        <v/>
      </c>
    </row>
    <row r="634">
      <c r="A634">
        <f>IF(ISNA(MATCH(625,'Transfer Engine'!$C$2:$C$630,0)),"",INDEX('Compliance Database'!$A$2:$A$630,MATCH(625,'Transfer Engine'!$C$2:$C$630,0)))</f>
        <v/>
      </c>
      <c r="B634">
        <f>IF(ISNA(MATCH(625,'Transfer Engine'!$C$2:$C$630,0)),"",INDEX('Compliance Database'!$B$2:$B$630,MATCH(625,'Transfer Engine'!$C$2:$C$630,0)))</f>
        <v/>
      </c>
      <c r="C634">
        <f>IF(ISNA(MATCH(625,'Transfer Engine'!$C$2:$C$630,0)),"",INDEX('Compliance Database'!$C$2:$C$630,MATCH(625,'Transfer Engine'!$C$2:$C$630,0)))</f>
        <v/>
      </c>
      <c r="D634" s="8">
        <f>IF(ISNA(MATCH(625,'Transfer Engine'!$C$2:$C$630,0)),"",INDEX('Compliance Database'!$D$2:$D$630,MATCH(625,'Transfer Engine'!$C$2:$C$630,0)))</f>
        <v/>
      </c>
      <c r="E634">
        <f>IF(ISNA(MATCH(625,'Transfer Engine'!$C$2:$C$630,0)),"",INDEX('Compliance Database'!$E$2:$E$630,MATCH(625,'Transfer Engine'!$C$2:$C$630,0)))</f>
        <v/>
      </c>
      <c r="F634">
        <f>IF(ISNA(MATCH(625,'Transfer Engine'!$C$2:$C$630,0)),"",INDEX('Compliance Database'!$F$2:$F$630,MATCH(625,'Transfer Engine'!$C$2:$C$630,0)))</f>
        <v/>
      </c>
      <c r="G634">
        <f>IF(ISNA(MATCH(625,'Transfer Engine'!$C$2:$C$630,0)),"",INDEX('Compliance Database'!$G$2:$G$630,MATCH(625,'Transfer Engine'!$C$2:$C$630,0)))</f>
        <v/>
      </c>
      <c r="H634">
        <f>IF(ISNA(MATCH(625,'Transfer Engine'!$C$2:$C$630,0)),"",INDEX('Compliance Database'!$H$2:$H$630,MATCH(625,'Transfer Engine'!$C$2:$C$630,0)))</f>
        <v/>
      </c>
      <c r="I634" s="8">
        <f>IF(ISNA(MATCH(625,'Transfer Engine'!$C$2:$C$630,0)),"",INDEX('Compliance Database'!$I$2:$I$630,MATCH(625,'Transfer Engine'!$C$2:$C$630,0)))</f>
        <v/>
      </c>
      <c r="J634" s="8">
        <f>IF(ISNA(MATCH(625,'Transfer Engine'!$C$2:$C$630,0)),"",INDEX('Compliance Database'!$J$2:$J$630,MATCH(625,'Transfer Engine'!$C$2:$C$630,0)))</f>
        <v/>
      </c>
      <c r="K634">
        <f>IF(ISNA(MATCH(625,'Transfer Engine'!$C$2:$C$630,0)),"",INDEX('Compliance Database'!$K$2:$K$630,MATCH(625,'Transfer Engine'!$C$2:$C$630,0)))</f>
        <v/>
      </c>
      <c r="L634" s="8">
        <f>IF(ISNA(MATCH(625,'Transfer Engine'!$C$2:$C$630,0)),"",INDEX('Compliance Database'!$L$2:$L$630,MATCH(625,'Transfer Engine'!$C$2:$C$630,0)))</f>
        <v/>
      </c>
      <c r="M634" s="8">
        <f>IF(ISNA(MATCH(625,'Transfer Engine'!$C$2:$C$630,0)),"",INDEX('Compliance Database'!$M$2:$M$630,MATCH(625,'Transfer Engine'!$C$2:$C$630,0)))</f>
        <v/>
      </c>
      <c r="N634" s="8">
        <f>IF(ISNA(MATCH(625,'Transfer Engine'!$C$2:$C$630,0)),"",INDEX('Compliance Database'!$N$2:$N$630,MATCH(625,'Transfer Engine'!$C$2:$C$630,0)))</f>
        <v/>
      </c>
      <c r="O634" s="8">
        <f>IF(ISNA(MATCH(625,'Transfer Engine'!$C$2:$C$630,0)),"",INDEX('Compliance Database'!$O$2:$O$630,MATCH(625,'Transfer Engine'!$C$2:$C$630,0)))</f>
        <v/>
      </c>
    </row>
    <row r="635">
      <c r="A635">
        <f>IF(ISNA(MATCH(626,'Transfer Engine'!$C$2:$C$630,0)),"",INDEX('Compliance Database'!$A$2:$A$630,MATCH(626,'Transfer Engine'!$C$2:$C$630,0)))</f>
        <v/>
      </c>
      <c r="B635">
        <f>IF(ISNA(MATCH(626,'Transfer Engine'!$C$2:$C$630,0)),"",INDEX('Compliance Database'!$B$2:$B$630,MATCH(626,'Transfer Engine'!$C$2:$C$630,0)))</f>
        <v/>
      </c>
      <c r="C635">
        <f>IF(ISNA(MATCH(626,'Transfer Engine'!$C$2:$C$630,0)),"",INDEX('Compliance Database'!$C$2:$C$630,MATCH(626,'Transfer Engine'!$C$2:$C$630,0)))</f>
        <v/>
      </c>
      <c r="D635" s="8">
        <f>IF(ISNA(MATCH(626,'Transfer Engine'!$C$2:$C$630,0)),"",INDEX('Compliance Database'!$D$2:$D$630,MATCH(626,'Transfer Engine'!$C$2:$C$630,0)))</f>
        <v/>
      </c>
      <c r="E635">
        <f>IF(ISNA(MATCH(626,'Transfer Engine'!$C$2:$C$630,0)),"",INDEX('Compliance Database'!$E$2:$E$630,MATCH(626,'Transfer Engine'!$C$2:$C$630,0)))</f>
        <v/>
      </c>
      <c r="F635">
        <f>IF(ISNA(MATCH(626,'Transfer Engine'!$C$2:$C$630,0)),"",INDEX('Compliance Database'!$F$2:$F$630,MATCH(626,'Transfer Engine'!$C$2:$C$630,0)))</f>
        <v/>
      </c>
      <c r="G635">
        <f>IF(ISNA(MATCH(626,'Transfer Engine'!$C$2:$C$630,0)),"",INDEX('Compliance Database'!$G$2:$G$630,MATCH(626,'Transfer Engine'!$C$2:$C$630,0)))</f>
        <v/>
      </c>
      <c r="H635">
        <f>IF(ISNA(MATCH(626,'Transfer Engine'!$C$2:$C$630,0)),"",INDEX('Compliance Database'!$H$2:$H$630,MATCH(626,'Transfer Engine'!$C$2:$C$630,0)))</f>
        <v/>
      </c>
      <c r="I635" s="8">
        <f>IF(ISNA(MATCH(626,'Transfer Engine'!$C$2:$C$630,0)),"",INDEX('Compliance Database'!$I$2:$I$630,MATCH(626,'Transfer Engine'!$C$2:$C$630,0)))</f>
        <v/>
      </c>
      <c r="J635" s="8">
        <f>IF(ISNA(MATCH(626,'Transfer Engine'!$C$2:$C$630,0)),"",INDEX('Compliance Database'!$J$2:$J$630,MATCH(626,'Transfer Engine'!$C$2:$C$630,0)))</f>
        <v/>
      </c>
      <c r="K635">
        <f>IF(ISNA(MATCH(626,'Transfer Engine'!$C$2:$C$630,0)),"",INDEX('Compliance Database'!$K$2:$K$630,MATCH(626,'Transfer Engine'!$C$2:$C$630,0)))</f>
        <v/>
      </c>
      <c r="L635" s="8">
        <f>IF(ISNA(MATCH(626,'Transfer Engine'!$C$2:$C$630,0)),"",INDEX('Compliance Database'!$L$2:$L$630,MATCH(626,'Transfer Engine'!$C$2:$C$630,0)))</f>
        <v/>
      </c>
      <c r="M635" s="8">
        <f>IF(ISNA(MATCH(626,'Transfer Engine'!$C$2:$C$630,0)),"",INDEX('Compliance Database'!$M$2:$M$630,MATCH(626,'Transfer Engine'!$C$2:$C$630,0)))</f>
        <v/>
      </c>
      <c r="N635" s="8">
        <f>IF(ISNA(MATCH(626,'Transfer Engine'!$C$2:$C$630,0)),"",INDEX('Compliance Database'!$N$2:$N$630,MATCH(626,'Transfer Engine'!$C$2:$C$630,0)))</f>
        <v/>
      </c>
      <c r="O635" s="8">
        <f>IF(ISNA(MATCH(626,'Transfer Engine'!$C$2:$C$630,0)),"",INDEX('Compliance Database'!$O$2:$O$630,MATCH(626,'Transfer Engine'!$C$2:$C$630,0)))</f>
        <v/>
      </c>
    </row>
    <row r="636">
      <c r="A636">
        <f>IF(ISNA(MATCH(627,'Transfer Engine'!$C$2:$C$630,0)),"",INDEX('Compliance Database'!$A$2:$A$630,MATCH(627,'Transfer Engine'!$C$2:$C$630,0)))</f>
        <v/>
      </c>
      <c r="B636">
        <f>IF(ISNA(MATCH(627,'Transfer Engine'!$C$2:$C$630,0)),"",INDEX('Compliance Database'!$B$2:$B$630,MATCH(627,'Transfer Engine'!$C$2:$C$630,0)))</f>
        <v/>
      </c>
      <c r="C636">
        <f>IF(ISNA(MATCH(627,'Transfer Engine'!$C$2:$C$630,0)),"",INDEX('Compliance Database'!$C$2:$C$630,MATCH(627,'Transfer Engine'!$C$2:$C$630,0)))</f>
        <v/>
      </c>
      <c r="D636" s="8">
        <f>IF(ISNA(MATCH(627,'Transfer Engine'!$C$2:$C$630,0)),"",INDEX('Compliance Database'!$D$2:$D$630,MATCH(627,'Transfer Engine'!$C$2:$C$630,0)))</f>
        <v/>
      </c>
      <c r="E636">
        <f>IF(ISNA(MATCH(627,'Transfer Engine'!$C$2:$C$630,0)),"",INDEX('Compliance Database'!$E$2:$E$630,MATCH(627,'Transfer Engine'!$C$2:$C$630,0)))</f>
        <v/>
      </c>
      <c r="F636">
        <f>IF(ISNA(MATCH(627,'Transfer Engine'!$C$2:$C$630,0)),"",INDEX('Compliance Database'!$F$2:$F$630,MATCH(627,'Transfer Engine'!$C$2:$C$630,0)))</f>
        <v/>
      </c>
      <c r="G636">
        <f>IF(ISNA(MATCH(627,'Transfer Engine'!$C$2:$C$630,0)),"",INDEX('Compliance Database'!$G$2:$G$630,MATCH(627,'Transfer Engine'!$C$2:$C$630,0)))</f>
        <v/>
      </c>
      <c r="H636">
        <f>IF(ISNA(MATCH(627,'Transfer Engine'!$C$2:$C$630,0)),"",INDEX('Compliance Database'!$H$2:$H$630,MATCH(627,'Transfer Engine'!$C$2:$C$630,0)))</f>
        <v/>
      </c>
      <c r="I636" s="8">
        <f>IF(ISNA(MATCH(627,'Transfer Engine'!$C$2:$C$630,0)),"",INDEX('Compliance Database'!$I$2:$I$630,MATCH(627,'Transfer Engine'!$C$2:$C$630,0)))</f>
        <v/>
      </c>
      <c r="J636" s="8">
        <f>IF(ISNA(MATCH(627,'Transfer Engine'!$C$2:$C$630,0)),"",INDEX('Compliance Database'!$J$2:$J$630,MATCH(627,'Transfer Engine'!$C$2:$C$630,0)))</f>
        <v/>
      </c>
      <c r="K636">
        <f>IF(ISNA(MATCH(627,'Transfer Engine'!$C$2:$C$630,0)),"",INDEX('Compliance Database'!$K$2:$K$630,MATCH(627,'Transfer Engine'!$C$2:$C$630,0)))</f>
        <v/>
      </c>
      <c r="L636" s="8">
        <f>IF(ISNA(MATCH(627,'Transfer Engine'!$C$2:$C$630,0)),"",INDEX('Compliance Database'!$L$2:$L$630,MATCH(627,'Transfer Engine'!$C$2:$C$630,0)))</f>
        <v/>
      </c>
      <c r="M636" s="8">
        <f>IF(ISNA(MATCH(627,'Transfer Engine'!$C$2:$C$630,0)),"",INDEX('Compliance Database'!$M$2:$M$630,MATCH(627,'Transfer Engine'!$C$2:$C$630,0)))</f>
        <v/>
      </c>
      <c r="N636" s="8">
        <f>IF(ISNA(MATCH(627,'Transfer Engine'!$C$2:$C$630,0)),"",INDEX('Compliance Database'!$N$2:$N$630,MATCH(627,'Transfer Engine'!$C$2:$C$630,0)))</f>
        <v/>
      </c>
      <c r="O636" s="8">
        <f>IF(ISNA(MATCH(627,'Transfer Engine'!$C$2:$C$630,0)),"",INDEX('Compliance Database'!$O$2:$O$630,MATCH(627,'Transfer Engine'!$C$2:$C$630,0)))</f>
        <v/>
      </c>
    </row>
    <row r="637">
      <c r="A637">
        <f>IF(ISNA(MATCH(628,'Transfer Engine'!$C$2:$C$630,0)),"",INDEX('Compliance Database'!$A$2:$A$630,MATCH(628,'Transfer Engine'!$C$2:$C$630,0)))</f>
        <v/>
      </c>
      <c r="B637">
        <f>IF(ISNA(MATCH(628,'Transfer Engine'!$C$2:$C$630,0)),"",INDEX('Compliance Database'!$B$2:$B$630,MATCH(628,'Transfer Engine'!$C$2:$C$630,0)))</f>
        <v/>
      </c>
      <c r="C637">
        <f>IF(ISNA(MATCH(628,'Transfer Engine'!$C$2:$C$630,0)),"",INDEX('Compliance Database'!$C$2:$C$630,MATCH(628,'Transfer Engine'!$C$2:$C$630,0)))</f>
        <v/>
      </c>
      <c r="D637" s="8">
        <f>IF(ISNA(MATCH(628,'Transfer Engine'!$C$2:$C$630,0)),"",INDEX('Compliance Database'!$D$2:$D$630,MATCH(628,'Transfer Engine'!$C$2:$C$630,0)))</f>
        <v/>
      </c>
      <c r="E637">
        <f>IF(ISNA(MATCH(628,'Transfer Engine'!$C$2:$C$630,0)),"",INDEX('Compliance Database'!$E$2:$E$630,MATCH(628,'Transfer Engine'!$C$2:$C$630,0)))</f>
        <v/>
      </c>
      <c r="F637">
        <f>IF(ISNA(MATCH(628,'Transfer Engine'!$C$2:$C$630,0)),"",INDEX('Compliance Database'!$F$2:$F$630,MATCH(628,'Transfer Engine'!$C$2:$C$630,0)))</f>
        <v/>
      </c>
      <c r="G637">
        <f>IF(ISNA(MATCH(628,'Transfer Engine'!$C$2:$C$630,0)),"",INDEX('Compliance Database'!$G$2:$G$630,MATCH(628,'Transfer Engine'!$C$2:$C$630,0)))</f>
        <v/>
      </c>
      <c r="H637">
        <f>IF(ISNA(MATCH(628,'Transfer Engine'!$C$2:$C$630,0)),"",INDEX('Compliance Database'!$H$2:$H$630,MATCH(628,'Transfer Engine'!$C$2:$C$630,0)))</f>
        <v/>
      </c>
      <c r="I637" s="8">
        <f>IF(ISNA(MATCH(628,'Transfer Engine'!$C$2:$C$630,0)),"",INDEX('Compliance Database'!$I$2:$I$630,MATCH(628,'Transfer Engine'!$C$2:$C$630,0)))</f>
        <v/>
      </c>
      <c r="J637" s="8">
        <f>IF(ISNA(MATCH(628,'Transfer Engine'!$C$2:$C$630,0)),"",INDEX('Compliance Database'!$J$2:$J$630,MATCH(628,'Transfer Engine'!$C$2:$C$630,0)))</f>
        <v/>
      </c>
      <c r="K637">
        <f>IF(ISNA(MATCH(628,'Transfer Engine'!$C$2:$C$630,0)),"",INDEX('Compliance Database'!$K$2:$K$630,MATCH(628,'Transfer Engine'!$C$2:$C$630,0)))</f>
        <v/>
      </c>
      <c r="L637" s="8">
        <f>IF(ISNA(MATCH(628,'Transfer Engine'!$C$2:$C$630,0)),"",INDEX('Compliance Database'!$L$2:$L$630,MATCH(628,'Transfer Engine'!$C$2:$C$630,0)))</f>
        <v/>
      </c>
      <c r="M637" s="8">
        <f>IF(ISNA(MATCH(628,'Transfer Engine'!$C$2:$C$630,0)),"",INDEX('Compliance Database'!$M$2:$M$630,MATCH(628,'Transfer Engine'!$C$2:$C$630,0)))</f>
        <v/>
      </c>
      <c r="N637" s="8">
        <f>IF(ISNA(MATCH(628,'Transfer Engine'!$C$2:$C$630,0)),"",INDEX('Compliance Database'!$N$2:$N$630,MATCH(628,'Transfer Engine'!$C$2:$C$630,0)))</f>
        <v/>
      </c>
      <c r="O637" s="8">
        <f>IF(ISNA(MATCH(628,'Transfer Engine'!$C$2:$C$630,0)),"",INDEX('Compliance Database'!$O$2:$O$630,MATCH(628,'Transfer Engine'!$C$2:$C$630,0)))</f>
        <v/>
      </c>
    </row>
    <row r="638">
      <c r="A638">
        <f>IF(ISNA(MATCH(629,'Transfer Engine'!$C$2:$C$630,0)),"",INDEX('Compliance Database'!$A$2:$A$630,MATCH(629,'Transfer Engine'!$C$2:$C$630,0)))</f>
        <v/>
      </c>
      <c r="B638">
        <f>IF(ISNA(MATCH(629,'Transfer Engine'!$C$2:$C$630,0)),"",INDEX('Compliance Database'!$B$2:$B$630,MATCH(629,'Transfer Engine'!$C$2:$C$630,0)))</f>
        <v/>
      </c>
      <c r="C638">
        <f>IF(ISNA(MATCH(629,'Transfer Engine'!$C$2:$C$630,0)),"",INDEX('Compliance Database'!$C$2:$C$630,MATCH(629,'Transfer Engine'!$C$2:$C$630,0)))</f>
        <v/>
      </c>
      <c r="D638" s="8">
        <f>IF(ISNA(MATCH(629,'Transfer Engine'!$C$2:$C$630,0)),"",INDEX('Compliance Database'!$D$2:$D$630,MATCH(629,'Transfer Engine'!$C$2:$C$630,0)))</f>
        <v/>
      </c>
      <c r="E638">
        <f>IF(ISNA(MATCH(629,'Transfer Engine'!$C$2:$C$630,0)),"",INDEX('Compliance Database'!$E$2:$E$630,MATCH(629,'Transfer Engine'!$C$2:$C$630,0)))</f>
        <v/>
      </c>
      <c r="F638">
        <f>IF(ISNA(MATCH(629,'Transfer Engine'!$C$2:$C$630,0)),"",INDEX('Compliance Database'!$F$2:$F$630,MATCH(629,'Transfer Engine'!$C$2:$C$630,0)))</f>
        <v/>
      </c>
      <c r="G638">
        <f>IF(ISNA(MATCH(629,'Transfer Engine'!$C$2:$C$630,0)),"",INDEX('Compliance Database'!$G$2:$G$630,MATCH(629,'Transfer Engine'!$C$2:$C$630,0)))</f>
        <v/>
      </c>
      <c r="H638">
        <f>IF(ISNA(MATCH(629,'Transfer Engine'!$C$2:$C$630,0)),"",INDEX('Compliance Database'!$H$2:$H$630,MATCH(629,'Transfer Engine'!$C$2:$C$630,0)))</f>
        <v/>
      </c>
      <c r="I638" s="8">
        <f>IF(ISNA(MATCH(629,'Transfer Engine'!$C$2:$C$630,0)),"",INDEX('Compliance Database'!$I$2:$I$630,MATCH(629,'Transfer Engine'!$C$2:$C$630,0)))</f>
        <v/>
      </c>
      <c r="J638" s="8">
        <f>IF(ISNA(MATCH(629,'Transfer Engine'!$C$2:$C$630,0)),"",INDEX('Compliance Database'!$J$2:$J$630,MATCH(629,'Transfer Engine'!$C$2:$C$630,0)))</f>
        <v/>
      </c>
      <c r="K638">
        <f>IF(ISNA(MATCH(629,'Transfer Engine'!$C$2:$C$630,0)),"",INDEX('Compliance Database'!$K$2:$K$630,MATCH(629,'Transfer Engine'!$C$2:$C$630,0)))</f>
        <v/>
      </c>
      <c r="L638" s="8">
        <f>IF(ISNA(MATCH(629,'Transfer Engine'!$C$2:$C$630,0)),"",INDEX('Compliance Database'!$L$2:$L$630,MATCH(629,'Transfer Engine'!$C$2:$C$630,0)))</f>
        <v/>
      </c>
      <c r="M638" s="8">
        <f>IF(ISNA(MATCH(629,'Transfer Engine'!$C$2:$C$630,0)),"",INDEX('Compliance Database'!$M$2:$M$630,MATCH(629,'Transfer Engine'!$C$2:$C$630,0)))</f>
        <v/>
      </c>
      <c r="N638" s="8">
        <f>IF(ISNA(MATCH(629,'Transfer Engine'!$C$2:$C$630,0)),"",INDEX('Compliance Database'!$N$2:$N$630,MATCH(629,'Transfer Engine'!$C$2:$C$630,0)))</f>
        <v/>
      </c>
      <c r="O638" s="8">
        <f>IF(ISNA(MATCH(629,'Transfer Engine'!$C$2:$C$630,0)),"",INDEX('Compliance Database'!$O$2:$O$630,MATCH(629,'Transfer Engine'!$C$2:$C$630,0)))</f>
        <v/>
      </c>
    </row>
  </sheetData>
  <mergeCells count="1">
    <mergeCell ref="A1:D1"/>
  </mergeCells>
  <dataValidations count="2">
    <dataValidation sqref="B4" showDropDown="0" showInputMessage="0" showErrorMessage="0" allowBlank="1" type="list">
      <formula1>Lists!$A$3:$A$11</formula1>
    </dataValidation>
    <dataValidation sqref="B5" showDropDown="0" showInputMessage="0" showErrorMessage="0" allowBlank="1" type="list">
      <formula1>Lists!$A$3:$A$11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30"/>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45" customWidth="1" min="4" max="4"/>
    <col width="12" customWidth="1" min="5" max="5"/>
    <col width="40" customWidth="1" min="6" max="6"/>
    <col width="21" customWidth="1" min="7" max="7"/>
    <col width="31" customWidth="1" min="8" max="8"/>
    <col width="45" customWidth="1" min="9" max="9"/>
    <col width="45" customWidth="1" min="10" max="10"/>
    <col width="60" customWidth="1" min="11" max="11"/>
    <col width="45" customWidth="1" min="12" max="12"/>
    <col width="45" customWidth="1" min="13" max="13"/>
    <col width="45" customWidth="1" min="14" max="14"/>
    <col width="45" customWidth="1" min="15" max="15"/>
  </cols>
  <sheetData>
    <row r="1">
      <c r="A1" s="9" t="inlineStr">
        <is>
          <t>Country</t>
        </is>
      </c>
      <c r="B1" s="9" t="inlineStr">
        <is>
          <t>Act</t>
        </is>
      </c>
      <c r="C1" s="9" t="inlineStr">
        <is>
          <t>Section</t>
        </is>
      </c>
      <c r="D1" s="9" t="inlineStr">
        <is>
          <t>Heading</t>
        </is>
      </c>
      <c r="E1" s="9" t="inlineStr">
        <is>
          <t>Pages</t>
        </is>
      </c>
      <c r="F1" s="9" t="inlineStr">
        <is>
          <t>Category</t>
        </is>
      </c>
      <c r="G1" s="9" t="inlineStr">
        <is>
          <t>Financial Relevance</t>
        </is>
      </c>
      <c r="H1" s="9" t="inlineStr">
        <is>
          <t>Confidence</t>
        </is>
      </c>
      <c r="I1" s="9" t="inlineStr">
        <is>
          <t>Topics</t>
        </is>
      </c>
      <c r="J1" s="9" t="inlineStr">
        <is>
          <t>Data Types</t>
        </is>
      </c>
      <c r="K1" s="9" t="inlineStr">
        <is>
          <t>Authority</t>
        </is>
      </c>
      <c r="L1" s="9" t="inlineStr">
        <is>
          <t>Summary</t>
        </is>
      </c>
      <c r="M1" s="9" t="inlineStr">
        <is>
          <t>DTIA Summary</t>
        </is>
      </c>
      <c r="N1" s="9" t="inlineStr">
        <is>
          <t>Requirements</t>
        </is>
      </c>
      <c r="O1" s="9" t="inlineStr">
        <is>
          <t>Source Quote</t>
        </is>
      </c>
    </row>
    <row r="2">
      <c r="A2" t="inlineStr">
        <is>
          <t>Australia</t>
        </is>
      </c>
      <c r="B2" t="inlineStr">
        <is>
          <t>C2004A01182 (Australia - Row 25)</t>
        </is>
      </c>
      <c r="C2" t="inlineStr">
        <is>
          <t>4</t>
        </is>
      </c>
      <c r="D2" s="8" t="inlineStr">
        <is>
          <t>Vocational Education and Training Funding Act 1992</t>
        </is>
      </c>
      <c r="E2" t="inlineStr">
        <is>
          <t>3–10</t>
        </is>
      </c>
      <c r="F2" t="inlineStr">
        <is>
          <t>Other</t>
        </is>
      </c>
      <c r="G2" t="inlineStr">
        <is>
          <t>None</t>
        </is>
      </c>
      <c r="H2" t="inlineStr">
        <is>
          <t>Low</t>
        </is>
      </c>
      <c r="I2" s="8" t="inlineStr"/>
      <c r="J2" s="8" t="inlineStr"/>
      <c r="K2" t="inlineStr"/>
      <c r="L2" s="8" t="inlineStr"/>
      <c r="M2" s="8" t="inlineStr"/>
      <c r="N2" s="8" t="inlineStr"/>
      <c r="O2" s="8" t="inlineStr">
        <is>
          <t>4  Vocational Education and Training Funding Act 1992</t>
        </is>
      </c>
    </row>
    <row r="3">
      <c r="A3" t="inlineStr">
        <is>
          <t>Australia</t>
        </is>
      </c>
      <c r="B3" t="inlineStr">
        <is>
          <t>C2004C01271-1 (Australia - Row 7)</t>
        </is>
      </c>
      <c r="C3" t="inlineStr">
        <is>
          <t>7</t>
        </is>
      </c>
      <c r="D3" s="8" t="inlineStr">
        <is>
          <t>An Act to provide income tax deductions for</t>
        </is>
      </c>
      <c r="E3" t="inlineStr">
        <is>
          <t>3–11</t>
        </is>
      </c>
      <c r="F3" t="inlineStr">
        <is>
          <t>Other</t>
        </is>
      </c>
      <c r="G3" t="inlineStr">
        <is>
          <t>Low</t>
        </is>
      </c>
      <c r="H3" t="inlineStr">
        <is>
          <t>High (explicit)</t>
        </is>
      </c>
      <c r="I3" s="8" t="inlineStr"/>
      <c r="J3" s="8" t="inlineStr"/>
      <c r="K3" t="inlineStr"/>
      <c r="L3" s="8" t="inlineStr">
        <is>
          <t>This Act amends the Taxation Laws to provide income tax deductions for shares in film licensed investment companies (FLICs) issued during the period the FLIC's concessional capital licence is in force.</t>
        </is>
      </c>
      <c r="M3" s="8" t="inlineStr"/>
      <c r="N3" s="8" t="inlineStr"/>
      <c r="O3" s="8" t="inlineStr">
        <is>
          <t>An Act to provide income tax deductions for investment in film licensed investment companies, and for related purposes [Assented to 7 December 1998]</t>
        </is>
      </c>
    </row>
    <row r="4">
      <c r="A4" t="inlineStr">
        <is>
          <t>GDPR</t>
        </is>
      </c>
      <c r="B4" t="inlineStr">
        <is>
          <t>CELEX_32002L0058_EN_TXT (GDPR Row 7)</t>
        </is>
      </c>
      <c r="C4" t="inlineStr">
        <is>
          <t>1</t>
        </is>
      </c>
      <c r="D4" s="8" t="inlineStr">
        <is>
          <t>This Directive harmonises the provisions of the Member</t>
        </is>
      </c>
      <c r="E4" t="inlineStr">
        <is>
          <t>6–7</t>
        </is>
      </c>
      <c r="F4" t="inlineStr">
        <is>
          <t>Data Sharing</t>
        </is>
      </c>
      <c r="G4" t="inlineStr">
        <is>
          <t>None</t>
        </is>
      </c>
      <c r="H4" t="inlineStr">
        <is>
          <t>High (explicit)</t>
        </is>
      </c>
      <c r="I4" s="8" t="inlineStr">
        <is>
          <t>Data Sharing</t>
        </is>
      </c>
      <c r="J4" s="8" t="inlineStr">
        <is>
          <t>Personal Information</t>
        </is>
      </c>
      <c r="K4" t="inlineStr"/>
      <c r="L4" s="8" t="inlineStr">
        <is>
          <t>Subscribers must be informed about directory purposes and usage before inclusion in public directories.</t>
        </is>
      </c>
      <c r="M4" s="8" t="inlineStr">
        <is>
          <t>Subscribers must be informed about directory purposes and usage before inclusion in public directories.</t>
        </is>
      </c>
      <c r="N4" s="8" t="inlineStr">
        <is>
          <t>[Must] Member States shall ensure that subscribers are informed, free of charge and before they are included in public directories, about the purposes and usage of the directory.</t>
        </is>
      </c>
      <c r="O4" s="8" t="inlineStr">
        <is>
          <t>Member States shall ensure that subscribers are informed, free of charge and before they are included in public directories, about the purposes and usage of the directory.</t>
        </is>
      </c>
    </row>
    <row r="5">
      <c r="A5" t="inlineStr">
        <is>
          <t>GDPR</t>
        </is>
      </c>
      <c r="B5" t="inlineStr">
        <is>
          <t>CELEX_32002L0058_EN_TXT (GDPR Row 7)</t>
        </is>
      </c>
      <c r="C5" t="inlineStr">
        <is>
          <t>1</t>
        </is>
      </c>
      <c r="D5" s="8" t="inlineStr">
        <is>
          <t>This Directive shall apply to the processing of personal</t>
        </is>
      </c>
      <c r="E5" t="inlineStr">
        <is>
          <t>7</t>
        </is>
      </c>
      <c r="F5" t="inlineStr">
        <is>
          <t>Data Sharing</t>
        </is>
      </c>
      <c r="G5" t="inlineStr">
        <is>
          <t>None</t>
        </is>
      </c>
      <c r="H5" t="inlineStr">
        <is>
          <t>High (explicit)</t>
        </is>
      </c>
      <c r="I5" s="8" t="inlineStr">
        <is>
          <t>Data Sharing</t>
        </is>
      </c>
      <c r="J5" s="8" t="inlineStr">
        <is>
          <t>Personal Information</t>
        </is>
      </c>
      <c r="K5" t="inlineStr"/>
      <c r="L5" s="8" t="inlineStr">
        <is>
          <t>Subscribers must be informed about directory purposes and usage before inclusion in public directories.</t>
        </is>
      </c>
      <c r="M5" s="8" t="inlineStr">
        <is>
          <t>Subscribers must be informed about directory purposes and usage before inclusion in public directories.</t>
        </is>
      </c>
      <c r="N5" s="8" t="inlineStr">
        <is>
          <t>[Must] Member States shall ensure that subscribers are informed, free of charge and before they are included in public directories, about the purposes and usage of the directory.</t>
        </is>
      </c>
      <c r="O5" s="8" t="inlineStr">
        <is>
          <t>Member States shall ensure that subscribers are informed, free of charge and before they are included in public directories, about the purposes and usage of the directory.</t>
        </is>
      </c>
    </row>
    <row r="6">
      <c r="A6" t="inlineStr">
        <is>
          <t>GDPR</t>
        </is>
      </c>
      <c r="B6" t="inlineStr">
        <is>
          <t>CELEX_32002L0058_EN_TXT (GDPR Row 7)</t>
        </is>
      </c>
      <c r="C6" t="inlineStr">
        <is>
          <t>1</t>
        </is>
      </c>
      <c r="D6" s="8" t="inlineStr">
        <is>
          <t>Member States shall ensure the confidentiality of commu-</t>
        </is>
      </c>
      <c r="E6" t="inlineStr">
        <is>
          <t>7–8</t>
        </is>
      </c>
      <c r="F6" t="inlineStr">
        <is>
          <t>Data Sharing</t>
        </is>
      </c>
      <c r="G6" t="inlineStr">
        <is>
          <t>None</t>
        </is>
      </c>
      <c r="H6" t="inlineStr">
        <is>
          <t>High (explicit)</t>
        </is>
      </c>
      <c r="I6" s="8" t="inlineStr">
        <is>
          <t>Data Sharing</t>
        </is>
      </c>
      <c r="J6" s="8" t="inlineStr">
        <is>
          <t>Personal Information</t>
        </is>
      </c>
      <c r="K6" t="inlineStr"/>
      <c r="L6" s="8" t="inlineStr">
        <is>
          <t>Subscribers must be informed about directory purposes and usage before inclusion in public directories.</t>
        </is>
      </c>
      <c r="M6" s="8" t="inlineStr">
        <is>
          <t>Subscribers must be informed about directory purposes and usage before inclusion in public directories.</t>
        </is>
      </c>
      <c r="N6" s="8" t="inlineStr">
        <is>
          <t>[Must] Member States shall ensure that subscribers are informed, free of charge and before they are included in public directories, about the purposes and usage of the directory.</t>
        </is>
      </c>
      <c r="O6" s="8" t="inlineStr">
        <is>
          <t>Member States shall ensure that subscribers are informed, free of charge and before they are included in public directories, about the purposes and usage of the directory.</t>
        </is>
      </c>
    </row>
    <row r="7">
      <c r="A7" t="inlineStr">
        <is>
          <t>GDPR</t>
        </is>
      </c>
      <c r="B7" t="inlineStr">
        <is>
          <t>CELEX_32002L0058_EN_TXT (GDPR Row 7)</t>
        </is>
      </c>
      <c r="C7" t="inlineStr">
        <is>
          <t>1</t>
        </is>
      </c>
      <c r="D7" s="8" t="inlineStr">
        <is>
          <t>Where location data other than traffic data, relating to</t>
        </is>
      </c>
      <c r="E7" t="inlineStr">
        <is>
          <t>9</t>
        </is>
      </c>
      <c r="F7" t="inlineStr">
        <is>
          <t>Data Sharing</t>
        </is>
      </c>
      <c r="G7" t="inlineStr">
        <is>
          <t>None</t>
        </is>
      </c>
      <c r="H7" t="inlineStr">
        <is>
          <t>High (explicit)</t>
        </is>
      </c>
      <c r="I7" s="8" t="inlineStr">
        <is>
          <t>Data Sharing</t>
        </is>
      </c>
      <c r="J7" s="8" t="inlineStr">
        <is>
          <t>Personal Information</t>
        </is>
      </c>
      <c r="K7" t="inlineStr"/>
      <c r="L7" s="8" t="inlineStr">
        <is>
          <t>Subscribers must be informed about directory purposes and usage before inclusion in public directories.</t>
        </is>
      </c>
      <c r="M7" s="8" t="inlineStr">
        <is>
          <t>Subscribers must be informed about directory purposes and usage before inclusion in public directories.</t>
        </is>
      </c>
      <c r="N7" s="8" t="inlineStr">
        <is>
          <t>[Must] Member States shall ensure that subscribers are informed, free of charge and before they are included in public directories, about the purposes and usage of the directory.</t>
        </is>
      </c>
      <c r="O7" s="8" t="inlineStr">
        <is>
          <t>Member States shall ensure that subscribers are informed, free of charge and before they are included in public directories, about the purposes and usage of the directory.</t>
        </is>
      </c>
    </row>
    <row r="8">
      <c r="A8" t="inlineStr">
        <is>
          <t>GDPR</t>
        </is>
      </c>
      <c r="B8" t="inlineStr">
        <is>
          <t>CELEX_32002L0058_EN_TXT (GDPR Row 7)</t>
        </is>
      </c>
      <c r="C8" t="inlineStr">
        <is>
          <t>1</t>
        </is>
      </c>
      <c r="D8" s="8" t="inlineStr">
        <is>
          <t>Member States shall ensure that subscribers are informed,</t>
        </is>
      </c>
      <c r="E8" t="inlineStr">
        <is>
          <t>9</t>
        </is>
      </c>
      <c r="F8" t="inlineStr">
        <is>
          <t>Data Sharing</t>
        </is>
      </c>
      <c r="G8" t="inlineStr">
        <is>
          <t>None</t>
        </is>
      </c>
      <c r="H8" t="inlineStr">
        <is>
          <t>High (explicit)</t>
        </is>
      </c>
      <c r="I8" s="8" t="inlineStr">
        <is>
          <t>Data Sharing</t>
        </is>
      </c>
      <c r="J8" s="8" t="inlineStr">
        <is>
          <t>Personal Information</t>
        </is>
      </c>
      <c r="K8" t="inlineStr"/>
      <c r="L8" s="8" t="inlineStr">
        <is>
          <t>Subscribers must be informed about directory purposes and usage before inclusion in public directories.</t>
        </is>
      </c>
      <c r="M8" s="8" t="inlineStr">
        <is>
          <t>Subscribers must be informed about directory purposes and usage before inclusion in public directories.</t>
        </is>
      </c>
      <c r="N8" s="8" t="inlineStr">
        <is>
          <t>[Must] Member States shall ensure that subscribers are informed, free of charge and before they are included in public directories, about the purposes and usage of the directory.</t>
        </is>
      </c>
      <c r="O8" s="8" t="inlineStr">
        <is>
          <t>Member States shall ensure that subscribers are informed, free of charge and before they are included in public directories, about the purposes and usage of the directory.</t>
        </is>
      </c>
    </row>
    <row r="9">
      <c r="A9" t="inlineStr">
        <is>
          <t>GDPR</t>
        </is>
      </c>
      <c r="B9" t="inlineStr">
        <is>
          <t>CELEX_32002L0058_EN_TXT (GDPR Row 7)</t>
        </is>
      </c>
      <c r="C9" t="inlineStr">
        <is>
          <t>2</t>
        </is>
      </c>
      <c r="D9" s="8" t="inlineStr">
        <is>
          <t>In case of a particular risk of a breach of the security of</t>
        </is>
      </c>
      <c r="E9" t="inlineStr">
        <is>
          <t>7</t>
        </is>
      </c>
      <c r="F9" t="inlineStr">
        <is>
          <t>Data Sharing</t>
        </is>
      </c>
      <c r="G9" t="inlineStr">
        <is>
          <t>None</t>
        </is>
      </c>
      <c r="H9" t="inlineStr">
        <is>
          <t>High (explicit)</t>
        </is>
      </c>
      <c r="I9" s="8" t="inlineStr">
        <is>
          <t>Data Sharing</t>
        </is>
      </c>
      <c r="J9" s="8" t="inlineStr">
        <is>
          <t>Personal Information</t>
        </is>
      </c>
      <c r="K9" t="inlineStr"/>
      <c r="L9" s="8" t="inlineStr">
        <is>
          <t>Subscribers must be informed about directory purposes and usage before inclusion in public directories.</t>
        </is>
      </c>
      <c r="M9" s="8" t="inlineStr">
        <is>
          <t>Subscribers must be informed about directory purposes and usage before inclusion in public directories.</t>
        </is>
      </c>
      <c r="N9" s="8" t="inlineStr">
        <is>
          <t>[Must] Member States shall ensure that subscribers are informed, free of charge and before they are included in public directories, about the purposes and usage of the directory.</t>
        </is>
      </c>
      <c r="O9" s="8" t="inlineStr">
        <is>
          <t>Member States shall ensure that subscribers are informed, free of charge and before they are included in public directories, about the purposes and usage of the directory.</t>
        </is>
      </c>
    </row>
    <row r="10">
      <c r="A10" t="inlineStr">
        <is>
          <t>GDPR</t>
        </is>
      </c>
      <c r="B10" t="inlineStr">
        <is>
          <t>CELEX_32002L0058_EN_TXT (GDPR Row 7)</t>
        </is>
      </c>
      <c r="C10" t="inlineStr">
        <is>
          <t>2</t>
        </is>
      </c>
      <c r="D10" s="8" t="inlineStr">
        <is>
          <t>Traffic data necessary for the purposes of subscriber</t>
        </is>
      </c>
      <c r="E10" t="inlineStr">
        <is>
          <t>8</t>
        </is>
      </c>
      <c r="F10" t="inlineStr">
        <is>
          <t>Data Sharing</t>
        </is>
      </c>
      <c r="G10" t="inlineStr">
        <is>
          <t>None</t>
        </is>
      </c>
      <c r="H10" t="inlineStr">
        <is>
          <t>High (explicit)</t>
        </is>
      </c>
      <c r="I10" s="8" t="inlineStr">
        <is>
          <t>Data Sharing</t>
        </is>
      </c>
      <c r="J10" s="8" t="inlineStr">
        <is>
          <t>Personal Information</t>
        </is>
      </c>
      <c r="K10" t="inlineStr"/>
      <c r="L10" s="8" t="inlineStr">
        <is>
          <t>Subscribers must be informed about directory purposes and usage before inclusion in public directories.</t>
        </is>
      </c>
      <c r="M10" s="8" t="inlineStr">
        <is>
          <t>Subscribers must be informed about directory purposes and usage before inclusion in public directories.</t>
        </is>
      </c>
      <c r="N10" s="8" t="inlineStr">
        <is>
          <t>[Must] Member States shall ensure that subscribers are informed, free of charge and before they are included in public directories, about the purposes and usage of the directory.</t>
        </is>
      </c>
      <c r="O10" s="8" t="inlineStr">
        <is>
          <t>Member States shall ensure that subscribers are informed, free of charge and before they are included in public directories, about the purposes and usage of the directory.</t>
        </is>
      </c>
    </row>
    <row r="11">
      <c r="A11" t="inlineStr">
        <is>
          <t>GDPR</t>
        </is>
      </c>
      <c r="B11" t="inlineStr">
        <is>
          <t>CELEX_32002L0058_EN_TXT (GDPR Row 7)</t>
        </is>
      </c>
      <c r="C11" t="inlineStr">
        <is>
          <t>2</t>
        </is>
      </c>
      <c r="D11" s="8" t="inlineStr">
        <is>
          <t>Member States shall apply national provisions in order to</t>
        </is>
      </c>
      <c r="E11" t="inlineStr">
        <is>
          <t>8</t>
        </is>
      </c>
      <c r="F11" t="inlineStr">
        <is>
          <t>Data Sharing</t>
        </is>
      </c>
      <c r="G11" t="inlineStr">
        <is>
          <t>None</t>
        </is>
      </c>
      <c r="H11" t="inlineStr">
        <is>
          <t>High (explicit)</t>
        </is>
      </c>
      <c r="I11" s="8" t="inlineStr">
        <is>
          <t>Data Sharing</t>
        </is>
      </c>
      <c r="J11" s="8" t="inlineStr">
        <is>
          <t>Personal Information</t>
        </is>
      </c>
      <c r="K11" t="inlineStr"/>
      <c r="L11" s="8" t="inlineStr">
        <is>
          <t>Subscribers must be informed about directory purposes and usage before inclusion in public directories.</t>
        </is>
      </c>
      <c r="M11" s="8" t="inlineStr">
        <is>
          <t>Subscribers must be informed about directory purposes and usage before inclusion in public directories.</t>
        </is>
      </c>
      <c r="N11" s="8" t="inlineStr">
        <is>
          <t>[Must] Member States shall ensure that subscribers are informed, free of charge and before they are included in public directories, about the purposes and usage of the directory.</t>
        </is>
      </c>
      <c r="O11" s="8" t="inlineStr">
        <is>
          <t>Member States shall ensure that subscribers are informed, free of charge and before they are included in public directories, about the purposes and usage of the directory.</t>
        </is>
      </c>
    </row>
    <row r="12">
      <c r="A12" t="inlineStr">
        <is>
          <t>GDPR</t>
        </is>
      </c>
      <c r="B12" t="inlineStr">
        <is>
          <t>CELEX_32002L0058_EN_TXT (GDPR Row 7)</t>
        </is>
      </c>
      <c r="C12" t="inlineStr">
        <is>
          <t>2</t>
        </is>
      </c>
      <c r="D12" s="8" t="inlineStr">
        <is>
          <t>Where consent of the users or subscribers has been</t>
        </is>
      </c>
      <c r="E12" t="inlineStr">
        <is>
          <t>9</t>
        </is>
      </c>
      <c r="F12" t="inlineStr">
        <is>
          <t>Data Sharing</t>
        </is>
      </c>
      <c r="G12" t="inlineStr">
        <is>
          <t>None</t>
        </is>
      </c>
      <c r="H12" t="inlineStr">
        <is>
          <t>High (explicit)</t>
        </is>
      </c>
      <c r="I12" s="8" t="inlineStr">
        <is>
          <t>Data Sharing</t>
        </is>
      </c>
      <c r="J12" s="8" t="inlineStr">
        <is>
          <t>Personal Information</t>
        </is>
      </c>
      <c r="K12" t="inlineStr"/>
      <c r="L12" s="8" t="inlineStr">
        <is>
          <t>Subscribers must be informed about directory purposes and usage before inclusion in public directories.</t>
        </is>
      </c>
      <c r="M12" s="8" t="inlineStr">
        <is>
          <t>Subscribers must be informed about directory purposes and usage before inclusion in public directories.</t>
        </is>
      </c>
      <c r="N12" s="8" t="inlineStr">
        <is>
          <t>[Must] Member States shall ensure that subscribers are informed, free of charge and before they are included in public directories, about the purposes and usage of the directory.</t>
        </is>
      </c>
      <c r="O12" s="8" t="inlineStr">
        <is>
          <t>Member States shall ensure that subscribers are informed, free of charge and before they are included in public directories, about the purposes and usage of the directory.</t>
        </is>
      </c>
    </row>
    <row r="13">
      <c r="A13" t="inlineStr">
        <is>
          <t>GDPR</t>
        </is>
      </c>
      <c r="B13" t="inlineStr">
        <is>
          <t>CELEX_32002L0058_EN_TXT (GDPR Row 7)</t>
        </is>
      </c>
      <c r="C13" t="inlineStr">
        <is>
          <t>2</t>
        </is>
      </c>
      <c r="D13" s="8" t="inlineStr">
        <is>
          <t>Member States shall ensure that subscribers are given the</t>
        </is>
      </c>
      <c r="E13" t="inlineStr">
        <is>
          <t>9</t>
        </is>
      </c>
      <c r="F13" t="inlineStr">
        <is>
          <t>Data Sharing</t>
        </is>
      </c>
      <c r="G13" t="inlineStr">
        <is>
          <t>None</t>
        </is>
      </c>
      <c r="H13" t="inlineStr">
        <is>
          <t>High (explicit)</t>
        </is>
      </c>
      <c r="I13" s="8" t="inlineStr">
        <is>
          <t>Data Sharing</t>
        </is>
      </c>
      <c r="J13" s="8" t="inlineStr">
        <is>
          <t>Personal Information</t>
        </is>
      </c>
      <c r="K13" t="inlineStr"/>
      <c r="L13" s="8" t="inlineStr">
        <is>
          <t>Subscribers must be informed about directory purposes and usage before inclusion in public directories.</t>
        </is>
      </c>
      <c r="M13" s="8" t="inlineStr">
        <is>
          <t>Subscribers must be informed about directory purposes and usage before inclusion in public directories.</t>
        </is>
      </c>
      <c r="N13" s="8" t="inlineStr">
        <is>
          <t>[Must] Member States shall ensure that subscribers are informed, free of charge and before they are included in public directories, about the purposes and usage of the directory.</t>
        </is>
      </c>
      <c r="O13" s="8" t="inlineStr">
        <is>
          <t>Member States shall ensure that subscribers are informed, free of charge and before they are included in public directories, about the purposes and usage of the directory.</t>
        </is>
      </c>
    </row>
    <row r="14">
      <c r="A14" t="inlineStr">
        <is>
          <t>GDPR</t>
        </is>
      </c>
      <c r="B14" t="inlineStr">
        <is>
          <t>CELEX_32002L0058_EN_TXT (GDPR Row 7)</t>
        </is>
      </c>
      <c r="C14" t="inlineStr">
        <is>
          <t>2</t>
        </is>
      </c>
      <c r="D14" s="8" t="inlineStr">
        <is>
          <t>Where the personal data of subscribers to fixed or mobile</t>
        </is>
      </c>
      <c r="E14" t="inlineStr">
        <is>
          <t>10</t>
        </is>
      </c>
      <c r="F14" t="inlineStr">
        <is>
          <t>Data Sharing</t>
        </is>
      </c>
      <c r="G14" t="inlineStr">
        <is>
          <t>None</t>
        </is>
      </c>
      <c r="H14" t="inlineStr">
        <is>
          <t>High (explicit)</t>
        </is>
      </c>
      <c r="I14" s="8" t="inlineStr">
        <is>
          <t>Data Sharing</t>
        </is>
      </c>
      <c r="J14" s="8" t="inlineStr">
        <is>
          <t>Personal Information</t>
        </is>
      </c>
      <c r="K14" t="inlineStr"/>
      <c r="L14" s="8" t="inlineStr">
        <is>
          <t>Subscribers must be informed about directory purposes and usage before inclusion in public directories.</t>
        </is>
      </c>
      <c r="M14" s="8" t="inlineStr">
        <is>
          <t>Subscribers must be informed about directory purposes and usage before inclusion in public directories.</t>
        </is>
      </c>
      <c r="N14" s="8" t="inlineStr">
        <is>
          <t>[Must] Member States shall ensure that subscribers are informed, free of charge and before they are included in public directories, about the purposes and usage of the directory.</t>
        </is>
      </c>
      <c r="O14" s="8" t="inlineStr">
        <is>
          <t>Member States shall ensure that subscribers are informed, free of charge and before they are included in public directories, about the purposes and usage of the directory.</t>
        </is>
      </c>
    </row>
    <row r="15">
      <c r="A15" t="inlineStr">
        <is>
          <t>GDPR</t>
        </is>
      </c>
      <c r="B15" t="inlineStr">
        <is>
          <t>CELEX_32002L0058_EN_TXT (GDPR Row 7)</t>
        </is>
      </c>
      <c r="C15" t="inlineStr">
        <is>
          <t>2</t>
        </is>
      </c>
      <c r="D15" s="8" t="inlineStr">
        <is>
          <t>Member States shall communicate to the Commission the</t>
        </is>
      </c>
      <c r="E15" t="inlineStr">
        <is>
          <t>11</t>
        </is>
      </c>
      <c r="F15" t="inlineStr">
        <is>
          <t>Data Sharing</t>
        </is>
      </c>
      <c r="G15" t="inlineStr">
        <is>
          <t>None</t>
        </is>
      </c>
      <c r="H15" t="inlineStr">
        <is>
          <t>High (explicit)</t>
        </is>
      </c>
      <c r="I15" s="8" t="inlineStr">
        <is>
          <t>Data Sharing</t>
        </is>
      </c>
      <c r="J15" s="8" t="inlineStr">
        <is>
          <t>Personal Information</t>
        </is>
      </c>
      <c r="K15" t="inlineStr"/>
      <c r="L15" s="8" t="inlineStr">
        <is>
          <t>Subscribers must be informed about directory purposes and usage before inclusion in public directories.</t>
        </is>
      </c>
      <c r="M15" s="8" t="inlineStr">
        <is>
          <t>Subscribers must be informed about directory purposes and usage before inclusion in public directories.</t>
        </is>
      </c>
      <c r="N15" s="8" t="inlineStr">
        <is>
          <t>[Must] Member States shall ensure that subscribers are informed, free of charge and before they are included in public directories, about the purposes and usage of the directory.</t>
        </is>
      </c>
      <c r="O15" s="8" t="inlineStr">
        <is>
          <t>Member States shall ensure that subscribers are informed, free of charge and before they are included in public directories, about the purposes and usage of the directory.</t>
        </is>
      </c>
    </row>
    <row r="16">
      <c r="A16" t="inlineStr">
        <is>
          <t>GDPR</t>
        </is>
      </c>
      <c r="B16" t="inlineStr">
        <is>
          <t>CELEX_32002L0058_EN_TXT (GDPR Row 7)</t>
        </is>
      </c>
      <c r="C16" t="inlineStr">
        <is>
          <t>3</t>
        </is>
      </c>
      <c r="D16" s="8" t="inlineStr">
        <is>
          <t>This Directive shall not apply to activities which fall</t>
        </is>
      </c>
      <c r="E16" t="inlineStr">
        <is>
          <t>7</t>
        </is>
      </c>
      <c r="F16" t="inlineStr">
        <is>
          <t>Data Sharing</t>
        </is>
      </c>
      <c r="G16" t="inlineStr">
        <is>
          <t>None</t>
        </is>
      </c>
      <c r="H16" t="inlineStr">
        <is>
          <t>High (explicit)</t>
        </is>
      </c>
      <c r="I16" s="8" t="inlineStr">
        <is>
          <t>Data Sharing</t>
        </is>
      </c>
      <c r="J16" s="8" t="inlineStr">
        <is>
          <t>Personal Information</t>
        </is>
      </c>
      <c r="K16" t="inlineStr"/>
      <c r="L16" s="8" t="inlineStr">
        <is>
          <t>Location data processing must be restricted to authorized personnel for value-added services.</t>
        </is>
      </c>
      <c r="M16" s="8" t="inlineStr">
        <is>
          <t>Location data processing must be restricted to authorized personnel for value-added services.</t>
        </is>
      </c>
      <c r="N16"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6"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7">
      <c r="A17" t="inlineStr">
        <is>
          <t>GDPR</t>
        </is>
      </c>
      <c r="B17" t="inlineStr">
        <is>
          <t>CELEX_32002L0058_EN_TXT (GDPR Row 7)</t>
        </is>
      </c>
      <c r="C17" t="inlineStr">
        <is>
          <t>3</t>
        </is>
      </c>
      <c r="D17" s="8" t="inlineStr">
        <is>
          <t>Member States shall ensure that the use of electronic</t>
        </is>
      </c>
      <c r="E17" t="inlineStr">
        <is>
          <t>8</t>
        </is>
      </c>
      <c r="F17" t="inlineStr">
        <is>
          <t>Data Sharing</t>
        </is>
      </c>
      <c r="G17" t="inlineStr">
        <is>
          <t>None</t>
        </is>
      </c>
      <c r="H17" t="inlineStr">
        <is>
          <t>High (explicit)</t>
        </is>
      </c>
      <c r="I17" s="8" t="inlineStr">
        <is>
          <t>Data Sharing</t>
        </is>
      </c>
      <c r="J17" s="8" t="inlineStr">
        <is>
          <t>Personal Information</t>
        </is>
      </c>
      <c r="K17" t="inlineStr"/>
      <c r="L17" s="8" t="inlineStr">
        <is>
          <t>Location data processing must be restricted to authorized personnel for value-added services.</t>
        </is>
      </c>
      <c r="M17" s="8" t="inlineStr">
        <is>
          <t>Location data processing must be restricted to authorized personnel for value-added services.</t>
        </is>
      </c>
      <c r="N17"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7"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8">
      <c r="A18" t="inlineStr">
        <is>
          <t>GDPR</t>
        </is>
      </c>
      <c r="B18" t="inlineStr">
        <is>
          <t>CELEX_32002L0058_EN_TXT (GDPR Row 7)</t>
        </is>
      </c>
      <c r="C18" t="inlineStr">
        <is>
          <t>3</t>
        </is>
      </c>
      <c r="D18" s="8" t="inlineStr">
        <is>
          <t>For the purpose of marketing electronic communications</t>
        </is>
      </c>
      <c r="E18" t="inlineStr">
        <is>
          <t>8</t>
        </is>
      </c>
      <c r="F18" t="inlineStr">
        <is>
          <t>Data Sharing</t>
        </is>
      </c>
      <c r="G18" t="inlineStr">
        <is>
          <t>None</t>
        </is>
      </c>
      <c r="H18" t="inlineStr">
        <is>
          <t>High (explicit)</t>
        </is>
      </c>
      <c r="I18" s="8" t="inlineStr">
        <is>
          <t>Data Sharing</t>
        </is>
      </c>
      <c r="J18" s="8" t="inlineStr">
        <is>
          <t>Personal Information</t>
        </is>
      </c>
      <c r="K18" t="inlineStr"/>
      <c r="L18" s="8" t="inlineStr">
        <is>
          <t>Location data processing must be restricted to authorized personnel for value-added services.</t>
        </is>
      </c>
      <c r="M18" s="8" t="inlineStr">
        <is>
          <t>Location data processing must be restricted to authorized personnel for value-added services.</t>
        </is>
      </c>
      <c r="N18"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8"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9">
      <c r="A19" t="inlineStr">
        <is>
          <t>GDPR</t>
        </is>
      </c>
      <c r="B19" t="inlineStr">
        <is>
          <t>CELEX_32002L0058_EN_TXT (GDPR Row 7)</t>
        </is>
      </c>
      <c r="C19" t="inlineStr">
        <is>
          <t>3</t>
        </is>
      </c>
      <c r="D19" s="8" t="inlineStr">
        <is>
          <t>Processing of location data other than traffic data in</t>
        </is>
      </c>
      <c r="E19" t="inlineStr">
        <is>
          <t>9</t>
        </is>
      </c>
      <c r="F19" t="inlineStr">
        <is>
          <t>Data Sharing</t>
        </is>
      </c>
      <c r="G19" t="inlineStr">
        <is>
          <t>None</t>
        </is>
      </c>
      <c r="H19" t="inlineStr">
        <is>
          <t>High (explicit)</t>
        </is>
      </c>
      <c r="I19" s="8" t="inlineStr">
        <is>
          <t>Data Sharing</t>
        </is>
      </c>
      <c r="J19" s="8" t="inlineStr">
        <is>
          <t>Personal Information</t>
        </is>
      </c>
      <c r="K19" t="inlineStr"/>
      <c r="L19" s="8" t="inlineStr">
        <is>
          <t>Location data processing must be restricted to authorized personnel for value-added services.</t>
        </is>
      </c>
      <c r="M19" s="8" t="inlineStr">
        <is>
          <t>Location data processing must be restricted to authorized personnel for value-added services.</t>
        </is>
      </c>
      <c r="N19"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9"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0">
      <c r="A20" t="inlineStr">
        <is>
          <t>GDPR</t>
        </is>
      </c>
      <c r="B20" t="inlineStr">
        <is>
          <t>CELEX_32002L0058_EN_TXT (GDPR Row 7)</t>
        </is>
      </c>
      <c r="C20" t="inlineStr">
        <is>
          <t>3</t>
        </is>
      </c>
      <c r="D20" s="8" t="inlineStr">
        <is>
          <t>Where required, measures may be adopted to ensure that</t>
        </is>
      </c>
      <c r="E20" t="inlineStr">
        <is>
          <t>10</t>
        </is>
      </c>
      <c r="F20" t="inlineStr">
        <is>
          <t>Data Sharing</t>
        </is>
      </c>
      <c r="G20" t="inlineStr">
        <is>
          <t>None</t>
        </is>
      </c>
      <c r="H20" t="inlineStr">
        <is>
          <t>High (explicit)</t>
        </is>
      </c>
      <c r="I20" s="8" t="inlineStr">
        <is>
          <t>Data Sharing</t>
        </is>
      </c>
      <c r="J20" s="8" t="inlineStr">
        <is>
          <t>Personal Information</t>
        </is>
      </c>
      <c r="K20" t="inlineStr"/>
      <c r="L20" s="8" t="inlineStr">
        <is>
          <t>Location data processing must be restricted to authorized personnel for value-added services.</t>
        </is>
      </c>
      <c r="M20" s="8" t="inlineStr">
        <is>
          <t>Location data processing must be restricted to authorized personnel for value-added services.</t>
        </is>
      </c>
      <c r="N20"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20"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1">
      <c r="A21" t="inlineStr">
        <is>
          <t>GDPR</t>
        </is>
      </c>
      <c r="B21" t="inlineStr">
        <is>
          <t>CELEX_32002L0058_EN_TXT (GDPR Row 7)</t>
        </is>
      </c>
      <c r="C21" t="inlineStr">
        <is>
          <t>3</t>
        </is>
      </c>
      <c r="D21" s="8" t="inlineStr">
        <is>
          <t>The Working Party on the Protection of Individuals with</t>
        </is>
      </c>
      <c r="E21" t="inlineStr">
        <is>
          <t>10</t>
        </is>
      </c>
      <c r="F21" t="inlineStr">
        <is>
          <t>Data Sharing</t>
        </is>
      </c>
      <c r="G21" t="inlineStr">
        <is>
          <t>None</t>
        </is>
      </c>
      <c r="H21" t="inlineStr">
        <is>
          <t>High (explicit)</t>
        </is>
      </c>
      <c r="I21" s="8" t="inlineStr">
        <is>
          <t>Data Sharing</t>
        </is>
      </c>
      <c r="J21" s="8" t="inlineStr">
        <is>
          <t>Personal Information</t>
        </is>
      </c>
      <c r="K21" t="inlineStr"/>
      <c r="L21" s="8" t="inlineStr">
        <is>
          <t>Location data processing must be restricted to authorized personnel for value-added services.</t>
        </is>
      </c>
      <c r="M21" s="8" t="inlineStr">
        <is>
          <t>Location data processing must be restricted to authorized personnel for value-added services.</t>
        </is>
      </c>
      <c r="N21"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21"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2">
      <c r="A22" t="inlineStr">
        <is>
          <t>GDPR</t>
        </is>
      </c>
      <c r="B22" t="inlineStr">
        <is>
          <t>CELEX_32002L0058_EN_TXT (GDPR Row 7)</t>
        </is>
      </c>
      <c r="C22" t="inlineStr">
        <is>
          <t>4</t>
        </is>
      </c>
      <c r="D22" s="8" t="inlineStr">
        <is>
          <t>The service provider must inform the subscriber or user</t>
        </is>
      </c>
      <c r="E22" t="inlineStr">
        <is>
          <t>8</t>
        </is>
      </c>
      <c r="F22" t="inlineStr">
        <is>
          <t>Data Sharing</t>
        </is>
      </c>
      <c r="G22" t="inlineStr">
        <is>
          <t>None</t>
        </is>
      </c>
      <c r="H22" t="inlineStr">
        <is>
          <t>High (explicit)</t>
        </is>
      </c>
      <c r="I22" s="8" t="inlineStr">
        <is>
          <t>Data Sharing</t>
        </is>
      </c>
      <c r="J22" s="8" t="inlineStr">
        <is>
          <t>Personal Information</t>
        </is>
      </c>
      <c r="K22" t="inlineStr"/>
      <c r="L22" s="8" t="inlineStr">
        <is>
          <t>Service providers must inform subscribers of traffic data types and processing duration for billing and marketing purposes.</t>
        </is>
      </c>
      <c r="M22" s="8" t="inlineStr">
        <is>
          <t>Service providers must inform subscribers of traffic data types and processing duration for billing and marketing purposes.</t>
        </is>
      </c>
      <c r="N22" s="8" t="inlineStr">
        <is>
          <t>[Must] The service provider must inform the subscriber or user of the types of traffic data which are processed and of the duration of such processing for the purposes mentioned in paragraph 2 and, prior to obtaining consent, for the purposes mentioned in paragraph 3.</t>
        </is>
      </c>
      <c r="O22" s="8" t="inlineStr">
        <is>
          <t>The service provider must inform the subscriber or user of the types of traffic data which are processed and of the duration of such processing for the purposes mentioned in paragraph 2 and, prior to obtaining consent, for the purposes mentioned in paragraph 3.</t>
        </is>
      </c>
    </row>
    <row r="23">
      <c r="A23" t="inlineStr">
        <is>
          <t>GDPR</t>
        </is>
      </c>
      <c r="B23" t="inlineStr">
        <is>
          <t>CELEX_32002L0058_EN_TXT (GDPR Row 7)</t>
        </is>
      </c>
      <c r="C23" t="inlineStr">
        <is>
          <t>5</t>
        </is>
      </c>
      <c r="D23" s="8" t="inlineStr">
        <is>
          <t>Processing of traffic data, in accordance with paragraphs</t>
        </is>
      </c>
      <c r="E23" t="inlineStr">
        <is>
          <t>8</t>
        </is>
      </c>
      <c r="F23" t="inlineStr">
        <is>
          <t>Data Sharing</t>
        </is>
      </c>
      <c r="G23" t="inlineStr">
        <is>
          <t>None</t>
        </is>
      </c>
      <c r="H23" t="inlineStr">
        <is>
          <t>High (explicit)</t>
        </is>
      </c>
      <c r="I23" s="8" t="inlineStr">
        <is>
          <t>Data Sharing</t>
        </is>
      </c>
      <c r="J23" s="8" t="inlineStr">
        <is>
          <t>Personal Information</t>
        </is>
      </c>
      <c r="K23" t="inlineStr"/>
      <c r="L23" s="8" t="inlineStr">
        <is>
          <t>Traffic data processing must be restricted to persons authorized for billing, traffic management, fraud detection, marketing, or value-added services.</t>
        </is>
      </c>
      <c r="M23" s="8" t="inlineStr">
        <is>
          <t>Traffic data processing must be restricted to authorized personnel for billing, traffic management, fraud detection, marketing, or value-added services.</t>
        </is>
      </c>
      <c r="N23" s="8" t="inlineStr">
        <is>
          <t>[Must]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3" s="8" t="inlineStr">
        <is>
          <t>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24">
      <c r="A24" t="inlineStr">
        <is>
          <t>GDPR</t>
        </is>
      </c>
      <c r="B24" t="inlineStr">
        <is>
          <t>CELEX_32018L1673_EN_TXT (GDPR - Row 2)</t>
        </is>
      </c>
      <c r="C24" t="inlineStr">
        <is>
          <t>1</t>
        </is>
      </c>
      <c r="D24" s="8" t="inlineStr">
        <is>
          <t>This Directive establishes minimum rules concerning the definition of criminal offences and sanctions in the area of</t>
        </is>
      </c>
      <c r="E24" t="inlineStr">
        <is>
          <t>4–5</t>
        </is>
      </c>
      <c r="F24" t="inlineStr">
        <is>
          <t>Other</t>
        </is>
      </c>
      <c r="G24" t="inlineStr">
        <is>
          <t>High</t>
        </is>
      </c>
      <c r="H24" t="inlineStr">
        <is>
          <t>High (explicit)</t>
        </is>
      </c>
      <c r="I24" s="8" t="inlineStr"/>
      <c r="J24" s="8" t="inlineStr"/>
      <c r="K24" t="inlineStr"/>
      <c r="L24" s="8" t="inlineStr">
        <is>
          <t>This Directive establishes minimum rules for criminal offences and sanctions related to money laundering.</t>
        </is>
      </c>
      <c r="M24" s="8" t="inlineStr"/>
      <c r="N24" s="8" t="inlineStr">
        <is>
          <t>[Must] This Directive establishes minimum rules concerning the definition of criminal offences and sanctions in the area of money laundering.</t>
        </is>
      </c>
      <c r="O24" s="8" t="inlineStr">
        <is>
          <t>This Directive establishes minimum rules concerning the definition of criminal offences and sanctions in the area of money laundering.</t>
        </is>
      </c>
    </row>
    <row r="25">
      <c r="A25" t="inlineStr">
        <is>
          <t>GDPR</t>
        </is>
      </c>
      <c r="B25" t="inlineStr">
        <is>
          <t>CELEX_32018L1673_EN_TXT (GDPR - Row 2)</t>
        </is>
      </c>
      <c r="C25" t="inlineStr">
        <is>
          <t>1</t>
        </is>
      </c>
      <c r="D25" s="8" t="inlineStr">
        <is>
          <t>Member States shall take the necessary measures to ensure that the following conduct, when committed inten­</t>
        </is>
      </c>
      <c r="E25" t="inlineStr">
        <is>
          <t>6</t>
        </is>
      </c>
      <c r="F25" t="inlineStr">
        <is>
          <t>Other</t>
        </is>
      </c>
      <c r="G25" t="inlineStr">
        <is>
          <t>High</t>
        </is>
      </c>
      <c r="H25" t="inlineStr">
        <is>
          <t>High (explicit)</t>
        </is>
      </c>
      <c r="I25" s="8" t="inlineStr"/>
      <c r="J25" s="8" t="inlineStr"/>
      <c r="K25" t="inlineStr"/>
      <c r="L25" s="8" t="inlineStr">
        <is>
          <t>This Directive establishes minimum rules for criminal offences and sanctions related to money laundering.</t>
        </is>
      </c>
      <c r="M25" s="8" t="inlineStr"/>
      <c r="N25" s="8" t="inlineStr">
        <is>
          <t>[Must] This Directive establishes minimum rules concerning the definition of criminal offences and sanctions in the area of money laundering.</t>
        </is>
      </c>
      <c r="O25" s="8" t="inlineStr">
        <is>
          <t>This Directive establishes minimum rules concerning the definition of criminal offences and sanctions in the area of money laundering.</t>
        </is>
      </c>
    </row>
    <row r="26">
      <c r="A26" t="inlineStr">
        <is>
          <t>GDPR</t>
        </is>
      </c>
      <c r="B26" t="inlineStr">
        <is>
          <t>CELEX_32018L1673_EN_TXT (GDPR - Row 2)</t>
        </is>
      </c>
      <c r="C26" t="inlineStr">
        <is>
          <t>1</t>
        </is>
      </c>
      <c r="D26" s="8" t="inlineStr">
        <is>
          <t>Member States shall take the necessary measures to ensure that the offences referred to in Articles 3 and 4 are</t>
        </is>
      </c>
      <c r="E26" t="inlineStr">
        <is>
          <t>7</t>
        </is>
      </c>
      <c r="F26" t="inlineStr">
        <is>
          <t>Other</t>
        </is>
      </c>
      <c r="G26" t="inlineStr">
        <is>
          <t>High</t>
        </is>
      </c>
      <c r="H26" t="inlineStr">
        <is>
          <t>High (explicit)</t>
        </is>
      </c>
      <c r="I26" s="8" t="inlineStr"/>
      <c r="J26" s="8" t="inlineStr"/>
      <c r="K26" t="inlineStr"/>
      <c r="L26" s="8" t="inlineStr">
        <is>
          <t>This Directive establishes minimum rules for criminal offences and sanctions related to money laundering.</t>
        </is>
      </c>
      <c r="M26" s="8" t="inlineStr"/>
      <c r="N26" s="8" t="inlineStr">
        <is>
          <t>[Must] This Directive establishes minimum rules concerning the definition of criminal offences and sanctions in the area of money laundering.</t>
        </is>
      </c>
      <c r="O26" s="8" t="inlineStr">
        <is>
          <t>This Directive establishes minimum rules concerning the definition of criminal offences and sanctions in the area of money laundering.</t>
        </is>
      </c>
    </row>
    <row r="27">
      <c r="A27" t="inlineStr">
        <is>
          <t>GDPR</t>
        </is>
      </c>
      <c r="B27" t="inlineStr">
        <is>
          <t>CELEX_32018L1673_EN_TXT (GDPR - Row 2)</t>
        </is>
      </c>
      <c r="C27" t="inlineStr">
        <is>
          <t>1</t>
        </is>
      </c>
      <c r="D27" s="8" t="inlineStr">
        <is>
          <t>Member States shall take the necessary measures to ensure that, in relation to the offences referred to in Article 3(1)</t>
        </is>
      </c>
      <c r="E27" t="inlineStr">
        <is>
          <t>7</t>
        </is>
      </c>
      <c r="F27" t="inlineStr">
        <is>
          <t>Other</t>
        </is>
      </c>
      <c r="G27" t="inlineStr">
        <is>
          <t>High</t>
        </is>
      </c>
      <c r="H27" t="inlineStr">
        <is>
          <t>High (explicit)</t>
        </is>
      </c>
      <c r="I27" s="8" t="inlineStr"/>
      <c r="J27" s="8" t="inlineStr"/>
      <c r="K27" t="inlineStr"/>
      <c r="L27" s="8" t="inlineStr">
        <is>
          <t>This Directive establishes minimum rules for criminal offences and sanctions related to money laundering.</t>
        </is>
      </c>
      <c r="M27" s="8" t="inlineStr"/>
      <c r="N27" s="8" t="inlineStr">
        <is>
          <t>[Must] This Directive establishes minimum rules concerning the definition of criminal offences and sanctions in the area of money laundering.</t>
        </is>
      </c>
      <c r="O27" s="8" t="inlineStr">
        <is>
          <t>This Directive establishes minimum rules concerning the definition of criminal offences and sanctions in the area of money laundering.</t>
        </is>
      </c>
    </row>
    <row r="28">
      <c r="A28" t="inlineStr">
        <is>
          <t>GDPR</t>
        </is>
      </c>
      <c r="B28" t="inlineStr">
        <is>
          <t>CELEX_32018L1673_EN_TXT (GDPR - Row 2)</t>
        </is>
      </c>
      <c r="C28" t="inlineStr">
        <is>
          <t>1</t>
        </is>
      </c>
      <c r="D28" s="8" t="inlineStr">
        <is>
          <t>Member States shall take the necessary measures to ensure that legal persons can be held liable for any of the</t>
        </is>
      </c>
      <c r="E28" t="inlineStr">
        <is>
          <t>7–8</t>
        </is>
      </c>
      <c r="F28" t="inlineStr">
        <is>
          <t>Other</t>
        </is>
      </c>
      <c r="G28" t="inlineStr">
        <is>
          <t>High</t>
        </is>
      </c>
      <c r="H28" t="inlineStr">
        <is>
          <t>High (explicit)</t>
        </is>
      </c>
      <c r="I28" s="8" t="inlineStr"/>
      <c r="J28" s="8" t="inlineStr"/>
      <c r="K28" t="inlineStr"/>
      <c r="L28" s="8" t="inlineStr">
        <is>
          <t>This Directive establishes minimum rules for criminal offences and sanctions related to money laundering.</t>
        </is>
      </c>
      <c r="M28" s="8" t="inlineStr"/>
      <c r="N28" s="8" t="inlineStr">
        <is>
          <t>[Must] This Directive establishes minimum rules concerning the definition of criminal offences and sanctions in the area of money laundering.</t>
        </is>
      </c>
      <c r="O28" s="8" t="inlineStr">
        <is>
          <t>This Directive establishes minimum rules concerning the definition of criminal offences and sanctions in the area of money laundering.</t>
        </is>
      </c>
    </row>
    <row r="29">
      <c r="A29" t="inlineStr">
        <is>
          <t>GDPR</t>
        </is>
      </c>
      <c r="B29" t="inlineStr">
        <is>
          <t>CELEX_32018L1673_EN_TXT (GDPR - Row 2)</t>
        </is>
      </c>
      <c r="C29" t="inlineStr">
        <is>
          <t>1</t>
        </is>
      </c>
      <c r="D29" s="8" t="inlineStr">
        <is>
          <t>Each Member State shall take the necessary measures to establish its jurisdiction over the offences referred to in</t>
        </is>
      </c>
      <c r="E29" t="inlineStr">
        <is>
          <t>8</t>
        </is>
      </c>
      <c r="F29" t="inlineStr">
        <is>
          <t>Other</t>
        </is>
      </c>
      <c r="G29" t="inlineStr">
        <is>
          <t>High</t>
        </is>
      </c>
      <c r="H29" t="inlineStr">
        <is>
          <t>High (explicit)</t>
        </is>
      </c>
      <c r="I29" s="8" t="inlineStr"/>
      <c r="J29" s="8" t="inlineStr"/>
      <c r="K29" t="inlineStr"/>
      <c r="L29" s="8" t="inlineStr">
        <is>
          <t>This Directive establishes minimum rules for criminal offences and sanctions related to money laundering.</t>
        </is>
      </c>
      <c r="M29" s="8" t="inlineStr"/>
      <c r="N29" s="8" t="inlineStr">
        <is>
          <t>[Must] This Directive establishes minimum rules concerning the definition of criminal offences and sanctions in the area of money laundering.</t>
        </is>
      </c>
      <c r="O29" s="8" t="inlineStr">
        <is>
          <t>This Directive establishes minimum rules concerning the definition of criminal offences and sanctions in the area of money laundering.</t>
        </is>
      </c>
    </row>
    <row r="30">
      <c r="A30" t="inlineStr">
        <is>
          <t>GDPR</t>
        </is>
      </c>
      <c r="B30" t="inlineStr">
        <is>
          <t>CELEX_32018L1673_EN_TXT (GDPR - Row 2)</t>
        </is>
      </c>
      <c r="C30" t="inlineStr">
        <is>
          <t>1</t>
        </is>
      </c>
      <c r="D30" s="8" t="inlineStr">
        <is>
          <t>Member States shall bring into force the laws, regulations and administrative provisions necessary to comply with</t>
        </is>
      </c>
      <c r="E30" t="inlineStr">
        <is>
          <t>9</t>
        </is>
      </c>
      <c r="F30" t="inlineStr">
        <is>
          <t>Other</t>
        </is>
      </c>
      <c r="G30" t="inlineStr">
        <is>
          <t>None</t>
        </is>
      </c>
      <c r="H30" t="inlineStr">
        <is>
          <t>High (explicit)</t>
        </is>
      </c>
      <c r="I30" s="8" t="inlineStr"/>
      <c r="J30" s="8" t="inlineStr"/>
      <c r="K30" t="inlineStr"/>
      <c r="L30" s="8" t="inlineStr">
        <is>
          <t>Member States must enact laws by 3 December 2020 to comply with the Directive and inform the Commission.</t>
        </is>
      </c>
      <c r="M30" s="8" t="inlineStr"/>
      <c r="N30" s="8" t="inlineStr">
        <is>
          <t>[Must] Member States shall bring into force the laws, regulations and administrative provisions necessary to comply with this Directive by 3 December 2020
[Must] Member States shall immediately inform the Commission thereof
[Must] When Member States adopt those measures, they shall contain a reference to this Directive or be accompanied by such a reference on the occasion of their official publication</t>
        </is>
      </c>
      <c r="O30" s="8" t="inlineStr">
        <is>
          <t>Member States shall bring into force the laws, regulations and administrative provisions necessary to comply with this Directive by 3 December 2020. They shall immediately inform the Commission thereof.</t>
        </is>
      </c>
    </row>
    <row r="31">
      <c r="A31" t="inlineStr">
        <is>
          <t>GDPR</t>
        </is>
      </c>
      <c r="B31" t="inlineStr">
        <is>
          <t>CELEX_32018L1673_EN_TXT (GDPR - Row 2)</t>
        </is>
      </c>
      <c r="C31" t="inlineStr">
        <is>
          <t>2</t>
        </is>
      </c>
      <c r="D31" s="8" t="inlineStr">
        <is>
          <t>This Directive does not apply to money laundering as regards property derived from criminal offences affecting the</t>
        </is>
      </c>
      <c r="E31" t="inlineStr">
        <is>
          <t>5–6</t>
        </is>
      </c>
      <c r="F31" t="inlineStr">
        <is>
          <t>Other</t>
        </is>
      </c>
      <c r="G31" t="inlineStr">
        <is>
          <t>High</t>
        </is>
      </c>
      <c r="H31" t="inlineStr">
        <is>
          <t>High (explicit)</t>
        </is>
      </c>
      <c r="I31" s="8" t="inlineStr"/>
      <c r="J31" s="8" t="inlineStr"/>
      <c r="K31" t="inlineStr"/>
      <c r="L31" s="8" t="inlineStr">
        <is>
          <t>This Directive does not apply to money laundering related to property derived from criminal offences affecting the Union's financial interests.</t>
        </is>
      </c>
      <c r="M31" s="8" t="inlineStr"/>
      <c r="N31" s="8" t="inlineStr">
        <is>
          <t>[Must Not] This Directive does not apply to money laundering as regards property derived from criminal offences affecting the Union's financial interests, which is subject to specific rules laid down in Directive (EU) 2017/1371.</t>
        </is>
      </c>
      <c r="O31" s="8" t="inlineStr">
        <is>
          <t>This Directive does not apply to money laundering as regards property derived from criminal offences affecting the Union's financial interests, which is subject to specific rules laid down in Directive (EU) 2017/1371.</t>
        </is>
      </c>
    </row>
    <row r="32">
      <c r="A32" t="inlineStr">
        <is>
          <t>GDPR</t>
        </is>
      </c>
      <c r="B32" t="inlineStr">
        <is>
          <t>CELEX_32018L1673_EN_TXT (GDPR - Row 2)</t>
        </is>
      </c>
      <c r="C32" t="inlineStr">
        <is>
          <t>2</t>
        </is>
      </c>
      <c r="D32" s="8" t="inlineStr">
        <is>
          <t>Member States may take the necessary measures to ensure that the conduct referred to in paragraph 1 is punishable</t>
        </is>
      </c>
      <c r="E32" t="inlineStr">
        <is>
          <t>6–7</t>
        </is>
      </c>
      <c r="F32" t="inlineStr">
        <is>
          <t>Other</t>
        </is>
      </c>
      <c r="G32" t="inlineStr">
        <is>
          <t>High</t>
        </is>
      </c>
      <c r="H32" t="inlineStr">
        <is>
          <t>High (explicit)</t>
        </is>
      </c>
      <c r="I32" s="8" t="inlineStr"/>
      <c r="J32" s="8" t="inlineStr"/>
      <c r="K32" t="inlineStr"/>
      <c r="L32" s="8" t="inlineStr">
        <is>
          <t>This Directive does not apply to money laundering related to property derived from criminal offences affecting the Union's financial interests.</t>
        </is>
      </c>
      <c r="M32" s="8" t="inlineStr"/>
      <c r="N32" s="8" t="inlineStr">
        <is>
          <t>[Must Not] This Directive does not apply to money laundering as regards property derived from criminal offences affecting the Union's financial interests, which is subject to specific rules laid down in Directive (EU) 2017/1371.</t>
        </is>
      </c>
      <c r="O32" s="8" t="inlineStr">
        <is>
          <t>This Directive does not apply to money laundering as regards property derived from criminal offences affecting the Union's financial interests, which is subject to specific rules laid down in Directive (EU) 2017/1371.</t>
        </is>
      </c>
    </row>
    <row r="33">
      <c r="A33" t="inlineStr">
        <is>
          <t>GDPR</t>
        </is>
      </c>
      <c r="B33" t="inlineStr">
        <is>
          <t>CELEX_32018L1673_EN_TXT (GDPR - Row 2)</t>
        </is>
      </c>
      <c r="C33" t="inlineStr">
        <is>
          <t>2</t>
        </is>
      </c>
      <c r="D33" s="8" t="inlineStr">
        <is>
          <t>Member States shall take the necessary measures to ensure that the offences referred to in Article 3(1) and (5) are</t>
        </is>
      </c>
      <c r="E33" t="inlineStr">
        <is>
          <t>7</t>
        </is>
      </c>
      <c r="F33" t="inlineStr">
        <is>
          <t>Other</t>
        </is>
      </c>
      <c r="G33" t="inlineStr">
        <is>
          <t>High</t>
        </is>
      </c>
      <c r="H33" t="inlineStr">
        <is>
          <t>High (explicit)</t>
        </is>
      </c>
      <c r="I33" s="8" t="inlineStr"/>
      <c r="J33" s="8" t="inlineStr"/>
      <c r="K33" t="inlineStr"/>
      <c r="L33" s="8" t="inlineStr">
        <is>
          <t>This Directive does not apply to money laundering related to property derived from criminal offences affecting the Union's financial interests.</t>
        </is>
      </c>
      <c r="M33" s="8" t="inlineStr"/>
      <c r="N33" s="8" t="inlineStr">
        <is>
          <t>[Must Not] This Directive does not apply to money laundering as regards property derived from criminal offences affecting the Union's financial interests, which is subject to specific rules laid down in Directive (EU) 2017/1371.</t>
        </is>
      </c>
      <c r="O33" s="8" t="inlineStr">
        <is>
          <t>This Directive does not apply to money laundering as regards property derived from criminal offences affecting the Union's financial interests, which is subject to specific rules laid down in Directive (EU) 2017/1371.</t>
        </is>
      </c>
    </row>
    <row r="34">
      <c r="A34" t="inlineStr">
        <is>
          <t>GDPR</t>
        </is>
      </c>
      <c r="B34" t="inlineStr">
        <is>
          <t>CELEX_32018L1673_EN_TXT (GDPR - Row 2)</t>
        </is>
      </c>
      <c r="C34" t="inlineStr">
        <is>
          <t>2</t>
        </is>
      </c>
      <c r="D34" s="8" t="inlineStr">
        <is>
          <t>Member States may provide that, in relation to the offences referred to in Article 3(1) and (5) and Article 4, the</t>
        </is>
      </c>
      <c r="E34" t="inlineStr">
        <is>
          <t>7</t>
        </is>
      </c>
      <c r="F34" t="inlineStr">
        <is>
          <t>Other</t>
        </is>
      </c>
      <c r="G34" t="inlineStr">
        <is>
          <t>High</t>
        </is>
      </c>
      <c r="H34" t="inlineStr">
        <is>
          <t>High (explicit)</t>
        </is>
      </c>
      <c r="I34" s="8" t="inlineStr"/>
      <c r="J34" s="8" t="inlineStr"/>
      <c r="K34" t="inlineStr"/>
      <c r="L34" s="8" t="inlineStr">
        <is>
          <t>This Directive does not apply to money laundering related to property derived from criminal offences affecting the Union's financial interests.</t>
        </is>
      </c>
      <c r="M34" s="8" t="inlineStr"/>
      <c r="N34" s="8" t="inlineStr">
        <is>
          <t>[Must Not] This Directive does not apply to money laundering as regards property derived from criminal offences affecting the Union's financial interests, which is subject to specific rules laid down in Directive (EU) 2017/1371.</t>
        </is>
      </c>
      <c r="O34" s="8" t="inlineStr">
        <is>
          <t>This Directive does not apply to money laundering as regards property derived from criminal offences affecting the Union's financial interests, which is subject to specific rules laid down in Directive (EU) 2017/1371.</t>
        </is>
      </c>
    </row>
    <row r="35">
      <c r="A35" t="inlineStr">
        <is>
          <t>GDPR</t>
        </is>
      </c>
      <c r="B35" t="inlineStr">
        <is>
          <t>CELEX_32018L1673_EN_TXT (GDPR - Row 2)</t>
        </is>
      </c>
      <c r="C35" t="inlineStr">
        <is>
          <t>2</t>
        </is>
      </c>
      <c r="D35" s="8" t="inlineStr">
        <is>
          <t>Member States shall take the necessary measures to ensure that legal persons can be held liable where the lack of</t>
        </is>
      </c>
      <c r="E35" t="inlineStr">
        <is>
          <t>8</t>
        </is>
      </c>
      <c r="F35" t="inlineStr">
        <is>
          <t>Other</t>
        </is>
      </c>
      <c r="G35" t="inlineStr">
        <is>
          <t>High</t>
        </is>
      </c>
      <c r="H35" t="inlineStr">
        <is>
          <t>High (explicit)</t>
        </is>
      </c>
      <c r="I35" s="8" t="inlineStr"/>
      <c r="J35" s="8" t="inlineStr"/>
      <c r="K35" t="inlineStr"/>
      <c r="L35" s="8" t="inlineStr">
        <is>
          <t>This Directive does not apply to money laundering related to property derived from criminal offences affecting the Union's financial interests.</t>
        </is>
      </c>
      <c r="M35" s="8" t="inlineStr"/>
      <c r="N35" s="8" t="inlineStr">
        <is>
          <t>[Must Not] This Directive does not apply to money laundering as regards property derived from criminal offences affecting the Union's financial interests, which is subject to specific rules laid down in Directive (EU) 2017/1371.</t>
        </is>
      </c>
      <c r="O35" s="8" t="inlineStr">
        <is>
          <t>This Directive does not apply to money laundering as regards property derived from criminal offences affecting the Union's financial interests, which is subject to specific rules laid down in Directive (EU) 2017/1371.</t>
        </is>
      </c>
    </row>
    <row r="36">
      <c r="A36" t="inlineStr">
        <is>
          <t>GDPR</t>
        </is>
      </c>
      <c r="B36" t="inlineStr">
        <is>
          <t>CELEX_32018L1673_EN_TXT (GDPR - Row 2)</t>
        </is>
      </c>
      <c r="C36" t="inlineStr">
        <is>
          <t>2</t>
        </is>
      </c>
      <c r="D36" s="8" t="inlineStr">
        <is>
          <t>A Member State shall inform the Commission where it decides to extend its jurisdiction to offences referred to in</t>
        </is>
      </c>
      <c r="E36" t="inlineStr">
        <is>
          <t>8</t>
        </is>
      </c>
      <c r="F36" t="inlineStr">
        <is>
          <t>Other</t>
        </is>
      </c>
      <c r="G36" t="inlineStr">
        <is>
          <t>High</t>
        </is>
      </c>
      <c r="H36" t="inlineStr">
        <is>
          <t>High (explicit)</t>
        </is>
      </c>
      <c r="I36" s="8" t="inlineStr"/>
      <c r="J36" s="8" t="inlineStr"/>
      <c r="K36" t="inlineStr"/>
      <c r="L36" s="8" t="inlineStr">
        <is>
          <t>This Directive does not apply to money laundering related to property derived from criminal offences affecting the Union's financial interests.</t>
        </is>
      </c>
      <c r="M36" s="8" t="inlineStr"/>
      <c r="N36" s="8" t="inlineStr">
        <is>
          <t>[Must Not] This Directive does not apply to money laundering as regards property derived from criminal offences affecting the Union's financial interests, which is subject to specific rules laid down in Directive (EU) 2017/1371.</t>
        </is>
      </c>
      <c r="O36" s="8" t="inlineStr">
        <is>
          <t>This Directive does not apply to money laundering as regards property derived from criminal offences affecting the Union's financial interests, which is subject to specific rules laid down in Directive (EU) 2017/1371.</t>
        </is>
      </c>
    </row>
    <row r="37">
      <c r="A37" t="inlineStr">
        <is>
          <t>GDPR</t>
        </is>
      </c>
      <c r="B37" t="inlineStr">
        <is>
          <t>CELEX_32018L1673_EN_TXT (GDPR - Row 2)</t>
        </is>
      </c>
      <c r="C37" t="inlineStr">
        <is>
          <t>2</t>
        </is>
      </c>
      <c r="D37" s="8" t="inlineStr">
        <is>
          <t>Member States shall communicate to the Commission the text of the main provisions of national law which they</t>
        </is>
      </c>
      <c r="E37" t="inlineStr">
        <is>
          <t>9</t>
        </is>
      </c>
      <c r="F37" t="inlineStr">
        <is>
          <t>Other</t>
        </is>
      </c>
      <c r="G37" t="inlineStr">
        <is>
          <t>None</t>
        </is>
      </c>
      <c r="H37" t="inlineStr">
        <is>
          <t>High (explicit)</t>
        </is>
      </c>
      <c r="I37" s="8" t="inlineStr"/>
      <c r="J37" s="8" t="inlineStr"/>
      <c r="K37" t="inlineStr"/>
      <c r="L37" s="8" t="inlineStr">
        <is>
          <t>Member States must communicate national law provisions to the Commission for the Directive's field.</t>
        </is>
      </c>
      <c r="M37" s="8" t="inlineStr"/>
      <c r="N37" s="8" t="inlineStr">
        <is>
          <t>[Must] Member States shall communicate to the Commission the text of the main provisions of national law which they adopt in the field covered by this Directive</t>
        </is>
      </c>
      <c r="O37" s="8" t="inlineStr">
        <is>
          <t>Member States shall communicate to the Commission the text of the main provisions of national law which they adopt in the field covered by this Directive.</t>
        </is>
      </c>
    </row>
    <row r="38">
      <c r="A38" t="inlineStr">
        <is>
          <t>GDPR</t>
        </is>
      </c>
      <c r="B38" t="inlineStr">
        <is>
          <t>CELEX_32018L1673_EN_TXT (GDPR - Row 2)</t>
        </is>
      </c>
      <c r="C38" t="inlineStr">
        <is>
          <t>3</t>
        </is>
      </c>
      <c r="D38" s="8" t="inlineStr">
        <is>
          <t>Member States shall take the necessary measures to ensure that:</t>
        </is>
      </c>
      <c r="E38" t="inlineStr">
        <is>
          <t>7</t>
        </is>
      </c>
      <c r="F38" t="inlineStr">
        <is>
          <t>Other</t>
        </is>
      </c>
      <c r="G38" t="inlineStr">
        <is>
          <t>Unknown</t>
        </is>
      </c>
      <c r="H38" t="inlineStr">
        <is>
          <t>Low</t>
        </is>
      </c>
      <c r="I38" s="8" t="inlineStr"/>
      <c r="J38" s="8" t="inlineStr"/>
      <c r="K38" t="inlineStr"/>
      <c r="L38" s="8" t="inlineStr"/>
      <c r="M38" s="8" t="inlineStr"/>
      <c r="N38" s="8" t="inlineStr"/>
      <c r="O38" s="8" t="inlineStr"/>
    </row>
    <row r="39">
      <c r="A39" t="inlineStr">
        <is>
          <t>GDPR</t>
        </is>
      </c>
      <c r="B39" t="inlineStr">
        <is>
          <t>CELEX_32018L1673_EN_TXT (GDPR - Row 2)</t>
        </is>
      </c>
      <c r="C39" t="inlineStr">
        <is>
          <t>3</t>
        </is>
      </c>
      <c r="D39" s="8" t="inlineStr">
        <is>
          <t>Member States shall also take the necessary measures to ensure that natural persons who have committed the</t>
        </is>
      </c>
      <c r="E39" t="inlineStr">
        <is>
          <t>7</t>
        </is>
      </c>
      <c r="F39" t="inlineStr">
        <is>
          <t>Other</t>
        </is>
      </c>
      <c r="G39" t="inlineStr">
        <is>
          <t>Unknown</t>
        </is>
      </c>
      <c r="H39" t="inlineStr">
        <is>
          <t>Low</t>
        </is>
      </c>
      <c r="I39" s="8" t="inlineStr"/>
      <c r="J39" s="8" t="inlineStr"/>
      <c r="K39" t="inlineStr"/>
      <c r="L39" s="8" t="inlineStr"/>
      <c r="M39" s="8" t="inlineStr"/>
      <c r="N39" s="8" t="inlineStr"/>
      <c r="O39" s="8" t="inlineStr"/>
    </row>
    <row r="40">
      <c r="A40" t="inlineStr">
        <is>
          <t>GDPR</t>
        </is>
      </c>
      <c r="B40" t="inlineStr">
        <is>
          <t>CELEX_32018L1673_EN_TXT (GDPR - Row 2)</t>
        </is>
      </c>
      <c r="C40" t="inlineStr">
        <is>
          <t>3</t>
        </is>
      </c>
      <c r="D40" s="8" t="inlineStr">
        <is>
          <t>Liability of legal persons under paragraphs 1 and 2 of this Article shall not preclude criminal proceedings from</t>
        </is>
      </c>
      <c r="E40" t="inlineStr">
        <is>
          <t>8</t>
        </is>
      </c>
      <c r="F40" t="inlineStr">
        <is>
          <t>Other</t>
        </is>
      </c>
      <c r="G40" t="inlineStr">
        <is>
          <t>Unknown</t>
        </is>
      </c>
      <c r="H40" t="inlineStr">
        <is>
          <t>Low</t>
        </is>
      </c>
      <c r="I40" s="8" t="inlineStr"/>
      <c r="J40" s="8" t="inlineStr"/>
      <c r="K40" t="inlineStr"/>
      <c r="L40" s="8" t="inlineStr"/>
      <c r="M40" s="8" t="inlineStr"/>
      <c r="N40" s="8" t="inlineStr"/>
      <c r="O40" s="8" t="inlineStr"/>
    </row>
    <row r="41">
      <c r="A41" t="inlineStr">
        <is>
          <t>GDPR</t>
        </is>
      </c>
      <c r="B41" t="inlineStr">
        <is>
          <t>CELEX_32018L1673_EN_TXT (GDPR - Row 2)</t>
        </is>
      </c>
      <c r="C41" t="inlineStr">
        <is>
          <t>3</t>
        </is>
      </c>
      <c r="D41" s="8" t="inlineStr">
        <is>
          <t>Where an offence referred to in Articles 3 and 4 falls within the jurisdiction of more than one Member State and</t>
        </is>
      </c>
      <c r="E41" t="inlineStr">
        <is>
          <t>8–9</t>
        </is>
      </c>
      <c r="F41" t="inlineStr">
        <is>
          <t>Other</t>
        </is>
      </c>
      <c r="G41" t="inlineStr">
        <is>
          <t>Unknown</t>
        </is>
      </c>
      <c r="H41" t="inlineStr">
        <is>
          <t>Low</t>
        </is>
      </c>
      <c r="I41" s="8" t="inlineStr"/>
      <c r="J41" s="8" t="inlineStr"/>
      <c r="K41" t="inlineStr"/>
      <c r="L41" s="8" t="inlineStr"/>
      <c r="M41" s="8" t="inlineStr"/>
      <c r="N41" s="8" t="inlineStr"/>
      <c r="O41" s="8" t="inlineStr"/>
    </row>
    <row r="42">
      <c r="A42" t="inlineStr">
        <is>
          <t>GDPR</t>
        </is>
      </c>
      <c r="B42" t="inlineStr">
        <is>
          <t>CELEX_32018L1673_EN_TXT (GDPR - Row 2)</t>
        </is>
      </c>
      <c r="C42" t="inlineStr">
        <is>
          <t>4</t>
        </is>
      </c>
      <c r="D42" s="8" t="inlineStr">
        <is>
          <t>In the case of point (c) of paragraph 3 of this Article, Member States may further require that the relevant conduct</t>
        </is>
      </c>
      <c r="E42" t="inlineStr">
        <is>
          <t>7</t>
        </is>
      </c>
      <c r="F42" t="inlineStr">
        <is>
          <t>Other</t>
        </is>
      </c>
      <c r="G42" t="inlineStr">
        <is>
          <t>Unknown</t>
        </is>
      </c>
      <c r="H42" t="inlineStr">
        <is>
          <t>Low</t>
        </is>
      </c>
      <c r="I42" s="8" t="inlineStr"/>
      <c r="J42" s="8" t="inlineStr"/>
      <c r="K42" t="inlineStr"/>
      <c r="L42" s="8" t="inlineStr"/>
      <c r="M42" s="8" t="inlineStr"/>
      <c r="N42" s="8" t="inlineStr"/>
      <c r="O42" s="8" t="inlineStr"/>
    </row>
    <row r="43">
      <c r="A43" t="inlineStr">
        <is>
          <t>GDPR</t>
        </is>
      </c>
      <c r="B43" t="inlineStr">
        <is>
          <t>CELEX_32018L1673_EN_TXT (GDPR - Row 2)</t>
        </is>
      </c>
      <c r="C43" t="inlineStr">
        <is>
          <t>5</t>
        </is>
      </c>
      <c r="D43" s="8" t="inlineStr">
        <is>
          <t>Member States shall take the necessary measures to ensure that the conduct referred to in points (a) and (b) of</t>
        </is>
      </c>
      <c r="E43" t="inlineStr">
        <is>
          <t>7</t>
        </is>
      </c>
      <c r="F43" t="inlineStr">
        <is>
          <t>Other</t>
        </is>
      </c>
      <c r="G43" t="inlineStr">
        <is>
          <t>Unknown</t>
        </is>
      </c>
      <c r="H43" t="inlineStr">
        <is>
          <t>Low</t>
        </is>
      </c>
      <c r="I43" s="8" t="inlineStr"/>
      <c r="J43" s="8" t="inlineStr"/>
      <c r="K43" t="inlineStr"/>
      <c r="L43" s="8" t="inlineStr"/>
      <c r="M43" s="8" t="inlineStr"/>
      <c r="N43" s="8" t="inlineStr"/>
      <c r="O43" s="8" t="inlineStr"/>
    </row>
    <row r="44">
      <c r="A44" t="inlineStr">
        <is>
          <t>GDPR</t>
        </is>
      </c>
      <c r="B44" t="inlineStr">
        <is>
          <t>CELEX_52023PC0360_EN_TXT (GDPR - Row 13)</t>
        </is>
      </c>
      <c r="C44" t="inlineStr">
        <is>
          <t>1</t>
        </is>
      </c>
      <c r="D44" s="8" t="inlineStr">
        <is>
          <t>CONTEXT OF THE PROPOSAL</t>
        </is>
      </c>
      <c r="E44" t="inlineStr">
        <is>
          <t>2–4</t>
        </is>
      </c>
      <c r="F44" t="inlineStr">
        <is>
          <t>Other</t>
        </is>
      </c>
      <c r="G44" t="inlineStr">
        <is>
          <t>High</t>
        </is>
      </c>
      <c r="H44" t="inlineStr">
        <is>
          <t>High (explicit)</t>
        </is>
      </c>
      <c r="I44" s="8" t="inlineStr"/>
      <c r="J44" s="8" t="inlineStr"/>
      <c r="K44" t="inlineStr"/>
      <c r="L44" s="8" t="inlineStr">
        <is>
          <t>Context for financial data access proposal to balance data flow and privacy in EU financial sector.</t>
        </is>
      </c>
      <c r="M44" s="8" t="inlineStr"/>
      <c r="N44" s="8" t="inlineStr"/>
      <c r="O44" s="8" t="inlineStr">
        <is>
          <t>Context of the proposal: EU aims to balance data flow and privacy in financial sector, enabling consumers and firms to control financial data access while addressing current inefficiencies in data sharing.</t>
        </is>
      </c>
    </row>
    <row r="45">
      <c r="A45" t="inlineStr">
        <is>
          <t>GDPR</t>
        </is>
      </c>
      <c r="B45" t="inlineStr">
        <is>
          <t>CELEX_52023PC0360_EN_TXT (GDPR - Row 13)</t>
        </is>
      </c>
      <c r="C45" t="inlineStr">
        <is>
          <t>1</t>
        </is>
      </c>
      <c r="D45" s="8" t="inlineStr">
        <is>
          <t>This Regulation applies to the following categories of customer data on:</t>
        </is>
      </c>
      <c r="E45" t="inlineStr">
        <is>
          <t>27–28</t>
        </is>
      </c>
      <c r="F45" t="inlineStr">
        <is>
          <t>Data Collection</t>
        </is>
      </c>
      <c r="G45" t="inlineStr">
        <is>
          <t>High</t>
        </is>
      </c>
      <c r="H45" t="inlineStr">
        <is>
          <t>High (explicit)</t>
        </is>
      </c>
      <c r="I45" s="8" t="inlineStr"/>
      <c r="J45" s="8" t="inlineStr">
        <is>
          <t>Financial Data, Customer Data</t>
        </is>
      </c>
      <c r="K45" t="inlineStr"/>
      <c r="L45" s="8" t="inlineStr">
        <is>
          <t>Regulation applies to specific financial customer data categories including mortgage credit agreements, loans, savings, investments, insurance products, pension rights, and creditworthiness assessments.</t>
        </is>
      </c>
      <c r="M45" s="8" t="inlineStr">
        <is>
          <t>Defines financial customer data categories covered by the regulation for data transfer impact assessments.</t>
        </is>
      </c>
      <c r="N45"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5"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6">
      <c r="A46" t="inlineStr">
        <is>
          <t>GDPR</t>
        </is>
      </c>
      <c r="B46" t="inlineStr">
        <is>
          <t>CELEX_52023PC0360_EN_TXT (GDPR - Row 13)</t>
        </is>
      </c>
      <c r="C46" t="inlineStr">
        <is>
          <t>1</t>
        </is>
      </c>
      <c r="D46" s="8" t="inlineStr">
        <is>
          <t>The data holder shall, upon request from a customer submitted by electronic means,</t>
        </is>
      </c>
      <c r="E46" t="inlineStr">
        <is>
          <t>31</t>
        </is>
      </c>
      <c r="F46" t="inlineStr">
        <is>
          <t>Data Collection</t>
        </is>
      </c>
      <c r="G46" t="inlineStr">
        <is>
          <t>High</t>
        </is>
      </c>
      <c r="H46" t="inlineStr">
        <is>
          <t>High (explicit)</t>
        </is>
      </c>
      <c r="I46" s="8" t="inlineStr"/>
      <c r="J46" s="8" t="inlineStr">
        <is>
          <t>Financial Data, Customer Data</t>
        </is>
      </c>
      <c r="K46" t="inlineStr"/>
      <c r="L46" s="8" t="inlineStr">
        <is>
          <t>Regulation applies to specific financial customer data categories including mortgage credit agreements, loans, savings, investments, insurance products, pension rights, and creditworthiness assessments.</t>
        </is>
      </c>
      <c r="M46" s="8" t="inlineStr">
        <is>
          <t>Defines financial customer data categories covered by the regulation for data transfer impact assessments.</t>
        </is>
      </c>
      <c r="N46"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6"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7">
      <c r="A47" t="inlineStr">
        <is>
          <t>GDPR</t>
        </is>
      </c>
      <c r="B47" t="inlineStr">
        <is>
          <t>CELEX_52023PC0360_EN_TXT (GDPR - Row 13)</t>
        </is>
      </c>
      <c r="C47" t="inlineStr">
        <is>
          <t>1</t>
        </is>
      </c>
      <c r="D47" s="8" t="inlineStr">
        <is>
          <t>A data user shall only be eligible to access customer data pursuant to Article 5(1) if</t>
        </is>
      </c>
      <c r="E47" t="inlineStr">
        <is>
          <t>32</t>
        </is>
      </c>
      <c r="F47" t="inlineStr">
        <is>
          <t>Data Collection</t>
        </is>
      </c>
      <c r="G47" t="inlineStr">
        <is>
          <t>High</t>
        </is>
      </c>
      <c r="H47" t="inlineStr">
        <is>
          <t>High (explicit)</t>
        </is>
      </c>
      <c r="I47" s="8" t="inlineStr"/>
      <c r="J47" s="8" t="inlineStr">
        <is>
          <t>Financial Data, Customer Data</t>
        </is>
      </c>
      <c r="K47" t="inlineStr"/>
      <c r="L47" s="8" t="inlineStr">
        <is>
          <t>Regulation applies to specific financial customer data categories including mortgage credit agreements, loans, savings, investments, insurance products, pension rights, and creditworthiness assessments.</t>
        </is>
      </c>
      <c r="M47" s="8" t="inlineStr">
        <is>
          <t>Defines financial customer data categories covered by the regulation for data transfer impact assessments.</t>
        </is>
      </c>
      <c r="N47"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7"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8">
      <c r="A48" t="inlineStr">
        <is>
          <t>GDPR</t>
        </is>
      </c>
      <c r="B48" t="inlineStr">
        <is>
          <t>CELEX_52023PC0360_EN_TXT (GDPR - Row 13)</t>
        </is>
      </c>
      <c r="C48" t="inlineStr">
        <is>
          <t>1</t>
        </is>
      </c>
      <c r="D48" s="8" t="inlineStr">
        <is>
          <t>The processing of customer data referred to in Article 2(1) of this Regulation that</t>
        </is>
      </c>
      <c r="E48" t="inlineStr">
        <is>
          <t>32</t>
        </is>
      </c>
      <c r="F48" t="inlineStr">
        <is>
          <t>Data Collection</t>
        </is>
      </c>
      <c r="G48" t="inlineStr">
        <is>
          <t>High</t>
        </is>
      </c>
      <c r="H48" t="inlineStr">
        <is>
          <t>High (explicit)</t>
        </is>
      </c>
      <c r="I48" s="8" t="inlineStr"/>
      <c r="J48" s="8" t="inlineStr">
        <is>
          <t>Financial Data, Customer Data</t>
        </is>
      </c>
      <c r="K48" t="inlineStr"/>
      <c r="L48" s="8" t="inlineStr">
        <is>
          <t>Regulation applies to specific financial customer data categories including mortgage credit agreements, loans, savings, investments, insurance products, pension rights, and creditworthiness assessments.</t>
        </is>
      </c>
      <c r="M48" s="8" t="inlineStr">
        <is>
          <t>Defines financial customer data categories covered by the regulation for data transfer impact assessments.</t>
        </is>
      </c>
      <c r="N48"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8"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9">
      <c r="A49" t="inlineStr">
        <is>
          <t>GDPR</t>
        </is>
      </c>
      <c r="B49" t="inlineStr">
        <is>
          <t>CELEX_52023PC0360_EN_TXT (GDPR - Row 13)</t>
        </is>
      </c>
      <c r="C49" t="inlineStr">
        <is>
          <t>1</t>
        </is>
      </c>
      <c r="D49" s="8" t="inlineStr">
        <is>
          <t>Within 18 months from the entry into force of this Regulation, data holders and data</t>
        </is>
      </c>
      <c r="E49" t="inlineStr">
        <is>
          <t>34</t>
        </is>
      </c>
      <c r="F49" t="inlineStr">
        <is>
          <t>Data Sharing</t>
        </is>
      </c>
      <c r="G49" t="inlineStr">
        <is>
          <t>High</t>
        </is>
      </c>
      <c r="H49" t="inlineStr">
        <is>
          <t>High (explicit)</t>
        </is>
      </c>
      <c r="I49" s="8" t="inlineStr">
        <is>
          <t>Data Sharing, Data Storage</t>
        </is>
      </c>
      <c r="J49" s="8" t="inlineStr">
        <is>
          <t>Financial Data</t>
        </is>
      </c>
      <c r="K49" t="inlineStr"/>
      <c r="L49" s="8" t="inlineStr">
        <is>
          <t>Financial information service providers without a Union establishment must designate a legal representative in a Member State.</t>
        </is>
      </c>
      <c r="M49" s="8" t="inlineStr">
        <is>
          <t>Providers without a Union establishment must designate a legal representative in a Member State.</t>
        </is>
      </c>
      <c r="N49"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49"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0">
      <c r="A50" t="inlineStr">
        <is>
          <t>GDPR</t>
        </is>
      </c>
      <c r="B50" t="inlineStr">
        <is>
          <t>CELEX_52023PC0360_EN_TXT (GDPR - Row 13)</t>
        </is>
      </c>
      <c r="C50" t="inlineStr">
        <is>
          <t>1</t>
        </is>
      </c>
      <c r="D50" s="8" t="inlineStr">
        <is>
          <t>A financial data sharing scheme shall include the following elements:</t>
        </is>
      </c>
      <c r="E50" t="inlineStr">
        <is>
          <t>34–36</t>
        </is>
      </c>
      <c r="F50" t="inlineStr">
        <is>
          <t>Data Sharing</t>
        </is>
      </c>
      <c r="G50" t="inlineStr">
        <is>
          <t>High</t>
        </is>
      </c>
      <c r="H50" t="inlineStr">
        <is>
          <t>High (explicit)</t>
        </is>
      </c>
      <c r="I50" s="8" t="inlineStr">
        <is>
          <t>Data Sharing, Data Storage</t>
        </is>
      </c>
      <c r="J50" s="8" t="inlineStr">
        <is>
          <t>Financial Data</t>
        </is>
      </c>
      <c r="K50" t="inlineStr"/>
      <c r="L50" s="8" t="inlineStr">
        <is>
          <t>Financial information service providers without a Union establishment must designate a legal representative in a Member State.</t>
        </is>
      </c>
      <c r="M50" s="8" t="inlineStr">
        <is>
          <t>Providers without a Union establishment must designate a legal representative in a Member State.</t>
        </is>
      </c>
      <c r="N50"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50"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1">
      <c r="A51" t="inlineStr">
        <is>
          <t>GDPR</t>
        </is>
      </c>
      <c r="B51" t="inlineStr">
        <is>
          <t>CELEX_52023PC0360_EN_TXT (GDPR - Row 13)</t>
        </is>
      </c>
      <c r="C51" t="inlineStr">
        <is>
          <t>1</t>
        </is>
      </c>
      <c r="D51" s="8" t="inlineStr">
        <is>
          <t>Financial information service providers that do not have an establishment in the</t>
        </is>
      </c>
      <c r="E51" t="inlineStr">
        <is>
          <t>39</t>
        </is>
      </c>
      <c r="F51" t="inlineStr">
        <is>
          <t>Data Sharing</t>
        </is>
      </c>
      <c r="G51" t="inlineStr">
        <is>
          <t>High</t>
        </is>
      </c>
      <c r="H51" t="inlineStr">
        <is>
          <t>High (explicit)</t>
        </is>
      </c>
      <c r="I51" s="8" t="inlineStr">
        <is>
          <t>Data Sharing, Data Storage</t>
        </is>
      </c>
      <c r="J51" s="8" t="inlineStr">
        <is>
          <t>Financial Data</t>
        </is>
      </c>
      <c r="K51" t="inlineStr"/>
      <c r="L51" s="8" t="inlineStr">
        <is>
          <t>Financial information service providers without a Union establishment must designate a legal representative in a Member State.</t>
        </is>
      </c>
      <c r="M51" s="8" t="inlineStr">
        <is>
          <t>Providers without a Union establishment must designate a legal representative in a Member State.</t>
        </is>
      </c>
      <c r="N51"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51"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2">
      <c r="A52" t="inlineStr">
        <is>
          <t>GDPR</t>
        </is>
      </c>
      <c r="B52" t="inlineStr">
        <is>
          <t>CELEX_52023PC0360_EN_TXT (GDPR - Row 13)</t>
        </is>
      </c>
      <c r="C52" t="inlineStr">
        <is>
          <t>1</t>
        </is>
      </c>
      <c r="D52" s="8" t="inlineStr">
        <is>
          <t>The competent authority shall grant an authorisation if the information and evidence</t>
        </is>
      </c>
      <c r="E52" t="inlineStr">
        <is>
          <t>39–40</t>
        </is>
      </c>
      <c r="F52" t="inlineStr">
        <is>
          <t>Record Keeping</t>
        </is>
      </c>
      <c r="G52" t="inlineStr">
        <is>
          <t>High</t>
        </is>
      </c>
      <c r="H52" t="inlineStr">
        <is>
          <t>High (explicit)</t>
        </is>
      </c>
      <c r="I52" s="8" t="inlineStr"/>
      <c r="J52" s="8" t="inlineStr">
        <is>
          <t>Financial Data</t>
        </is>
      </c>
      <c r="K52" t="inlineStr">
        <is>
          <t>EBA</t>
        </is>
      </c>
      <c r="L52" s="8" t="inlineStr">
        <is>
          <t>EBA must maintain electronic central register of authorised providers, providers accessing data in other Member States, and financial data sharing schemes.</t>
        </is>
      </c>
      <c r="M52" s="8" t="inlineStr">
        <is>
          <t>EBA must maintain electronic central register of authorised providers, providers accessing data in other Member States, and financial data sharing schemes.</t>
        </is>
      </c>
      <c r="N52"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2"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3">
      <c r="A53" t="inlineStr">
        <is>
          <t>GDPR</t>
        </is>
      </c>
      <c r="B53" t="inlineStr">
        <is>
          <t>CELEX_52023PC0360_EN_TXT (GDPR - Row 13)</t>
        </is>
      </c>
      <c r="C53" t="inlineStr">
        <is>
          <t>1</t>
        </is>
      </c>
      <c r="D53" s="8" t="inlineStr">
        <is>
          <t>EBA shall develop, operate and maintain an electronic central register which</t>
        </is>
      </c>
      <c r="E53" t="inlineStr">
        <is>
          <t>41</t>
        </is>
      </c>
      <c r="F53" t="inlineStr">
        <is>
          <t>Record Keeping</t>
        </is>
      </c>
      <c r="G53" t="inlineStr">
        <is>
          <t>High</t>
        </is>
      </c>
      <c r="H53" t="inlineStr">
        <is>
          <t>High (explicit)</t>
        </is>
      </c>
      <c r="I53" s="8" t="inlineStr"/>
      <c r="J53" s="8" t="inlineStr">
        <is>
          <t>Financial Data</t>
        </is>
      </c>
      <c r="K53" t="inlineStr">
        <is>
          <t>EBA</t>
        </is>
      </c>
      <c r="L53" s="8" t="inlineStr">
        <is>
          <t>EBA must maintain electronic central register of authorised providers, providers accessing data in other Member States, and financial data sharing schemes.</t>
        </is>
      </c>
      <c r="M53" s="8" t="inlineStr">
        <is>
          <t>EBA must maintain electronic central register of authorised providers, providers accessing data in other Member States, and financial data sharing schemes.</t>
        </is>
      </c>
      <c r="N53"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3"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4">
      <c r="A54" t="inlineStr">
        <is>
          <t>GDPR</t>
        </is>
      </c>
      <c r="B54" t="inlineStr">
        <is>
          <t>CELEX_52023PC0360_EN_TXT (GDPR - Row 13)</t>
        </is>
      </c>
      <c r="C54" t="inlineStr">
        <is>
          <t>1</t>
        </is>
      </c>
      <c r="D54" s="8" t="inlineStr">
        <is>
          <t>Member States shall designate the competent authorities responsible for carrying out</t>
        </is>
      </c>
      <c r="E54" t="inlineStr">
        <is>
          <t>42</t>
        </is>
      </c>
      <c r="F54" t="inlineStr">
        <is>
          <t>Record Keeping</t>
        </is>
      </c>
      <c r="G54" t="inlineStr">
        <is>
          <t>High</t>
        </is>
      </c>
      <c r="H54" t="inlineStr">
        <is>
          <t>High (explicit)</t>
        </is>
      </c>
      <c r="I54" s="8" t="inlineStr"/>
      <c r="J54" s="8" t="inlineStr">
        <is>
          <t>Financial Data</t>
        </is>
      </c>
      <c r="K54" t="inlineStr">
        <is>
          <t>EBA</t>
        </is>
      </c>
      <c r="L54" s="8" t="inlineStr">
        <is>
          <t>EBA must maintain electronic central register of authorised providers, providers accessing data in other Member States, and financial data sharing schemes.</t>
        </is>
      </c>
      <c r="M54" s="8" t="inlineStr">
        <is>
          <t>EBA must maintain electronic central register of authorised providers, providers accessing data in other Member States, and financial data sharing schemes.</t>
        </is>
      </c>
      <c r="N54"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4"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5">
      <c r="A55" t="inlineStr">
        <is>
          <t>GDPR</t>
        </is>
      </c>
      <c r="B55" t="inlineStr">
        <is>
          <t>CELEX_52023PC0360_EN_TXT (GDPR - Row 13)</t>
        </is>
      </c>
      <c r="C55" t="inlineStr">
        <is>
          <t>1</t>
        </is>
      </c>
      <c r="D55" s="8" t="inlineStr">
        <is>
          <t>Competent authorities shall have all the investigatory powers necessary for the</t>
        </is>
      </c>
      <c r="E55" t="inlineStr">
        <is>
          <t>42–44</t>
        </is>
      </c>
      <c r="F55" t="inlineStr">
        <is>
          <t>Record Keeping</t>
        </is>
      </c>
      <c r="G55" t="inlineStr">
        <is>
          <t>High</t>
        </is>
      </c>
      <c r="H55" t="inlineStr">
        <is>
          <t>High (explicit)</t>
        </is>
      </c>
      <c r="I55" s="8" t="inlineStr"/>
      <c r="J55" s="8" t="inlineStr">
        <is>
          <t>Financial Data</t>
        </is>
      </c>
      <c r="K55" t="inlineStr">
        <is>
          <t>EBA</t>
        </is>
      </c>
      <c r="L55" s="8" t="inlineStr">
        <is>
          <t>EBA must maintain electronic central register of authorised providers, providers accessing data in other Member States, and financial data sharing schemes.</t>
        </is>
      </c>
      <c r="M55" s="8" t="inlineStr">
        <is>
          <t>EBA must maintain electronic central register of authorised providers, providers accessing data in other Member States, and financial data sharing schemes.</t>
        </is>
      </c>
      <c r="N55"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5"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6">
      <c r="A56" t="inlineStr">
        <is>
          <t>GDPR</t>
        </is>
      </c>
      <c r="B56" t="inlineStr">
        <is>
          <t>CELEX_52023PC0360_EN_TXT (GDPR - Row 13)</t>
        </is>
      </c>
      <c r="C56" t="inlineStr">
        <is>
          <t>1</t>
        </is>
      </c>
      <c r="D56" s="8" t="inlineStr">
        <is>
          <t>Without prejudice to Article 20, Member States may lay down rules enabling their</t>
        </is>
      </c>
      <c r="E56" t="inlineStr">
        <is>
          <t>44</t>
        </is>
      </c>
      <c r="F56" t="inlineStr">
        <is>
          <t>Record Keeping</t>
        </is>
      </c>
      <c r="G56" t="inlineStr">
        <is>
          <t>High</t>
        </is>
      </c>
      <c r="H56" t="inlineStr">
        <is>
          <t>High (explicit)</t>
        </is>
      </c>
      <c r="I56" s="8" t="inlineStr"/>
      <c r="J56" s="8" t="inlineStr">
        <is>
          <t>Financial Data</t>
        </is>
      </c>
      <c r="K56" t="inlineStr">
        <is>
          <t>EBA</t>
        </is>
      </c>
      <c r="L56" s="8" t="inlineStr">
        <is>
          <t>EBA must maintain electronic central register of authorised providers, providers accessing data in other Member States, and financial data sharing schemes.</t>
        </is>
      </c>
      <c r="M56" s="8" t="inlineStr">
        <is>
          <t>EBA must maintain electronic central register of authorised providers, providers accessing data in other Member States, and financial data sharing schemes.</t>
        </is>
      </c>
      <c r="N56"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6"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7">
      <c r="A57" t="inlineStr">
        <is>
          <t>GDPR</t>
        </is>
      </c>
      <c r="B57" t="inlineStr">
        <is>
          <t>CELEX_52023PC0360_EN_TXT (GDPR - Row 13)</t>
        </is>
      </c>
      <c r="C57" t="inlineStr">
        <is>
          <t>1</t>
        </is>
      </c>
      <c r="D57" s="8" t="inlineStr">
        <is>
          <t>Without prejudice to the supervisory and investigative powers of competent</t>
        </is>
      </c>
      <c r="E57" t="inlineStr">
        <is>
          <t>45</t>
        </is>
      </c>
      <c r="F57" t="inlineStr">
        <is>
          <t>Other</t>
        </is>
      </c>
      <c r="G57" t="inlineStr">
        <is>
          <t>High</t>
        </is>
      </c>
      <c r="H57" t="inlineStr">
        <is>
          <t>High (explicit)</t>
        </is>
      </c>
      <c r="I57" s="8" t="inlineStr"/>
      <c r="J57" s="8" t="inlineStr">
        <is>
          <t>Financial Data</t>
        </is>
      </c>
      <c r="K57" t="inlineStr">
        <is>
          <t>Financial institutions</t>
        </is>
      </c>
      <c r="L57" s="8" t="inlineStr">
        <is>
          <t>Financial institutions and service providers can access Union customers' data held by data holders in the Union.</t>
        </is>
      </c>
      <c r="M57" s="8" t="inlineStr">
        <is>
          <t>Financial institutions and service providers can access Union customers' data held by data holders in the Union, under freedom of establishment or service provision.</t>
        </is>
      </c>
      <c r="N57"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7"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58">
      <c r="A58" t="inlineStr">
        <is>
          <t>GDPR</t>
        </is>
      </c>
      <c r="B58" t="inlineStr">
        <is>
          <t>CELEX_52023PC0360_EN_TXT (GDPR - Row 13)</t>
        </is>
      </c>
      <c r="C58" t="inlineStr">
        <is>
          <t>1</t>
        </is>
      </c>
      <c r="D58" s="8" t="inlineStr">
        <is>
          <t>Competent authorities shall be entitled to impose periodic penalty payments on legal</t>
        </is>
      </c>
      <c r="E58" t="inlineStr">
        <is>
          <t>46–47</t>
        </is>
      </c>
      <c r="F58" t="inlineStr">
        <is>
          <t>Other</t>
        </is>
      </c>
      <c r="G58" t="inlineStr">
        <is>
          <t>High</t>
        </is>
      </c>
      <c r="H58" t="inlineStr">
        <is>
          <t>High (explicit)</t>
        </is>
      </c>
      <c r="I58" s="8" t="inlineStr"/>
      <c r="J58" s="8" t="inlineStr">
        <is>
          <t>Financial Data</t>
        </is>
      </c>
      <c r="K58" t="inlineStr">
        <is>
          <t>Financial institutions</t>
        </is>
      </c>
      <c r="L58" s="8" t="inlineStr">
        <is>
          <t>Financial institutions and service providers can access Union customers' data held by data holders in the Union.</t>
        </is>
      </c>
      <c r="M58" s="8" t="inlineStr">
        <is>
          <t>Financial institutions and service providers can access Union customers' data held by data holders in the Union, under freedom of establishment or service provision.</t>
        </is>
      </c>
      <c r="N58"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8"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59">
      <c r="A59" t="inlineStr">
        <is>
          <t>GDPR</t>
        </is>
      </c>
      <c r="B59" t="inlineStr">
        <is>
          <t>CELEX_52023PC0360_EN_TXT (GDPR - Row 13)</t>
        </is>
      </c>
      <c r="C59" t="inlineStr">
        <is>
          <t>1</t>
        </is>
      </c>
      <c r="D59" s="8" t="inlineStr">
        <is>
          <t>Competent authorities, when determining the type and level of administrative</t>
        </is>
      </c>
      <c r="E59" t="inlineStr">
        <is>
          <t>47–48</t>
        </is>
      </c>
      <c r="F59" t="inlineStr">
        <is>
          <t>Other</t>
        </is>
      </c>
      <c r="G59" t="inlineStr">
        <is>
          <t>High</t>
        </is>
      </c>
      <c r="H59" t="inlineStr">
        <is>
          <t>High (explicit)</t>
        </is>
      </c>
      <c r="I59" s="8" t="inlineStr"/>
      <c r="J59" s="8" t="inlineStr">
        <is>
          <t>Financial Data</t>
        </is>
      </c>
      <c r="K59" t="inlineStr">
        <is>
          <t>Financial institutions</t>
        </is>
      </c>
      <c r="L59" s="8" t="inlineStr">
        <is>
          <t>Financial institutions and service providers can access Union customers' data held by data holders in the Union.</t>
        </is>
      </c>
      <c r="M59" s="8" t="inlineStr">
        <is>
          <t>Financial institutions and service providers can access Union customers' data held by data holders in the Union, under freedom of establishment or service provision.</t>
        </is>
      </c>
      <c r="N59"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9"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0">
      <c r="A60" t="inlineStr">
        <is>
          <t>GDPR</t>
        </is>
      </c>
      <c r="B60" t="inlineStr">
        <is>
          <t>CELEX_52023PC0360_EN_TXT (GDPR - Row 13)</t>
        </is>
      </c>
      <c r="C60" t="inlineStr">
        <is>
          <t>1</t>
        </is>
      </c>
      <c r="D60" s="8" t="inlineStr">
        <is>
          <t>All persons who work or who have worked for the competent authorities, as well as</t>
        </is>
      </c>
      <c r="E60" t="inlineStr">
        <is>
          <t>48</t>
        </is>
      </c>
      <c r="F60" t="inlineStr">
        <is>
          <t>Other</t>
        </is>
      </c>
      <c r="G60" t="inlineStr">
        <is>
          <t>High</t>
        </is>
      </c>
      <c r="H60" t="inlineStr">
        <is>
          <t>High (explicit)</t>
        </is>
      </c>
      <c r="I60" s="8" t="inlineStr"/>
      <c r="J60" s="8" t="inlineStr">
        <is>
          <t>Financial Data</t>
        </is>
      </c>
      <c r="K60" t="inlineStr">
        <is>
          <t>Financial institutions</t>
        </is>
      </c>
      <c r="L60" s="8" t="inlineStr">
        <is>
          <t>Financial institutions and service providers can access Union customers' data held by data holders in the Union.</t>
        </is>
      </c>
      <c r="M60" s="8" t="inlineStr">
        <is>
          <t>Financial institutions and service providers can access Union customers' data held by data holders in the Union, under freedom of establishment or service provision.</t>
        </is>
      </c>
      <c r="N60"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0"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1">
      <c r="A61" t="inlineStr">
        <is>
          <t>GDPR</t>
        </is>
      </c>
      <c r="B61" t="inlineStr">
        <is>
          <t>CELEX_52023PC0360_EN_TXT (GDPR - Row 13)</t>
        </is>
      </c>
      <c r="C61" t="inlineStr">
        <is>
          <t>1</t>
        </is>
      </c>
      <c r="D61" s="8" t="inlineStr">
        <is>
          <t>Competent authorities shall publish on their website all decisions imposing an</t>
        </is>
      </c>
      <c r="E61" t="inlineStr">
        <is>
          <t>48</t>
        </is>
      </c>
      <c r="F61" t="inlineStr">
        <is>
          <t>Other</t>
        </is>
      </c>
      <c r="G61" t="inlineStr">
        <is>
          <t>High</t>
        </is>
      </c>
      <c r="H61" t="inlineStr">
        <is>
          <t>High (explicit)</t>
        </is>
      </c>
      <c r="I61" s="8" t="inlineStr"/>
      <c r="J61" s="8" t="inlineStr">
        <is>
          <t>Financial Data</t>
        </is>
      </c>
      <c r="K61" t="inlineStr">
        <is>
          <t>Financial institutions</t>
        </is>
      </c>
      <c r="L61" s="8" t="inlineStr">
        <is>
          <t>Financial institutions and service providers can access Union customers' data held by data holders in the Union.</t>
        </is>
      </c>
      <c r="M61" s="8" t="inlineStr">
        <is>
          <t>Financial institutions and service providers can access Union customers' data held by data holders in the Union, under freedom of establishment or service provision.</t>
        </is>
      </c>
      <c r="N61"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1"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2">
      <c r="A62" t="inlineStr">
        <is>
          <t>GDPR</t>
        </is>
      </c>
      <c r="B62" t="inlineStr">
        <is>
          <t>CELEX_52023PC0360_EN_TXT (GDPR - Row 13)</t>
        </is>
      </c>
      <c r="C62" t="inlineStr">
        <is>
          <t>1</t>
        </is>
      </c>
      <c r="D62" s="8" t="inlineStr">
        <is>
          <t>Competent authorities shall cooperate with each other and with other relevant</t>
        </is>
      </c>
      <c r="E62" t="inlineStr">
        <is>
          <t>49</t>
        </is>
      </c>
      <c r="F62" t="inlineStr">
        <is>
          <t>Other</t>
        </is>
      </c>
      <c r="G62" t="inlineStr">
        <is>
          <t>High</t>
        </is>
      </c>
      <c r="H62" t="inlineStr">
        <is>
          <t>High (explicit)</t>
        </is>
      </c>
      <c r="I62" s="8" t="inlineStr"/>
      <c r="J62" s="8" t="inlineStr">
        <is>
          <t>Financial Data</t>
        </is>
      </c>
      <c r="K62" t="inlineStr">
        <is>
          <t>Financial institutions</t>
        </is>
      </c>
      <c r="L62" s="8" t="inlineStr">
        <is>
          <t>Financial institutions and service providers can access Union customers' data held by data holders in the Union.</t>
        </is>
      </c>
      <c r="M62" s="8" t="inlineStr">
        <is>
          <t>Financial institutions and service providers can access Union customers' data held by data holders in the Union, under freedom of establishment or service provision.</t>
        </is>
      </c>
      <c r="N62"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2"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3">
      <c r="A63" t="inlineStr">
        <is>
          <t>GDPR</t>
        </is>
      </c>
      <c r="B63" t="inlineStr">
        <is>
          <t>CELEX_52023PC0360_EN_TXT (GDPR - Row 13)</t>
        </is>
      </c>
      <c r="C63" t="inlineStr">
        <is>
          <t>1</t>
        </is>
      </c>
      <c r="D63" s="8" t="inlineStr">
        <is>
          <t>Where a competent authority of a Member State considers that, in a particular matter,</t>
        </is>
      </c>
      <c r="E63" t="inlineStr">
        <is>
          <t>49–50</t>
        </is>
      </c>
      <c r="F63" t="inlineStr">
        <is>
          <t>Other</t>
        </is>
      </c>
      <c r="G63" t="inlineStr">
        <is>
          <t>High</t>
        </is>
      </c>
      <c r="H63" t="inlineStr">
        <is>
          <t>High (explicit)</t>
        </is>
      </c>
      <c r="I63" s="8" t="inlineStr"/>
      <c r="J63" s="8" t="inlineStr">
        <is>
          <t>Financial Data</t>
        </is>
      </c>
      <c r="K63" t="inlineStr">
        <is>
          <t>Financial institutions</t>
        </is>
      </c>
      <c r="L63" s="8" t="inlineStr">
        <is>
          <t>Financial institutions and service providers can access Union customers' data held by data holders in the Union.</t>
        </is>
      </c>
      <c r="M63" s="8" t="inlineStr">
        <is>
          <t>Financial institutions and service providers can access Union customers' data held by data holders in the Union, under freedom of establishment or service provision.</t>
        </is>
      </c>
      <c r="N63"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3"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4">
      <c r="A64" t="inlineStr">
        <is>
          <t>GDPR</t>
        </is>
      </c>
      <c r="B64" t="inlineStr">
        <is>
          <t>CELEX_52023PC0360_EN_TXT (GDPR - Row 13)</t>
        </is>
      </c>
      <c r="C64" t="inlineStr">
        <is>
          <t>1</t>
        </is>
      </c>
      <c r="D64" s="8" t="inlineStr">
        <is>
          <t>Financial information service providers and financial institutions shall be allowed to</t>
        </is>
      </c>
      <c r="E64" t="inlineStr">
        <is>
          <t>50</t>
        </is>
      </c>
      <c r="F64" t="inlineStr">
        <is>
          <t>Other</t>
        </is>
      </c>
      <c r="G64" t="inlineStr">
        <is>
          <t>High</t>
        </is>
      </c>
      <c r="H64" t="inlineStr">
        <is>
          <t>High (explicit)</t>
        </is>
      </c>
      <c r="I64" s="8" t="inlineStr"/>
      <c r="J64" s="8" t="inlineStr">
        <is>
          <t>Financial Data</t>
        </is>
      </c>
      <c r="K64" t="inlineStr">
        <is>
          <t>Financial institutions</t>
        </is>
      </c>
      <c r="L64" s="8" t="inlineStr">
        <is>
          <t>Financial institutions and service providers can access Union customers' data held by data holders in the Union.</t>
        </is>
      </c>
      <c r="M64" s="8" t="inlineStr">
        <is>
          <t>Financial institutions and service providers can access Union customers' data held by data holders in the Union, under freedom of establishment or service provision.</t>
        </is>
      </c>
      <c r="N64"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4"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5">
      <c r="A65" t="inlineStr">
        <is>
          <t>GDPR</t>
        </is>
      </c>
      <c r="B65" t="inlineStr">
        <is>
          <t>CELEX_52023PC0360_EN_TXT (GDPR - Row 13)</t>
        </is>
      </c>
      <c r="C65" t="inlineStr">
        <is>
          <t>1</t>
        </is>
      </c>
      <c r="D65" s="8" t="inlineStr">
        <is>
          <t>By [OP please insert the date = 4 years after the date of entry into application of this</t>
        </is>
      </c>
      <c r="E65" t="inlineStr">
        <is>
          <t>51–52</t>
        </is>
      </c>
      <c r="F65" t="inlineStr">
        <is>
          <t>Other</t>
        </is>
      </c>
      <c r="G65" t="inlineStr">
        <is>
          <t>Medium</t>
        </is>
      </c>
      <c r="H65" t="inlineStr">
        <is>
          <t>High (explicit)</t>
        </is>
      </c>
      <c r="I65" s="8" t="inlineStr"/>
      <c r="J65" s="8" t="inlineStr"/>
      <c r="K65" t="inlineStr">
        <is>
          <t>European Commission</t>
        </is>
      </c>
      <c r="L65" s="8" t="inlineStr">
        <is>
          <t>Commission must evaluate financial data access regulation and submit report 4 years after entry into force.</t>
        </is>
      </c>
      <c r="M65" s="8" t="inlineStr">
        <is>
          <t>Requires 4-year evaluation report on financial data access scope and impact.</t>
        </is>
      </c>
      <c r="N65" s="8" t="inlineStr">
        <is>
          <t>[Must] Commission must submit evaluation report 4 years after entry into force</t>
        </is>
      </c>
      <c r="O65"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row>
    <row r="66">
      <c r="A66" t="inlineStr">
        <is>
          <t>GDPR</t>
        </is>
      </c>
      <c r="B66" t="inlineStr">
        <is>
          <t>CELEX_52023PC0360_EN_TXT (GDPR - Row 13)</t>
        </is>
      </c>
      <c r="C66" t="inlineStr">
        <is>
          <t>2</t>
        </is>
      </c>
      <c r="D66" s="8" t="inlineStr">
        <is>
          <t>LEGAL BASIS, SUBSIDIARITY AND PROPORTIONALITY</t>
        </is>
      </c>
      <c r="E66" t="inlineStr">
        <is>
          <t>4–5</t>
        </is>
      </c>
      <c r="F66" t="inlineStr">
        <is>
          <t>Other</t>
        </is>
      </c>
      <c r="G66" t="inlineStr">
        <is>
          <t>High</t>
        </is>
      </c>
      <c r="H66" t="inlineStr">
        <is>
          <t>High (explicit)</t>
        </is>
      </c>
      <c r="I66" s="8" t="inlineStr"/>
      <c r="J66" s="8" t="inlineStr"/>
      <c r="K66" t="inlineStr"/>
      <c r="L66" s="8" t="inlineStr">
        <is>
          <t>Legal basis for EU financial data regulation ensuring internal market functioning and proportionality.</t>
        </is>
      </c>
      <c r="M66" s="8" t="inlineStr"/>
      <c r="N66" s="8" t="inlineStr"/>
      <c r="O66" s="8" t="inlineStr">
        <is>
          <t>Legal basis: EU legislation on financial data sharing ensures internal market functioning, harmonized rules for cross-border financial institutions, and proportionality in administrative burden.</t>
        </is>
      </c>
    </row>
    <row r="67">
      <c r="A67" t="inlineStr">
        <is>
          <t>GDPR</t>
        </is>
      </c>
      <c r="B67" t="inlineStr">
        <is>
          <t>CELEX_52023PC0360_EN_TXT (GDPR - Row 13)</t>
        </is>
      </c>
      <c r="C67" t="inlineStr">
        <is>
          <t>2</t>
        </is>
      </c>
      <c r="D67" s="8" t="inlineStr">
        <is>
          <t>This Regulation applies to the following entities when acting as data holders or data</t>
        </is>
      </c>
      <c r="E67" t="inlineStr">
        <is>
          <t>28</t>
        </is>
      </c>
      <c r="F67" t="inlineStr">
        <is>
          <t>Data Collection</t>
        </is>
      </c>
      <c r="G67" t="inlineStr">
        <is>
          <t>High</t>
        </is>
      </c>
      <c r="H67" t="inlineStr">
        <is>
          <t>High (explicit)</t>
        </is>
      </c>
      <c r="I67" s="8" t="inlineStr"/>
      <c r="J67" s="8" t="inlineStr">
        <is>
          <t>Customer Data</t>
        </is>
      </c>
      <c r="K67" t="inlineStr"/>
      <c r="L67" s="8" t="inlineStr">
        <is>
          <t>Regulation applies to specific financial entities when acting as data holders or data users.</t>
        </is>
      </c>
      <c r="M67" s="8" t="inlineStr">
        <is>
          <t>Defines financial entities covered by the regulation for data transfer impact assessments.</t>
        </is>
      </c>
      <c r="N67"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7"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68">
      <c r="A68" t="inlineStr">
        <is>
          <t>GDPR</t>
        </is>
      </c>
      <c r="B68" t="inlineStr">
        <is>
          <t>CELEX_52023PC0360_EN_TXT (GDPR - Row 13)</t>
        </is>
      </c>
      <c r="C68" t="inlineStr">
        <is>
          <t>2</t>
        </is>
      </c>
      <c r="D68" s="8" t="inlineStr">
        <is>
          <t>A data holder may claim compensation from a data user for making customer data</t>
        </is>
      </c>
      <c r="E68" t="inlineStr">
        <is>
          <t>31</t>
        </is>
      </c>
      <c r="F68" t="inlineStr">
        <is>
          <t>Data Collection</t>
        </is>
      </c>
      <c r="G68" t="inlineStr">
        <is>
          <t>High</t>
        </is>
      </c>
      <c r="H68" t="inlineStr">
        <is>
          <t>High (explicit)</t>
        </is>
      </c>
      <c r="I68" s="8" t="inlineStr"/>
      <c r="J68" s="8" t="inlineStr">
        <is>
          <t>Customer Data</t>
        </is>
      </c>
      <c r="K68" t="inlineStr"/>
      <c r="L68" s="8" t="inlineStr">
        <is>
          <t>Regulation applies to specific financial entities when acting as data holders or data users.</t>
        </is>
      </c>
      <c r="M68" s="8" t="inlineStr">
        <is>
          <t>Defines financial entities covered by the regulation for data transfer impact assessments.</t>
        </is>
      </c>
      <c r="N68"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8"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69">
      <c r="A69" t="inlineStr">
        <is>
          <t>GDPR</t>
        </is>
      </c>
      <c r="B69" t="inlineStr">
        <is>
          <t>CELEX_52023PC0360_EN_TXT (GDPR - Row 13)</t>
        </is>
      </c>
      <c r="C69" t="inlineStr">
        <is>
          <t>2</t>
        </is>
      </c>
      <c r="D69" s="8" t="inlineStr">
        <is>
          <t>A data user shall only access customer data made available under Article 5(1) for the</t>
        </is>
      </c>
      <c r="E69" t="inlineStr">
        <is>
          <t>32</t>
        </is>
      </c>
      <c r="F69" t="inlineStr">
        <is>
          <t>Data Collection</t>
        </is>
      </c>
      <c r="G69" t="inlineStr">
        <is>
          <t>High</t>
        </is>
      </c>
      <c r="H69" t="inlineStr">
        <is>
          <t>High (explicit)</t>
        </is>
      </c>
      <c r="I69" s="8" t="inlineStr"/>
      <c r="J69" s="8" t="inlineStr">
        <is>
          <t>Customer Data</t>
        </is>
      </c>
      <c r="K69" t="inlineStr"/>
      <c r="L69" s="8" t="inlineStr">
        <is>
          <t>Regulation applies to specific financial entities when acting as data holders or data users.</t>
        </is>
      </c>
      <c r="M69" s="8" t="inlineStr">
        <is>
          <t>Defines financial entities covered by the regulation for data transfer impact assessments.</t>
        </is>
      </c>
      <c r="N69"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9"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0">
      <c r="A70" t="inlineStr">
        <is>
          <t>GDPR</t>
        </is>
      </c>
      <c r="B70" t="inlineStr">
        <is>
          <t>CELEX_52023PC0360_EN_TXT (GDPR - Row 13)</t>
        </is>
      </c>
      <c r="C70" t="inlineStr">
        <is>
          <t>2</t>
        </is>
      </c>
      <c r="D70" s="8" t="inlineStr">
        <is>
          <t>In accordance with Article 16 of Regulation (EU) No 1093/2010, the European</t>
        </is>
      </c>
      <c r="E70" t="inlineStr">
        <is>
          <t>32</t>
        </is>
      </c>
      <c r="F70" t="inlineStr">
        <is>
          <t>Data Collection</t>
        </is>
      </c>
      <c r="G70" t="inlineStr">
        <is>
          <t>High</t>
        </is>
      </c>
      <c r="H70" t="inlineStr">
        <is>
          <t>High (explicit)</t>
        </is>
      </c>
      <c r="I70" s="8" t="inlineStr"/>
      <c r="J70" s="8" t="inlineStr">
        <is>
          <t>Customer Data</t>
        </is>
      </c>
      <c r="K70" t="inlineStr"/>
      <c r="L70" s="8" t="inlineStr">
        <is>
          <t>Regulation applies to specific financial entities when acting as data holders or data users.</t>
        </is>
      </c>
      <c r="M70" s="8" t="inlineStr">
        <is>
          <t>Defines financial entities covered by the regulation for data transfer impact assessments.</t>
        </is>
      </c>
      <c r="N70"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70"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1">
      <c r="A71" t="inlineStr">
        <is>
          <t>GDPR</t>
        </is>
      </c>
      <c r="B71" t="inlineStr">
        <is>
          <t>CELEX_52023PC0360_EN_TXT (GDPR - Row 13)</t>
        </is>
      </c>
      <c r="C71" t="inlineStr">
        <is>
          <t>2</t>
        </is>
      </c>
      <c r="D71" s="8" t="inlineStr">
        <is>
          <t>A permission dashboard shall:</t>
        </is>
      </c>
      <c r="E71" t="inlineStr">
        <is>
          <t>33</t>
        </is>
      </c>
      <c r="F71" t="inlineStr">
        <is>
          <t>Data Collection</t>
        </is>
      </c>
      <c r="G71" t="inlineStr">
        <is>
          <t>High</t>
        </is>
      </c>
      <c r="H71" t="inlineStr">
        <is>
          <t>High (explicit)</t>
        </is>
      </c>
      <c r="I71" s="8" t="inlineStr"/>
      <c r="J71" s="8" t="inlineStr">
        <is>
          <t>Customer Data</t>
        </is>
      </c>
      <c r="K71" t="inlineStr"/>
      <c r="L71" s="8" t="inlineStr">
        <is>
          <t>Regulation applies to specific financial entities when acting as data holders or data users.</t>
        </is>
      </c>
      <c r="M71" s="8" t="inlineStr">
        <is>
          <t>Defines financial entities covered by the regulation for data transfer impact assessments.</t>
        </is>
      </c>
      <c r="N71"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71"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2">
      <c r="A72" t="inlineStr">
        <is>
          <t>GDPR</t>
        </is>
      </c>
      <c r="B72" t="inlineStr">
        <is>
          <t>CELEX_52023PC0360_EN_TXT (GDPR - Row 13)</t>
        </is>
      </c>
      <c r="C72" t="inlineStr">
        <is>
          <t>2</t>
        </is>
      </c>
      <c r="D72" s="8" t="inlineStr">
        <is>
          <t>Data holders and data users may become members of more than one financial data</t>
        </is>
      </c>
      <c r="E72" t="inlineStr">
        <is>
          <t>34</t>
        </is>
      </c>
      <c r="F72" t="inlineStr">
        <is>
          <t>Data Sharing</t>
        </is>
      </c>
      <c r="G72" t="inlineStr">
        <is>
          <t>High</t>
        </is>
      </c>
      <c r="H72" t="inlineStr">
        <is>
          <t>High (explicit)</t>
        </is>
      </c>
      <c r="I72" s="8" t="inlineStr">
        <is>
          <t>Data Sharing, Data Storage</t>
        </is>
      </c>
      <c r="J72" s="8" t="inlineStr">
        <is>
          <t>Financial Data</t>
        </is>
      </c>
      <c r="K72" t="inlineStr"/>
      <c r="L72" s="8" t="inlineStr">
        <is>
          <t>Financial information service providers must mandate their legal representatives to act on their behalf with competent authorities.</t>
        </is>
      </c>
      <c r="M72" s="8" t="inlineStr">
        <is>
          <t>Providers must mandate their legal representatives to act on their behalf with competent authorities.</t>
        </is>
      </c>
      <c r="N72"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2"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3">
      <c r="A73" t="inlineStr">
        <is>
          <t>GDPR</t>
        </is>
      </c>
      <c r="B73" t="inlineStr">
        <is>
          <t>CELEX_52023PC0360_EN_TXT (GDPR - Row 13)</t>
        </is>
      </c>
      <c r="C73" t="inlineStr">
        <is>
          <t>2</t>
        </is>
      </c>
      <c r="D73" s="8" t="inlineStr">
        <is>
          <t>A financial information service provider shall submit an application for authorisation</t>
        </is>
      </c>
      <c r="E73" t="inlineStr">
        <is>
          <t>37–38</t>
        </is>
      </c>
      <c r="F73" t="inlineStr">
        <is>
          <t>Data Sharing</t>
        </is>
      </c>
      <c r="G73" t="inlineStr">
        <is>
          <t>High</t>
        </is>
      </c>
      <c r="H73" t="inlineStr">
        <is>
          <t>High (explicit)</t>
        </is>
      </c>
      <c r="I73" s="8" t="inlineStr">
        <is>
          <t>Data Sharing, Data Storage</t>
        </is>
      </c>
      <c r="J73" s="8" t="inlineStr">
        <is>
          <t>Financial Data</t>
        </is>
      </c>
      <c r="K73" t="inlineStr"/>
      <c r="L73" s="8" t="inlineStr">
        <is>
          <t>Financial information service providers must mandate their legal representatives to act on their behalf with competent authorities.</t>
        </is>
      </c>
      <c r="M73" s="8" t="inlineStr">
        <is>
          <t>Providers must mandate their legal representatives to act on their behalf with competent authorities.</t>
        </is>
      </c>
      <c r="N73"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3"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4">
      <c r="A74" t="inlineStr">
        <is>
          <t>GDPR</t>
        </is>
      </c>
      <c r="B74" t="inlineStr">
        <is>
          <t>CELEX_52023PC0360_EN_TXT (GDPR - Row 13)</t>
        </is>
      </c>
      <c r="C74" t="inlineStr">
        <is>
          <t>2</t>
        </is>
      </c>
      <c r="D74" s="8" t="inlineStr">
        <is>
          <t>Financial information service providers shall mandate their legal representatives to</t>
        </is>
      </c>
      <c r="E74" t="inlineStr">
        <is>
          <t>39</t>
        </is>
      </c>
      <c r="F74" t="inlineStr">
        <is>
          <t>Data Sharing</t>
        </is>
      </c>
      <c r="G74" t="inlineStr">
        <is>
          <t>High</t>
        </is>
      </c>
      <c r="H74" t="inlineStr">
        <is>
          <t>High (explicit)</t>
        </is>
      </c>
      <c r="I74" s="8" t="inlineStr">
        <is>
          <t>Data Sharing, Data Storage</t>
        </is>
      </c>
      <c r="J74" s="8" t="inlineStr">
        <is>
          <t>Financial Data</t>
        </is>
      </c>
      <c r="K74" t="inlineStr"/>
      <c r="L74" s="8" t="inlineStr">
        <is>
          <t>Financial information service providers must mandate their legal representatives to act on their behalf with competent authorities.</t>
        </is>
      </c>
      <c r="M74" s="8" t="inlineStr">
        <is>
          <t>Providers must mandate their legal representatives to act on their behalf with competent authorities.</t>
        </is>
      </c>
      <c r="N74"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4"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5">
      <c r="A75" t="inlineStr">
        <is>
          <t>GDPR</t>
        </is>
      </c>
      <c r="B75" t="inlineStr">
        <is>
          <t>CELEX_52023PC0360_EN_TXT (GDPR - Row 13)</t>
        </is>
      </c>
      <c r="C75" t="inlineStr">
        <is>
          <t>2</t>
        </is>
      </c>
      <c r="D75" s="8" t="inlineStr">
        <is>
          <t>The competent authority shall authorise a third country financial information service</t>
        </is>
      </c>
      <c r="E75" t="inlineStr">
        <is>
          <t>40</t>
        </is>
      </c>
      <c r="F75" t="inlineStr">
        <is>
          <t>International Data Transfer Mechanisms</t>
        </is>
      </c>
      <c r="G75" t="inlineStr">
        <is>
          <t>High</t>
        </is>
      </c>
      <c r="H75" t="inlineStr">
        <is>
          <t>High (explicit)</t>
        </is>
      </c>
      <c r="I75" s="8" t="inlineStr">
        <is>
          <t>Third Party Processing</t>
        </is>
      </c>
      <c r="J75" s="8" t="inlineStr">
        <is>
          <t>Financial Data</t>
        </is>
      </c>
      <c r="K75" t="inlineStr">
        <is>
          <t>Competent authority</t>
        </is>
      </c>
      <c r="L75" s="8" t="inlineStr">
        <is>
          <t>Authorisation for third country financial information service providers requires compliance with Articles 12, 16, designation of legal representative, cooperation arrangements, and non-listing in high-risk jurisdictions.</t>
        </is>
      </c>
      <c r="M75" s="8" t="inlineStr">
        <is>
          <t>Third country providers must comply with Articles 12, 16; designate legal representative; ensure cooperation with third country authorities; and not be in high-risk jurisdictions.</t>
        </is>
      </c>
      <c r="N75"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5"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6">
      <c r="A76" t="inlineStr">
        <is>
          <t>GDPR</t>
        </is>
      </c>
      <c r="B76" t="inlineStr">
        <is>
          <t>CELEX_52023PC0360_EN_TXT (GDPR - Row 13)</t>
        </is>
      </c>
      <c r="C76" t="inlineStr">
        <is>
          <t>2</t>
        </is>
      </c>
      <c r="D76" s="8" t="inlineStr">
        <is>
          <t>Member States shall ensure that the competent authorities designated under</t>
        </is>
      </c>
      <c r="E76" t="inlineStr">
        <is>
          <t>42</t>
        </is>
      </c>
      <c r="F76" t="inlineStr">
        <is>
          <t>International Data Transfer Mechanisms</t>
        </is>
      </c>
      <c r="G76" t="inlineStr">
        <is>
          <t>High</t>
        </is>
      </c>
      <c r="H76" t="inlineStr">
        <is>
          <t>High (explicit)</t>
        </is>
      </c>
      <c r="I76" s="8" t="inlineStr">
        <is>
          <t>Third Party Processing</t>
        </is>
      </c>
      <c r="J76" s="8" t="inlineStr">
        <is>
          <t>Financial Data</t>
        </is>
      </c>
      <c r="K76" t="inlineStr">
        <is>
          <t>Competent authority</t>
        </is>
      </c>
      <c r="L76" s="8" t="inlineStr">
        <is>
          <t>Authorisation for third country financial information service providers requires compliance with Articles 12, 16, designation of legal representative, cooperation arrangements, and non-listing in high-risk jurisdictions.</t>
        </is>
      </c>
      <c r="M76" s="8" t="inlineStr">
        <is>
          <t>Third country providers must comply with Articles 12, 16; designate legal representative; ensure cooperation with third country authorities; and not be in high-risk jurisdictions.</t>
        </is>
      </c>
      <c r="N76"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6"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7">
      <c r="A77" t="inlineStr">
        <is>
          <t>GDPR</t>
        </is>
      </c>
      <c r="B77" t="inlineStr">
        <is>
          <t>CELEX_52023PC0360_EN_TXT (GDPR - Row 13)</t>
        </is>
      </c>
      <c r="C77" t="inlineStr">
        <is>
          <t>2</t>
        </is>
      </c>
      <c r="D77" s="8" t="inlineStr">
        <is>
          <t>Competent authorities shall exercise their powers to investigate potential breaches of</t>
        </is>
      </c>
      <c r="E77" t="inlineStr">
        <is>
          <t>44</t>
        </is>
      </c>
      <c r="F77" t="inlineStr">
        <is>
          <t>International Data Transfer Mechanisms</t>
        </is>
      </c>
      <c r="G77" t="inlineStr">
        <is>
          <t>High</t>
        </is>
      </c>
      <c r="H77" t="inlineStr">
        <is>
          <t>High (explicit)</t>
        </is>
      </c>
      <c r="I77" s="8" t="inlineStr">
        <is>
          <t>Third Party Processing</t>
        </is>
      </c>
      <c r="J77" s="8" t="inlineStr">
        <is>
          <t>Financial Data</t>
        </is>
      </c>
      <c r="K77" t="inlineStr">
        <is>
          <t>Competent authority</t>
        </is>
      </c>
      <c r="L77" s="8" t="inlineStr">
        <is>
          <t>Authorisation for third country financial information service providers requires compliance with Articles 12, 16, designation of legal representative, cooperation arrangements, and non-listing in high-risk jurisdictions.</t>
        </is>
      </c>
      <c r="M77" s="8" t="inlineStr">
        <is>
          <t>Third country providers must comply with Articles 12, 16; designate legal representative; ensure cooperation with third country authorities; and not be in high-risk jurisdictions.</t>
        </is>
      </c>
      <c r="N77"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7"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8">
      <c r="A78" t="inlineStr">
        <is>
          <t>GDPR</t>
        </is>
      </c>
      <c r="B78" t="inlineStr">
        <is>
          <t>CELEX_52023PC0360_EN_TXT (GDPR - Row 13)</t>
        </is>
      </c>
      <c r="C78" t="inlineStr">
        <is>
          <t>2</t>
        </is>
      </c>
      <c r="D78" s="8" t="inlineStr">
        <is>
          <t>Member States may lay down rules enabling their competent authorities to close an</t>
        </is>
      </c>
      <c r="E78" t="inlineStr">
        <is>
          <t>44–45</t>
        </is>
      </c>
      <c r="F78" t="inlineStr">
        <is>
          <t>International Data Transfer Mechanisms</t>
        </is>
      </c>
      <c r="G78" t="inlineStr">
        <is>
          <t>High</t>
        </is>
      </c>
      <c r="H78" t="inlineStr">
        <is>
          <t>High (explicit)</t>
        </is>
      </c>
      <c r="I78" s="8" t="inlineStr">
        <is>
          <t>Third Party Processing</t>
        </is>
      </c>
      <c r="J78" s="8" t="inlineStr">
        <is>
          <t>Financial Data</t>
        </is>
      </c>
      <c r="K78" t="inlineStr">
        <is>
          <t>Competent authority</t>
        </is>
      </c>
      <c r="L78" s="8" t="inlineStr">
        <is>
          <t>Authorisation for third country financial information service providers requires compliance with Articles 12, 16, designation of legal representative, cooperation arrangements, and non-listing in high-risk jurisdictions.</t>
        </is>
      </c>
      <c r="M78" s="8" t="inlineStr">
        <is>
          <t>Third country providers must comply with Articles 12, 16; designate legal representative; ensure cooperation with third country authorities; and not be in high-risk jurisdictions.</t>
        </is>
      </c>
      <c r="N78"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8"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9">
      <c r="A79" t="inlineStr">
        <is>
          <t>GDPR</t>
        </is>
      </c>
      <c r="B79" t="inlineStr">
        <is>
          <t>CELEX_52023PC0360_EN_TXT (GDPR - Row 13)</t>
        </is>
      </c>
      <c r="C79" t="inlineStr">
        <is>
          <t>2</t>
        </is>
      </c>
      <c r="D79" s="8" t="inlineStr">
        <is>
          <t>Member States may decide not to lay down rules on administrative sanctions and</t>
        </is>
      </c>
      <c r="E79" t="inlineStr">
        <is>
          <t>45</t>
        </is>
      </c>
      <c r="F79" t="inlineStr">
        <is>
          <t>Enforcement</t>
        </is>
      </c>
      <c r="G79" t="inlineStr">
        <is>
          <t>High</t>
        </is>
      </c>
      <c r="H79" t="inlineStr">
        <is>
          <t>High (explicit)</t>
        </is>
      </c>
      <c r="I79" s="8" t="inlineStr"/>
      <c r="J79" s="8" t="inlineStr">
        <is>
          <t>Financial Data</t>
        </is>
      </c>
      <c r="K79" t="inlineStr">
        <is>
          <t>Competent authorities</t>
        </is>
      </c>
      <c r="L79" s="8" t="inlineStr">
        <is>
          <t>Competent authorities using settlement agreements must adjust penalties to ensure proportionality.</t>
        </is>
      </c>
      <c r="M79" s="8" t="inlineStr">
        <is>
          <t>Competent authorities that use settlement agreements must adjust penalties to be proportional, considering circumstances from Article 22.</t>
        </is>
      </c>
      <c r="N79" s="8" t="inlineStr">
        <is>
          <t>[Must] Competent authorities that use settlement agreements or expedited enforcement procedures shall adapt administrative penalties to ensure proportionality</t>
        </is>
      </c>
      <c r="O79"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0">
      <c r="A80" t="inlineStr">
        <is>
          <t>GDPR</t>
        </is>
      </c>
      <c r="B80" t="inlineStr">
        <is>
          <t>CELEX_52023PC0360_EN_TXT (GDPR - Row 13)</t>
        </is>
      </c>
      <c r="C80" t="inlineStr">
        <is>
          <t>2</t>
        </is>
      </c>
      <c r="D80" s="8" t="inlineStr">
        <is>
          <t>Competent authorities that use settlement agreements or expedited enforcement</t>
        </is>
      </c>
      <c r="E80" t="inlineStr">
        <is>
          <t>48</t>
        </is>
      </c>
      <c r="F80" t="inlineStr">
        <is>
          <t>Enforcement</t>
        </is>
      </c>
      <c r="G80" t="inlineStr">
        <is>
          <t>High</t>
        </is>
      </c>
      <c r="H80" t="inlineStr">
        <is>
          <t>High (explicit)</t>
        </is>
      </c>
      <c r="I80" s="8" t="inlineStr"/>
      <c r="J80" s="8" t="inlineStr">
        <is>
          <t>Financial Data</t>
        </is>
      </c>
      <c r="K80" t="inlineStr">
        <is>
          <t>Competent authorities</t>
        </is>
      </c>
      <c r="L80" s="8" t="inlineStr">
        <is>
          <t>Competent authorities using settlement agreements must adjust penalties to ensure proportionality.</t>
        </is>
      </c>
      <c r="M80" s="8" t="inlineStr">
        <is>
          <t>Competent authorities that use settlement agreements must adjust penalties to be proportional, considering circumstances from Article 22.</t>
        </is>
      </c>
      <c r="N80" s="8" t="inlineStr">
        <is>
          <t>[Must] Competent authorities that use settlement agreements or expedited enforcement procedures shall adapt administrative penalties to ensure proportionality</t>
        </is>
      </c>
      <c r="O80"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1">
      <c r="A81" t="inlineStr">
        <is>
          <t>GDPR</t>
        </is>
      </c>
      <c r="B81" t="inlineStr">
        <is>
          <t>CELEX_52023PC0360_EN_TXT (GDPR - Row 13)</t>
        </is>
      </c>
      <c r="C81" t="inlineStr">
        <is>
          <t>2</t>
        </is>
      </c>
      <c r="D81" s="8" t="inlineStr">
        <is>
          <t>The information exchanged in accordance with Article 26 shall be subject to the</t>
        </is>
      </c>
      <c r="E81" t="inlineStr">
        <is>
          <t>48</t>
        </is>
      </c>
      <c r="F81" t="inlineStr">
        <is>
          <t>Enforcement</t>
        </is>
      </c>
      <c r="G81" t="inlineStr">
        <is>
          <t>High</t>
        </is>
      </c>
      <c r="H81" t="inlineStr">
        <is>
          <t>High (explicit)</t>
        </is>
      </c>
      <c r="I81" s="8" t="inlineStr"/>
      <c r="J81" s="8" t="inlineStr">
        <is>
          <t>Financial Data</t>
        </is>
      </c>
      <c r="K81" t="inlineStr">
        <is>
          <t>Competent authorities</t>
        </is>
      </c>
      <c r="L81" s="8" t="inlineStr">
        <is>
          <t>Competent authorities using settlement agreements must adjust penalties to ensure proportionality.</t>
        </is>
      </c>
      <c r="M81" s="8" t="inlineStr">
        <is>
          <t>Competent authorities that use settlement agreements must adjust penalties to be proportional, considering circumstances from Article 22.</t>
        </is>
      </c>
      <c r="N81" s="8" t="inlineStr">
        <is>
          <t>[Must] Competent authorities that use settlement agreements or expedited enforcement procedures shall adapt administrative penalties to ensure proportionality</t>
        </is>
      </c>
      <c r="O81"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2">
      <c r="A82" t="inlineStr">
        <is>
          <t>GDPR</t>
        </is>
      </c>
      <c r="B82" t="inlineStr">
        <is>
          <t>CELEX_52023PC0360_EN_TXT (GDPR - Row 13)</t>
        </is>
      </c>
      <c r="C82" t="inlineStr">
        <is>
          <t>2</t>
        </is>
      </c>
      <c r="D82" s="8" t="inlineStr">
        <is>
          <t>By derogation from paragraph 1, where the publication of the identity or other</t>
        </is>
      </c>
      <c r="E82" t="inlineStr">
        <is>
          <t>48–49</t>
        </is>
      </c>
      <c r="F82" t="inlineStr">
        <is>
          <t>Enforcement</t>
        </is>
      </c>
      <c r="G82" t="inlineStr">
        <is>
          <t>High</t>
        </is>
      </c>
      <c r="H82" t="inlineStr">
        <is>
          <t>High (explicit)</t>
        </is>
      </c>
      <c r="I82" s="8" t="inlineStr"/>
      <c r="J82" s="8" t="inlineStr">
        <is>
          <t>Financial Data</t>
        </is>
      </c>
      <c r="K82" t="inlineStr">
        <is>
          <t>Competent authorities</t>
        </is>
      </c>
      <c r="L82" s="8" t="inlineStr">
        <is>
          <t>Competent authorities using settlement agreements must adjust penalties to ensure proportionality.</t>
        </is>
      </c>
      <c r="M82" s="8" t="inlineStr">
        <is>
          <t>Competent authorities that use settlement agreements must adjust penalties to be proportional, considering circumstances from Article 22.</t>
        </is>
      </c>
      <c r="N82" s="8" t="inlineStr">
        <is>
          <t>[Must] Competent authorities that use settlement agreements or expedited enforcement procedures shall adapt administrative penalties to ensure proportionality</t>
        </is>
      </c>
      <c r="O82"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3">
      <c r="A83" t="inlineStr">
        <is>
          <t>GDPR</t>
        </is>
      </c>
      <c r="B83" t="inlineStr">
        <is>
          <t>CELEX_52023PC0360_EN_TXT (GDPR - Row 13)</t>
        </is>
      </c>
      <c r="C83" t="inlineStr">
        <is>
          <t>2</t>
        </is>
      </c>
      <c r="D83" s="8" t="inlineStr">
        <is>
          <t>The exchange of information between competent authorities and the competent</t>
        </is>
      </c>
      <c r="E83" t="inlineStr">
        <is>
          <t>49</t>
        </is>
      </c>
      <c r="F83" t="inlineStr">
        <is>
          <t>Enforcement</t>
        </is>
      </c>
      <c r="G83" t="inlineStr">
        <is>
          <t>High</t>
        </is>
      </c>
      <c r="H83" t="inlineStr">
        <is>
          <t>High (explicit)</t>
        </is>
      </c>
      <c r="I83" s="8" t="inlineStr"/>
      <c r="J83" s="8" t="inlineStr">
        <is>
          <t>Financial Data</t>
        </is>
      </c>
      <c r="K83" t="inlineStr">
        <is>
          <t>Competent authorities</t>
        </is>
      </c>
      <c r="L83" s="8" t="inlineStr">
        <is>
          <t>Competent authorities using settlement agreements must adjust penalties to ensure proportionality.</t>
        </is>
      </c>
      <c r="M83" s="8" t="inlineStr">
        <is>
          <t>Competent authorities that use settlement agreements must adjust penalties to be proportional, considering circumstances from Article 22.</t>
        </is>
      </c>
      <c r="N83" s="8" t="inlineStr">
        <is>
          <t>[Must] Competent authorities that use settlement agreements or expedited enforcement procedures shall adapt administrative penalties to ensure proportionality</t>
        </is>
      </c>
      <c r="O83"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4">
      <c r="A84" t="inlineStr">
        <is>
          <t>GDPR</t>
        </is>
      </c>
      <c r="B84" t="inlineStr">
        <is>
          <t>CELEX_52023PC0360_EN_TXT (GDPR - Row 13)</t>
        </is>
      </c>
      <c r="C84" t="inlineStr">
        <is>
          <t>2</t>
        </is>
      </c>
      <c r="D84" s="8" t="inlineStr">
        <is>
          <t>Where EBA has been requested to provide assistance pursuant to paragraph 1, it shall</t>
        </is>
      </c>
      <c r="E84" t="inlineStr">
        <is>
          <t>50</t>
        </is>
      </c>
      <c r="F84" t="inlineStr">
        <is>
          <t>Enforcement</t>
        </is>
      </c>
      <c r="G84" t="inlineStr">
        <is>
          <t>High</t>
        </is>
      </c>
      <c r="H84" t="inlineStr">
        <is>
          <t>High (explicit)</t>
        </is>
      </c>
      <c r="I84" s="8" t="inlineStr"/>
      <c r="J84" s="8" t="inlineStr">
        <is>
          <t>Financial Data</t>
        </is>
      </c>
      <c r="K84" t="inlineStr">
        <is>
          <t>Competent authorities</t>
        </is>
      </c>
      <c r="L84" s="8" t="inlineStr">
        <is>
          <t>Competent authorities using settlement agreements must adjust penalties to ensure proportionality.</t>
        </is>
      </c>
      <c r="M84" s="8" t="inlineStr">
        <is>
          <t>Competent authorities that use settlement agreements must adjust penalties to be proportional, considering circumstances from Article 22.</t>
        </is>
      </c>
      <c r="N84" s="8" t="inlineStr">
        <is>
          <t>[Must] Competent authorities that use settlement agreements or expedited enforcement procedures shall adapt administrative penalties to ensure proportionality</t>
        </is>
      </c>
      <c r="O84"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5">
      <c r="A85" t="inlineStr">
        <is>
          <t>GDPR</t>
        </is>
      </c>
      <c r="B85" t="inlineStr">
        <is>
          <t>CELEX_52023PC0360_EN_TXT (GDPR - Row 13)</t>
        </is>
      </c>
      <c r="C85" t="inlineStr">
        <is>
          <t>2</t>
        </is>
      </c>
      <c r="D85" s="8" t="inlineStr">
        <is>
          <t>A financial information service provider wishing to have access to the data listed in</t>
        </is>
      </c>
      <c r="E85" t="inlineStr">
        <is>
          <t>50</t>
        </is>
      </c>
      <c r="F85" t="inlineStr">
        <is>
          <t>Other</t>
        </is>
      </c>
      <c r="G85" t="inlineStr">
        <is>
          <t>Medium</t>
        </is>
      </c>
      <c r="H85" t="inlineStr">
        <is>
          <t>High (explicit)</t>
        </is>
      </c>
      <c r="I85" s="8" t="inlineStr"/>
      <c r="J85" s="8" t="inlineStr"/>
      <c r="K85" t="inlineStr">
        <is>
          <t>European Commission</t>
        </is>
      </c>
      <c r="L85" s="8" t="inlineStr">
        <is>
          <t>Commission must submit report on financial data access conditions for account information service providers 4 years after entry into force.</t>
        </is>
      </c>
      <c r="M85" s="8" t="inlineStr">
        <is>
          <t>Requires 4-year report on financial data access conditions for account information service providers.</t>
        </is>
      </c>
      <c r="N85" s="8" t="inlineStr">
        <is>
          <t>[Must] Commission must submit report on financial data access conditions for account information service providers 4 years after entry into force</t>
        </is>
      </c>
      <c r="O8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6">
      <c r="A86" t="inlineStr">
        <is>
          <t>GDPR</t>
        </is>
      </c>
      <c r="B86" t="inlineStr">
        <is>
          <t>CELEX_52023PC0360_EN_TXT (GDPR - Row 13)</t>
        </is>
      </c>
      <c r="C86" t="inlineStr">
        <is>
          <t>2</t>
        </is>
      </c>
      <c r="D86" s="8" t="inlineStr">
        <is>
          <t>The power to adopt the delegated act referred to in Article 11, shall be conferred on</t>
        </is>
      </c>
      <c r="E86" t="inlineStr">
        <is>
          <t>51</t>
        </is>
      </c>
      <c r="F86" t="inlineStr">
        <is>
          <t>Other</t>
        </is>
      </c>
      <c r="G86" t="inlineStr">
        <is>
          <t>Medium</t>
        </is>
      </c>
      <c r="H86" t="inlineStr">
        <is>
          <t>High (explicit)</t>
        </is>
      </c>
      <c r="I86" s="8" t="inlineStr"/>
      <c r="J86" s="8" t="inlineStr"/>
      <c r="K86" t="inlineStr">
        <is>
          <t>European Commission</t>
        </is>
      </c>
      <c r="L86" s="8" t="inlineStr">
        <is>
          <t>Commission must submit report on financial data access conditions for account information service providers 4 years after entry into force.</t>
        </is>
      </c>
      <c r="M86" s="8" t="inlineStr">
        <is>
          <t>Requires 4-year report on financial data access conditions for account information service providers.</t>
        </is>
      </c>
      <c r="N86" s="8" t="inlineStr">
        <is>
          <t>[Must] Commission must submit report on financial data access conditions for account information service providers 4 years after entry into force</t>
        </is>
      </c>
      <c r="O8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7">
      <c r="A87" t="inlineStr">
        <is>
          <t>GDPR</t>
        </is>
      </c>
      <c r="B87" t="inlineStr">
        <is>
          <t>CELEX_52023PC0360_EN_TXT (GDPR - Row 13)</t>
        </is>
      </c>
      <c r="C87" t="inlineStr">
        <is>
          <t>2</t>
        </is>
      </c>
      <c r="D87" s="8" t="inlineStr">
        <is>
          <t>By [OP please insert the date = 4 years after the date of entry into force of this</t>
        </is>
      </c>
      <c r="E87" t="inlineStr">
        <is>
          <t>52–54</t>
        </is>
      </c>
      <c r="F87" t="inlineStr">
        <is>
          <t>Other</t>
        </is>
      </c>
      <c r="G87" t="inlineStr">
        <is>
          <t>Medium</t>
        </is>
      </c>
      <c r="H87" t="inlineStr">
        <is>
          <t>High (explicit)</t>
        </is>
      </c>
      <c r="I87" s="8" t="inlineStr"/>
      <c r="J87" s="8" t="inlineStr"/>
      <c r="K87" t="inlineStr">
        <is>
          <t>European Commission</t>
        </is>
      </c>
      <c r="L87" s="8" t="inlineStr">
        <is>
          <t>Commission must submit report on financial data access conditions for account information service providers 4 years after entry into force.</t>
        </is>
      </c>
      <c r="M87" s="8" t="inlineStr">
        <is>
          <t>Requires 4-year report on financial data access conditions for account information service providers.</t>
        </is>
      </c>
      <c r="N87" s="8" t="inlineStr">
        <is>
          <t>[Must] Commission must submit report on financial data access conditions for account information service providers 4 years after entry into force</t>
        </is>
      </c>
      <c r="O87"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8">
      <c r="A88" t="inlineStr">
        <is>
          <t>GDPR</t>
        </is>
      </c>
      <c r="B88" t="inlineStr">
        <is>
          <t>CELEX_52023PC0360_EN_TXT (GDPR - Row 13)</t>
        </is>
      </c>
      <c r="C88" t="inlineStr">
        <is>
          <t>3</t>
        </is>
      </c>
      <c r="D88" s="8" t="inlineStr">
        <is>
          <t>RESULTS</t>
        </is>
      </c>
      <c r="E88" t="inlineStr">
        <is>
          <t>5–9</t>
        </is>
      </c>
      <c r="F88" t="inlineStr">
        <is>
          <t>Other</t>
        </is>
      </c>
      <c r="G88" t="inlineStr">
        <is>
          <t>High</t>
        </is>
      </c>
      <c r="H88" t="inlineStr">
        <is>
          <t>High (explicit)</t>
        </is>
      </c>
      <c r="I88" s="8" t="inlineStr"/>
      <c r="J88" s="8" t="inlineStr"/>
      <c r="K88" t="inlineStr"/>
      <c r="L88" s="8" t="inlineStr">
        <is>
          <t>Describes results of ex-post evaluations, stakeholder consultations, and impact assessments for financial data access framework under GDPR.</t>
        </is>
      </c>
      <c r="M88" s="8" t="inlineStr"/>
      <c r="N88" s="8" t="inlineStr"/>
      <c r="O88" s="8" t="inlineStr">
        <is>
          <t>Results of ex-post evaluations, stakeholder consultations, and impact assessments for financial data access framework under GDPR.</t>
        </is>
      </c>
    </row>
    <row r="89">
      <c r="A89" t="inlineStr">
        <is>
          <t>GDPR</t>
        </is>
      </c>
      <c r="B89" t="inlineStr">
        <is>
          <t>CELEX_52023PC0360_EN_TXT (GDPR - Row 13)</t>
        </is>
      </c>
      <c r="C89" t="inlineStr">
        <is>
          <t>3</t>
        </is>
      </c>
      <c r="D89" s="8" t="inlineStr">
        <is>
          <t>A customer may withdraw the permission it has granted to a data user. When</t>
        </is>
      </c>
      <c r="E89" t="inlineStr">
        <is>
          <t>32</t>
        </is>
      </c>
      <c r="F89" t="inlineStr">
        <is>
          <t>Other</t>
        </is>
      </c>
      <c r="G89" t="inlineStr">
        <is>
          <t>Unknown</t>
        </is>
      </c>
      <c r="H89" t="inlineStr">
        <is>
          <t>Low</t>
        </is>
      </c>
      <c r="I89" s="8" t="inlineStr"/>
      <c r="J89" s="8" t="inlineStr"/>
      <c r="K89" t="inlineStr"/>
      <c r="L89" s="8" t="inlineStr"/>
      <c r="M89" s="8" t="inlineStr"/>
      <c r="N89" s="8" t="inlineStr"/>
      <c r="O89" s="8" t="inlineStr"/>
    </row>
    <row r="90">
      <c r="A90" t="inlineStr">
        <is>
          <t>GDPR</t>
        </is>
      </c>
      <c r="B90" t="inlineStr">
        <is>
          <t>CELEX_52023PC0360_EN_TXT (GDPR - Row 13)</t>
        </is>
      </c>
      <c r="C90" t="inlineStr">
        <is>
          <t>3</t>
        </is>
      </c>
      <c r="D90" s="8" t="inlineStr">
        <is>
          <t>In accordance with Article 16 of Regulation (EU) No 1094/2010, the European</t>
        </is>
      </c>
      <c r="E90" t="inlineStr">
        <is>
          <t>32–33</t>
        </is>
      </c>
      <c r="F90" t="inlineStr">
        <is>
          <t>Other</t>
        </is>
      </c>
      <c r="G90" t="inlineStr">
        <is>
          <t>Unknown</t>
        </is>
      </c>
      <c r="H90" t="inlineStr">
        <is>
          <t>Low</t>
        </is>
      </c>
      <c r="I90" s="8" t="inlineStr"/>
      <c r="J90" s="8" t="inlineStr"/>
      <c r="K90" t="inlineStr"/>
      <c r="L90" s="8" t="inlineStr"/>
      <c r="M90" s="8" t="inlineStr"/>
      <c r="N90" s="8" t="inlineStr"/>
      <c r="O90" s="8" t="inlineStr"/>
    </row>
    <row r="91">
      <c r="A91" t="inlineStr">
        <is>
          <t>GDPR</t>
        </is>
      </c>
      <c r="B91" t="inlineStr">
        <is>
          <t>CELEX_52023PC0360_EN_TXT (GDPR - Row 13)</t>
        </is>
      </c>
      <c r="C91" t="inlineStr">
        <is>
          <t>3</t>
        </is>
      </c>
      <c r="D91" s="8" t="inlineStr">
        <is>
          <t>The data holder shall ensure that the permission dashboard is easy to find in its user</t>
        </is>
      </c>
      <c r="E91" t="inlineStr">
        <is>
          <t>33</t>
        </is>
      </c>
      <c r="F91" t="inlineStr">
        <is>
          <t>Other</t>
        </is>
      </c>
      <c r="G91" t="inlineStr">
        <is>
          <t>Unknown</t>
        </is>
      </c>
      <c r="H91" t="inlineStr">
        <is>
          <t>Low</t>
        </is>
      </c>
      <c r="I91" s="8" t="inlineStr"/>
      <c r="J91" s="8" t="inlineStr"/>
      <c r="K91" t="inlineStr"/>
      <c r="L91" s="8" t="inlineStr"/>
      <c r="M91" s="8" t="inlineStr"/>
      <c r="N91" s="8" t="inlineStr"/>
      <c r="O91" s="8" t="inlineStr"/>
    </row>
    <row r="92">
      <c r="A92" t="inlineStr">
        <is>
          <t>GDPR</t>
        </is>
      </c>
      <c r="B92" t="inlineStr">
        <is>
          <t>CELEX_52023PC0360_EN_TXT (GDPR - Row 13)</t>
        </is>
      </c>
      <c r="C92" t="inlineStr">
        <is>
          <t>3</t>
        </is>
      </c>
      <c r="D92" s="8" t="inlineStr">
        <is>
          <t>A data holder shall communicate to the competent authority of the Member State of</t>
        </is>
      </c>
      <c r="E92" t="inlineStr">
        <is>
          <t>36</t>
        </is>
      </c>
      <c r="F92" t="inlineStr">
        <is>
          <t>Data Sharing</t>
        </is>
      </c>
      <c r="G92" t="inlineStr">
        <is>
          <t>High</t>
        </is>
      </c>
      <c r="H92" t="inlineStr">
        <is>
          <t>High (explicit)</t>
        </is>
      </c>
      <c r="I92" s="8" t="inlineStr">
        <is>
          <t>Data Sharing, Data Storage</t>
        </is>
      </c>
      <c r="J92" s="8" t="inlineStr">
        <is>
          <t>Financial Data</t>
        </is>
      </c>
      <c r="K92" t="inlineStr"/>
      <c r="L92" s="8" t="inlineStr">
        <is>
          <t>Designated legal representatives may be held liable for non-compliance with obligations.</t>
        </is>
      </c>
      <c r="M92" s="8" t="inlineStr">
        <is>
          <t>Designated legal representatives may be held liable for non-compliance with obligations.</t>
        </is>
      </c>
      <c r="N92" s="8" t="inlineStr">
        <is>
          <t>[Must] The designated legal representative may be held liable for non-compliance with obligations under this Regulation, without prejudice to the liability and legal actions that could be initiated against the financial information service provider</t>
        </is>
      </c>
      <c r="O92" s="8" t="inlineStr">
        <is>
          <t>The designated legal representative may be held liable for non-compliance with obligations under this Regulation, without prejudice to the liability and legal actions that could be initiated against the financial information service provider.</t>
        </is>
      </c>
    </row>
    <row r="93">
      <c r="A93" t="inlineStr">
        <is>
          <t>GDPR</t>
        </is>
      </c>
      <c r="B93" t="inlineStr">
        <is>
          <t>CELEX_52023PC0360_EN_TXT (GDPR - Row 13)</t>
        </is>
      </c>
      <c r="C93" t="inlineStr">
        <is>
          <t>3</t>
        </is>
      </c>
      <c r="D93" s="8" t="inlineStr">
        <is>
          <t>Financial information service providers shall hold a professional indemnity insurance</t>
        </is>
      </c>
      <c r="E93" t="inlineStr">
        <is>
          <t>38</t>
        </is>
      </c>
      <c r="F93" t="inlineStr">
        <is>
          <t>Data Sharing</t>
        </is>
      </c>
      <c r="G93" t="inlineStr">
        <is>
          <t>High</t>
        </is>
      </c>
      <c r="H93" t="inlineStr">
        <is>
          <t>High (explicit)</t>
        </is>
      </c>
      <c r="I93" s="8" t="inlineStr">
        <is>
          <t>Data Sharing, Data Storage</t>
        </is>
      </c>
      <c r="J93" s="8" t="inlineStr">
        <is>
          <t>Financial Data</t>
        </is>
      </c>
      <c r="K93" t="inlineStr"/>
      <c r="L93" s="8" t="inlineStr">
        <is>
          <t>Designated legal representatives may be held liable for non-compliance with obligations.</t>
        </is>
      </c>
      <c r="M93" s="8" t="inlineStr">
        <is>
          <t>Designated legal representatives may be held liable for non-compliance with obligations.</t>
        </is>
      </c>
      <c r="N93" s="8" t="inlineStr">
        <is>
          <t>[Must] The designated legal representative may be held liable for non-compliance with obligations under this Regulation, without prejudice to the liability and legal actions that could be initiated against the financial information service provider</t>
        </is>
      </c>
      <c r="O93" s="8" t="inlineStr">
        <is>
          <t>The designated legal representative may be held liable for non-compliance with obligations under this Regulation, without prejudice to the liability and legal actions that could be initiated against the financial information service provider.</t>
        </is>
      </c>
    </row>
    <row r="94">
      <c r="A94" t="inlineStr">
        <is>
          <t>GDPR</t>
        </is>
      </c>
      <c r="B94" t="inlineStr">
        <is>
          <t>CELEX_52023PC0360_EN_TXT (GDPR - Row 13)</t>
        </is>
      </c>
      <c r="C94" t="inlineStr">
        <is>
          <t>3</t>
        </is>
      </c>
      <c r="D94" s="8" t="inlineStr">
        <is>
          <t>The designated legal representative may be held liable for non-compliance with</t>
        </is>
      </c>
      <c r="E94" t="inlineStr">
        <is>
          <t>39</t>
        </is>
      </c>
      <c r="F94" t="inlineStr">
        <is>
          <t>Data Sharing</t>
        </is>
      </c>
      <c r="G94" t="inlineStr">
        <is>
          <t>High</t>
        </is>
      </c>
      <c r="H94" t="inlineStr">
        <is>
          <t>High (explicit)</t>
        </is>
      </c>
      <c r="I94" s="8" t="inlineStr">
        <is>
          <t>Data Sharing, Data Storage</t>
        </is>
      </c>
      <c r="J94" s="8" t="inlineStr">
        <is>
          <t>Financial Data</t>
        </is>
      </c>
      <c r="K94" t="inlineStr"/>
      <c r="L94" s="8" t="inlineStr">
        <is>
          <t>Designated legal representatives may be held liable for non-compliance with obligations.</t>
        </is>
      </c>
      <c r="M94" s="8" t="inlineStr">
        <is>
          <t>Designated legal representatives may be held liable for non-compliance with obligations.</t>
        </is>
      </c>
      <c r="N94" s="8" t="inlineStr">
        <is>
          <t>[Must] The designated legal representative may be held liable for non-compliance with obligations under this Regulation, without prejudice to the liability and legal actions that could be initiated against the financial information service provider</t>
        </is>
      </c>
      <c r="O94" s="8" t="inlineStr">
        <is>
          <t>The designated legal representative may be held liable for non-compliance with obligations under this Regulation, without prejudice to the liability and legal actions that could be initiated against the financial information service provider.</t>
        </is>
      </c>
    </row>
    <row r="95">
      <c r="A95" t="inlineStr">
        <is>
          <t>GDPR</t>
        </is>
      </c>
      <c r="B95" t="inlineStr">
        <is>
          <t>CELEX_52023PC0360_EN_TXT (GDPR - Row 13)</t>
        </is>
      </c>
      <c r="C95" t="inlineStr">
        <is>
          <t>3</t>
        </is>
      </c>
      <c r="D95" s="8" t="inlineStr">
        <is>
          <t>The competent authority shall grant an authorisation only if, taking into account the</t>
        </is>
      </c>
      <c r="E95" t="inlineStr">
        <is>
          <t>40</t>
        </is>
      </c>
      <c r="F95" t="inlineStr">
        <is>
          <t>Governance</t>
        </is>
      </c>
      <c r="G95" t="inlineStr">
        <is>
          <t>High</t>
        </is>
      </c>
      <c r="H95" t="inlineStr">
        <is>
          <t>High (explicit)</t>
        </is>
      </c>
      <c r="I95" s="8" t="inlineStr">
        <is>
          <t>Governance</t>
        </is>
      </c>
      <c r="J95" s="8" t="inlineStr">
        <is>
          <t>Financial Data</t>
        </is>
      </c>
      <c r="K95" t="inlineStr">
        <is>
          <t>Competent authority</t>
        </is>
      </c>
      <c r="L95" s="8" t="inlineStr">
        <is>
          <t>Authorisation requires robust governance arrangements for financial information service providers including organisational structure, risk management, and internal controls.</t>
        </is>
      </c>
      <c r="M95" s="8" t="inlineStr">
        <is>
          <t>Financial information service providers must have robust governance arrangements including organisational structure, risk management, and internal controls.</t>
        </is>
      </c>
      <c r="N95" s="8" t="inlineStr">
        <is>
          <t>[Must] financial information service provider has robust governance arrangements for its information service business</t>
        </is>
      </c>
      <c r="O95"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6">
      <c r="A96" t="inlineStr">
        <is>
          <t>GDPR</t>
        </is>
      </c>
      <c r="B96" t="inlineStr">
        <is>
          <t>CELEX_52023PC0360_EN_TXT (GDPR - Row 13)</t>
        </is>
      </c>
      <c r="C96" t="inlineStr">
        <is>
          <t>3</t>
        </is>
      </c>
      <c r="D96" s="8" t="inlineStr">
        <is>
          <t>Member States who have appointed within their jurisdiction more than one</t>
        </is>
      </c>
      <c r="E96" t="inlineStr">
        <is>
          <t>42</t>
        </is>
      </c>
      <c r="F96" t="inlineStr">
        <is>
          <t>Governance</t>
        </is>
      </c>
      <c r="G96" t="inlineStr">
        <is>
          <t>High</t>
        </is>
      </c>
      <c r="H96" t="inlineStr">
        <is>
          <t>High (explicit)</t>
        </is>
      </c>
      <c r="I96" s="8" t="inlineStr">
        <is>
          <t>Governance</t>
        </is>
      </c>
      <c r="J96" s="8" t="inlineStr">
        <is>
          <t>Financial Data</t>
        </is>
      </c>
      <c r="K96" t="inlineStr">
        <is>
          <t>Competent authority</t>
        </is>
      </c>
      <c r="L96" s="8" t="inlineStr">
        <is>
          <t>Authorisation requires robust governance arrangements for financial information service providers including organisational structure, risk management, and internal controls.</t>
        </is>
      </c>
      <c r="M96" s="8" t="inlineStr">
        <is>
          <t>Financial information service providers must have robust governance arrangements including organisational structure, risk management, and internal controls.</t>
        </is>
      </c>
      <c r="N96" s="8" t="inlineStr">
        <is>
          <t>[Must] financial information service provider has robust governance arrangements for its information service business</t>
        </is>
      </c>
      <c r="O96"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7">
      <c r="A97" t="inlineStr">
        <is>
          <t>GDPR</t>
        </is>
      </c>
      <c r="B97" t="inlineStr">
        <is>
          <t>CELEX_52023PC0360_EN_TXT (GDPR - Row 13)</t>
        </is>
      </c>
      <c r="C97" t="inlineStr">
        <is>
          <t>3</t>
        </is>
      </c>
      <c r="D97" s="8" t="inlineStr">
        <is>
          <t>In the exercise of their investigatory and sanctioning powers, including in cross</t>
        </is>
      </c>
      <c r="E97" t="inlineStr">
        <is>
          <t>44</t>
        </is>
      </c>
      <c r="F97" t="inlineStr">
        <is>
          <t>Governance</t>
        </is>
      </c>
      <c r="G97" t="inlineStr">
        <is>
          <t>High</t>
        </is>
      </c>
      <c r="H97" t="inlineStr">
        <is>
          <t>High (explicit)</t>
        </is>
      </c>
      <c r="I97" s="8" t="inlineStr">
        <is>
          <t>Governance</t>
        </is>
      </c>
      <c r="J97" s="8" t="inlineStr">
        <is>
          <t>Financial Data</t>
        </is>
      </c>
      <c r="K97" t="inlineStr">
        <is>
          <t>Competent authority</t>
        </is>
      </c>
      <c r="L97" s="8" t="inlineStr">
        <is>
          <t>Authorisation requires robust governance arrangements for financial information service providers including organisational structure, risk management, and internal controls.</t>
        </is>
      </c>
      <c r="M97" s="8" t="inlineStr">
        <is>
          <t>Financial information service providers must have robust governance arrangements including organisational structure, risk management, and internal controls.</t>
        </is>
      </c>
      <c r="N97" s="8" t="inlineStr">
        <is>
          <t>[Must] financial information service provider has robust governance arrangements for its information service business</t>
        </is>
      </c>
      <c r="O97"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8">
      <c r="A98" t="inlineStr">
        <is>
          <t>GDPR</t>
        </is>
      </c>
      <c r="B98" t="inlineStr">
        <is>
          <t>CELEX_52023PC0360_EN_TXT (GDPR - Row 13)</t>
        </is>
      </c>
      <c r="C98" t="inlineStr">
        <is>
          <t>3</t>
        </is>
      </c>
      <c r="D98" s="8" t="inlineStr">
        <is>
          <t>Where Member States lay down the rules referred to in paragraph 1, they shall notify</t>
        </is>
      </c>
      <c r="E98" t="inlineStr">
        <is>
          <t>45</t>
        </is>
      </c>
      <c r="F98" t="inlineStr">
        <is>
          <t>Governance</t>
        </is>
      </c>
      <c r="G98" t="inlineStr">
        <is>
          <t>High</t>
        </is>
      </c>
      <c r="H98" t="inlineStr">
        <is>
          <t>High (explicit)</t>
        </is>
      </c>
      <c r="I98" s="8" t="inlineStr">
        <is>
          <t>Governance</t>
        </is>
      </c>
      <c r="J98" s="8" t="inlineStr">
        <is>
          <t>Financial Data</t>
        </is>
      </c>
      <c r="K98" t="inlineStr">
        <is>
          <t>Competent authority</t>
        </is>
      </c>
      <c r="L98" s="8" t="inlineStr">
        <is>
          <t>Authorisation requires robust governance arrangements for financial information service providers including organisational structure, risk management, and internal controls.</t>
        </is>
      </c>
      <c r="M98" s="8" t="inlineStr">
        <is>
          <t>Financial information service providers must have robust governance arrangements including organisational structure, risk management, and internal controls.</t>
        </is>
      </c>
      <c r="N98" s="8" t="inlineStr">
        <is>
          <t>[Must] financial information service provider has robust governance arrangements for its information service business</t>
        </is>
      </c>
      <c r="O98"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9">
      <c r="A99" t="inlineStr">
        <is>
          <t>GDPR</t>
        </is>
      </c>
      <c r="B99" t="inlineStr">
        <is>
          <t>CELEX_52023PC0360_EN_TXT (GDPR - Row 13)</t>
        </is>
      </c>
      <c r="C99" t="inlineStr">
        <is>
          <t>3</t>
        </is>
      </c>
      <c r="D99" s="8" t="inlineStr">
        <is>
          <t>Member States shall, in accordance with national law, ensure that competent</t>
        </is>
      </c>
      <c r="E99" t="inlineStr">
        <is>
          <t>45–46</t>
        </is>
      </c>
      <c r="F99" t="inlineStr">
        <is>
          <t>Exemptions</t>
        </is>
      </c>
      <c r="G99" t="inlineStr">
        <is>
          <t>High</t>
        </is>
      </c>
      <c r="H99" t="inlineStr">
        <is>
          <t>High (explicit)</t>
        </is>
      </c>
      <c r="I99" s="8" t="inlineStr"/>
      <c r="J99" s="8" t="inlineStr">
        <is>
          <t>Financial Data</t>
        </is>
      </c>
      <c r="K99" t="inlineStr"/>
      <c r="L99" s="8" t="inlineStr">
        <is>
          <t>Member States may set higher periodic penalty payment amounts than those specified in Article 21.</t>
        </is>
      </c>
      <c r="M99" s="8" t="inlineStr">
        <is>
          <t>Member States can establish higher periodic penalty payments than the EUR 30,000 for natural persons and 3% of daily turnover for legal persons.</t>
        </is>
      </c>
      <c r="N99" s="8" t="inlineStr">
        <is>
          <t>[May] Member States may provide for higher amounts of periodic penalty payments than those laid down in paragraph 1, third subparagraph</t>
        </is>
      </c>
      <c r="O99" s="8" t="inlineStr">
        <is>
          <t>Member States may provide for higher amounts of periodic penalty payments than those laid down in paragraph 1, third subparagraph.</t>
        </is>
      </c>
    </row>
    <row r="100">
      <c r="A100" t="inlineStr">
        <is>
          <t>GDPR</t>
        </is>
      </c>
      <c r="B100" t="inlineStr">
        <is>
          <t>CELEX_52023PC0360_EN_TXT (GDPR - Row 13)</t>
        </is>
      </c>
      <c r="C100" t="inlineStr">
        <is>
          <t>3</t>
        </is>
      </c>
      <c r="D100" s="8" t="inlineStr">
        <is>
          <t>Member States may provide for higher amounts of periodic penalty payments than</t>
        </is>
      </c>
      <c r="E100" t="inlineStr">
        <is>
          <t>47</t>
        </is>
      </c>
      <c r="F100" t="inlineStr">
        <is>
          <t>Exemptions</t>
        </is>
      </c>
      <c r="G100" t="inlineStr">
        <is>
          <t>High</t>
        </is>
      </c>
      <c r="H100" t="inlineStr">
        <is>
          <t>High (explicit)</t>
        </is>
      </c>
      <c r="I100" s="8" t="inlineStr"/>
      <c r="J100" s="8" t="inlineStr">
        <is>
          <t>Financial Data</t>
        </is>
      </c>
      <c r="K100" t="inlineStr"/>
      <c r="L100" s="8" t="inlineStr">
        <is>
          <t>Member States may set higher periodic penalty payment amounts than those specified in Article 21.</t>
        </is>
      </c>
      <c r="M100" s="8" t="inlineStr">
        <is>
          <t>Member States can establish higher periodic penalty payments than the EUR 30,000 for natural persons and 3% of daily turnover for legal persons.</t>
        </is>
      </c>
      <c r="N100" s="8" t="inlineStr">
        <is>
          <t>[May] Member States may provide for higher amounts of periodic penalty payments than those laid down in paragraph 1, third subparagraph</t>
        </is>
      </c>
      <c r="O100" s="8" t="inlineStr">
        <is>
          <t>Member States may provide for higher amounts of periodic penalty payments than those laid down in paragraph 1, third subparagraph.</t>
        </is>
      </c>
    </row>
    <row r="101">
      <c r="A101" t="inlineStr">
        <is>
          <t>GDPR</t>
        </is>
      </c>
      <c r="B101" t="inlineStr">
        <is>
          <t>CELEX_52023PC0360_EN_TXT (GDPR - Row 13)</t>
        </is>
      </c>
      <c r="C101" t="inlineStr">
        <is>
          <t>3</t>
        </is>
      </c>
      <c r="D101" s="8" t="inlineStr">
        <is>
          <t>Where the decision imposing an administrative penalty or other administrative</t>
        </is>
      </c>
      <c r="E101" t="inlineStr">
        <is>
          <t>49</t>
        </is>
      </c>
      <c r="F101" t="inlineStr">
        <is>
          <t>Exemptions</t>
        </is>
      </c>
      <c r="G101" t="inlineStr">
        <is>
          <t>High</t>
        </is>
      </c>
      <c r="H101" t="inlineStr">
        <is>
          <t>High (explicit)</t>
        </is>
      </c>
      <c r="I101" s="8" t="inlineStr"/>
      <c r="J101" s="8" t="inlineStr">
        <is>
          <t>Financial Data</t>
        </is>
      </c>
      <c r="K101" t="inlineStr"/>
      <c r="L101" s="8" t="inlineStr">
        <is>
          <t>Member States may set higher periodic penalty payment amounts than those specified in Article 21.</t>
        </is>
      </c>
      <c r="M101" s="8" t="inlineStr">
        <is>
          <t>Member States can establish higher periodic penalty payments than the EUR 30,000 for natural persons and 3% of daily turnover for legal persons.</t>
        </is>
      </c>
      <c r="N101" s="8" t="inlineStr">
        <is>
          <t>[May] Member States may provide for higher amounts of periodic penalty payments than those laid down in paragraph 1, third subparagraph</t>
        </is>
      </c>
      <c r="O101" s="8" t="inlineStr">
        <is>
          <t>Member States may provide for higher amounts of periodic penalty payments than those laid down in paragraph 1, third subparagraph.</t>
        </is>
      </c>
    </row>
    <row r="102">
      <c r="A102" t="inlineStr">
        <is>
          <t>GDPR</t>
        </is>
      </c>
      <c r="B102" t="inlineStr">
        <is>
          <t>CELEX_52023PC0360_EN_TXT (GDPR - Row 13)</t>
        </is>
      </c>
      <c r="C102" t="inlineStr">
        <is>
          <t>3</t>
        </is>
      </c>
      <c r="D102" s="8" t="inlineStr">
        <is>
          <t>Competent authorities exchanging information with other competent authorities</t>
        </is>
      </c>
      <c r="E102" t="inlineStr">
        <is>
          <t>49</t>
        </is>
      </c>
      <c r="F102" t="inlineStr">
        <is>
          <t>Exemptions</t>
        </is>
      </c>
      <c r="G102" t="inlineStr">
        <is>
          <t>High</t>
        </is>
      </c>
      <c r="H102" t="inlineStr">
        <is>
          <t>High (explicit)</t>
        </is>
      </c>
      <c r="I102" s="8" t="inlineStr"/>
      <c r="J102" s="8" t="inlineStr">
        <is>
          <t>Financial Data</t>
        </is>
      </c>
      <c r="K102" t="inlineStr"/>
      <c r="L102" s="8" t="inlineStr">
        <is>
          <t>Member States may set higher periodic penalty payment amounts than those specified in Article 21.</t>
        </is>
      </c>
      <c r="M102" s="8" t="inlineStr">
        <is>
          <t>Member States can establish higher periodic penalty payments than the EUR 30,000 for natural persons and 3% of daily turnover for legal persons.</t>
        </is>
      </c>
      <c r="N102" s="8" t="inlineStr">
        <is>
          <t>[May] Member States may provide for higher amounts of periodic penalty payments than those laid down in paragraph 1, third subparagraph</t>
        </is>
      </c>
      <c r="O102" s="8" t="inlineStr">
        <is>
          <t>Member States may provide for higher amounts of periodic penalty payments than those laid down in paragraph 1, third subparagraph.</t>
        </is>
      </c>
    </row>
    <row r="103">
      <c r="A103" t="inlineStr">
        <is>
          <t>GDPR</t>
        </is>
      </c>
      <c r="B103" t="inlineStr">
        <is>
          <t>CELEX_52023PC0360_EN_TXT (GDPR - Row 13)</t>
        </is>
      </c>
      <c r="C103" t="inlineStr">
        <is>
          <t>3</t>
        </is>
      </c>
      <c r="D103" s="8" t="inlineStr">
        <is>
          <t>Within 1 month of receipt of all of the information referred to in paragraph 1 the</t>
        </is>
      </c>
      <c r="E103" t="inlineStr">
        <is>
          <t>50</t>
        </is>
      </c>
      <c r="F103" t="inlineStr">
        <is>
          <t>Other</t>
        </is>
      </c>
      <c r="G103" t="inlineStr">
        <is>
          <t>Medium</t>
        </is>
      </c>
      <c r="H103" t="inlineStr">
        <is>
          <t>High (explicit)</t>
        </is>
      </c>
      <c r="I103" s="8" t="inlineStr"/>
      <c r="J103" s="8" t="inlineStr"/>
      <c r="K103" t="inlineStr">
        <is>
          <t>European Parliament or Council</t>
        </is>
      </c>
      <c r="L103" s="8" t="inlineStr">
        <is>
          <t>Delegation of powers may be revoked by European Parliament or Council at any time.</t>
        </is>
      </c>
      <c r="M103" s="8" t="inlineStr">
        <is>
          <t>Delegated powers can be revoked by Parliament or Council with immediate effect.</t>
        </is>
      </c>
      <c r="N103" s="8" t="inlineStr">
        <is>
          <t>[May] Delegation of powers may be revoked by European Parliament or Council at any time</t>
        </is>
      </c>
      <c r="O103" s="8" t="inlineStr">
        <is>
          <t>The delegation of powers referred to in Article 11, may be revoked at any time by the European Parliament or by the Council.</t>
        </is>
      </c>
    </row>
    <row r="104">
      <c r="A104" t="inlineStr">
        <is>
          <t>GDPR</t>
        </is>
      </c>
      <c r="B104" t="inlineStr">
        <is>
          <t>CELEX_52023PC0360_EN_TXT (GDPR - Row 13)</t>
        </is>
      </c>
      <c r="C104" t="inlineStr">
        <is>
          <t>3</t>
        </is>
      </c>
      <c r="D104" s="8" t="inlineStr">
        <is>
          <t>The delegation of powers referred to in Article 11, may be revoked at any time by the</t>
        </is>
      </c>
      <c r="E104" t="inlineStr">
        <is>
          <t>51</t>
        </is>
      </c>
      <c r="F104" t="inlineStr">
        <is>
          <t>Other</t>
        </is>
      </c>
      <c r="G104" t="inlineStr">
        <is>
          <t>Medium</t>
        </is>
      </c>
      <c r="H104" t="inlineStr">
        <is>
          <t>High (explicit)</t>
        </is>
      </c>
      <c r="I104" s="8" t="inlineStr"/>
      <c r="J104" s="8" t="inlineStr"/>
      <c r="K104" t="inlineStr">
        <is>
          <t>European Parliament or Council</t>
        </is>
      </c>
      <c r="L104" s="8" t="inlineStr">
        <is>
          <t>Delegation of powers may be revoked by European Parliament or Council at any time.</t>
        </is>
      </c>
      <c r="M104" s="8" t="inlineStr">
        <is>
          <t>Delegated powers can be revoked by Parliament or Council with immediate effect.</t>
        </is>
      </c>
      <c r="N104" s="8" t="inlineStr">
        <is>
          <t>[May] Delegation of powers may be revoked by European Parliament or Council at any time</t>
        </is>
      </c>
      <c r="O104" s="8" t="inlineStr">
        <is>
          <t>The delegation of powers referred to in Article 11, may be revoked at any time by the European Parliament or by the Council.</t>
        </is>
      </c>
    </row>
    <row r="105">
      <c r="A105" t="inlineStr">
        <is>
          <t>GDPR</t>
        </is>
      </c>
      <c r="B105" t="inlineStr">
        <is>
          <t>CELEX_52023PC0360_EN_TXT (GDPR - Row 13)</t>
        </is>
      </c>
      <c r="C105" t="inlineStr">
        <is>
          <t>4</t>
        </is>
      </c>
      <c r="D105" s="8" t="inlineStr">
        <is>
          <t>BUDGETARY IMPLICATIONS</t>
        </is>
      </c>
      <c r="E105" t="inlineStr">
        <is>
          <t>9–10</t>
        </is>
      </c>
      <c r="F105" t="inlineStr">
        <is>
          <t>Other</t>
        </is>
      </c>
      <c r="G105" t="inlineStr">
        <is>
          <t>High</t>
        </is>
      </c>
      <c r="H105" t="inlineStr">
        <is>
          <t>High (explicit)</t>
        </is>
      </c>
      <c r="I105" s="8" t="inlineStr"/>
      <c r="J105" s="8" t="inlineStr"/>
      <c r="K105" t="inlineStr"/>
      <c r="L105" s="8" t="inlineStr">
        <is>
          <t>Details budgetary implications of implementing financial data access framework, noting no EU budget impact and limited costs for national authorities.</t>
        </is>
      </c>
      <c r="M105" s="8" t="inlineStr"/>
      <c r="N105" s="8" t="inlineStr"/>
      <c r="O105" s="8" t="inlineStr">
        <is>
          <t>Implementation of this proposal would not have an impact on the general budget of the European Union.</t>
        </is>
      </c>
    </row>
    <row r="106">
      <c r="A106" t="inlineStr">
        <is>
          <t>GDPR</t>
        </is>
      </c>
      <c r="B106" t="inlineStr">
        <is>
          <t>CELEX_52023PC0360_EN_TXT (GDPR - Row 13)</t>
        </is>
      </c>
      <c r="C106" t="inlineStr">
        <is>
          <t>4</t>
        </is>
      </c>
      <c r="D106" s="8" t="inlineStr">
        <is>
          <t>This Regulation does not affect the application of other Union legal acts regarding</t>
        </is>
      </c>
      <c r="E106" t="inlineStr">
        <is>
          <t>28–31</t>
        </is>
      </c>
      <c r="F106" t="inlineStr">
        <is>
          <t>Exemptions</t>
        </is>
      </c>
      <c r="G106" t="inlineStr">
        <is>
          <t>High</t>
        </is>
      </c>
      <c r="H106" t="inlineStr">
        <is>
          <t>High (explicit)</t>
        </is>
      </c>
      <c r="I106" s="8" t="inlineStr">
        <is>
          <t>Data Sharing</t>
        </is>
      </c>
      <c r="J106" s="8" t="inlineStr">
        <is>
          <t>Customer Data</t>
        </is>
      </c>
      <c r="K106" t="inlineStr"/>
      <c r="L106" s="8" t="inlineStr">
        <is>
          <t>Regulation does not affect application of other Union legal acts regarding access to and sharing of customer data unless specifically provided for in this Regulation.</t>
        </is>
      </c>
      <c r="M106" s="8" t="inlineStr">
        <is>
          <t>Exemptions for other Union legal acts regarding customer data access and sharing.</t>
        </is>
      </c>
      <c r="N106" s="8" t="inlineStr">
        <is>
          <t>[Must] This Regulation does not affect the application of other Union legal acts regarding access to and sharing of customer data referred to in paragraph 1, unless specifically provided for in this Regulation.</t>
        </is>
      </c>
      <c r="O106" s="8" t="inlineStr">
        <is>
          <t>This Regulation does not affect the application of other Union legal acts regarding access to and sharing of customer data referred to in paragraph 1, unless specifically provided for in this Regulation.</t>
        </is>
      </c>
    </row>
    <row r="107">
      <c r="A107" t="inlineStr">
        <is>
          <t>GDPR</t>
        </is>
      </c>
      <c r="B107" t="inlineStr">
        <is>
          <t>CELEX_52023PC0360_EN_TXT (GDPR - Row 13)</t>
        </is>
      </c>
      <c r="C107" t="inlineStr">
        <is>
          <t>4</t>
        </is>
      </c>
      <c r="D107" s="8" t="inlineStr">
        <is>
          <t>To ensure the effective management of customer data, a data user shall:</t>
        </is>
      </c>
      <c r="E107" t="inlineStr">
        <is>
          <t>32</t>
        </is>
      </c>
      <c r="F107" t="inlineStr">
        <is>
          <t>Exemptions</t>
        </is>
      </c>
      <c r="G107" t="inlineStr">
        <is>
          <t>High</t>
        </is>
      </c>
      <c r="H107" t="inlineStr">
        <is>
          <t>High (explicit)</t>
        </is>
      </c>
      <c r="I107" s="8" t="inlineStr">
        <is>
          <t>Data Sharing</t>
        </is>
      </c>
      <c r="J107" s="8" t="inlineStr">
        <is>
          <t>Customer Data</t>
        </is>
      </c>
      <c r="K107" t="inlineStr"/>
      <c r="L107" s="8" t="inlineStr">
        <is>
          <t>Regulation does not affect application of other Union legal acts regarding access to and sharing of customer data unless specifically provided for in this Regulation.</t>
        </is>
      </c>
      <c r="M107" s="8" t="inlineStr">
        <is>
          <t>Exemptions for other Union legal acts regarding customer data access and sharing.</t>
        </is>
      </c>
      <c r="N107" s="8" t="inlineStr">
        <is>
          <t>[Must] This Regulation does not affect the application of other Union legal acts regarding access to and sharing of customer data referred to in paragraph 1, unless specifically provided for in this Regulation.</t>
        </is>
      </c>
      <c r="O107" s="8" t="inlineStr">
        <is>
          <t>This Regulation does not affect the application of other Union legal acts regarding access to and sharing of customer data referred to in paragraph 1, unless specifically provided for in this Regulation.</t>
        </is>
      </c>
    </row>
    <row r="108">
      <c r="A108" t="inlineStr">
        <is>
          <t>GDPR</t>
        </is>
      </c>
      <c r="B108" t="inlineStr">
        <is>
          <t>CELEX_52023PC0360_EN_TXT (GDPR - Row 13)</t>
        </is>
      </c>
      <c r="C108" t="inlineStr">
        <is>
          <t>4</t>
        </is>
      </c>
      <c r="D108" s="8" t="inlineStr">
        <is>
          <t>When preparing the guidelines referred to in paragraphs 2 and 3 of this Article,</t>
        </is>
      </c>
      <c r="E108" t="inlineStr">
        <is>
          <t>33</t>
        </is>
      </c>
      <c r="F108" t="inlineStr">
        <is>
          <t>Exemptions</t>
        </is>
      </c>
      <c r="G108" t="inlineStr">
        <is>
          <t>High</t>
        </is>
      </c>
      <c r="H108" t="inlineStr">
        <is>
          <t>High (explicit)</t>
        </is>
      </c>
      <c r="I108" s="8" t="inlineStr">
        <is>
          <t>Data Sharing</t>
        </is>
      </c>
      <c r="J108" s="8" t="inlineStr">
        <is>
          <t>Customer Data</t>
        </is>
      </c>
      <c r="K108" t="inlineStr"/>
      <c r="L108" s="8" t="inlineStr">
        <is>
          <t>Regulation does not affect application of other Union legal acts regarding access to and sharing of customer data unless specifically provided for in this Regulation.</t>
        </is>
      </c>
      <c r="M108" s="8" t="inlineStr">
        <is>
          <t>Exemptions for other Union legal acts regarding customer data access and sharing.</t>
        </is>
      </c>
      <c r="N108" s="8" t="inlineStr">
        <is>
          <t>[Must] This Regulation does not affect the application of other Union legal acts regarding access to and sharing of customer data referred to in paragraph 1, unless specifically provided for in this Regulation.</t>
        </is>
      </c>
      <c r="O108" s="8" t="inlineStr">
        <is>
          <t>This Regulation does not affect the application of other Union legal acts regarding access to and sharing of customer data referred to in paragraph 1, unless specifically provided for in this Regulation.</t>
        </is>
      </c>
    </row>
    <row r="109">
      <c r="A109" t="inlineStr">
        <is>
          <t>GDPR</t>
        </is>
      </c>
      <c r="B109" t="inlineStr">
        <is>
          <t>CELEX_52023PC0360_EN_TXT (GDPR - Row 13)</t>
        </is>
      </c>
      <c r="C109" t="inlineStr">
        <is>
          <t>4</t>
        </is>
      </c>
      <c r="D109" s="8" t="inlineStr">
        <is>
          <t>The data holder and the data user for which permission has been granted by a</t>
        </is>
      </c>
      <c r="E109" t="inlineStr">
        <is>
          <t>33–34</t>
        </is>
      </c>
      <c r="F109" t="inlineStr">
        <is>
          <t>Data Sharing</t>
        </is>
      </c>
      <c r="G109" t="inlineStr">
        <is>
          <t>High</t>
        </is>
      </c>
      <c r="H109" t="inlineStr">
        <is>
          <t>High (explicit)</t>
        </is>
      </c>
      <c r="I109" s="8" t="inlineStr">
        <is>
          <t>Data Sharing, Data Storage</t>
        </is>
      </c>
      <c r="J109" s="8" t="inlineStr">
        <is>
          <t>Financial Data</t>
        </is>
      </c>
      <c r="K109" t="inlineStr"/>
      <c r="L109" s="8" t="inlineStr">
        <is>
          <t>Financial information service providers must notify their legal representative's contact details to the competent authority.</t>
        </is>
      </c>
      <c r="M109" s="8" t="inlineStr">
        <is>
          <t>Providers must notify their legal representative's contact details to the competent authority.</t>
        </is>
      </c>
      <c r="N109"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09"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0">
      <c r="A110" t="inlineStr">
        <is>
          <t>GDPR</t>
        </is>
      </c>
      <c r="B110" t="inlineStr">
        <is>
          <t>CELEX_52023PC0360_EN_TXT (GDPR - Row 13)</t>
        </is>
      </c>
      <c r="C110" t="inlineStr">
        <is>
          <t>4</t>
        </is>
      </c>
      <c r="D110" s="8" t="inlineStr">
        <is>
          <t>A financial data sharing scheme set up in accordance with this Article shall be</t>
        </is>
      </c>
      <c r="E110" t="inlineStr">
        <is>
          <t>36</t>
        </is>
      </c>
      <c r="F110" t="inlineStr">
        <is>
          <t>Data Sharing</t>
        </is>
      </c>
      <c r="G110" t="inlineStr">
        <is>
          <t>High</t>
        </is>
      </c>
      <c r="H110" t="inlineStr">
        <is>
          <t>High (explicit)</t>
        </is>
      </c>
      <c r="I110" s="8" t="inlineStr">
        <is>
          <t>Data Sharing, Data Storage</t>
        </is>
      </c>
      <c r="J110" s="8" t="inlineStr">
        <is>
          <t>Financial Data</t>
        </is>
      </c>
      <c r="K110" t="inlineStr"/>
      <c r="L110" s="8" t="inlineStr">
        <is>
          <t>Financial information service providers must notify their legal representative's contact details to the competent authority.</t>
        </is>
      </c>
      <c r="M110" s="8" t="inlineStr">
        <is>
          <t>Providers must notify their legal representative's contact details to the competent authority.</t>
        </is>
      </c>
      <c r="N110"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0"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1">
      <c r="A111" t="inlineStr">
        <is>
          <t>GDPR</t>
        </is>
      </c>
      <c r="B111" t="inlineStr">
        <is>
          <t>CELEX_52023PC0360_EN_TXT (GDPR - Row 13)</t>
        </is>
      </c>
      <c r="C111" t="inlineStr">
        <is>
          <t>4</t>
        </is>
      </c>
      <c r="D111" s="8" t="inlineStr">
        <is>
          <t>EBA in cooperation with ESMA and EIOPA shall, after consulting all relevant</t>
        </is>
      </c>
      <c r="E111" t="inlineStr">
        <is>
          <t>38–39</t>
        </is>
      </c>
      <c r="F111" t="inlineStr">
        <is>
          <t>Data Sharing</t>
        </is>
      </c>
      <c r="G111" t="inlineStr">
        <is>
          <t>High</t>
        </is>
      </c>
      <c r="H111" t="inlineStr">
        <is>
          <t>High (explicit)</t>
        </is>
      </c>
      <c r="I111" s="8" t="inlineStr">
        <is>
          <t>Data Sharing, Data Storage</t>
        </is>
      </c>
      <c r="J111" s="8" t="inlineStr">
        <is>
          <t>Financial Data</t>
        </is>
      </c>
      <c r="K111" t="inlineStr"/>
      <c r="L111" s="8" t="inlineStr">
        <is>
          <t>Financial information service providers must notify their legal representative's contact details to the competent authority.</t>
        </is>
      </c>
      <c r="M111" s="8" t="inlineStr">
        <is>
          <t>Providers must notify their legal representative's contact details to the competent authority.</t>
        </is>
      </c>
      <c r="N111"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1"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2">
      <c r="A112" t="inlineStr">
        <is>
          <t>GDPR</t>
        </is>
      </c>
      <c r="B112" t="inlineStr">
        <is>
          <t>CELEX_52023PC0360_EN_TXT (GDPR - Row 13)</t>
        </is>
      </c>
      <c r="C112" t="inlineStr">
        <is>
          <t>4</t>
        </is>
      </c>
      <c r="D112" s="8" t="inlineStr">
        <is>
          <t>Financial information service providers shall notify the name, address, the electronic</t>
        </is>
      </c>
      <c r="E112" t="inlineStr">
        <is>
          <t>39</t>
        </is>
      </c>
      <c r="F112" t="inlineStr">
        <is>
          <t>Data Sharing</t>
        </is>
      </c>
      <c r="G112" t="inlineStr">
        <is>
          <t>High</t>
        </is>
      </c>
      <c r="H112" t="inlineStr">
        <is>
          <t>High (explicit)</t>
        </is>
      </c>
      <c r="I112" s="8" t="inlineStr">
        <is>
          <t>Data Sharing, Data Storage</t>
        </is>
      </c>
      <c r="J112" s="8" t="inlineStr">
        <is>
          <t>Financial Data</t>
        </is>
      </c>
      <c r="K112" t="inlineStr"/>
      <c r="L112" s="8" t="inlineStr">
        <is>
          <t>Financial information service providers must notify their legal representative's contact details to the competent authority.</t>
        </is>
      </c>
      <c r="M112" s="8" t="inlineStr">
        <is>
          <t>Providers must notify their legal representative's contact details to the competent authority.</t>
        </is>
      </c>
      <c r="N112"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2"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3">
      <c r="A113" t="inlineStr">
        <is>
          <t>GDPR</t>
        </is>
      </c>
      <c r="B113" t="inlineStr">
        <is>
          <t>CELEX_52023PC0360_EN_TXT (GDPR - Row 13)</t>
        </is>
      </c>
      <c r="C113" t="inlineStr">
        <is>
          <t>4</t>
        </is>
      </c>
      <c r="D113" s="8" t="inlineStr">
        <is>
          <t>The competent authority shall grant an authorisation only if the laws, regulations or</t>
        </is>
      </c>
      <c r="E113" t="inlineStr">
        <is>
          <t>40</t>
        </is>
      </c>
      <c r="F113" t="inlineStr">
        <is>
          <t>Record Keeping</t>
        </is>
      </c>
      <c r="G113" t="inlineStr">
        <is>
          <t>High</t>
        </is>
      </c>
      <c r="H113" t="inlineStr">
        <is>
          <t>High (explicit)</t>
        </is>
      </c>
      <c r="I113" s="8" t="inlineStr"/>
      <c r="J113" s="8" t="inlineStr">
        <is>
          <t>Financial Data</t>
        </is>
      </c>
      <c r="K113" t="inlineStr">
        <is>
          <t>EBA</t>
        </is>
      </c>
      <c r="L113" s="8" t="inlineStr">
        <is>
          <t>EBA must enter withdrawals of authorisation or termination of financial data sharing schemes in the register.</t>
        </is>
      </c>
      <c r="M113" s="8" t="inlineStr">
        <is>
          <t>EBA must enter withdrawals of authorisation or termination of financial data sharing schemes in the register.</t>
        </is>
      </c>
      <c r="N113" s="8" t="inlineStr">
        <is>
          <t>[Must] EBA shall enter in the register any withdrawal of authorisation of financial information service providers or termination of a financial data sharing scheme</t>
        </is>
      </c>
      <c r="O113" s="8" t="inlineStr">
        <is>
          <t>EBA shall enter in the register referred to in paragraph 1 any withdrawal of authorisation of financial information service providers or termination of a financial data sharing scheme.</t>
        </is>
      </c>
    </row>
    <row r="114">
      <c r="A114" t="inlineStr">
        <is>
          <t>GDPR</t>
        </is>
      </c>
      <c r="B114" t="inlineStr">
        <is>
          <t>CELEX_52023PC0360_EN_TXT (GDPR - Row 13)</t>
        </is>
      </c>
      <c r="C114" t="inlineStr">
        <is>
          <t>4</t>
        </is>
      </c>
      <c r="D114" s="8" t="inlineStr">
        <is>
          <t>EBA shall enter in the register referred to in paragraph 1 any withdrawal of</t>
        </is>
      </c>
      <c r="E114" t="inlineStr">
        <is>
          <t>41</t>
        </is>
      </c>
      <c r="F114" t="inlineStr">
        <is>
          <t>Record Keeping</t>
        </is>
      </c>
      <c r="G114" t="inlineStr">
        <is>
          <t>High</t>
        </is>
      </c>
      <c r="H114" t="inlineStr">
        <is>
          <t>High (explicit)</t>
        </is>
      </c>
      <c r="I114" s="8" t="inlineStr"/>
      <c r="J114" s="8" t="inlineStr">
        <is>
          <t>Financial Data</t>
        </is>
      </c>
      <c r="K114" t="inlineStr">
        <is>
          <t>EBA</t>
        </is>
      </c>
      <c r="L114" s="8" t="inlineStr">
        <is>
          <t>EBA must enter withdrawals of authorisation or termination of financial data sharing schemes in the register.</t>
        </is>
      </c>
      <c r="M114" s="8" t="inlineStr">
        <is>
          <t>EBA must enter withdrawals of authorisation or termination of financial data sharing schemes in the register.</t>
        </is>
      </c>
      <c r="N114" s="8" t="inlineStr">
        <is>
          <t>[Must] EBA shall enter in the register any withdrawal of authorisation of financial information service providers or termination of a financial data sharing scheme</t>
        </is>
      </c>
      <c r="O114" s="8" t="inlineStr">
        <is>
          <t>EBA shall enter in the register referred to in paragraph 1 any withdrawal of authorisation of financial information service providers or termination of a financial data sharing scheme.</t>
        </is>
      </c>
    </row>
    <row r="115">
      <c r="A115" t="inlineStr">
        <is>
          <t>GDPR</t>
        </is>
      </c>
      <c r="B115" t="inlineStr">
        <is>
          <t>CELEX_52023PC0360_EN_TXT (GDPR - Row 13)</t>
        </is>
      </c>
      <c r="C115" t="inlineStr">
        <is>
          <t>4</t>
        </is>
      </c>
      <c r="D115" s="8" t="inlineStr">
        <is>
          <t>For financial institutions, compliance with this Regulation shall be ensured by the</t>
        </is>
      </c>
      <c r="E115" t="inlineStr">
        <is>
          <t>42</t>
        </is>
      </c>
      <c r="F115" t="inlineStr">
        <is>
          <t>Record Keeping</t>
        </is>
      </c>
      <c r="G115" t="inlineStr">
        <is>
          <t>High</t>
        </is>
      </c>
      <c r="H115" t="inlineStr">
        <is>
          <t>High (explicit)</t>
        </is>
      </c>
      <c r="I115" s="8" t="inlineStr"/>
      <c r="J115" s="8" t="inlineStr">
        <is>
          <t>Financial Data</t>
        </is>
      </c>
      <c r="K115" t="inlineStr">
        <is>
          <t>EBA</t>
        </is>
      </c>
      <c r="L115" s="8" t="inlineStr">
        <is>
          <t>EBA must enter withdrawals of authorisation or termination of financial data sharing schemes in the register.</t>
        </is>
      </c>
      <c r="M115" s="8" t="inlineStr">
        <is>
          <t>EBA must enter withdrawals of authorisation or termination of financial data sharing schemes in the register.</t>
        </is>
      </c>
      <c r="N115" s="8" t="inlineStr">
        <is>
          <t>[Must] EBA shall enter in the register any withdrawal of authorisation of financial information service providers or termination of a financial data sharing scheme</t>
        </is>
      </c>
      <c r="O115" s="8" t="inlineStr">
        <is>
          <t>EBA shall enter in the register referred to in paragraph 1 any withdrawal of authorisation of financial information service providers or termination of a financial data sharing scheme.</t>
        </is>
      </c>
    </row>
    <row r="116">
      <c r="A116" t="inlineStr">
        <is>
          <t>GDPR</t>
        </is>
      </c>
      <c r="B116" t="inlineStr">
        <is>
          <t>CELEX_52023PC0360_EN_TXT (GDPR - Row 13)</t>
        </is>
      </c>
      <c r="C116" t="inlineStr">
        <is>
          <t>4</t>
        </is>
      </c>
      <c r="D116" s="8" t="inlineStr">
        <is>
          <t>Member States shall, in accordance with national law, ensure that competent</t>
        </is>
      </c>
      <c r="E116" t="inlineStr">
        <is>
          <t>46</t>
        </is>
      </c>
      <c r="F116" t="inlineStr">
        <is>
          <t>Enforcement</t>
        </is>
      </c>
      <c r="G116" t="inlineStr">
        <is>
          <t>High</t>
        </is>
      </c>
      <c r="H116" t="inlineStr">
        <is>
          <t>High (explicit)</t>
        </is>
      </c>
      <c r="I116" s="8" t="inlineStr"/>
      <c r="J116" s="8" t="inlineStr">
        <is>
          <t>Financial Data</t>
        </is>
      </c>
      <c r="K116" t="inlineStr">
        <is>
          <t>Competent authorities</t>
        </is>
      </c>
      <c r="L116" s="8" t="inlineStr">
        <is>
          <t>Member States must ensure competent authorities can impose specific administrative fines for legal persons, including up to EUR 500,000/year and 2% of annual turnover.</t>
        </is>
      </c>
      <c r="M116" s="8" t="inlineStr">
        <is>
          <t>Member States must allow competent authorities to impose fines up to EUR 500,000/year for legal persons and 2% of their annual turnover, with adjustments for consolidated financial statements.</t>
        </is>
      </c>
      <c r="N116" s="8" t="inlineStr">
        <is>
          <t>[Must] Competent authorities have power to impose maximum fines of up to EUR 50,000 per infringement and EUR 500,000 per year for legal persons
[Must] Competent authorities have power to impose fines of 2% of the legal person's annual turnover</t>
        </is>
      </c>
      <c r="O116"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7">
      <c r="A117" t="inlineStr">
        <is>
          <t>GDPR</t>
        </is>
      </c>
      <c r="B117" t="inlineStr">
        <is>
          <t>CELEX_52023PC0360_EN_TXT (GDPR - Row 13)</t>
        </is>
      </c>
      <c r="C117" t="inlineStr">
        <is>
          <t>4</t>
        </is>
      </c>
      <c r="D117" s="8" t="inlineStr">
        <is>
          <t>Competent authorities shall ensure that any publication made in accordance with this</t>
        </is>
      </c>
      <c r="E117" t="inlineStr">
        <is>
          <t>49</t>
        </is>
      </c>
      <c r="F117" t="inlineStr">
        <is>
          <t>Enforcement</t>
        </is>
      </c>
      <c r="G117" t="inlineStr">
        <is>
          <t>High</t>
        </is>
      </c>
      <c r="H117" t="inlineStr">
        <is>
          <t>High (explicit)</t>
        </is>
      </c>
      <c r="I117" s="8" t="inlineStr"/>
      <c r="J117" s="8" t="inlineStr">
        <is>
          <t>Financial Data</t>
        </is>
      </c>
      <c r="K117" t="inlineStr">
        <is>
          <t>Competent authorities</t>
        </is>
      </c>
      <c r="L117" s="8" t="inlineStr">
        <is>
          <t>Member States must ensure competent authorities can impose specific administrative fines for legal persons, including up to EUR 500,000/year and 2% of annual turnover.</t>
        </is>
      </c>
      <c r="M117" s="8" t="inlineStr">
        <is>
          <t>Member States must allow competent authorities to impose fines up to EUR 500,000/year for legal persons and 2% of their annual turnover, with adjustments for consolidated financial statements.</t>
        </is>
      </c>
      <c r="N117" s="8" t="inlineStr">
        <is>
          <t>[Must] Competent authorities have power to impose maximum fines of up to EUR 50,000 per infringement and EUR 500,000 per year for legal persons
[Must] Competent authorities have power to impose fines of 2% of the legal person's annual turnover</t>
        </is>
      </c>
      <c r="O117"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8">
      <c r="A118" t="inlineStr">
        <is>
          <t>GDPR</t>
        </is>
      </c>
      <c r="B118" t="inlineStr">
        <is>
          <t>CELEX_52023PC0360_EN_TXT (GDPR - Row 13)</t>
        </is>
      </c>
      <c r="C118" t="inlineStr">
        <is>
          <t>4</t>
        </is>
      </c>
      <c r="D118" s="8" t="inlineStr">
        <is>
          <t>The competent authority shall not transmit information shared by other competent</t>
        </is>
      </c>
      <c r="E118" t="inlineStr">
        <is>
          <t>49</t>
        </is>
      </c>
      <c r="F118" t="inlineStr">
        <is>
          <t>Enforcement</t>
        </is>
      </c>
      <c r="G118" t="inlineStr">
        <is>
          <t>High</t>
        </is>
      </c>
      <c r="H118" t="inlineStr">
        <is>
          <t>High (explicit)</t>
        </is>
      </c>
      <c r="I118" s="8" t="inlineStr"/>
      <c r="J118" s="8" t="inlineStr">
        <is>
          <t>Financial Data</t>
        </is>
      </c>
      <c r="K118" t="inlineStr">
        <is>
          <t>Competent authorities</t>
        </is>
      </c>
      <c r="L118" s="8" t="inlineStr">
        <is>
          <t>Member States must ensure competent authorities can impose specific administrative fines for legal persons, including up to EUR 500,000/year and 2% of annual turnover.</t>
        </is>
      </c>
      <c r="M118" s="8" t="inlineStr">
        <is>
          <t>Member States must allow competent authorities to impose fines up to EUR 500,000/year for legal persons and 2% of their annual turnover, with adjustments for consolidated financial statements.</t>
        </is>
      </c>
      <c r="N118" s="8" t="inlineStr">
        <is>
          <t>[Must] Competent authorities have power to impose maximum fines of up to EUR 50,000 per infringement and EUR 500,000 per year for legal persons
[Must] Competent authorities have power to impose fines of 2% of the legal person's annual turnover</t>
        </is>
      </c>
      <c r="O118"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9">
      <c r="A119" t="inlineStr">
        <is>
          <t>GDPR</t>
        </is>
      </c>
      <c r="B119" t="inlineStr">
        <is>
          <t>CELEX_52023PC0360_EN_TXT (GDPR - Row 13)</t>
        </is>
      </c>
      <c r="C119" t="inlineStr">
        <is>
          <t>4</t>
        </is>
      </c>
      <c r="D119" s="8" t="inlineStr">
        <is>
          <t>The financial information service provider shall communicate to the competent</t>
        </is>
      </c>
      <c r="E119" t="inlineStr">
        <is>
          <t>50–51</t>
        </is>
      </c>
      <c r="F119" t="inlineStr">
        <is>
          <t>Other</t>
        </is>
      </c>
      <c r="G119" t="inlineStr">
        <is>
          <t>Medium</t>
        </is>
      </c>
      <c r="H119" t="inlineStr">
        <is>
          <t>High (explicit)</t>
        </is>
      </c>
      <c r="I119" s="8" t="inlineStr"/>
      <c r="J119" s="8" t="inlineStr"/>
      <c r="K119" t="inlineStr">
        <is>
          <t>European Commission</t>
        </is>
      </c>
      <c r="L119" s="8" t="inlineStr">
        <is>
          <t>Commission must consult experts from Member States before adopting delegated acts.</t>
        </is>
      </c>
      <c r="M119" s="8" t="inlineStr">
        <is>
          <t>Requires consultation with Member State experts before adopting delegated acts.</t>
        </is>
      </c>
      <c r="N119" s="8" t="inlineStr">
        <is>
          <t>[Must] Consult experts signed by each Member State</t>
        </is>
      </c>
      <c r="O119" s="8" t="inlineStr">
        <is>
          <t>Before adopting a delegated act, the Commission shall consult experts signated by each Member State in accordance with the principles laid down in the Interinstitutional Agreement of 13 April 2.016 on Better Law-Making.</t>
        </is>
      </c>
    </row>
    <row r="120">
      <c r="A120" t="inlineStr">
        <is>
          <t>GDPR</t>
        </is>
      </c>
      <c r="B120" t="inlineStr">
        <is>
          <t>CELEX_52023PC0360_EN_TXT (GDPR - Row 13)</t>
        </is>
      </c>
      <c r="C120" t="inlineStr">
        <is>
          <t>4</t>
        </is>
      </c>
      <c r="D120" s="8" t="inlineStr">
        <is>
          <t>Before adopting a delegated act, the Commission shall consult experts signated by</t>
        </is>
      </c>
      <c r="E120" t="inlineStr">
        <is>
          <t>51</t>
        </is>
      </c>
      <c r="F120" t="inlineStr">
        <is>
          <t>Other</t>
        </is>
      </c>
      <c r="G120" t="inlineStr">
        <is>
          <t>Medium</t>
        </is>
      </c>
      <c r="H120" t="inlineStr">
        <is>
          <t>High (explicit)</t>
        </is>
      </c>
      <c r="I120" s="8" t="inlineStr"/>
      <c r="J120" s="8" t="inlineStr"/>
      <c r="K120" t="inlineStr">
        <is>
          <t>European Commission</t>
        </is>
      </c>
      <c r="L120" s="8" t="inlineStr">
        <is>
          <t>Commission must consult experts from Member States before adopting delegated acts.</t>
        </is>
      </c>
      <c r="M120" s="8" t="inlineStr">
        <is>
          <t>Requires consultation with Member State experts before adopting delegated acts.</t>
        </is>
      </c>
      <c r="N120" s="8" t="inlineStr">
        <is>
          <t>[Must] Consult experts signed by each Member State</t>
        </is>
      </c>
      <c r="O120" s="8" t="inlineStr">
        <is>
          <t>Before adopting a delegated act, the Commission shall consult experts signated by each Member State in accordance with the principles laid down in the Interinstitutional Agreement of 13 April 2.016 on Better Law-Making.</t>
        </is>
      </c>
    </row>
    <row r="121">
      <c r="A121" t="inlineStr">
        <is>
          <t>GDPR</t>
        </is>
      </c>
      <c r="B121" t="inlineStr">
        <is>
          <t>CELEX_52023PC0360_EN_TXT (GDPR - Row 13)</t>
        </is>
      </c>
      <c r="C121" t="inlineStr">
        <is>
          <t>5</t>
        </is>
      </c>
      <c r="D121" s="8" t="inlineStr">
        <is>
          <t>OTHER ELEMENTS</t>
        </is>
      </c>
      <c r="E121" t="inlineStr">
        <is>
          <t>10–27</t>
        </is>
      </c>
      <c r="F121" t="inlineStr">
        <is>
          <t>Other</t>
        </is>
      </c>
      <c r="G121" t="inlineStr">
        <is>
          <t>High</t>
        </is>
      </c>
      <c r="H121" t="inlineStr">
        <is>
          <t>High (explicit)</t>
        </is>
      </c>
      <c r="I121" s="8" t="inlineStr">
        <is>
          <t>Cross-border Transfer, International Processing, Data Sharing, Data Storage</t>
        </is>
      </c>
      <c r="J121" s="8" t="inlineStr">
        <is>
          <t>Customer Data, Financial Data</t>
        </is>
      </c>
      <c r="K121" t="inlineStr">
        <is>
          <t>European Banking Authority (EBA)</t>
        </is>
      </c>
      <c r="L121" s="8" t="inlineStr">
        <is>
          <t>Provides monitoring and evaluation mechanisms for regulatory actions and detailed explanation of financial data access framework.</t>
        </is>
      </c>
      <c r="M121" s="8" t="inlineStr">
        <is>
          <t>Explains financial data access framework with customer data sharing mechanisms and permission dashboards.</t>
        </is>
      </c>
      <c r="N121" s="8" t="inlineStr">
        <is>
          <t>[Must] Data holders must make available customer data upon request
[Must] Data users must use data only for agreed purposes
[Must] Data holders must provide permission dashboards for customers</t>
        </is>
      </c>
      <c r="O121" s="8" t="inlineStr">
        <is>
          <t>Data holders must make available to customers the data within the scope of this Regulation based on a request.</t>
        </is>
      </c>
    </row>
    <row r="122">
      <c r="A122" t="inlineStr">
        <is>
          <t>GDPR</t>
        </is>
      </c>
      <c r="B122" t="inlineStr">
        <is>
          <t>CELEX_52023PC0360_EN_TXT (GDPR - Row 13)</t>
        </is>
      </c>
      <c r="C122" t="inlineStr">
        <is>
          <t>5</t>
        </is>
      </c>
      <c r="D122" s="8" t="inlineStr">
        <is>
          <t>The notification in accordance with paragraph 4 shall take place within 1 month of</t>
        </is>
      </c>
      <c r="E122" t="inlineStr">
        <is>
          <t>36</t>
        </is>
      </c>
      <c r="F122" t="inlineStr">
        <is>
          <t>Data Sharing</t>
        </is>
      </c>
      <c r="G122" t="inlineStr">
        <is>
          <t>High</t>
        </is>
      </c>
      <c r="H122" t="inlineStr">
        <is>
          <t>High (explicit)</t>
        </is>
      </c>
      <c r="I122" s="8" t="inlineStr">
        <is>
          <t>Data Sharing, Data Storage</t>
        </is>
      </c>
      <c r="J122" s="8" t="inlineStr">
        <is>
          <t>Financial Data</t>
        </is>
      </c>
      <c r="K122" t="inlineStr"/>
      <c r="L122" s="8" t="inlineStr">
        <is>
          <t>Designation of a legal representative within the Union does not constitute an establishment in the Union.</t>
        </is>
      </c>
      <c r="M122" s="8" t="inlineStr">
        <is>
          <t>Designation of a legal representative within the Union does not constitute an establishment in the Union.</t>
        </is>
      </c>
      <c r="N122" s="8" t="inlineStr">
        <is>
          <t>[Must] The designation of a legal representative within the Union pursuant to paragraph 1 shall not constitute an establishment in the Union</t>
        </is>
      </c>
      <c r="O122" s="8" t="inlineStr">
        <is>
          <t>The designation of a legal representative within the Union pursuant to paragraph 1 shall not constitute an establishment in the Union.</t>
        </is>
      </c>
    </row>
    <row r="123">
      <c r="A123" t="inlineStr">
        <is>
          <t>GDPR</t>
        </is>
      </c>
      <c r="B123" t="inlineStr">
        <is>
          <t>CELEX_52023PC0360_EN_TXT (GDPR - Row 13)</t>
        </is>
      </c>
      <c r="C123" t="inlineStr">
        <is>
          <t>5</t>
        </is>
      </c>
      <c r="D123" s="8" t="inlineStr">
        <is>
          <t>The designation of a legal representative within the Union pursuant to paragraph 1</t>
        </is>
      </c>
      <c r="E123" t="inlineStr">
        <is>
          <t>39</t>
        </is>
      </c>
      <c r="F123" t="inlineStr">
        <is>
          <t>Data Sharing</t>
        </is>
      </c>
      <c r="G123" t="inlineStr">
        <is>
          <t>High</t>
        </is>
      </c>
      <c r="H123" t="inlineStr">
        <is>
          <t>High (explicit)</t>
        </is>
      </c>
      <c r="I123" s="8" t="inlineStr">
        <is>
          <t>Data Sharing, Data Storage</t>
        </is>
      </c>
      <c r="J123" s="8" t="inlineStr">
        <is>
          <t>Financial Data</t>
        </is>
      </c>
      <c r="K123" t="inlineStr"/>
      <c r="L123" s="8" t="inlineStr">
        <is>
          <t>Designation of a legal representative within the Union does not constitute an establishment in the Union.</t>
        </is>
      </c>
      <c r="M123" s="8" t="inlineStr">
        <is>
          <t>Designation of a legal representative within the Union does not constitute an establishment in the Union.</t>
        </is>
      </c>
      <c r="N123" s="8" t="inlineStr">
        <is>
          <t>[Must] The designation of a legal representative within the Union pursuant to paragraph 1 shall not constitute an establishment in the Union</t>
        </is>
      </c>
      <c r="O123" s="8" t="inlineStr">
        <is>
          <t>The designation of a legal representative within the Union pursuant to paragraph 1 shall not constitute an establishment in the Union.</t>
        </is>
      </c>
    </row>
    <row r="124">
      <c r="A124" t="inlineStr">
        <is>
          <t>GDPR</t>
        </is>
      </c>
      <c r="B124" t="inlineStr">
        <is>
          <t>CELEX_52023PC0360_EN_TXT (GDPR - Row 13)</t>
        </is>
      </c>
      <c r="C124" t="inlineStr">
        <is>
          <t>5</t>
        </is>
      </c>
      <c r="D124" s="8" t="inlineStr">
        <is>
          <t>The competent authority shall grant an authorisation only if it is satisfied that any</t>
        </is>
      </c>
      <c r="E124" t="inlineStr">
        <is>
          <t>40</t>
        </is>
      </c>
      <c r="F124" t="inlineStr">
        <is>
          <t>Regulator Powers</t>
        </is>
      </c>
      <c r="G124" t="inlineStr">
        <is>
          <t>High</t>
        </is>
      </c>
      <c r="H124" t="inlineStr">
        <is>
          <t>High (explicit)</t>
        </is>
      </c>
      <c r="I124" s="8" t="inlineStr"/>
      <c r="J124" s="8" t="inlineStr">
        <is>
          <t>Financial Data</t>
        </is>
      </c>
      <c r="K124" t="inlineStr"/>
      <c r="L124" s="8" t="inlineStr">
        <is>
          <t>Competent authorities must communicate information to EBA without delay for register purposes.</t>
        </is>
      </c>
      <c r="M124" s="8" t="inlineStr">
        <is>
          <t>Competent authorities must communicate information to EBA without delay for register purposes.</t>
        </is>
      </c>
      <c r="N124" s="8" t="inlineStr"/>
      <c r="O124" s="8" t="inlineStr"/>
    </row>
    <row r="125">
      <c r="A125" t="inlineStr">
        <is>
          <t>GDPR</t>
        </is>
      </c>
      <c r="B125" t="inlineStr">
        <is>
          <t>CELEX_52023PC0360_EN_TXT (GDPR - Row 13)</t>
        </is>
      </c>
      <c r="C125" t="inlineStr">
        <is>
          <t>5</t>
        </is>
      </c>
      <c r="D125" s="8" t="inlineStr">
        <is>
          <t>The competent authorities of Member States shall communicate without delay to</t>
        </is>
      </c>
      <c r="E125" t="inlineStr">
        <is>
          <t>41–42</t>
        </is>
      </c>
      <c r="F125" t="inlineStr">
        <is>
          <t>Regulator Powers</t>
        </is>
      </c>
      <c r="G125" t="inlineStr">
        <is>
          <t>High</t>
        </is>
      </c>
      <c r="H125" t="inlineStr">
        <is>
          <t>High (explicit)</t>
        </is>
      </c>
      <c r="I125" s="8" t="inlineStr"/>
      <c r="J125" s="8" t="inlineStr">
        <is>
          <t>Financial Data</t>
        </is>
      </c>
      <c r="K125" t="inlineStr"/>
      <c r="L125" s="8" t="inlineStr">
        <is>
          <t>Competent authorities must communicate information to EBA without delay for register purposes.</t>
        </is>
      </c>
      <c r="M125" s="8" t="inlineStr">
        <is>
          <t>Competent authorities must communicate information to EBA without delay for register purposes.</t>
        </is>
      </c>
      <c r="N125" s="8" t="inlineStr"/>
      <c r="O125" s="8" t="inlineStr"/>
    </row>
    <row r="126">
      <c r="A126" t="inlineStr">
        <is>
          <t>GDPR</t>
        </is>
      </c>
      <c r="B126" t="inlineStr">
        <is>
          <t>CELEX_52023PC0360_EN_TXT (GDPR - Row 13)</t>
        </is>
      </c>
      <c r="C126" t="inlineStr">
        <is>
          <t>5</t>
        </is>
      </c>
      <c r="D126" s="8" t="inlineStr">
        <is>
          <t>Member States may empower competent authorities to impose other types of</t>
        </is>
      </c>
      <c r="E126" t="inlineStr">
        <is>
          <t>46</t>
        </is>
      </c>
      <c r="F126" t="inlineStr">
        <is>
          <t>Other</t>
        </is>
      </c>
      <c r="G126" t="inlineStr">
        <is>
          <t>High</t>
        </is>
      </c>
      <c r="H126" t="inlineStr">
        <is>
          <t>High (explicit)</t>
        </is>
      </c>
      <c r="I126" s="8" t="inlineStr"/>
      <c r="J126" s="8" t="inlineStr">
        <is>
          <t>Financial Data</t>
        </is>
      </c>
      <c r="K126" t="inlineStr">
        <is>
          <t>Competent authorities</t>
        </is>
      </c>
      <c r="L126" s="8" t="inlineStr">
        <is>
          <t>Competent authorities must cooperate with supervisory authorities for personal data processing.</t>
        </is>
      </c>
      <c r="M126" s="8" t="inlineStr">
        <is>
          <t>Competent authorities must cooperate with supervisory authorities established under GDPR for personal data processing.</t>
        </is>
      </c>
      <c r="N126" s="8" t="inlineStr">
        <is>
          <t>[Must] Where obligations under this Regulation concern processing of personal data, competent authorities shall cooperate with supervisory authorities established pursuant to Regulation (EU) 2016/679</t>
        </is>
      </c>
      <c r="O126" s="8" t="inlineStr">
        <is>
          <t>Where obligations under this Regulation concern the processing of personal data, competent authorities shall cooperate with the supervisory authorities established pursuant to Regulation (EU) 2016/679.</t>
        </is>
      </c>
    </row>
    <row r="127">
      <c r="A127" t="inlineStr">
        <is>
          <t>GDPR</t>
        </is>
      </c>
      <c r="B127" t="inlineStr">
        <is>
          <t>CELEX_52023PC0360_EN_TXT (GDPR - Row 13)</t>
        </is>
      </c>
      <c r="C127" t="inlineStr">
        <is>
          <t>5</t>
        </is>
      </c>
      <c r="D127" s="8" t="inlineStr">
        <is>
          <t>Where obligations under this Regulation concern the processing of personal data,</t>
        </is>
      </c>
      <c r="E127" t="inlineStr">
        <is>
          <t>49</t>
        </is>
      </c>
      <c r="F127" t="inlineStr">
        <is>
          <t>Other</t>
        </is>
      </c>
      <c r="G127" t="inlineStr">
        <is>
          <t>High</t>
        </is>
      </c>
      <c r="H127" t="inlineStr">
        <is>
          <t>High (explicit)</t>
        </is>
      </c>
      <c r="I127" s="8" t="inlineStr"/>
      <c r="J127" s="8" t="inlineStr">
        <is>
          <t>Financial Data</t>
        </is>
      </c>
      <c r="K127" t="inlineStr">
        <is>
          <t>Competent authorities</t>
        </is>
      </c>
      <c r="L127" s="8" t="inlineStr">
        <is>
          <t>Competent authorities must cooperate with supervisory authorities for personal data processing.</t>
        </is>
      </c>
      <c r="M127" s="8" t="inlineStr">
        <is>
          <t>Competent authorities must cooperate with supervisory authorities established under GDPR for personal data processing.</t>
        </is>
      </c>
      <c r="N127" s="8" t="inlineStr">
        <is>
          <t>[Must] Where obligations under this Regulation concern processing of personal data, competent authorities shall cooperate with supervisory authorities established pursuant to Regulation (EU) 2016/679</t>
        </is>
      </c>
      <c r="O127" s="8" t="inlineStr">
        <is>
          <t>Where obligations under this Regulation concern the processing of personal data, competent authorities shall cooperate with the supervisory authorities established pursuant to Regulation (EU) 2016/679.</t>
        </is>
      </c>
    </row>
    <row r="128">
      <c r="A128" t="inlineStr">
        <is>
          <t>GDPR</t>
        </is>
      </c>
      <c r="B128" t="inlineStr">
        <is>
          <t>CELEX_52023PC0360_EN_TXT (GDPR - Row 13)</t>
        </is>
      </c>
      <c r="C128" t="inlineStr">
        <is>
          <t>6</t>
        </is>
      </c>
      <c r="D128" s="8" t="inlineStr">
        <is>
          <t>Within 1 month of receipt of the notification pursuant to paragraph 4, the competent</t>
        </is>
      </c>
      <c r="E128" t="inlineStr">
        <is>
          <t>36–37</t>
        </is>
      </c>
      <c r="F128" t="inlineStr">
        <is>
          <t>Data Sharing</t>
        </is>
      </c>
      <c r="G128" t="inlineStr">
        <is>
          <t>High</t>
        </is>
      </c>
      <c r="H128" t="inlineStr">
        <is>
          <t>High (explicit)</t>
        </is>
      </c>
      <c r="I128" s="8" t="inlineStr">
        <is>
          <t>Data Sharing, Data Storage</t>
        </is>
      </c>
      <c r="J128" s="8" t="inlineStr">
        <is>
          <t>Financial Data</t>
        </is>
      </c>
      <c r="K128" t="inlineStr"/>
      <c r="L128" s="8" t="inlineStr">
        <is>
          <t>Competent authorities must assess scheme compliance within one month of notification and recognize compliant schemes across Member States.</t>
        </is>
      </c>
      <c r="M128" s="8" t="inlineStr">
        <is>
          <t>Competent authorities assess scheme compliance within one month of notification and recognize compliant schemes across Member States.</t>
        </is>
      </c>
      <c r="N128" s="8" t="inlineStr">
        <is>
          <t>[Must] Within 1 month of receipt of the notification pursuant to paragraph 4, the competent authority shall assess whether the financial data sharing scheme's governance modalities and characteristics are in compliance with paragraph 1
[Must] Upon completion of its assessment, the competent authority shall inform EBA of a notified financial data sharing scheme that satisfies the provisions of paragraph 1</t>
        </is>
      </c>
      <c r="O128" s="8" t="inlineStr">
        <is>
          <t>Within 1 month of receipt of the notification pursuant to paragraph 4, the competent authority shall assess whether the financial data sharing scheme's governance modalities and characteristics are in compliance with paragraph 1.</t>
        </is>
      </c>
    </row>
    <row r="129">
      <c r="A129" t="inlineStr">
        <is>
          <t>GDPR</t>
        </is>
      </c>
      <c r="B129" t="inlineStr">
        <is>
          <t>CELEX_52023PC0360_EN_TXT (GDPR - Row 13)</t>
        </is>
      </c>
      <c r="C129" t="inlineStr">
        <is>
          <t>6</t>
        </is>
      </c>
      <c r="D129" s="8" t="inlineStr">
        <is>
          <t>Within 3 months of receipt of an application or, if the application is incomplete, of</t>
        </is>
      </c>
      <c r="E129" t="inlineStr">
        <is>
          <t>40</t>
        </is>
      </c>
      <c r="F129" t="inlineStr">
        <is>
          <t>Regulator Powers</t>
        </is>
      </c>
      <c r="G129" t="inlineStr">
        <is>
          <t>High</t>
        </is>
      </c>
      <c r="H129" t="inlineStr">
        <is>
          <t>High (explicit)</t>
        </is>
      </c>
      <c r="I129" s="8" t="inlineStr"/>
      <c r="J129" s="8" t="inlineStr">
        <is>
          <t>Financial Data</t>
        </is>
      </c>
      <c r="K129" t="inlineStr">
        <is>
          <t>Competent authority</t>
        </is>
      </c>
      <c r="L129" s="8" t="inlineStr">
        <is>
          <t>Competent authority must respond to authorisation applications within 3 months with reasons for refusal.</t>
        </is>
      </c>
      <c r="M129" s="8" t="inlineStr">
        <is>
          <t>Competent authority must respond to authorisation applications within 3 months with reasons for refusal.</t>
        </is>
      </c>
      <c r="N129" s="8" t="inlineStr">
        <is>
          <t>[Must] competent authority shall inform applicant within 3 months whether authorisation is granted or refused
[Must] competent authority shall give reasons where it refuses an authorisation</t>
        </is>
      </c>
      <c r="O129" s="8" t="inlineStr">
        <is>
          <t>Within 3 months of receipt of an application or, if the application is incomplete, of all of the information required for the decision, the competent authority shall inform the applicant whether the authorisation is granted or refused. The competent authority shall give reasons where it refuses an authorisation.</t>
        </is>
      </c>
    </row>
    <row r="130">
      <c r="A130" t="inlineStr">
        <is>
          <t>GDPR</t>
        </is>
      </c>
      <c r="B130" t="inlineStr">
        <is>
          <t>CELEX_52023PC0360_EN_TXT (GDPR - Row 13)</t>
        </is>
      </c>
      <c r="C130" t="inlineStr">
        <is>
          <t>6</t>
        </is>
      </c>
      <c r="D130" s="8" t="inlineStr">
        <is>
          <t>A delegated act adopted pursuant to Article 11, shall enter into force only if no</t>
        </is>
      </c>
      <c r="E130" t="inlineStr">
        <is>
          <t>51</t>
        </is>
      </c>
      <c r="F130" t="inlineStr">
        <is>
          <t>Other</t>
        </is>
      </c>
      <c r="G130" t="inlineStr">
        <is>
          <t>Medium</t>
        </is>
      </c>
      <c r="H130" t="inlineStr">
        <is>
          <t>High (explicit)</t>
        </is>
      </c>
      <c r="I130" s="8" t="inlineStr"/>
      <c r="J130" s="8" t="inlineStr"/>
      <c r="K130" t="inlineStr">
        <is>
          <t>European Parliament and Council</t>
        </is>
      </c>
      <c r="L130" s="8" t="inlineStr">
        <is>
          <t>Delegated acts enter into force only if no objections from Parliament or Council within 3 months.</t>
        </is>
      </c>
      <c r="M130" s="8" t="inlineStr">
        <is>
          <t>Delegated acts require 3-month objection window from Parliament and Council before entry into force.</t>
        </is>
      </c>
      <c r="N130" s="8" t="inlineStr">
        <is>
          <t>[Must] Delegated acts enter into force only if no objections from Parliament or Council within 3 months</t>
        </is>
      </c>
      <c r="O130"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t>
        </is>
      </c>
    </row>
    <row r="131">
      <c r="A131" t="inlineStr">
        <is>
          <t>GDPR</t>
        </is>
      </c>
      <c r="B131" t="inlineStr">
        <is>
          <t>CELEX_52023PC0360_EN_TXT (GDPR - Row 13)</t>
        </is>
      </c>
      <c r="C131" t="inlineStr">
        <is>
          <t>7</t>
        </is>
      </c>
      <c r="D131" s="8" t="inlineStr">
        <is>
          <t>The competent authority may withdraw an authorisation issued to a financial</t>
        </is>
      </c>
      <c r="E131" t="inlineStr">
        <is>
          <t>40–41</t>
        </is>
      </c>
      <c r="F131" t="inlineStr">
        <is>
          <t>Regulator Powers</t>
        </is>
      </c>
      <c r="G131" t="inlineStr">
        <is>
          <t>High</t>
        </is>
      </c>
      <c r="H131" t="inlineStr">
        <is>
          <t>High (explicit)</t>
        </is>
      </c>
      <c r="I131" s="8" t="inlineStr"/>
      <c r="J131" s="8" t="inlineStr">
        <is>
          <t>Financial Data</t>
        </is>
      </c>
      <c r="K131" t="inlineStr">
        <is>
          <t>Competent authority</t>
        </is>
      </c>
      <c r="L131" s="8" t="inlineStr">
        <is>
          <t>Competent authority may withdraw authorisation if provider fails to use it within 12 months, renounces it, ceases business for &gt;6 months, uses false statements, no longer meets conditions, or poses risk to consumers/data.</t>
        </is>
      </c>
      <c r="M131" s="8" t="inlineStr">
        <is>
          <t>Authorisation may be withdrawn if provider does not use it within 12 months, renounces it, ceases business for &gt;6 months, uses false statements, no longer meets conditions, or poses risk to consumers/data.</t>
        </is>
      </c>
      <c r="N131" s="8" t="inlineStr">
        <is>
          <t>[Must] provider does not make use of authorisation within 12 months, expressly renounces authorisation or has ceased to engage in business for more than 6 months
[Must] provider obtained authorisation through false statements or irregular means
[Must] provider no longer meets conditions for granting authorisation or fails to inform on major developments
[Must] provider would constitute risk to consumer protection and data security</t>
        </is>
      </c>
      <c r="O131" s="8" t="inlineStr">
        <is>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t>
        </is>
      </c>
    </row>
    <row r="132">
      <c r="A132" t="inlineStr">
        <is>
          <t>GDPR</t>
        </is>
      </c>
      <c r="B132" t="inlineStr">
        <is>
          <t>CELEX_52023PC0360_EN_TXT (GDPR - Row 13)</t>
        </is>
      </c>
      <c r="C132" t="inlineStr">
        <is>
          <t>11</t>
        </is>
      </c>
      <c r="D132" s="8" t="inlineStr">
        <is>
          <t>3.</t>
        </is>
      </c>
      <c r="E132" t="inlineStr">
        <is>
          <t>31–32</t>
        </is>
      </c>
      <c r="F132" t="inlineStr">
        <is>
          <t>Other</t>
        </is>
      </c>
      <c r="G132" t="inlineStr">
        <is>
          <t>Unknown</t>
        </is>
      </c>
      <c r="H132" t="inlineStr">
        <is>
          <t>Low</t>
        </is>
      </c>
      <c r="I132" s="8" t="inlineStr"/>
      <c r="J132" s="8" t="inlineStr"/>
      <c r="K132" t="inlineStr"/>
      <c r="L132" s="8" t="inlineStr"/>
      <c r="M132" s="8" t="inlineStr"/>
      <c r="N132" s="8" t="inlineStr"/>
      <c r="O132" s="8" t="inlineStr"/>
    </row>
    <row r="133">
      <c r="A133" t="inlineStr">
        <is>
          <t>GDPR</t>
        </is>
      </c>
      <c r="B133" t="inlineStr">
        <is>
          <t>Final report on amending GLs on ICT risk and security (GDPR - Row 4)</t>
        </is>
      </c>
      <c r="C133" t="inlineStr">
        <is>
          <t>1</t>
        </is>
      </c>
      <c r="D133" s="8" t="inlineStr">
        <is>
          <t>On 27 November 2019, the EBA published the Guidelines on ICT and security risk management</t>
        </is>
      </c>
      <c r="E133" t="inlineStr">
        <is>
          <t>3</t>
        </is>
      </c>
      <c r="F133" t="inlineStr">
        <is>
          <t>Other</t>
        </is>
      </c>
      <c r="G133" t="inlineStr">
        <is>
          <t>High</t>
        </is>
      </c>
      <c r="H133" t="inlineStr">
        <is>
          <t>High (explicit)</t>
        </is>
      </c>
      <c r="I133" s="8" t="inlineStr"/>
      <c r="J133" s="8" t="inlineStr"/>
      <c r="K133" t="inlineStr">
        <is>
          <t>EBA</t>
        </is>
      </c>
      <c r="L133" s="8" t="inlineStr">
        <is>
          <t>EBA published ICT and security risk management guidelines on 27 November 2019, building on CRD and PSD2 provisions, replacing older security measures guidelines.</t>
        </is>
      </c>
      <c r="M133" s="8" t="inlineStr"/>
      <c r="N133" s="8" t="inlineStr"/>
      <c r="O133" s="8" t="inlineStr">
        <is>
          <t>On 27 November 2019, the EBA published the Guidelines on ICT and security risk management (EBA/GL/2019/04) which were built on the provisions of Article 74 of Directive 2013/36/EU (CRD) and Article 95(3) of Directive (EU) 2015/2366 (PSD2).</t>
        </is>
      </c>
    </row>
    <row r="134">
      <c r="A134" t="inlineStr">
        <is>
          <t>GDPR</t>
        </is>
      </c>
      <c r="B134" t="inlineStr">
        <is>
          <t>Final report on amending GLs on ICT risk and security (GDPR - Row 4)</t>
        </is>
      </c>
      <c r="C134" t="inlineStr">
        <is>
          <t>2</t>
        </is>
      </c>
      <c r="D134" s="8" t="inlineStr">
        <is>
          <t>DORA entered into force in January 2023 and will apply from 17 January 2025 onwards. DORA in-</t>
        </is>
      </c>
      <c r="E134" t="inlineStr">
        <is>
          <t>3</t>
        </is>
      </c>
      <c r="F134" t="inlineStr">
        <is>
          <t>Other</t>
        </is>
      </c>
      <c r="G134" t="inlineStr">
        <is>
          <t>High</t>
        </is>
      </c>
      <c r="H134" t="inlineStr">
        <is>
          <t>High (explicit)</t>
        </is>
      </c>
      <c r="I134" s="8" t="inlineStr"/>
      <c r="J134" s="8" t="inlineStr"/>
      <c r="K134" t="inlineStr">
        <is>
          <t>EBA</t>
        </is>
      </c>
      <c r="L134" s="8" t="inlineStr">
        <is>
          <t>EBA/GL/2025/02 Guidelines amend EBA/GL/2019/04 on ICT and security risk management, setting supervisory practices for competent authorities.</t>
        </is>
      </c>
      <c r="M134" s="8" t="inlineStr"/>
      <c r="N134" s="8" t="inlineStr"/>
      <c r="O134" s="8" t="inlineStr">
        <is>
          <t>Guidelines set the EBA view of appropriate supervisory practices within the European System of Financial Supervision or of how Union law should be applied in a particular area.</t>
        </is>
      </c>
    </row>
    <row r="135">
      <c r="A135" t="inlineStr">
        <is>
          <t>GDPR</t>
        </is>
      </c>
      <c r="B135" t="inlineStr">
        <is>
          <t>Final report on amending GLs on ICT risk and security (GDPR - Row 4)</t>
        </is>
      </c>
      <c r="C135" t="inlineStr">
        <is>
          <t>2</t>
        </is>
      </c>
      <c r="D135" s="8" t="inlineStr">
        <is>
          <t>Guidelines</t>
        </is>
      </c>
      <c r="E135" t="inlineStr">
        <is>
          <t>6–8</t>
        </is>
      </c>
      <c r="F135" t="inlineStr">
        <is>
          <t>Other</t>
        </is>
      </c>
      <c r="G135" t="inlineStr">
        <is>
          <t>High</t>
        </is>
      </c>
      <c r="H135" t="inlineStr">
        <is>
          <t>High (explicit)</t>
        </is>
      </c>
      <c r="I135" s="8" t="inlineStr"/>
      <c r="J135" s="8" t="inlineStr"/>
      <c r="K135" t="inlineStr">
        <is>
          <t>EBA</t>
        </is>
      </c>
      <c r="L135" s="8" t="inlineStr">
        <is>
          <t>EBA/GL/2025/02 Guidelines amend EBA/GL/2019/04 on ICT and security risk management, setting supervisory practices for competent authorities.</t>
        </is>
      </c>
      <c r="M135" s="8" t="inlineStr"/>
      <c r="N135" s="8" t="inlineStr"/>
      <c r="O135" s="8" t="inlineStr">
        <is>
          <t>Guidelines set the EBA view of appropriate supervisory practices within the European System of Financial Supervision or of how Union law should be applied in a particular area.</t>
        </is>
      </c>
    </row>
    <row r="136">
      <c r="A136" t="inlineStr">
        <is>
          <t>GDPR</t>
        </is>
      </c>
      <c r="B136" t="inlineStr">
        <is>
          <t>Final report on amending GLs on ICT risk and security (GDPR - Row 4)</t>
        </is>
      </c>
      <c r="C136" t="inlineStr">
        <is>
          <t>2</t>
        </is>
      </c>
      <c r="D136" s="8" t="inlineStr">
        <is>
          <t>Guidelines set the EBA view of appropriate supervisory practices within the European</t>
        </is>
      </c>
      <c r="E136" t="inlineStr">
        <is>
          <t>8</t>
        </is>
      </c>
      <c r="F136" t="inlineStr">
        <is>
          <t>Other</t>
        </is>
      </c>
      <c r="G136" t="inlineStr">
        <is>
          <t>High</t>
        </is>
      </c>
      <c r="H136" t="inlineStr">
        <is>
          <t>High (explicit)</t>
        </is>
      </c>
      <c r="I136" s="8" t="inlineStr"/>
      <c r="J136" s="8" t="inlineStr"/>
      <c r="K136" t="inlineStr">
        <is>
          <t>EBA</t>
        </is>
      </c>
      <c r="L136" s="8" t="inlineStr">
        <is>
          <t>EBA/GL/2025/02 Guidelines amend EBA/GL/2019/04 on ICT and security risk management, setting supervisory practices for competent authorities.</t>
        </is>
      </c>
      <c r="M136" s="8" t="inlineStr"/>
      <c r="N136" s="8" t="inlineStr"/>
      <c r="O136" s="8" t="inlineStr">
        <is>
          <t>Guidelines set the EBA view of appropriate supervisory practices within the European System of Financial Supervision or of how Union law should be applied in a particular area.</t>
        </is>
      </c>
    </row>
    <row r="137">
      <c r="A137" t="inlineStr">
        <is>
          <t>GDPR</t>
        </is>
      </c>
      <c r="B137" t="inlineStr">
        <is>
          <t>Final report on amending GLs on ICT risk and security (GDPR - Row 4)</t>
        </is>
      </c>
      <c r="C137" t="inlineStr">
        <is>
          <t>3</t>
        </is>
      </c>
      <c r="D137" s="8" t="inlineStr">
        <is>
          <t>The entities within DORA's scope of action cover some of the PSPs within the scope of PSD2, namely</t>
        </is>
      </c>
      <c r="E137" t="inlineStr">
        <is>
          <t>3</t>
        </is>
      </c>
      <c r="F137" t="inlineStr">
        <is>
          <t>Other</t>
        </is>
      </c>
      <c r="G137" t="inlineStr">
        <is>
          <t>High</t>
        </is>
      </c>
      <c r="H137" t="inlineStr">
        <is>
          <t>High (explicit)</t>
        </is>
      </c>
      <c r="I137" s="8" t="inlineStr"/>
      <c r="J137" s="8" t="inlineStr"/>
      <c r="K137" t="inlineStr"/>
      <c r="L137" s="8" t="inlineStr">
        <is>
          <t>Competent authorities must notify EBA by 20.05.2025 whether they comply with EBA Guidelines or have reasons for non-compliance.</t>
        </is>
      </c>
      <c r="M137" s="8" t="inlineStr"/>
      <c r="N137" s="8" t="inlineStr"/>
      <c r="O137" s="8" t="inlineStr">
        <is>
          <t>According to Article 16(3) of Regulation (EU) No 1093/2010, competent authorities must notify the EBA as to whether they comply or intend to comply with these guidelines, or otherwise with reasons for non-compliance, by 20.05.2025.</t>
        </is>
      </c>
    </row>
    <row r="138">
      <c r="A138" t="inlineStr">
        <is>
          <t>GDPR</t>
        </is>
      </c>
      <c r="B138" t="inlineStr">
        <is>
          <t>Final report on amending GLs on ICT risk and security (GDPR - Row 4)</t>
        </is>
      </c>
      <c r="C138" t="inlineStr">
        <is>
          <t>3</t>
        </is>
      </c>
      <c r="D138" s="8" t="inlineStr">
        <is>
          <t>According to Article 16(3) of Regulation (EU) No 1093/2010, competent authorities</t>
        </is>
      </c>
      <c r="E138" t="inlineStr">
        <is>
          <t>8</t>
        </is>
      </c>
      <c r="F138" t="inlineStr">
        <is>
          <t>Other</t>
        </is>
      </c>
      <c r="G138" t="inlineStr">
        <is>
          <t>High</t>
        </is>
      </c>
      <c r="H138" t="inlineStr">
        <is>
          <t>High (explicit)</t>
        </is>
      </c>
      <c r="I138" s="8" t="inlineStr"/>
      <c r="J138" s="8" t="inlineStr"/>
      <c r="K138" t="inlineStr"/>
      <c r="L138" s="8" t="inlineStr">
        <is>
          <t>Competent authorities must notify EBA by 20.05.2025 whether they comply with EBA Guidelines or have reasons for non-compliance.</t>
        </is>
      </c>
      <c r="M138" s="8" t="inlineStr"/>
      <c r="N138" s="8" t="inlineStr"/>
      <c r="O138" s="8" t="inlineStr">
        <is>
          <t>According to Article 16(3) of Regulation (EU) No 1093/2010, competent authorities must notify the EBA as to whether they comply or intend to comply with these guidelines, or otherwise with reasons for non-compliance, by 20.05.2025.</t>
        </is>
      </c>
    </row>
    <row r="139">
      <c r="A139" t="inlineStr">
        <is>
          <t>GDPR</t>
        </is>
      </c>
      <c r="B139" t="inlineStr">
        <is>
          <t>Final report on amending GLs on ICT risk and security (GDPR - Row 4)</t>
        </is>
      </c>
      <c r="C139" t="inlineStr">
        <is>
          <t>4</t>
        </is>
      </c>
      <c r="D139" s="8" t="inlineStr">
        <is>
          <t>Notifications will be published on the EBA website, in line with Article 16(3).</t>
        </is>
      </c>
      <c r="E139" t="inlineStr">
        <is>
          <t>8–9</t>
        </is>
      </c>
      <c r="F139" t="inlineStr">
        <is>
          <t>Other</t>
        </is>
      </c>
      <c r="G139" t="inlineStr">
        <is>
          <t>High</t>
        </is>
      </c>
      <c r="H139" t="inlineStr">
        <is>
          <t>High (explicit)</t>
        </is>
      </c>
      <c r="I139" s="8" t="inlineStr"/>
      <c r="J139" s="8" t="inlineStr"/>
      <c r="K139" t="inlineStr"/>
      <c r="L139" s="8" t="inlineStr">
        <is>
          <t>Notifications of compliance with EBA Guidelines will be published on the EBA website by 20.05.2025.</t>
        </is>
      </c>
      <c r="M139" s="8" t="inlineStr"/>
      <c r="N139" s="8" t="inlineStr"/>
      <c r="O139" s="8" t="inlineStr">
        <is>
          <t>Notifications will be published on the EBA website, in line with Article 16(3).</t>
        </is>
      </c>
    </row>
    <row r="140">
      <c r="A140" t="inlineStr">
        <is>
          <t>GDPR</t>
        </is>
      </c>
      <c r="B140" t="inlineStr">
        <is>
          <t>Final report on amending GLs on ICT risk and security (GDPR - Row 4)</t>
        </is>
      </c>
      <c r="C140" t="inlineStr">
        <is>
          <t>5</t>
        </is>
      </c>
      <c r="D140" s="8" t="inlineStr">
        <is>
          <t>Article 7(4) of Directive (EU) 2022/2556, amended Article 95(1) of PSD2 by adding the following</t>
        </is>
      </c>
      <c r="E140" t="inlineStr">
        <is>
          <t>3–4</t>
        </is>
      </c>
      <c r="F140" t="inlineStr">
        <is>
          <t>Other</t>
        </is>
      </c>
      <c r="G140" t="inlineStr">
        <is>
          <t>High</t>
        </is>
      </c>
      <c r="H140" t="inlineStr">
        <is>
          <t>High (explicit)</t>
        </is>
      </c>
      <c r="I140" s="8" t="inlineStr"/>
      <c r="J140" s="8" t="inlineStr"/>
      <c r="K140" t="inlineStr"/>
      <c r="L140" s="8" t="inlineStr">
        <is>
          <t>Guidelines apply to competent authorities as defined in Article 4(2)(vii) of Regulation (EU) No 1093/2010 and financial institutions as payment service providers under PSD2.</t>
        </is>
      </c>
      <c r="M140" s="8" t="inlineStr"/>
      <c r="N140" s="8" t="inlineStr"/>
      <c r="O140"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row>
    <row r="141">
      <c r="A141" t="inlineStr">
        <is>
          <t>GDPR</t>
        </is>
      </c>
      <c r="B141" t="inlineStr">
        <is>
          <t>Final report on amending GLs on ICT risk and security (GDPR - Row 4)</t>
        </is>
      </c>
      <c r="C141" t="inlineStr">
        <is>
          <t>5</t>
        </is>
      </c>
      <c r="D141" s="8" t="inlineStr">
        <is>
          <t>These guidelines are addressed to competent authorities as defined in Article 4 point</t>
        </is>
      </c>
      <c r="E141" t="inlineStr">
        <is>
          <t>9</t>
        </is>
      </c>
      <c r="F141" t="inlineStr">
        <is>
          <t>Other</t>
        </is>
      </c>
      <c r="G141" t="inlineStr">
        <is>
          <t>High</t>
        </is>
      </c>
      <c r="H141" t="inlineStr">
        <is>
          <t>High (explicit)</t>
        </is>
      </c>
      <c r="I141" s="8" t="inlineStr"/>
      <c r="J141" s="8" t="inlineStr"/>
      <c r="K141" t="inlineStr"/>
      <c r="L141" s="8" t="inlineStr">
        <is>
          <t>Guidelines apply to competent authorities as defined in Article 4(2)(vii) of Regulation (EU) No 1093/2010 and financial institutions as payment service providers under PSD2.</t>
        </is>
      </c>
      <c r="M141" s="8" t="inlineStr"/>
      <c r="N141" s="8" t="inlineStr"/>
      <c r="O141"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row>
    <row r="142">
      <c r="A142" t="inlineStr">
        <is>
          <t>GDPR</t>
        </is>
      </c>
      <c r="B142" t="inlineStr">
        <is>
          <t>Final report on amending GLs on ICT risk and security (GDPR - Row 4)</t>
        </is>
      </c>
      <c r="C142" t="inlineStr">
        <is>
          <t>8</t>
        </is>
      </c>
      <c r="D142" s="8" t="inlineStr">
        <is>
          <t>Article 2(2)(f) of DORA, explicitly excludes from the scope of action of DORA post office giro institu-</t>
        </is>
      </c>
      <c r="E142" t="inlineStr">
        <is>
          <t>4</t>
        </is>
      </c>
      <c r="F142" t="inlineStr">
        <is>
          <t>Other</t>
        </is>
      </c>
      <c r="G142" t="inlineStr">
        <is>
          <t>High</t>
        </is>
      </c>
      <c r="H142" t="inlineStr">
        <is>
          <t>High (explicit)</t>
        </is>
      </c>
      <c r="I142" s="8" t="inlineStr"/>
      <c r="J142" s="8" t="inlineStr"/>
      <c r="K142" t="inlineStr"/>
      <c r="L142" s="8" t="inlineStr">
        <is>
          <t>Guidelines specify security measures for payment service providers to manage operational and security risks under PSD2.</t>
        </is>
      </c>
      <c r="M142" s="8" t="inlineStr"/>
      <c r="N142" s="8" t="inlineStr"/>
      <c r="O142"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3">
      <c r="A143" t="inlineStr">
        <is>
          <t>GDPR</t>
        </is>
      </c>
      <c r="B143" t="inlineStr">
        <is>
          <t>Final report on amending GLs on ICT risk and security (GDPR - Row 4)</t>
        </is>
      </c>
      <c r="C143" t="inlineStr">
        <is>
          <t>8</t>
        </is>
      </c>
      <c r="D143" s="8" t="inlineStr">
        <is>
          <t>The subject matter as set out in paragraphs 5 and 6 is replaced with the following:</t>
        </is>
      </c>
      <c r="E143" t="inlineStr">
        <is>
          <t>9</t>
        </is>
      </c>
      <c r="F143" t="inlineStr">
        <is>
          <t>Other</t>
        </is>
      </c>
      <c r="G143" t="inlineStr">
        <is>
          <t>High</t>
        </is>
      </c>
      <c r="H143" t="inlineStr">
        <is>
          <t>High (explicit)</t>
        </is>
      </c>
      <c r="I143" s="8" t="inlineStr"/>
      <c r="J143" s="8" t="inlineStr"/>
      <c r="K143" t="inlineStr"/>
      <c r="L143" s="8" t="inlineStr">
        <is>
          <t>Guidelines specify security measures for payment service providers to manage operational and security risks under PSD2.</t>
        </is>
      </c>
      <c r="M143" s="8" t="inlineStr"/>
      <c r="N143" s="8" t="inlineStr"/>
      <c r="O143"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4">
      <c r="A144" t="inlineStr">
        <is>
          <t>GDPR</t>
        </is>
      </c>
      <c r="B144" t="inlineStr">
        <is>
          <t>Final report on amending GLs on ICT risk and security (GDPR - Row 4)</t>
        </is>
      </c>
      <c r="C144" t="inlineStr">
        <is>
          <t>9</t>
        </is>
      </c>
      <c r="D144" s="8" t="inlineStr">
        <is>
          <t>The scope of application as set out in paragraphs 7 and 8 is deleted.</t>
        </is>
      </c>
      <c r="E144" t="inlineStr">
        <is>
          <t>9–10</t>
        </is>
      </c>
      <c r="F144" t="inlineStr">
        <is>
          <t>Other</t>
        </is>
      </c>
      <c r="G144" t="inlineStr">
        <is>
          <t>High</t>
        </is>
      </c>
      <c r="H144" t="inlineStr">
        <is>
          <t>High (explicit)</t>
        </is>
      </c>
      <c r="I144" s="8" t="inlineStr"/>
      <c r="J144" s="8" t="inlineStr"/>
      <c r="K144" t="inlineStr"/>
      <c r="L144" s="8" t="inlineStr">
        <is>
          <t>The scope of application for the guidelines is deleted, with new text specifying requirements for security measures for payment service providers.</t>
        </is>
      </c>
      <c r="M144" s="8" t="inlineStr"/>
      <c r="N144" s="8" t="inlineStr"/>
      <c r="O144"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5">
      <c r="A145" t="inlineStr">
        <is>
          <t>GDPR</t>
        </is>
      </c>
      <c r="B145" t="inlineStr">
        <is>
          <t>Final report on amending GLs on ICT risk and security (GDPR - Row 4)</t>
        </is>
      </c>
      <c r="C145" t="inlineStr">
        <is>
          <t>10</t>
        </is>
      </c>
      <c r="D145" s="8" t="inlineStr">
        <is>
          <t>In addition, National Competent Authorities have the possibility to subject PSPs that are not cov-</t>
        </is>
      </c>
      <c r="E145" t="inlineStr">
        <is>
          <t>4</t>
        </is>
      </c>
      <c r="F145" t="inlineStr">
        <is>
          <t>Other</t>
        </is>
      </c>
      <c r="G145" t="inlineStr">
        <is>
          <t>High</t>
        </is>
      </c>
      <c r="H145" t="inlineStr">
        <is>
          <t>High (explicit)</t>
        </is>
      </c>
      <c r="I145" s="8" t="inlineStr"/>
      <c r="J145" s="8" t="inlineStr"/>
      <c r="K145" t="inlineStr"/>
      <c r="L145" s="8" t="inlineStr">
        <is>
          <t>Guidelines address competent authorities and financial institutions as payment service providers, including those exempted under PSD2.</t>
        </is>
      </c>
      <c r="M145" s="8" t="inlineStr"/>
      <c r="N145" s="8" t="inlineStr"/>
      <c r="O145" s="8" t="inlineStr">
        <is>
          <t>These guidelines are addressed to competent authorities as defined in Article 4 point (2)(vii)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row>
    <row r="146">
      <c r="A146" t="inlineStr">
        <is>
          <t>GDPR</t>
        </is>
      </c>
      <c r="B146" t="inlineStr">
        <is>
          <t>Final report on amending GLs on ICT risk and security (GDPR - Row 4)</t>
        </is>
      </c>
      <c r="C146" t="inlineStr">
        <is>
          <t>10</t>
        </is>
      </c>
      <c r="D146" s="8" t="inlineStr">
        <is>
          <t>The addressees as set out in paragraph 9 are replaced by the following:</t>
        </is>
      </c>
      <c r="E146" t="inlineStr">
        <is>
          <t>10</t>
        </is>
      </c>
      <c r="F146" t="inlineStr">
        <is>
          <t>Other</t>
        </is>
      </c>
      <c r="G146" t="inlineStr">
        <is>
          <t>High</t>
        </is>
      </c>
      <c r="H146" t="inlineStr">
        <is>
          <t>High (explicit)</t>
        </is>
      </c>
      <c r="I146" s="8" t="inlineStr"/>
      <c r="J146" s="8" t="inlineStr"/>
      <c r="K146" t="inlineStr"/>
      <c r="L146" s="8" t="inlineStr">
        <is>
          <t>Guidelines address competent authorities and financial institutions as payment service providers, including those exempted under PSD2.</t>
        </is>
      </c>
      <c r="M146" s="8" t="inlineStr"/>
      <c r="N146" s="8" t="inlineStr"/>
      <c r="O146" s="8" t="inlineStr">
        <is>
          <t>These guidelines are addressed to competent authorities as defined in Article 4 point (2)(vii)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row>
    <row r="147">
      <c r="A147" t="inlineStr">
        <is>
          <t>GDPR</t>
        </is>
      </c>
      <c r="B147" t="inlineStr">
        <is>
          <t>Final report on amending GLs on ICT risk and security (GDPR - Row 4)</t>
        </is>
      </c>
      <c r="C147" t="inlineStr">
        <is>
          <t>11</t>
        </is>
      </c>
      <c r="D147" s="8" t="inlineStr">
        <is>
          <t>The separate proposal that the Commission published in June 2023 on the revision of PSD2 towards</t>
        </is>
      </c>
      <c r="E147" t="inlineStr">
        <is>
          <t>4–5</t>
        </is>
      </c>
      <c r="F147" t="inlineStr">
        <is>
          <t>Other</t>
        </is>
      </c>
      <c r="G147" t="inlineStr">
        <is>
          <t>High</t>
        </is>
      </c>
      <c r="H147" t="inlineStr">
        <is>
          <t>High (explicit)</t>
        </is>
      </c>
      <c r="I147" s="8" t="inlineStr"/>
      <c r="J147" s="8" t="inlineStr"/>
      <c r="K147" t="inlineStr"/>
      <c r="L147" s="8" t="inlineStr">
        <is>
          <t>Definitions in the guidelines are deleted, with new text specifying requirements for security measures.</t>
        </is>
      </c>
      <c r="M147" s="8" t="inlineStr"/>
      <c r="N147" s="8" t="inlineStr"/>
      <c r="O147" s="8" t="inlineStr">
        <is>
          <t>The definitions as set out in paragraph 10 are deleted.</t>
        </is>
      </c>
    </row>
    <row r="148">
      <c r="A148" t="inlineStr">
        <is>
          <t>GDPR</t>
        </is>
      </c>
      <c r="B148" t="inlineStr">
        <is>
          <t>Final report on amending GLs on ICT risk and security (GDPR - Row 4)</t>
        </is>
      </c>
      <c r="C148" t="inlineStr">
        <is>
          <t>11</t>
        </is>
      </c>
      <c r="D148" s="8" t="inlineStr">
        <is>
          <t>The definitions as set out in paragraph 10 are deleted.</t>
        </is>
      </c>
      <c r="E148" t="inlineStr">
        <is>
          <t>10</t>
        </is>
      </c>
      <c r="F148" t="inlineStr">
        <is>
          <t>Other</t>
        </is>
      </c>
      <c r="G148" t="inlineStr">
        <is>
          <t>High</t>
        </is>
      </c>
      <c r="H148" t="inlineStr">
        <is>
          <t>High (explicit)</t>
        </is>
      </c>
      <c r="I148" s="8" t="inlineStr"/>
      <c r="J148" s="8" t="inlineStr"/>
      <c r="K148" t="inlineStr"/>
      <c r="L148" s="8" t="inlineStr">
        <is>
          <t>Definitions in the guidelines are deleted, with new text specifying requirements for security measures.</t>
        </is>
      </c>
      <c r="M148" s="8" t="inlineStr"/>
      <c r="N148" s="8" t="inlineStr"/>
      <c r="O148" s="8" t="inlineStr">
        <is>
          <t>The definitions as set out in paragraph 10 are deleted.</t>
        </is>
      </c>
    </row>
    <row r="149">
      <c r="A149" t="inlineStr">
        <is>
          <t>GDPR</t>
        </is>
      </c>
      <c r="B149" t="inlineStr">
        <is>
          <t>Final report on amending GLs on ICT risk and security (GDPR - Row 4)</t>
        </is>
      </c>
      <c r="C149" t="inlineStr">
        <is>
          <t>12</t>
        </is>
      </c>
      <c r="D149" s="8" t="inlineStr">
        <is>
          <t>Credit institutions and investment firms as defined in point 3 of Article 4(1) of Regulation (EU) No</t>
        </is>
      </c>
      <c r="E149" t="inlineStr">
        <is>
          <t>5</t>
        </is>
      </c>
      <c r="F149" t="inlineStr">
        <is>
          <t>Other</t>
        </is>
      </c>
      <c r="G149" t="inlineStr">
        <is>
          <t>High</t>
        </is>
      </c>
      <c r="H149" t="inlineStr">
        <is>
          <t>High (explicit)</t>
        </is>
      </c>
      <c r="I149" s="8" t="inlineStr"/>
      <c r="J149" s="8" t="inlineStr"/>
      <c r="K149" t="inlineStr"/>
      <c r="L149" s="8" t="inlineStr">
        <is>
          <t>Credit institutions and investment firms covered by EBA Guidelines overlap with financial entities subject to DORA and related RTS on RMF.</t>
        </is>
      </c>
      <c r="M149" s="8" t="inlineStr"/>
      <c r="N149" s="8" t="inlineStr"/>
      <c r="O149" s="8" t="inlineStr">
        <is>
          <t>Credit institutions and investment firms as defined in point 3 of Article 4(1) of Regulation (EU) No 575/2013, addressees of the EBA Guidelines on ICT and security risk management overlap with the financial entities subject to DORA and the related RTS on RMF.</t>
        </is>
      </c>
    </row>
    <row r="150">
      <c r="A150" t="inlineStr">
        <is>
          <t>GDPR</t>
        </is>
      </c>
      <c r="B150" t="inlineStr">
        <is>
          <t>Final report on amending GLs on ICT risk and security (GDPR - Row 4)</t>
        </is>
      </c>
      <c r="C150" t="inlineStr">
        <is>
          <t>13</t>
        </is>
      </c>
      <c r="D150" s="8" t="inlineStr">
        <is>
          <t>The EBA carried out a gap analysis in May 2024 and arrived at the view that the majority of the gaps</t>
        </is>
      </c>
      <c r="E150" t="inlineStr">
        <is>
          <t>5</t>
        </is>
      </c>
      <c r="F150" t="inlineStr">
        <is>
          <t>Other</t>
        </is>
      </c>
      <c r="G150" t="inlineStr">
        <is>
          <t>High</t>
        </is>
      </c>
      <c r="H150" t="inlineStr">
        <is>
          <t>High (explicit)</t>
        </is>
      </c>
      <c r="I150" s="8" t="inlineStr"/>
      <c r="J150" s="8" t="inlineStr"/>
      <c r="K150" t="inlineStr">
        <is>
          <t>EBA</t>
        </is>
      </c>
      <c r="L150" s="8" t="inlineStr">
        <is>
          <t>EBA gap analysis in May 2024 found that most gaps in authentication methods and security policies were not material and covered by DORA.</t>
        </is>
      </c>
      <c r="M150" s="8" t="inlineStr"/>
      <c r="N150" s="8" t="inlineStr"/>
      <c r="O150" s="8" t="inlineStr">
        <is>
          <t>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row>
    <row r="151">
      <c r="A151" t="inlineStr">
        <is>
          <t>GDPR</t>
        </is>
      </c>
      <c r="B151" t="inlineStr">
        <is>
          <t>Final report on amending GLs on ICT risk and security (GDPR - Row 4)</t>
        </is>
      </c>
      <c r="C151" t="inlineStr">
        <is>
          <t>16</t>
        </is>
      </c>
      <c r="D151" s="8" t="inlineStr">
        <is>
          <t>The definitions included in EBA Guidelines on ICT and security risk management overlap with DORA</t>
        </is>
      </c>
      <c r="E151" t="inlineStr">
        <is>
          <t>5</t>
        </is>
      </c>
      <c r="F151" t="inlineStr">
        <is>
          <t>Other</t>
        </is>
      </c>
      <c r="G151" t="inlineStr">
        <is>
          <t>High</t>
        </is>
      </c>
      <c r="H151" t="inlineStr">
        <is>
          <t>High (explicit)</t>
        </is>
      </c>
      <c r="I151" s="8" t="inlineStr"/>
      <c r="J151" s="8" t="inlineStr"/>
      <c r="K151" t="inlineStr"/>
      <c r="L151" s="8" t="inlineStr">
        <is>
          <t>Definitions in EBA Guidelines on ICT and security risk management overlap with DORA Article (3).</t>
        </is>
      </c>
      <c r="M151" s="8" t="inlineStr"/>
      <c r="N151" s="8" t="inlineStr"/>
      <c r="O151" s="8" t="inlineStr">
        <is>
          <t>The definitions included in EBA Guidelines on ICT and security risk management overlap with DORA Article (3).</t>
        </is>
      </c>
    </row>
    <row r="152">
      <c r="A152" t="inlineStr">
        <is>
          <t>GDPR</t>
        </is>
      </c>
      <c r="B152" t="inlineStr">
        <is>
          <t>esma_cloud_guidelines (GDPR - Row 8)</t>
        </is>
      </c>
      <c r="C152" t="inlineStr">
        <is>
          <t>1</t>
        </is>
      </c>
      <c r="D152" s="8" t="inlineStr">
        <is>
          <t>These guidelines apply to competent authorities and to (i) alternative investment fund</t>
        </is>
      </c>
      <c r="E152" t="inlineStr">
        <is>
          <t>3</t>
        </is>
      </c>
      <c r="F152" t="inlineStr">
        <is>
          <t>Other</t>
        </is>
      </c>
      <c r="G152" t="inlineStr">
        <is>
          <t>High</t>
        </is>
      </c>
      <c r="H152" t="inlineStr">
        <is>
          <t>High (explicit)</t>
        </is>
      </c>
      <c r="I152" s="8" t="inlineStr"/>
      <c r="J152" s="8" t="inlineStr"/>
      <c r="K152" t="inlineStr"/>
      <c r="L152" s="8" t="inlineStr">
        <is>
          <t>Guidelines apply to specific financial entities including AIFMs, depositaries, UCITS entities, CCPs, TRs, and others.</t>
        </is>
      </c>
      <c r="M152" s="8" t="inlineStr"/>
      <c r="N152" s="8" t="inlineStr"/>
      <c r="O152" s="8"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row>
    <row r="153">
      <c r="A153" t="inlineStr">
        <is>
          <t>GDPR</t>
        </is>
      </c>
      <c r="B153" t="inlineStr">
        <is>
          <t>esma_cloud_guidelines (GDPR - Row 8)</t>
        </is>
      </c>
      <c r="C153" t="inlineStr">
        <is>
          <t>2</t>
        </is>
      </c>
      <c r="D153" s="8" t="inlineStr">
        <is>
          <t>ESMA will also take these guidelines into account when assessing the extent to which</t>
        </is>
      </c>
      <c r="E153" t="inlineStr">
        <is>
          <t>3</t>
        </is>
      </c>
      <c r="F153" t="inlineStr">
        <is>
          <t>Other</t>
        </is>
      </c>
      <c r="G153" t="inlineStr">
        <is>
          <t>High</t>
        </is>
      </c>
      <c r="H153" t="inlineStr">
        <is>
          <t>High (explicit)</t>
        </is>
      </c>
      <c r="I153" s="8" t="inlineStr"/>
      <c r="J153" s="8" t="inlineStr"/>
      <c r="K153" t="inlineStr">
        <is>
          <t>ESMA</t>
        </is>
      </c>
      <c r="L153" s="8" t="inlineStr">
        <is>
          <t>ESMA considers compliance with EMIR requirements for Tier 2 third-country CCPs.</t>
        </is>
      </c>
      <c r="M153" s="8" t="inlineStr"/>
      <c r="N153" s="8" t="inlineStr">
        <is>
          <t>[Condition] 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O153" s="8"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row>
    <row r="154">
      <c r="A154" t="inlineStr">
        <is>
          <t>GDPR</t>
        </is>
      </c>
      <c r="B154" t="inlineStr">
        <is>
          <t>esma_cloud_guidelines (GDPR - Row 8)</t>
        </is>
      </c>
      <c r="C154" t="inlineStr">
        <is>
          <t>3</t>
        </is>
      </c>
      <c r="D154" s="8" t="inlineStr">
        <is>
          <t>These guidelines apply in relation to the following provisions:</t>
        </is>
      </c>
      <c r="E154" t="inlineStr">
        <is>
          <t>3–4</t>
        </is>
      </c>
      <c r="F154" t="inlineStr">
        <is>
          <t>Other</t>
        </is>
      </c>
      <c r="G154" t="inlineStr">
        <is>
          <t>High</t>
        </is>
      </c>
      <c r="H154" t="inlineStr">
        <is>
          <t>High (explicit)</t>
        </is>
      </c>
      <c r="I154" s="8" t="inlineStr"/>
      <c r="J154" s="8" t="inlineStr"/>
      <c r="K154" t="inlineStr"/>
      <c r="L154" s="8" t="inlineStr">
        <is>
          <t>Guidelines apply to specific provisions of financial regulations including AIFMD, UCITS Directive, EMIR, etc.</t>
        </is>
      </c>
      <c r="M154" s="8" t="inlineStr"/>
      <c r="N154" s="8" t="inlineStr"/>
      <c r="O154" s="8" t="inlineStr">
        <is>
          <t>These guidelines apply in relation to the following provisions: a) Articles 15, 18, 20 and 21(8) of AIFMD; Articles 13, 22, 38, 39, 40, 44, 45, 57(1)(d), 57(2), 57(3), 58, 75, 76, 77, 79, 81, 82 and 98 of Commission Delegated Regulation (EU) 2013/231; b) Articles 12(1)(a), 13, 14(1)(c), 22, 22a, 23(2), 30 and 31 of UCITS Directive; Article Articles 4(1) to 4(3), 4(5), 5(2), 7, 9, 23(4), 32, 38, 39 and 40 of Commission Directive 2010/43/EU; Articles 2(2)(j), 3(1), 13(2), 15, 16 and 22 of Commission Delegated Regulation (EU) No 2016/438; c)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d)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e) Articles 22, 26, 30, 42, 44 and 45 of CSDR and Articles 33, 47, 50 (1), 57(2)(i), 66, 68, 75, 76, 78 and 80 of Commission Delegated Regulation (EU) No 2017/392; f) Article 9 and Annex I, Section A points 4 and 8 and Annex II point 17 of CRA Regulation and Articles 11 and 25 of the Commission Delegated Regulation (EU) No 2012/449; g) Article 10(2) of SECR; h) Articles 6(3) and 10 of the Benchmarks Regulation and Point 7 of Annex I of Commission Delegated Regulation (EU) 2018/1646.</t>
        </is>
      </c>
    </row>
    <row r="155">
      <c r="A155" t="inlineStr">
        <is>
          <t>GDPR</t>
        </is>
      </c>
      <c r="B155" t="inlineStr">
        <is>
          <t>esma_cloud_guidelines (GDPR - Row 8)</t>
        </is>
      </c>
      <c r="C155" t="inlineStr">
        <is>
          <t>4</t>
        </is>
      </c>
      <c r="D155" s="8" t="inlineStr">
        <is>
          <t>These guidelines apply from 31 July 2021 to all cloud outsourcing arrangements</t>
        </is>
      </c>
      <c r="E155" t="inlineStr">
        <is>
          <t>4–10</t>
        </is>
      </c>
      <c r="F155" t="inlineStr">
        <is>
          <t>Cloud Services</t>
        </is>
      </c>
      <c r="G155" t="inlineStr">
        <is>
          <t>High</t>
        </is>
      </c>
      <c r="H155" t="inlineStr">
        <is>
          <t>High (explicit)</t>
        </is>
      </c>
      <c r="I155" s="8" t="inlineStr">
        <is>
          <t>Cloud Services</t>
        </is>
      </c>
      <c r="J155" s="8" t="inlineStr">
        <is>
          <t>Financial Data</t>
        </is>
      </c>
      <c r="K155" t="inlineStr"/>
      <c r="L155" s="8" t="inlineStr">
        <is>
          <t>Guidelines apply to cloud outsourcing arrangements from 31 July 2021, with review deadline by 31 December 2022.</t>
        </is>
      </c>
      <c r="M155" s="8" t="inlineStr">
        <is>
          <t>Cloud outsourcing arrangements must be reviewed by firms by 31 December 2022 to ensure compliance with these guidelines.</t>
        </is>
      </c>
      <c r="N155" s="8" t="inlineStr">
        <is>
          <t>[Must] 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[Should] Where the review of cloud outsourcing arrangements of critical or important functions is not finalised by 31 December 2022, firms should inform their competent authority of this fact, including the measures planned to complete the review or the possible exit strategy.</t>
        </is>
      </c>
      <c r="O155" s="8" t="inlineStr">
        <is>
          <t>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Where the review of cloud outsourcing arrangements of critical or important functions is not finalised by 31 December 2022, firms should inform their competent authority of this fact, including the measures planned to complete the review or the possible exit strategy.</t>
        </is>
      </c>
    </row>
    <row r="156">
      <c r="A156" t="inlineStr">
        <is>
          <t>GDPR</t>
        </is>
      </c>
      <c r="B156" t="inlineStr">
        <is>
          <t>esma_cloud_guidelines (GDPR - Row 8)</t>
        </is>
      </c>
      <c r="C156" t="inlineStr">
        <is>
          <t>5</t>
        </is>
      </c>
      <c r="D156" s="8" t="inlineStr">
        <is>
          <t>These guidelines are based on Article 16(1) of the ESMA Regulation. The objectives</t>
        </is>
      </c>
      <c r="E156" t="inlineStr">
        <is>
          <t>10</t>
        </is>
      </c>
      <c r="F156" t="inlineStr">
        <is>
          <t>Other</t>
        </is>
      </c>
      <c r="G156" t="inlineStr">
        <is>
          <t>Unknown</t>
        </is>
      </c>
      <c r="H156" t="inlineStr">
        <is>
          <t>Low</t>
        </is>
      </c>
      <c r="I156" s="8" t="inlineStr"/>
      <c r="J156" s="8" t="inlineStr"/>
      <c r="K156" t="inlineStr"/>
      <c r="L156" s="8" t="inlineStr"/>
      <c r="M156" s="8" t="inlineStr"/>
      <c r="N156" s="8" t="inlineStr"/>
      <c r="O156" s="8" t="inlineStr"/>
    </row>
    <row r="157">
      <c r="A157" t="inlineStr">
        <is>
          <t>GDPR</t>
        </is>
      </c>
      <c r="B157" t="inlineStr">
        <is>
          <t>esma_cloud_guidelines (GDPR - Row 8)</t>
        </is>
      </c>
      <c r="C157" t="inlineStr">
        <is>
          <t>7</t>
        </is>
      </c>
      <c r="D157" s="8" t="inlineStr">
        <is>
          <t>Competent authorities to which these guidelines apply should comply by incorporating</t>
        </is>
      </c>
      <c r="E157" t="inlineStr">
        <is>
          <t>10</t>
        </is>
      </c>
      <c r="F157" t="inlineStr">
        <is>
          <t>Other</t>
        </is>
      </c>
      <c r="G157" t="inlineStr">
        <is>
          <t>Unknown</t>
        </is>
      </c>
      <c r="H157" t="inlineStr">
        <is>
          <t>Low</t>
        </is>
      </c>
      <c r="I157" s="8" t="inlineStr"/>
      <c r="J157" s="8" t="inlineStr"/>
      <c r="K157" t="inlineStr"/>
      <c r="L157" s="8" t="inlineStr"/>
      <c r="M157" s="8" t="inlineStr"/>
      <c r="N157" s="8" t="inlineStr"/>
      <c r="O157" s="8" t="inlineStr"/>
    </row>
    <row r="158">
      <c r="A158" t="inlineStr">
        <is>
          <t>GDPR</t>
        </is>
      </c>
      <c r="B158" t="inlineStr">
        <is>
          <t>esma_cloud_guidelines (GDPR - Row 8)</t>
        </is>
      </c>
      <c r="C158" t="inlineStr">
        <is>
          <t>8</t>
        </is>
      </c>
      <c r="D158" s="8" t="inlineStr">
        <is>
          <t>Through its ongoing direct supervision, ESMA will assess the application of these</t>
        </is>
      </c>
      <c r="E158" t="inlineStr">
        <is>
          <t>10–11</t>
        </is>
      </c>
      <c r="F158" t="inlineStr">
        <is>
          <t>Other</t>
        </is>
      </c>
      <c r="G158" t="inlineStr">
        <is>
          <t>Unknown</t>
        </is>
      </c>
      <c r="H158" t="inlineStr">
        <is>
          <t>Low</t>
        </is>
      </c>
      <c r="I158" s="8" t="inlineStr"/>
      <c r="J158" s="8" t="inlineStr"/>
      <c r="K158" t="inlineStr"/>
      <c r="L158" s="8" t="inlineStr"/>
      <c r="M158" s="8" t="inlineStr"/>
      <c r="N158" s="8" t="inlineStr"/>
      <c r="O158" s="8" t="inlineStr"/>
    </row>
    <row r="159">
      <c r="A159" t="inlineStr">
        <is>
          <t>GDPR</t>
        </is>
      </c>
      <c r="B159" t="inlineStr">
        <is>
          <t>esma_cloud_guidelines (GDPR - Row 8)</t>
        </is>
      </c>
      <c r="C159" t="inlineStr">
        <is>
          <t>9</t>
        </is>
      </c>
      <c r="D159" s="8" t="inlineStr">
        <is>
          <t>Within two months of the date of publication of the guidelines on ESMA's website in all</t>
        </is>
      </c>
      <c r="E159" t="inlineStr">
        <is>
          <t>11</t>
        </is>
      </c>
      <c r="F159" t="inlineStr">
        <is>
          <t>Other</t>
        </is>
      </c>
      <c r="G159" t="inlineStr">
        <is>
          <t>Unknown</t>
        </is>
      </c>
      <c r="H159" t="inlineStr">
        <is>
          <t>Low</t>
        </is>
      </c>
      <c r="I159" s="8" t="inlineStr"/>
      <c r="J159" s="8" t="inlineStr"/>
      <c r="K159" t="inlineStr"/>
      <c r="L159" s="8" t="inlineStr"/>
      <c r="M159" s="8" t="inlineStr"/>
      <c r="N159" s="8" t="inlineStr"/>
      <c r="O159" s="8" t="inlineStr"/>
    </row>
    <row r="160">
      <c r="A160" t="inlineStr">
        <is>
          <t>GDPR</t>
        </is>
      </c>
      <c r="B160" t="inlineStr">
        <is>
          <t>esma_cloud_guidelines (GDPR - Row 8)</t>
        </is>
      </c>
      <c r="C160" t="inlineStr">
        <is>
          <t>10</t>
        </is>
      </c>
      <c r="D160" s="8" t="inlineStr">
        <is>
          <t>In case of non-compliance, competent authorities must also notify ESMA within two</t>
        </is>
      </c>
      <c r="E160" t="inlineStr">
        <is>
          <t>11</t>
        </is>
      </c>
      <c r="F160" t="inlineStr">
        <is>
          <t>Other</t>
        </is>
      </c>
      <c r="G160" t="inlineStr">
        <is>
          <t>Unknown</t>
        </is>
      </c>
      <c r="H160" t="inlineStr">
        <is>
          <t>Low</t>
        </is>
      </c>
      <c r="I160" s="8" t="inlineStr"/>
      <c r="J160" s="8" t="inlineStr"/>
      <c r="K160" t="inlineStr"/>
      <c r="L160" s="8" t="inlineStr"/>
      <c r="M160" s="8" t="inlineStr"/>
      <c r="N160" s="8" t="inlineStr"/>
      <c r="O160" s="8" t="inlineStr"/>
    </row>
    <row r="161">
      <c r="A161" t="inlineStr">
        <is>
          <t>GDPR</t>
        </is>
      </c>
      <c r="B161" t="inlineStr">
        <is>
          <t>esma_cloud_guidelines (GDPR - Row 8)</t>
        </is>
      </c>
      <c r="C161" t="inlineStr">
        <is>
          <t>11</t>
        </is>
      </c>
      <c r="D161" s="8" t="inlineStr">
        <is>
          <t>Firms are not required to report whether they comply with these guidelines.</t>
        </is>
      </c>
      <c r="E161" t="inlineStr">
        <is>
          <t>11</t>
        </is>
      </c>
      <c r="F161" t="inlineStr">
        <is>
          <t>Other</t>
        </is>
      </c>
      <c r="G161" t="inlineStr">
        <is>
          <t>Unknown</t>
        </is>
      </c>
      <c r="H161" t="inlineStr">
        <is>
          <t>Low</t>
        </is>
      </c>
      <c r="I161" s="8" t="inlineStr"/>
      <c r="J161" s="8" t="inlineStr"/>
      <c r="K161" t="inlineStr"/>
      <c r="L161" s="8" t="inlineStr"/>
      <c r="M161" s="8" t="inlineStr"/>
      <c r="N161" s="8" t="inlineStr"/>
      <c r="O161" s="8" t="inlineStr"/>
    </row>
    <row r="162">
      <c r="A162" t="inlineStr">
        <is>
          <t>GDPR</t>
        </is>
      </c>
      <c r="B162" t="inlineStr">
        <is>
          <t>esma_cloud_guidelines (GDPR - Row 8)</t>
        </is>
      </c>
      <c r="C162" t="inlineStr">
        <is>
          <t>12</t>
        </is>
      </c>
      <c r="D162" s="8" t="inlineStr">
        <is>
          <t>A firm should have a defined and up-to-date cloud outsourcing strategy that is</t>
        </is>
      </c>
      <c r="E162" t="inlineStr">
        <is>
          <t>11</t>
        </is>
      </c>
      <c r="F162" t="inlineStr">
        <is>
          <t>Other</t>
        </is>
      </c>
      <c r="G162" t="inlineStr">
        <is>
          <t>Unknown</t>
        </is>
      </c>
      <c r="H162" t="inlineStr">
        <is>
          <t>Low</t>
        </is>
      </c>
      <c r="I162" s="8" t="inlineStr"/>
      <c r="J162" s="8" t="inlineStr"/>
      <c r="K162" t="inlineStr"/>
      <c r="L162" s="8" t="inlineStr"/>
      <c r="M162" s="8" t="inlineStr"/>
      <c r="N162" s="8" t="inlineStr"/>
      <c r="O162" s="8" t="inlineStr"/>
    </row>
    <row r="163">
      <c r="A163" t="inlineStr">
        <is>
          <t>GDPR</t>
        </is>
      </c>
      <c r="B163" t="inlineStr">
        <is>
          <t>esma_cloud_guidelines (GDPR - Row 8)</t>
        </is>
      </c>
      <c r="C163" t="inlineStr">
        <is>
          <t>13</t>
        </is>
      </c>
      <c r="D163" s="8" t="inlineStr">
        <is>
          <t>A firm should:</t>
        </is>
      </c>
      <c r="E163" t="inlineStr">
        <is>
          <t>11–12</t>
        </is>
      </c>
      <c r="F163" t="inlineStr">
        <is>
          <t>Cloud Services</t>
        </is>
      </c>
      <c r="G163" t="inlineStr">
        <is>
          <t>High</t>
        </is>
      </c>
      <c r="H163" t="inlineStr">
        <is>
          <t>High (explicit)</t>
        </is>
      </c>
      <c r="I163" s="8" t="inlineStr">
        <is>
          <t>Cloud Services</t>
        </is>
      </c>
      <c r="J163" s="8" t="inlineStr"/>
      <c r="K163" t="inlineStr"/>
      <c r="L163" s="8" t="inlineStr">
        <is>
          <t>Firms must assign responsibilities for cloud outsourcing documentation, management, and control within their organization.</t>
        </is>
      </c>
      <c r="M163" s="8" t="inlineStr">
        <is>
          <t>Requires clear assignment of cloud outsourcing responsibilities to ensure compliance with legal requirements.</t>
        </is>
      </c>
      <c r="N163" s="8" t="inlineStr">
        <is>
          <t>[Must] clearly assign the responsibilities for the documentation, management and control of cloud outsourcing arrangements within its organisation
[Must] allocate sufficient resources to ensure compliance with these guidelines and all of the legal requirements applicable to its cloud outsourcing arrangements
[Must] establish a cloud outsourcing oversight function or designate senior staff members who are directly accountable to the management body and responsible for managing and overseeing the risks of cloud outsourcing arrangements</t>
        </is>
      </c>
      <c r="O163" s="8" t="inlineStr">
        <is>
          <t>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is>
      </c>
    </row>
    <row r="164">
      <c r="A164" t="inlineStr">
        <is>
          <t>GDPR</t>
        </is>
      </c>
      <c r="B164" t="inlineStr">
        <is>
          <t>esma_cloud_guidelines (GDPR - Row 8)</t>
        </is>
      </c>
      <c r="C164" t="inlineStr">
        <is>
          <t>14</t>
        </is>
      </c>
      <c r="D164" s="8" t="inlineStr">
        <is>
          <t>A firm should monitor the performance of activities, the security measures and the</t>
        </is>
      </c>
      <c r="E164" t="inlineStr">
        <is>
          <t>12</t>
        </is>
      </c>
      <c r="F164" t="inlineStr">
        <is>
          <t>Cloud Services</t>
        </is>
      </c>
      <c r="G164" t="inlineStr">
        <is>
          <t>High</t>
        </is>
      </c>
      <c r="H164" t="inlineStr">
        <is>
          <t>High (explicit)</t>
        </is>
      </c>
      <c r="I164" s="8" t="inlineStr">
        <is>
          <t>Cloud Services</t>
        </is>
      </c>
      <c r="J164" s="8" t="inlineStr"/>
      <c r="K164" t="inlineStr"/>
      <c r="L164" s="8" t="inlineStr">
        <is>
          <t>Firms must monitor CSP performance, security measures, and adherence to service levels on a risk-based approach.</t>
        </is>
      </c>
      <c r="M164" s="8" t="inlineStr">
        <is>
          <t>Requires risk-based monitoring of CSP performance, security, and service levels for critical functions.</t>
        </is>
      </c>
      <c r="N164" s="8" t="inlineStr">
        <is>
          <t>[Must] monitor the performance of activities, the security measures and the adherence to agreed service levels by its CSPs</t>
        </is>
      </c>
      <c r="O164" s="8" t="inlineStr">
        <is>
          <t>14. A firm should monitor the performance of activities, the security measures and the adherence to agreed service levels by its CSPs. This monitoring should be risk-based, with a primary focus on the critical or important functions that have been outsourced.</t>
        </is>
      </c>
    </row>
    <row r="165">
      <c r="A165" t="inlineStr">
        <is>
          <t>GDPR</t>
        </is>
      </c>
      <c r="B165" t="inlineStr">
        <is>
          <t>esma_cloud_guidelines (GDPR - Row 8)</t>
        </is>
      </c>
      <c r="C165" t="inlineStr">
        <is>
          <t>15</t>
        </is>
      </c>
      <c r="D165" s="8" t="inlineStr">
        <is>
          <t>A firm should reassess whether its cloud outsourcing arrangements concern a critical</t>
        </is>
      </c>
      <c r="E165" t="inlineStr">
        <is>
          <t>12</t>
        </is>
      </c>
      <c r="F165" t="inlineStr">
        <is>
          <t>Cloud Services</t>
        </is>
      </c>
      <c r="G165" t="inlineStr">
        <is>
          <t>High</t>
        </is>
      </c>
      <c r="H165" t="inlineStr">
        <is>
          <t>High (explicit)</t>
        </is>
      </c>
      <c r="I165" s="8" t="inlineStr">
        <is>
          <t>Cloud Services</t>
        </is>
      </c>
      <c r="J165" s="8" t="inlineStr"/>
      <c r="K165" t="inlineStr"/>
      <c r="L165" s="8" t="inlineStr">
        <is>
          <t>Firms must periodically reassess whether cloud outsourcing arrangements concern critical or important functions.</t>
        </is>
      </c>
      <c r="M165" s="8" t="inlineStr">
        <is>
          <t>Requires periodic reassessment of cloud outsourcing criticality based on risk, nature, and scale changes.</t>
        </is>
      </c>
      <c r="N165" s="8" t="inlineStr">
        <is>
          <t>[Must] reassess whether its cloud outsourcing arrangements concern a critical or important function periodically and whenever the risk, nature or scale of an outsourced function has materially changed</t>
        </is>
      </c>
      <c r="O165" s="8" t="inlineStr">
        <is>
          <t>15. A firm should reassess whether its cloud outsourcing arrangements concern a critical or important function periodically and whenever the risk, nature or scale of an outsourced function has materially changed.</t>
        </is>
      </c>
    </row>
    <row r="166">
      <c r="A166" t="inlineStr">
        <is>
          <t>GDPR</t>
        </is>
      </c>
      <c r="B166" t="inlineStr">
        <is>
          <t>esma_cloud_guidelines (GDPR - Row 8)</t>
        </is>
      </c>
      <c r="C166" t="inlineStr">
        <is>
          <t>16</t>
        </is>
      </c>
      <c r="D166" s="8" t="inlineStr">
        <is>
          <t>A firm should maintain an updated register of information on all its cloud outsourcing</t>
        </is>
      </c>
      <c r="E166" t="inlineStr">
        <is>
          <t>12</t>
        </is>
      </c>
      <c r="F166" t="inlineStr">
        <is>
          <t>Cloud Services</t>
        </is>
      </c>
      <c r="G166" t="inlineStr">
        <is>
          <t>High</t>
        </is>
      </c>
      <c r="H166" t="inlineStr">
        <is>
          <t>High (explicit)</t>
        </is>
      </c>
      <c r="I166" s="8" t="inlineStr">
        <is>
          <t>Cloud Services</t>
        </is>
      </c>
      <c r="J166" s="8" t="inlineStr"/>
      <c r="K166" t="inlineStr"/>
      <c r="L166" s="8" t="inlineStr">
        <is>
          <t>Firms must maintain an updated register of cloud outsourcing arrangements, distinguishing critical vs. non-critical functions.</t>
        </is>
      </c>
      <c r="M166" s="8" t="inlineStr">
        <is>
          <t>Requires updated register of cloud outsourcing arrangements with critical/non-critical distinctions and details.</t>
        </is>
      </c>
      <c r="N166" s="8" t="inlineStr">
        <is>
          <t>[Must] maintain an updated register of information on all its cloud outsourcing arrangements, distinguishing between the outsourcing of critical or important functions and other outsourcing arrangements</t>
        </is>
      </c>
      <c r="O166" s="8" t="inlineStr">
        <is>
          <t>16. A firm should maintain an updated register of information on all its cloud outsourcing arrangements, distinguishing between the outsourcing of critical or important functions and other outsourcing arrangements.</t>
        </is>
      </c>
    </row>
    <row r="167">
      <c r="A167" t="inlineStr">
        <is>
          <t>GDPR</t>
        </is>
      </c>
      <c r="B167" t="inlineStr">
        <is>
          <t>esma_cloud_guidelines (GDPR - Row 8)</t>
        </is>
      </c>
      <c r="C167" t="inlineStr">
        <is>
          <t>17</t>
        </is>
      </c>
      <c r="D167" s="8" t="inlineStr">
        <is>
          <t>For the cloud outsourcing arrangements concerning critical or important functions, the</t>
        </is>
      </c>
      <c r="E167" t="inlineStr">
        <is>
          <t>12–13</t>
        </is>
      </c>
      <c r="F167" t="inlineStr">
        <is>
          <t>Cloud Services</t>
        </is>
      </c>
      <c r="G167" t="inlineStr">
        <is>
          <t>High</t>
        </is>
      </c>
      <c r="H167" t="inlineStr">
        <is>
          <t>High (explicit)</t>
        </is>
      </c>
      <c r="I167" s="8" t="inlineStr">
        <is>
          <t>Cloud Services</t>
        </is>
      </c>
      <c r="J167" s="8" t="inlineStr"/>
      <c r="K167" t="inlineStr"/>
      <c r="L167" s="8" t="inlineStr">
        <is>
          <t>Registers for critical functions must include specific details about outsourced functions, CSP information, and risk assessments.</t>
        </is>
      </c>
      <c r="M167" s="8" t="inlineStr">
        <is>
          <t>Critical cloud outsourcing registers must include CSP details, function descriptions, risk assessments, and financial data.</t>
        </is>
      </c>
      <c r="N167" s="8" t="inlineStr">
        <is>
          <t>[Must] register should include at least the following information for each cloud outsourcing arrangement: a reference number; start date and renewal dates; description of outsourced function including data types; category of function; time-critical support; CSP details; governing law; cloud services and data locations; assessment dates; risk assessment results; approval body; sub-outsourcers; budget cost</t>
        </is>
      </c>
      <c r="O167" s="8" t="inlineStr">
        <is>
          <t>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d) a category assigned by the firm that reflects the nature of the outsourced function; e) whether the outsourced function supports business operations that are time-critical; f) the name and the brand name (if any) of the CSP, its country of registration, its corporate registration number, its legal entity identifier,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m) the estimated annual budget cost of the cloud outsourcing arrangement.</t>
        </is>
      </c>
    </row>
    <row r="168">
      <c r="A168" t="inlineStr">
        <is>
          <t>GDPR</t>
        </is>
      </c>
      <c r="B168" t="inlineStr">
        <is>
          <t>esma_cloud_guidelines (GDPR - Row 8)</t>
        </is>
      </c>
      <c r="C168" t="inlineStr">
        <is>
          <t>18</t>
        </is>
      </c>
      <c r="D168" s="8" t="inlineStr">
        <is>
          <t>For the cloud outsourcing arrangements concerning non-critical or non-important</t>
        </is>
      </c>
      <c r="E168" t="inlineStr">
        <is>
          <t>13</t>
        </is>
      </c>
      <c r="F168" t="inlineStr">
        <is>
          <t>Cloud Services</t>
        </is>
      </c>
      <c r="G168" t="inlineStr">
        <is>
          <t>High</t>
        </is>
      </c>
      <c r="H168" t="inlineStr">
        <is>
          <t>High (explicit)</t>
        </is>
      </c>
      <c r="I168" s="8" t="inlineStr">
        <is>
          <t>Cloud Services</t>
        </is>
      </c>
      <c r="J168" s="8" t="inlineStr"/>
      <c r="K168" t="inlineStr"/>
      <c r="L168" s="8" t="inlineStr">
        <is>
          <t>Firms must define register details for non-critical functions based on risk assessment.</t>
        </is>
      </c>
      <c r="M168" s="8" t="inlineStr">
        <is>
          <t>Non-critical cloud outsourcing registers require risk-based detail definitions.</t>
        </is>
      </c>
      <c r="N168" s="8" t="inlineStr">
        <is>
          <t>[Must] define the information to be included in the register based on the nature, scale and complexity of the risks inherent to the outsourced function</t>
        </is>
      </c>
      <c r="O168" s="8" t="inlineStr">
        <is>
          <t>18. For the cloud outsourcing arrangements concerning non-critical or non-important functions, a firm should define the information to be included in the register based on the nature, scale and complexity of the risks inherent to the outsourced function.</t>
        </is>
      </c>
    </row>
    <row r="169">
      <c r="A169" t="inlineStr">
        <is>
          <t>GDPR</t>
        </is>
      </c>
      <c r="B169" t="inlineStr">
        <is>
          <t>esma_cloud_guidelines (GDPR - Row 8)</t>
        </is>
      </c>
      <c r="C169" t="inlineStr">
        <is>
          <t>19</t>
        </is>
      </c>
      <c r="D169" s="8" t="inlineStr">
        <is>
          <t>Before entering into any cloud outsourcing arrangement, a firm should:</t>
        </is>
      </c>
      <c r="E169" t="inlineStr">
        <is>
          <t>13</t>
        </is>
      </c>
      <c r="F169" t="inlineStr">
        <is>
          <t>Cloud Services</t>
        </is>
      </c>
      <c r="G169" t="inlineStr">
        <is>
          <t>High</t>
        </is>
      </c>
      <c r="H169" t="inlineStr">
        <is>
          <t>High (explicit)</t>
        </is>
      </c>
      <c r="I169" s="8" t="inlineStr">
        <is>
          <t>Cloud Services</t>
        </is>
      </c>
      <c r="J169" s="8" t="inlineStr"/>
      <c r="K169" t="inlineStr"/>
      <c r="L169" s="8" t="inlineStr">
        <is>
          <t>Firms must assess criticality, risks, due diligence, and conflicts before cloud outsourcing.</t>
        </is>
      </c>
      <c r="M169" s="8" t="inlineStr">
        <is>
          <t>Pre-outsourcing assessment requires criticality check, risk analysis, CSP due diligence, and conflict identification.</t>
        </is>
      </c>
      <c r="N169" s="8" t="inlineStr">
        <is>
          <t>[Must] assess if the cloud outsourcing arrangement concerns a critical or important function
[Must] identify and assess all relevant risks of the cloud outsourcing arrangement
[Must] undertake appropriate due diligence on the prospective CSP
[Must] identify and assess any conflict of interest that the outsourcing may cause</t>
        </is>
      </c>
      <c r="O169" s="8" t="inlineStr">
        <is>
          <t>19. 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t>
        </is>
      </c>
    </row>
    <row r="170">
      <c r="A170" t="inlineStr">
        <is>
          <t>GDPR</t>
        </is>
      </c>
      <c r="B170" t="inlineStr">
        <is>
          <t>esma_cloud_guidelines (GDPR - Row 8)</t>
        </is>
      </c>
      <c r="C170" t="inlineStr">
        <is>
          <t>20</t>
        </is>
      </c>
      <c r="D170" s="8" t="inlineStr">
        <is>
          <t>The pre-outsourcing analysis and due diligence on the prospective CSP should be</t>
        </is>
      </c>
      <c r="E170" t="inlineStr">
        <is>
          <t>13</t>
        </is>
      </c>
      <c r="F170" t="inlineStr">
        <is>
          <t>Cloud Services</t>
        </is>
      </c>
      <c r="G170" t="inlineStr">
        <is>
          <t>High</t>
        </is>
      </c>
      <c r="H170" t="inlineStr">
        <is>
          <t>High (explicit)</t>
        </is>
      </c>
      <c r="I170" s="8" t="inlineStr">
        <is>
          <t>Cloud Services</t>
        </is>
      </c>
      <c r="J170" s="8" t="inlineStr"/>
      <c r="K170" t="inlineStr"/>
      <c r="L170" s="8" t="inlineStr">
        <is>
          <t>Pre-outsourcing due diligence must be proportionate to function risks and scale.</t>
        </is>
      </c>
      <c r="M170" s="8" t="inlineStr">
        <is>
          <t>Due diligence must be proportionate to function risks, including operational, legal, compliance, and reputational risks.</t>
        </is>
      </c>
      <c r="N170" s="8" t="inlineStr">
        <is>
          <t>[Must] the pre-outsourcing analysis and due diligence on the prospective CSP should be proportionate to the nature, scale and complexity of the function that the firm intends to outsource and the risks inherent to this function</t>
        </is>
      </c>
      <c r="O170" s="8" t="inlineStr">
        <is>
          <t>20. 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row>
    <row r="171">
      <c r="A171" t="inlineStr">
        <is>
          <t>GDPR</t>
        </is>
      </c>
      <c r="B171" t="inlineStr">
        <is>
          <t>esma_cloud_guidelines (GDPR - Row 8)</t>
        </is>
      </c>
      <c r="C171" t="inlineStr">
        <is>
          <t>21</t>
        </is>
      </c>
      <c r="D171" s="8" t="inlineStr">
        <is>
          <t>In case the cloud outsourcing arrangement concerns critical or important functions, a</t>
        </is>
      </c>
      <c r="E171" t="inlineStr">
        <is>
          <t>13–14</t>
        </is>
      </c>
      <c r="F171" t="inlineStr">
        <is>
          <t>Cloud Services</t>
        </is>
      </c>
      <c r="G171" t="inlineStr">
        <is>
          <t>High</t>
        </is>
      </c>
      <c r="H171" t="inlineStr">
        <is>
          <t>High (explicit)</t>
        </is>
      </c>
      <c r="I171" s="8" t="inlineStr">
        <is>
          <t>Cloud Services</t>
        </is>
      </c>
      <c r="J171" s="8" t="inlineStr"/>
      <c r="K171" t="inlineStr"/>
      <c r="L171" s="8" t="inlineStr">
        <is>
          <t>Firms must assess risks for critical functions including security, compliance, and operational impacts.</t>
        </is>
      </c>
      <c r="M171" s="8" t="inlineStr">
        <is>
          <t>Critical cloud outsourcing requires risk assessment of security, compliance, operational, and reputational impacts.</t>
        </is>
      </c>
      <c r="N171" s="8" t="inlineStr">
        <is>
          <t>[Must]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t>
        </is>
      </c>
      <c r="O171" s="8" t="inlineStr">
        <is>
          <t>21. 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v. the portability of the data of the firm; vi. the political stability, the security situation and the legal system of the countries where the outsourced functions would be provided and where the outsourced data would be stored; vii. possible concentration within the firm caused by multiple cloud outsourcing arrangements with the same CSP.</t>
        </is>
      </c>
    </row>
    <row r="172">
      <c r="A172" t="inlineStr">
        <is>
          <t>GDPR</t>
        </is>
      </c>
      <c r="B172" t="inlineStr">
        <is>
          <t>esma_cloud_guidelines (GDPR - Row 8)</t>
        </is>
      </c>
      <c r="C172" t="inlineStr">
        <is>
          <t>22</t>
        </is>
      </c>
      <c r="D172" s="8" t="inlineStr">
        <is>
          <t>In case of outsourcing of critical or important functions, the due diligence should include</t>
        </is>
      </c>
      <c r="E172" t="inlineStr">
        <is>
          <t>14</t>
        </is>
      </c>
      <c r="F172" t="inlineStr">
        <is>
          <t>Cloud Services</t>
        </is>
      </c>
      <c r="G172" t="inlineStr">
        <is>
          <t>High</t>
        </is>
      </c>
      <c r="H172" t="inlineStr">
        <is>
          <t>High (explicit)</t>
        </is>
      </c>
      <c r="I172" s="8" t="inlineStr">
        <is>
          <t>Cloud Services</t>
        </is>
      </c>
      <c r="J172" s="8" t="inlineStr"/>
      <c r="K172" t="inlineStr"/>
      <c r="L172" s="8" t="inlineStr">
        <is>
          <t>Firms must evaluate CSP suitability for critical functions including reputation, resources, and security.</t>
        </is>
      </c>
      <c r="M172" s="8" t="inlineStr">
        <is>
          <t>CSP suitability for critical functions requires business reputation, skills, resources, and security measures.</t>
        </is>
      </c>
      <c r="N172" s="8" t="inlineStr">
        <is>
          <t>[Must]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c r="O172" s="8" t="inlineStr">
        <is>
          <t>22. 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row>
    <row r="173">
      <c r="A173" t="inlineStr">
        <is>
          <t>GDPR</t>
        </is>
      </c>
      <c r="B173" t="inlineStr">
        <is>
          <t>esma_cloud_guidelines (GDPR - Row 8)</t>
        </is>
      </c>
      <c r="C173" t="inlineStr">
        <is>
          <t>23</t>
        </is>
      </c>
      <c r="D173" s="8" t="inlineStr">
        <is>
          <t>Where appropriate and in order to support the due diligence performed, a firm may also</t>
        </is>
      </c>
      <c r="E173" t="inlineStr">
        <is>
          <t>14</t>
        </is>
      </c>
      <c r="F173" t="inlineStr">
        <is>
          <t>Cloud Services</t>
        </is>
      </c>
      <c r="G173" t="inlineStr">
        <is>
          <t>High</t>
        </is>
      </c>
      <c r="H173" t="inlineStr">
        <is>
          <t>High (explicit)</t>
        </is>
      </c>
      <c r="I173" s="8" t="inlineStr">
        <is>
          <t>Cloud Services</t>
        </is>
      </c>
      <c r="J173" s="8" t="inlineStr"/>
      <c r="K173" t="inlineStr"/>
      <c r="L173" s="8" t="inlineStr">
        <is>
          <t>Firms may use certifications and audit reports to support due diligence.</t>
        </is>
      </c>
      <c r="M173" s="8" t="inlineStr">
        <is>
          <t>Due diligence may be supported by international standards certifications and audit reports.</t>
        </is>
      </c>
      <c r="N173" s="8" t="inlineStr">
        <is>
          <t>[May] use certifications based on international standards and external or internal audit reports</t>
        </is>
      </c>
      <c r="O173" s="8" t="inlineStr">
        <is>
          <t>23. Where appropriate and in order to support the due diligence performed, a firm may also use certifications based on international standards and external or internal audit reports.</t>
        </is>
      </c>
    </row>
    <row r="174">
      <c r="A174" t="inlineStr">
        <is>
          <t>GDPR</t>
        </is>
      </c>
      <c r="B174" t="inlineStr">
        <is>
          <t>esma_cloud_guidelines (GDPR - Row 8)</t>
        </is>
      </c>
      <c r="C174" t="inlineStr">
        <is>
          <t>24</t>
        </is>
      </c>
      <c r="D174" s="8" t="inlineStr">
        <is>
          <t>If a firm becomes aware of significant deficiencies and/or significant changes to the</t>
        </is>
      </c>
      <c r="E174" t="inlineStr">
        <is>
          <t>14</t>
        </is>
      </c>
      <c r="F174" t="inlineStr">
        <is>
          <t>Cloud Services</t>
        </is>
      </c>
      <c r="G174" t="inlineStr">
        <is>
          <t>High</t>
        </is>
      </c>
      <c r="H174" t="inlineStr">
        <is>
          <t>High (explicit)</t>
        </is>
      </c>
      <c r="I174" s="8" t="inlineStr">
        <is>
          <t>Cloud Services</t>
        </is>
      </c>
      <c r="J174" s="8" t="inlineStr"/>
      <c r="K174" t="inlineStr"/>
      <c r="L174" s="8" t="inlineStr">
        <is>
          <t>Firms must review due diligence if significant CSP deficiencies or changes occur.</t>
        </is>
      </c>
      <c r="M174" s="8" t="inlineStr">
        <is>
          <t>Due diligence must be reviewed or re-performed if significant CSP deficiencies or changes are identified.</t>
        </is>
      </c>
      <c r="N174" s="8" t="inlineStr">
        <is>
          <t>[Must] if a firm becomes aware of significant deficiencies and/or significant changes to the services provided or to the situation of the CSP, the pre-outsourcing analysis and due diligence on the CSP should be promptly reviewed or where needed re-performed</t>
        </is>
      </c>
      <c r="O174" s="8" t="inlineStr">
        <is>
          <t>24. If a firm becomes aware of significant deficiencies and/or significant changes to the services provided or to the situation of the CSP, the pre-outsourcing analysis and due diligence on the CSP should be promptly reviewed or where needed re-performed.</t>
        </is>
      </c>
    </row>
    <row r="175">
      <c r="A175" t="inlineStr">
        <is>
          <t>GDPR</t>
        </is>
      </c>
      <c r="B175" t="inlineStr">
        <is>
          <t>esma_cloud_guidelines (GDPR - Row 8)</t>
        </is>
      </c>
      <c r="C175" t="inlineStr">
        <is>
          <t>25</t>
        </is>
      </c>
      <c r="D175" s="8" t="inlineStr">
        <is>
          <t>In case a firm enters into a new arrangement or renews an existing arrangement with</t>
        </is>
      </c>
      <c r="E175" t="inlineStr">
        <is>
          <t>14–15</t>
        </is>
      </c>
      <c r="F175" t="inlineStr">
        <is>
          <t>Cloud Services</t>
        </is>
      </c>
      <c r="G175" t="inlineStr">
        <is>
          <t>High</t>
        </is>
      </c>
      <c r="H175" t="inlineStr">
        <is>
          <t>High (explicit)</t>
        </is>
      </c>
      <c r="I175" s="8" t="inlineStr">
        <is>
          <t>Cloud Services</t>
        </is>
      </c>
      <c r="J175" s="8" t="inlineStr"/>
      <c r="K175" t="inlineStr"/>
      <c r="L175" s="8" t="inlineStr">
        <is>
          <t>Firms must determine if new due diligence is needed for renewed arrangements.</t>
        </is>
      </c>
      <c r="M175" s="8" t="inlineStr">
        <is>
          <t>New due diligence is required for renewed arrangements based on risk assessment.</t>
        </is>
      </c>
      <c r="N175" s="8" t="inlineStr">
        <is>
          <t>[Must] determine, on a risk-based approach, whether a new due diligence is needed</t>
        </is>
      </c>
      <c r="O175" s="8" t="inlineStr">
        <is>
          <t>25. In case a firm enters into a new arrangement or renews an existing arrangement with a CSP that has already been assessed, it should determine, on a risk-based approach, whether a new due diligence is needed.</t>
        </is>
      </c>
    </row>
    <row r="176">
      <c r="A176" t="inlineStr">
        <is>
          <t>GDPR</t>
        </is>
      </c>
      <c r="B176" t="inlineStr">
        <is>
          <t>esma_cloud_guidelines (GDPR - Row 8)</t>
        </is>
      </c>
      <c r="C176" t="inlineStr">
        <is>
          <t>28</t>
        </is>
      </c>
      <c r="D176" s="8" t="inlineStr">
        <is>
          <t>In case of outsourcing of critical or important functions, the written agreement should</t>
        </is>
      </c>
      <c r="E176" t="inlineStr">
        <is>
          <t>15–16</t>
        </is>
      </c>
      <c r="F176" t="inlineStr">
        <is>
          <t>Cloud Services</t>
        </is>
      </c>
      <c r="G176" t="inlineStr">
        <is>
          <t>High</t>
        </is>
      </c>
      <c r="H176" t="inlineStr">
        <is>
          <t>High (explicit)</t>
        </is>
      </c>
      <c r="I176" s="8" t="inlineStr">
        <is>
          <t>Cloud Services</t>
        </is>
      </c>
      <c r="J176" s="8" t="inlineStr"/>
      <c r="K176" t="inlineStr"/>
      <c r="L176" s="8" t="inlineStr">
        <is>
          <t>Written agreements for critical functions must include specific contractual elements.</t>
        </is>
      </c>
      <c r="M176" s="8" t="inlineStr">
        <is>
          <t>Critical cloud outsourcing agreements must include function description, dates, governing law, financial obligations, sub-outsourcing rules, data locations, security provisions, performance monitoring, service levels, reporting obligations, incident management, insurance, business continuity, and audit rights.</t>
        </is>
      </c>
      <c r="N176" s="8" t="inlineStr">
        <is>
          <t>[Must]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f) the location(s) where the outsourced function will be provided and where data will be processed and stored, and the conditions to be met; g) provisions regarding information security and protection of personal data; h) the right for the firm to monitor the CSP's performance; i) the agreed service levels; j) the reporting obligations of the CSP to the firm; k) provisions regarding the management of incidents by the CSP; l) whether the CSP should take mandatory insurance against certain risks; m) the requirements for the CSP to implement and test business continuity and disaster recovery plans; n) the requirement for the CSP to grant the firm access and audit rights; o) provisions to ensure data can be accessed, recovered and returned</t>
        </is>
      </c>
      <c r="O176" s="8"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f) the location(s) where the outsourced function will be provided and where data will be processed and stored, and the conditions to be met; g) provisions regarding information security and protection of personal data; h) the right for the firm to monitor the CSP's performance; i) the agreed service levels; j) the reporting obligations of the CSP to the firm; k) provisions regarding the management of incidents by the CSP; l) whether the CSP should take mandatory insurance against certain risks; m) the requirements for the CSP to implement and test business continuity and disaster recovery plans; n) the requirement for the CSP to grant the firm access and audit rights; o) provisions to ensure data can be accessed, recovered and returned.</t>
        </is>
      </c>
    </row>
    <row r="177">
      <c r="A177" t="inlineStr">
        <is>
          <t>GDPR</t>
        </is>
      </c>
      <c r="B177" t="inlineStr">
        <is>
          <t>esma_cloud_guidelines (GDPR - Row 8)</t>
        </is>
      </c>
      <c r="C177" t="inlineStr">
        <is>
          <t>29</t>
        </is>
      </c>
      <c r="D177" s="8" t="inlineStr">
        <is>
          <t>A firm should set information security requirements in its internal policies and</t>
        </is>
      </c>
      <c r="E177" t="inlineStr">
        <is>
          <t>16</t>
        </is>
      </c>
      <c r="F177" t="inlineStr">
        <is>
          <t>Cloud Services</t>
        </is>
      </c>
      <c r="G177" t="inlineStr">
        <is>
          <t>High</t>
        </is>
      </c>
      <c r="H177" t="inlineStr">
        <is>
          <t>High (explicit)</t>
        </is>
      </c>
      <c r="I177" s="8" t="inlineStr">
        <is>
          <t>Cloud Services</t>
        </is>
      </c>
      <c r="J177" s="8" t="inlineStr"/>
      <c r="K177" t="inlineStr"/>
      <c r="L177" s="8" t="inlineStr">
        <is>
          <t>Firms must set and monitor information security requirements for cloud outsourcing.</t>
        </is>
      </c>
      <c r="M177" s="8" t="inlineStr">
        <is>
          <t>Information security requirements must be set in policies and agreements and monitored for critical functions.</t>
        </is>
      </c>
      <c r="N177" s="8" t="inlineStr">
        <is>
          <t>[Must] set information security requirements in its internal policies and procedures and within the cloud outsourcing written agreement and monitor compliance with these requirements on an ongoing basis</t>
        </is>
      </c>
      <c r="O177" s="8"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t>
        </is>
      </c>
    </row>
    <row r="178">
      <c r="A178" t="inlineStr">
        <is>
          <t>GDPR</t>
        </is>
      </c>
      <c r="B178" t="inlineStr">
        <is>
          <t>esma_cloud_guidelines (GDPR - Row 8)</t>
        </is>
      </c>
      <c r="C178" t="inlineStr">
        <is>
          <t>30</t>
        </is>
      </c>
      <c r="D178" s="8" t="inlineStr">
        <is>
          <t>For that purpose, in case of outsourcing of critical or important functions, and without</t>
        </is>
      </c>
      <c r="E178" t="inlineStr">
        <is>
          <t>16–17</t>
        </is>
      </c>
      <c r="F178" t="inlineStr">
        <is>
          <t>Cloud Services</t>
        </is>
      </c>
      <c r="G178" t="inlineStr">
        <is>
          <t>High</t>
        </is>
      </c>
      <c r="H178" t="inlineStr">
        <is>
          <t>High (explicit)</t>
        </is>
      </c>
      <c r="I178" s="8" t="inlineStr">
        <is>
          <t>Cloud Services</t>
        </is>
      </c>
      <c r="J178" s="8" t="inlineStr"/>
      <c r="K178" t="inlineStr"/>
      <c r="L178" s="8" t="inlineStr">
        <is>
          <t>Firms must implement specific information security measures for critical cloud functions.</t>
        </is>
      </c>
      <c r="M178" s="8" t="inlineStr">
        <is>
          <t>Critical cloud functions require information security measures including identity management, encryption, network security, API security, business continuity, and compliance monitoring.</t>
        </is>
      </c>
      <c r="N178" s="8" t="inlineStr">
        <is>
          <t>[Must] ensure that there is a clear allocation of information security roles and responsibilities between the firm and the CSP
[Must] ensure that strong authentication mechanisms and access controls are in place
[Must] ensure that relevant encryption technologies are used for data in transit, data in memory, data at rest and data back-ups
[Must] consider appropriate levels of network availability, network segregation and processing environments
[Must] consider mechanisms for the integration of cloud services with the firm's systems to ensure security of APIs
[Must] ensure that effective business continuity and disaster recovery controls are in place
[Must] adopt a risk-based approach to data storage and data processing location(s)
[Must] verify that the CSP complies with internationally recognised information security standards and has implemented appropriate information security controls</t>
        </is>
      </c>
      <c r="O178" s="8"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b) identity and access management: ensure that strong authentication mechanisms and access controls are in place; c) encryption and key management: ensure that relevant encryption technologies are used; d) operations and network security: consider appropriate levels of network availability, network segregation and processing environments; e) application programming interfaces (API): consider mechanisms for the integration of the cloud services with the systems of the firm; f) business continuity and disaster recovery: ensure that effective business continuity and disaster recovery controls are in place; g) data location: adopt a risk-based approach to data storage and data processing location(s); h) compliance &amp; monitoring: verify that the CSP complies with internationally recognised information security standards and has implemented appropriate information security controls.</t>
        </is>
      </c>
    </row>
    <row r="179">
      <c r="A179" t="inlineStr">
        <is>
          <t>GDPR</t>
        </is>
      </c>
      <c r="B179" t="inlineStr">
        <is>
          <t>esma_cloud_guidelines (GDPR - Row 8)</t>
        </is>
      </c>
      <c r="C179" t="inlineStr">
        <is>
          <t>31</t>
        </is>
      </c>
      <c r="D179" s="8" t="inlineStr">
        <is>
          <t>In case of outsourcing of critical or important functions, a firm should ensure that it is</t>
        </is>
      </c>
      <c r="E179" t="inlineStr">
        <is>
          <t>17</t>
        </is>
      </c>
      <c r="F179" t="inlineStr">
        <is>
          <t>Cloud Services</t>
        </is>
      </c>
      <c r="G179" t="inlineStr">
        <is>
          <t>High</t>
        </is>
      </c>
      <c r="H179" t="inlineStr">
        <is>
          <t>High (explicit)</t>
        </is>
      </c>
      <c r="I179" s="8" t="inlineStr">
        <is>
          <t>Cloud Services</t>
        </is>
      </c>
      <c r="J179" s="8" t="inlineStr">
        <is>
          <t>Personal Information</t>
        </is>
      </c>
      <c r="K179" t="inlineStr"/>
      <c r="L179" s="8" t="inlineStr">
        <is>
          <t>Firms must ensure exit plans for cloud outsourcing avoid business disruption and maintain compliance during transition.</t>
        </is>
      </c>
      <c r="M179" s="8" t="inlineStr">
        <is>
          <t>Requires exit plans for cloud outsourcing to prevent disruption and maintain compliance during transition.</t>
        </is>
      </c>
      <c r="N179" s="8" t="inlineStr">
        <is>
          <t>[Must] develop exit plans that are comprehensive, documented and sufficiently tested
[Must] identify alternative solutions and develop transition plans to remove the outsourced function and data from the CSP
[Must] ensure cloud outsourcing written agreement includes obligation for CSP to support orderly transfer of outsourced function and data</t>
        </is>
      </c>
      <c r="O179" s="8"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t>
        </is>
      </c>
    </row>
    <row r="180">
      <c r="A180" t="inlineStr">
        <is>
          <t>GDPR</t>
        </is>
      </c>
      <c r="B180" t="inlineStr">
        <is>
          <t>esma_cloud_guidelines (GDPR - Row 8)</t>
        </is>
      </c>
      <c r="C180" t="inlineStr">
        <is>
          <t>32</t>
        </is>
      </c>
      <c r="D180" s="8" t="inlineStr">
        <is>
          <t>When developing the exit plans and solutions referred to in points (a) and (b) above</t>
        </is>
      </c>
      <c r="E180" t="inlineStr">
        <is>
          <t>17–18</t>
        </is>
      </c>
      <c r="F180" t="inlineStr">
        <is>
          <t>Cloud Services</t>
        </is>
      </c>
      <c r="G180" t="inlineStr">
        <is>
          <t>High</t>
        </is>
      </c>
      <c r="H180" t="inlineStr">
        <is>
          <t>High (explicit)</t>
        </is>
      </c>
      <c r="I180" s="8" t="inlineStr">
        <is>
          <t>Cloud Services</t>
        </is>
      </c>
      <c r="J180" s="8" t="inlineStr">
        <is>
          <t>Personal Information</t>
        </is>
      </c>
      <c r="K180" t="inlineStr"/>
      <c r="L180" s="8" t="inlineStr">
        <is>
          <t>Firms must define objectives, triggers, business impact analysis, roles, and test exit strategies for cloud outsourcing.</t>
        </is>
      </c>
      <c r="M180" s="8" t="inlineStr">
        <is>
          <t>Requires exit strategy development including objectives, triggers, business impact analysis, roles, and testing.</t>
        </is>
      </c>
      <c r="N180" s="8" t="inlineStr">
        <is>
          <t>[Must] define the objectives of the exit strategy
[Must] define trigger events that could activate the exit strategy
[Must] perform business impact analysis for the outsourced function
[Must] assign roles and responsibilities to manage the exit strategy
[Must] test the appropriateness of the exit strategy using risk-based approach
[Must] define success criteria of the transition</t>
        </is>
      </c>
      <c r="O180" s="8" t="inlineStr">
        <is>
          <t>32. When developing the exit plans and solutions referred to in points (a) and (b) above ('exit strategy'), the firm should consider the following: define the objectives of the exit strategy; define the trigger events that could activate the exit strategy.</t>
        </is>
      </c>
    </row>
    <row r="181">
      <c r="A181" t="inlineStr">
        <is>
          <t>GDPR</t>
        </is>
      </c>
      <c r="B181" t="inlineStr">
        <is>
          <t>esma_cloud_guidelines (GDPR - Row 8)</t>
        </is>
      </c>
      <c r="C181" t="inlineStr">
        <is>
          <t>33</t>
        </is>
      </c>
      <c r="D181" s="8" t="inlineStr">
        <is>
          <t>A firm should include indicators of the trigger events of the exit strategy in its ongoing</t>
        </is>
      </c>
      <c r="E181" t="inlineStr">
        <is>
          <t>18</t>
        </is>
      </c>
      <c r="F181" t="inlineStr">
        <is>
          <t>Cloud Services</t>
        </is>
      </c>
      <c r="G181" t="inlineStr">
        <is>
          <t>High</t>
        </is>
      </c>
      <c r="H181" t="inlineStr">
        <is>
          <t>High (explicit)</t>
        </is>
      </c>
      <c r="I181" s="8" t="inlineStr">
        <is>
          <t>Cloud Services</t>
        </is>
      </c>
      <c r="J181" s="8" t="inlineStr">
        <is>
          <t>Personal Information</t>
        </is>
      </c>
      <c r="K181" t="inlineStr"/>
      <c r="L181" s="8" t="inlineStr">
        <is>
          <t>Firms must monitor CSP services using exit strategy trigger indicators.</t>
        </is>
      </c>
      <c r="M181" s="8" t="inlineStr">
        <is>
          <t>Requires monitoring CSP services with exit strategy trigger indicators.</t>
        </is>
      </c>
      <c r="N181" s="8" t="inlineStr">
        <is>
          <t>[Must] include indicators of the trigger events of the exit strategy in ongoing monitoring</t>
        </is>
      </c>
      <c r="O181" s="8" t="inlineStr">
        <is>
          <t>33. A firm should include indicators of the trigger events of the exit strategy in its ongoing monitoring and oversight of the services provided by the CSP under the cloud outsourcing arrangement.</t>
        </is>
      </c>
    </row>
    <row r="182">
      <c r="A182" t="inlineStr">
        <is>
          <t>GDPR</t>
        </is>
      </c>
      <c r="B182" t="inlineStr">
        <is>
          <t>esma_cloud_guidelines (GDPR - Row 8)</t>
        </is>
      </c>
      <c r="C182" t="inlineStr">
        <is>
          <t>34</t>
        </is>
      </c>
      <c r="D182" s="8" t="inlineStr">
        <is>
          <t>A firm should ensure that the cloud outsourcing written agreement does not limit the</t>
        </is>
      </c>
      <c r="E182" t="inlineStr">
        <is>
          <t>18</t>
        </is>
      </c>
      <c r="F182" t="inlineStr">
        <is>
          <t>Cloud Services</t>
        </is>
      </c>
      <c r="G182" t="inlineStr">
        <is>
          <t>High</t>
        </is>
      </c>
      <c r="H182" t="inlineStr">
        <is>
          <t>High (explicit)</t>
        </is>
      </c>
      <c r="I182" s="8" t="inlineStr">
        <is>
          <t>Cloud Services</t>
        </is>
      </c>
      <c r="J182" s="8" t="inlineStr">
        <is>
          <t>Personal Information</t>
        </is>
      </c>
      <c r="K182" t="inlineStr"/>
      <c r="L182" s="8" t="inlineStr">
        <is>
          <t>Cloud agreements must not limit firm's and regulator's access and audit rights.</t>
        </is>
      </c>
      <c r="M182" s="8" t="inlineStr">
        <is>
          <t>Cloud agreements must not restrict firm's and regulator's access and audit rights.</t>
        </is>
      </c>
      <c r="N182" s="8" t="inlineStr">
        <is>
          <t>[Must] ensure cloud outsourcing written agreement does not limit firm's and competent authority's effective exercise of access and audit rights</t>
        </is>
      </c>
      <c r="O182" s="8" t="inlineStr">
        <is>
          <t>34. A firm should ensure that the cloud outsourcing written agreement does not limit the firm's and competent authority's effective exercise of the access and audit rights and oversight options on the CSP.</t>
        </is>
      </c>
    </row>
    <row r="183">
      <c r="A183" t="inlineStr">
        <is>
          <t>GDPR</t>
        </is>
      </c>
      <c r="B183" t="inlineStr">
        <is>
          <t>esma_cloud_guidelines (GDPR - Row 8)</t>
        </is>
      </c>
      <c r="C183" t="inlineStr">
        <is>
          <t>35</t>
        </is>
      </c>
      <c r="D183" s="8" t="inlineStr">
        <is>
          <t>A firm should ensure that the exercise of the access and audit rights (for example, the</t>
        </is>
      </c>
      <c r="E183" t="inlineStr">
        <is>
          <t>18</t>
        </is>
      </c>
      <c r="F183" t="inlineStr">
        <is>
          <t>Cloud Services</t>
        </is>
      </c>
      <c r="G183" t="inlineStr">
        <is>
          <t>High</t>
        </is>
      </c>
      <c r="H183" t="inlineStr">
        <is>
          <t>High (explicit)</t>
        </is>
      </c>
      <c r="I183" s="8" t="inlineStr">
        <is>
          <t>Cloud Services</t>
        </is>
      </c>
      <c r="J183" s="8" t="inlineStr">
        <is>
          <t>Personal Information</t>
        </is>
      </c>
      <c r="K183" t="inlineStr"/>
      <c r="L183" s="8" t="inlineStr">
        <is>
          <t>Access and audit rights must consider criticality and risks of cloud outsourcing.</t>
        </is>
      </c>
      <c r="M183" s="8" t="inlineStr">
        <is>
          <t>Access and audit rights must account for criticality and risks of cloud outsourcing.</t>
        </is>
      </c>
      <c r="N183" s="8" t="inlineStr">
        <is>
          <t>[Must] ensure exercise of access and audit rights takes into consideration criticality and risks of cloud outsourcing</t>
        </is>
      </c>
      <c r="O183" s="8" t="inlineStr">
        <is>
          <t>35. 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row>
    <row r="184">
      <c r="A184" t="inlineStr">
        <is>
          <t>GDPR</t>
        </is>
      </c>
      <c r="B184" t="inlineStr">
        <is>
          <t>esma_cloud_guidelines (GDPR - Row 8)</t>
        </is>
      </c>
      <c r="C184" t="inlineStr">
        <is>
          <t>36</t>
        </is>
      </c>
      <c r="D184" s="8" t="inlineStr">
        <is>
          <t>In case the exercise of the access or audit rights, or the use of certain audit techniques</t>
        </is>
      </c>
      <c r="E184" t="inlineStr">
        <is>
          <t>18</t>
        </is>
      </c>
      <c r="F184" t="inlineStr">
        <is>
          <t>Cloud Services</t>
        </is>
      </c>
      <c r="G184" t="inlineStr">
        <is>
          <t>High</t>
        </is>
      </c>
      <c r="H184" t="inlineStr">
        <is>
          <t>High (explicit)</t>
        </is>
      </c>
      <c r="I184" s="8" t="inlineStr">
        <is>
          <t>Cloud Services</t>
        </is>
      </c>
      <c r="J184" s="8" t="inlineStr">
        <is>
          <t>Personal Information</t>
        </is>
      </c>
      <c r="K184" t="inlineStr"/>
      <c r="L184" s="8" t="inlineStr">
        <is>
          <t>CSP must provide rationale and alternative solutions if audit creates risks to CSP's environment.</t>
        </is>
      </c>
      <c r="M184" s="8" t="inlineStr">
        <is>
          <t>CSP must provide rationale and alternatives if audit techniques create risks to CSP's environment.</t>
        </is>
      </c>
      <c r="N184" s="8" t="inlineStr">
        <is>
          <t>[Must] CSP must provide clear rationale if exercise of access or audit rights creates risk to CSP's environment
[Must] CSP must agree with firm on alternative ways to achieve similar result</t>
        </is>
      </c>
      <c r="O184" s="8" t="inlineStr">
        <is>
          <t>36. In case the exercise of the access or audit rights, or the use of certain audit techniques create a risk for the environment of the CSP and/or another CSP's client, the CSP should provide a clear rationale to the firm as to why this would create a risk and the CSP should agree with the firm on alternative ways to achieve a similar result.</t>
        </is>
      </c>
    </row>
    <row r="185">
      <c r="A185" t="inlineStr">
        <is>
          <t>GDPR</t>
        </is>
      </c>
      <c r="B185" t="inlineStr">
        <is>
          <t>esma_cloud_guidelines (GDPR - Row 8)</t>
        </is>
      </c>
      <c r="C185" t="inlineStr">
        <is>
          <t>37</t>
        </is>
      </c>
      <c r="D185" s="8" t="inlineStr">
        <is>
          <t>Without prejudice to their final responsibility regarding cloud outsourcing arrangements,</t>
        </is>
      </c>
      <c r="E185" t="inlineStr">
        <is>
          <t>18–19</t>
        </is>
      </c>
      <c r="F185" t="inlineStr">
        <is>
          <t>Cloud Services</t>
        </is>
      </c>
      <c r="G185" t="inlineStr">
        <is>
          <t>High</t>
        </is>
      </c>
      <c r="H185" t="inlineStr">
        <is>
          <t>High (explicit)</t>
        </is>
      </c>
      <c r="I185" s="8" t="inlineStr">
        <is>
          <t>Cloud Services</t>
        </is>
      </c>
      <c r="J185" s="8" t="inlineStr">
        <is>
          <t>Personal Information</t>
        </is>
      </c>
      <c r="K185" t="inlineStr"/>
      <c r="L185" s="8" t="inlineStr">
        <is>
          <t>Firms may use third-party certifications and pooled audits to reduce audit burden.</t>
        </is>
      </c>
      <c r="M185" s="8" t="inlineStr">
        <is>
          <t>Firms may use third-party certifications and pooled audits to reduce audit burden.</t>
        </is>
      </c>
      <c r="N185" s="8" t="inlineStr">
        <is>
          <t>[May] firms may use third-party certifications and external or internal audit reports made available by CSP
[May] firms may use pooled audits performed jointly with other clients or by third-party auditor appointed by multiple clients</t>
        </is>
      </c>
      <c r="O185" s="8" t="inlineStr">
        <is>
          <t>37. Without prejudice to their final responsibility regarding cloud outsourcing arrangements, in order to use audit resources more efficiently and decrease the organisational burden on the CSP and its clients, firms may use: third-party certifications and external or internal audit reports made available by the CSP; pooled audits performed jointly with other clients of the same CSP or pooled audits performed by a third-party auditor appointed by multiple clients of the same CSP.</t>
        </is>
      </c>
    </row>
    <row r="186">
      <c r="A186" t="inlineStr">
        <is>
          <t>GDPR</t>
        </is>
      </c>
      <c r="B186" t="inlineStr">
        <is>
          <t>esma_cloud_guidelines (GDPR - Row 8)</t>
        </is>
      </c>
      <c r="C186" t="inlineStr">
        <is>
          <t>38</t>
        </is>
      </c>
      <c r="D186" s="8" t="inlineStr">
        <is>
          <t>In case of outsourcing of critical or important functions, a firm should assess whether</t>
        </is>
      </c>
      <c r="E186" t="inlineStr">
        <is>
          <t>19</t>
        </is>
      </c>
      <c r="F186" t="inlineStr">
        <is>
          <t>Cloud Services</t>
        </is>
      </c>
      <c r="G186" t="inlineStr">
        <is>
          <t>High</t>
        </is>
      </c>
      <c r="H186" t="inlineStr">
        <is>
          <t>High (explicit)</t>
        </is>
      </c>
      <c r="I186" s="8" t="inlineStr">
        <is>
          <t>Cloud Services</t>
        </is>
      </c>
      <c r="J186" s="8" t="inlineStr">
        <is>
          <t>Personal Information</t>
        </is>
      </c>
      <c r="K186" t="inlineStr"/>
      <c r="L186" s="8" t="inlineStr">
        <is>
          <t>Firms must assess adequacy of third-party certifications and audit reports for critical functions.</t>
        </is>
      </c>
      <c r="M186" s="8" t="inlineStr">
        <is>
          <t>Firms must assess adequacy of third-party certifications and audit reports for critical functions.</t>
        </is>
      </c>
      <c r="N186" s="8" t="inlineStr"/>
      <c r="O186" s="8" t="inlineStr"/>
    </row>
    <row r="187">
      <c r="A187" t="inlineStr">
        <is>
          <t>GDPR</t>
        </is>
      </c>
      <c r="B187" t="inlineStr">
        <is>
          <t>esma_cloud_guidelines (GDPR - Row 8)</t>
        </is>
      </c>
      <c r="C187" t="inlineStr">
        <is>
          <t>39</t>
        </is>
      </c>
      <c r="D187" s="8" t="inlineStr">
        <is>
          <t>In case of outsourcing of critical or important functions, a firm should make use of the</t>
        </is>
      </c>
      <c r="E187" t="inlineStr">
        <is>
          <t>19</t>
        </is>
      </c>
      <c r="F187" t="inlineStr">
        <is>
          <t>Other</t>
        </is>
      </c>
      <c r="G187" t="inlineStr">
        <is>
          <t>Unknown</t>
        </is>
      </c>
      <c r="H187" t="inlineStr">
        <is>
          <t>Low</t>
        </is>
      </c>
      <c r="I187" s="8" t="inlineStr"/>
      <c r="J187" s="8" t="inlineStr"/>
      <c r="K187" t="inlineStr"/>
      <c r="L187" s="8" t="inlineStr"/>
      <c r="M187" s="8" t="inlineStr"/>
      <c r="N187" s="8" t="inlineStr"/>
      <c r="O187" s="8" t="inlineStr"/>
    </row>
    <row r="188">
      <c r="A188" t="inlineStr">
        <is>
          <t>GDPR</t>
        </is>
      </c>
      <c r="B188" t="inlineStr">
        <is>
          <t>esma_cloud_guidelines (GDPR - Row 8)</t>
        </is>
      </c>
      <c r="C188" t="inlineStr">
        <is>
          <t>40</t>
        </is>
      </c>
      <c r="D188" s="8" t="inlineStr">
        <is>
          <t>A firm should ensure that, before an on-site visit, including by a third party appointed</t>
        </is>
      </c>
      <c r="E188" t="inlineStr">
        <is>
          <t>19</t>
        </is>
      </c>
      <c r="F188" t="inlineStr">
        <is>
          <t>Other</t>
        </is>
      </c>
      <c r="G188" t="inlineStr">
        <is>
          <t>Unknown</t>
        </is>
      </c>
      <c r="H188" t="inlineStr">
        <is>
          <t>Low</t>
        </is>
      </c>
      <c r="I188" s="8" t="inlineStr"/>
      <c r="J188" s="8" t="inlineStr"/>
      <c r="K188" t="inlineStr"/>
      <c r="L188" s="8" t="inlineStr"/>
      <c r="M188" s="8" t="inlineStr"/>
      <c r="N188" s="8" t="inlineStr"/>
      <c r="O188" s="8" t="inlineStr"/>
    </row>
    <row r="189">
      <c r="A189" t="inlineStr">
        <is>
          <t>GDPR</t>
        </is>
      </c>
      <c r="B189" t="inlineStr">
        <is>
          <t>esma_cloud_guidelines (GDPR - Row 8)</t>
        </is>
      </c>
      <c r="C189" t="inlineStr">
        <is>
          <t>41</t>
        </is>
      </c>
      <c r="D189" s="8" t="inlineStr">
        <is>
          <t>Considering that cloud services present a high level of technical complexity and raise</t>
        </is>
      </c>
      <c r="E189" t="inlineStr">
        <is>
          <t>19–20</t>
        </is>
      </c>
      <c r="F189" t="inlineStr">
        <is>
          <t>Other</t>
        </is>
      </c>
      <c r="G189" t="inlineStr">
        <is>
          <t>Unknown</t>
        </is>
      </c>
      <c r="H189" t="inlineStr">
        <is>
          <t>Low</t>
        </is>
      </c>
      <c r="I189" s="8" t="inlineStr"/>
      <c r="J189" s="8" t="inlineStr"/>
      <c r="K189" t="inlineStr"/>
      <c r="L189" s="8" t="inlineStr"/>
      <c r="M189" s="8" t="inlineStr"/>
      <c r="N189" s="8" t="inlineStr"/>
      <c r="O189" s="8" t="inlineStr"/>
    </row>
    <row r="190">
      <c r="A190" t="inlineStr">
        <is>
          <t>GDPR</t>
        </is>
      </c>
      <c r="B190" t="inlineStr">
        <is>
          <t>esma_cloud_guidelines (GDPR - Row 8)</t>
        </is>
      </c>
      <c r="C190" t="inlineStr">
        <is>
          <t>42</t>
        </is>
      </c>
      <c r="D190" s="8" t="inlineStr">
        <is>
          <t>If sub-outsourcing of critical or important functions (or material parts thereof) is</t>
        </is>
      </c>
      <c r="E190" t="inlineStr">
        <is>
          <t>20</t>
        </is>
      </c>
      <c r="F190" t="inlineStr">
        <is>
          <t>Other</t>
        </is>
      </c>
      <c r="G190" t="inlineStr">
        <is>
          <t>Unknown</t>
        </is>
      </c>
      <c r="H190" t="inlineStr">
        <is>
          <t>Low</t>
        </is>
      </c>
      <c r="I190" s="8" t="inlineStr"/>
      <c r="J190" s="8" t="inlineStr"/>
      <c r="K190" t="inlineStr"/>
      <c r="L190" s="8" t="inlineStr"/>
      <c r="M190" s="8" t="inlineStr"/>
      <c r="N190" s="8" t="inlineStr"/>
      <c r="O190" s="8" t="inlineStr"/>
    </row>
    <row r="191">
      <c r="A191" t="inlineStr">
        <is>
          <t>GDPR</t>
        </is>
      </c>
      <c r="B191" t="inlineStr">
        <is>
          <t>esma_cloud_guidelines (GDPR - Row 8)</t>
        </is>
      </c>
      <c r="C191" t="inlineStr">
        <is>
          <t>44</t>
        </is>
      </c>
      <c r="D191" s="8" t="inlineStr">
        <is>
          <t>The firm should notify in writing its competent authority in a timely manner of planned</t>
        </is>
      </c>
      <c r="E191" t="inlineStr">
        <is>
          <t>20</t>
        </is>
      </c>
      <c r="F191" t="inlineStr">
        <is>
          <t>Other</t>
        </is>
      </c>
      <c r="G191" t="inlineStr">
        <is>
          <t>Unknown</t>
        </is>
      </c>
      <c r="H191" t="inlineStr">
        <is>
          <t>Low</t>
        </is>
      </c>
      <c r="I191" s="8" t="inlineStr"/>
      <c r="J191" s="8" t="inlineStr"/>
      <c r="K191" t="inlineStr"/>
      <c r="L191" s="8" t="inlineStr"/>
      <c r="M191" s="8" t="inlineStr"/>
      <c r="N191" s="8" t="inlineStr"/>
      <c r="O191" s="8" t="inlineStr"/>
    </row>
    <row r="192">
      <c r="A192" t="inlineStr">
        <is>
          <t>GDPR</t>
        </is>
      </c>
      <c r="B192" t="inlineStr">
        <is>
          <t>esma_cloud_guidelines (GDPR - Row 8)</t>
        </is>
      </c>
      <c r="C192" t="inlineStr">
        <is>
          <t>45</t>
        </is>
      </c>
      <c r="D192" s="8" t="inlineStr">
        <is>
          <t>The firm's written notification should include, taking into account the principle of</t>
        </is>
      </c>
      <c r="E192" t="inlineStr">
        <is>
          <t>20–21</t>
        </is>
      </c>
      <c r="F192" t="inlineStr">
        <is>
          <t>Other</t>
        </is>
      </c>
      <c r="G192" t="inlineStr">
        <is>
          <t>Unknown</t>
        </is>
      </c>
      <c r="H192" t="inlineStr">
        <is>
          <t>Low</t>
        </is>
      </c>
      <c r="I192" s="8" t="inlineStr"/>
      <c r="J192" s="8" t="inlineStr"/>
      <c r="K192" t="inlineStr"/>
      <c r="L192" s="8" t="inlineStr"/>
      <c r="M192" s="8" t="inlineStr"/>
      <c r="N192" s="8" t="inlineStr"/>
      <c r="O192" s="8" t="inlineStr"/>
    </row>
    <row r="193">
      <c r="A193" t="inlineStr">
        <is>
          <t>GDPR</t>
        </is>
      </c>
      <c r="B193" t="inlineStr">
        <is>
          <t>esma_cloud_guidelines (GDPR - Row 8)</t>
        </is>
      </c>
      <c r="C193" t="inlineStr">
        <is>
          <t>46</t>
        </is>
      </c>
      <c r="D193" s="8" t="inlineStr">
        <is>
          <t>Competent authorities should assess the risks arising from firms' cloud outsourcing</t>
        </is>
      </c>
      <c r="E193" t="inlineStr">
        <is>
          <t>21</t>
        </is>
      </c>
      <c r="F193" t="inlineStr">
        <is>
          <t>Other</t>
        </is>
      </c>
      <c r="G193" t="inlineStr">
        <is>
          <t>Unknown</t>
        </is>
      </c>
      <c r="H193" t="inlineStr">
        <is>
          <t>Low</t>
        </is>
      </c>
      <c r="I193" s="8" t="inlineStr"/>
      <c r="J193" s="8" t="inlineStr"/>
      <c r="K193" t="inlineStr"/>
      <c r="L193" s="8" t="inlineStr"/>
      <c r="M193" s="8" t="inlineStr"/>
      <c r="N193" s="8" t="inlineStr"/>
      <c r="O193" s="8" t="inlineStr"/>
    </row>
    <row r="194">
      <c r="A194" t="inlineStr">
        <is>
          <t>GDPR</t>
        </is>
      </c>
      <c r="B194" t="inlineStr">
        <is>
          <t>esma_cloud_guidelines (GDPR - Row 8)</t>
        </is>
      </c>
      <c r="C194" t="inlineStr">
        <is>
          <t>47</t>
        </is>
      </c>
      <c r="D194" s="8" t="inlineStr">
        <is>
          <t>Competent authorities should be satisfied that they are able to perform effective</t>
        </is>
      </c>
      <c r="E194" t="inlineStr">
        <is>
          <t>21</t>
        </is>
      </c>
      <c r="F194" t="inlineStr">
        <is>
          <t>Other</t>
        </is>
      </c>
      <c r="G194" t="inlineStr">
        <is>
          <t>Unknown</t>
        </is>
      </c>
      <c r="H194" t="inlineStr">
        <is>
          <t>Low</t>
        </is>
      </c>
      <c r="I194" s="8" t="inlineStr"/>
      <c r="J194" s="8" t="inlineStr"/>
      <c r="K194" t="inlineStr"/>
      <c r="L194" s="8" t="inlineStr"/>
      <c r="M194" s="8" t="inlineStr"/>
      <c r="N194" s="8" t="inlineStr"/>
      <c r="O194" s="8" t="inlineStr"/>
    </row>
    <row r="195">
      <c r="A195" t="inlineStr">
        <is>
          <t>GDPR</t>
        </is>
      </c>
      <c r="B195" t="inlineStr">
        <is>
          <t>esma_cloud_guidelines (GDPR - Row 8)</t>
        </is>
      </c>
      <c r="C195" t="inlineStr">
        <is>
          <t>48</t>
        </is>
      </c>
      <c r="D195" s="8" t="inlineStr">
        <is>
          <t>Competent authorities should assess on a risk-based approach whether firms:</t>
        </is>
      </c>
      <c r="E195" t="inlineStr">
        <is>
          <t>21</t>
        </is>
      </c>
      <c r="F195" t="inlineStr">
        <is>
          <t>Other</t>
        </is>
      </c>
      <c r="G195" t="inlineStr">
        <is>
          <t>Unknown</t>
        </is>
      </c>
      <c r="H195" t="inlineStr">
        <is>
          <t>Low</t>
        </is>
      </c>
      <c r="I195" s="8" t="inlineStr"/>
      <c r="J195" s="8" t="inlineStr"/>
      <c r="K195" t="inlineStr"/>
      <c r="L195" s="8" t="inlineStr"/>
      <c r="M195" s="8" t="inlineStr"/>
      <c r="N195" s="8" t="inlineStr"/>
      <c r="O195" s="8" t="inlineStr"/>
    </row>
    <row r="196">
      <c r="A196" t="inlineStr">
        <is>
          <t>GDPR</t>
        </is>
      </c>
      <c r="B196" t="inlineStr">
        <is>
          <t>esma_cloud_guidelines (GDPR - Row 8)</t>
        </is>
      </c>
      <c r="C196" t="inlineStr">
        <is>
          <t>49</t>
        </is>
      </c>
      <c r="D196" s="8" t="inlineStr">
        <is>
          <t>Where concentration risks are identified, competent authorities should monitor the</t>
        </is>
      </c>
      <c r="E196" t="inlineStr">
        <is>
          <t>21</t>
        </is>
      </c>
      <c r="F196" t="inlineStr">
        <is>
          <t>Other</t>
        </is>
      </c>
      <c r="G196" t="inlineStr">
        <is>
          <t>Unknown</t>
        </is>
      </c>
      <c r="H196" t="inlineStr">
        <is>
          <t>Low</t>
        </is>
      </c>
      <c r="I196" s="8" t="inlineStr"/>
      <c r="J196" s="8" t="inlineStr"/>
      <c r="K196" t="inlineStr"/>
      <c r="L196" s="8" t="inlineStr"/>
      <c r="M196" s="8" t="inlineStr"/>
      <c r="N196" s="8" t="inlineStr"/>
      <c r="O196" s="8" t="inlineStr"/>
    </row>
    <row r="197">
      <c r="A197" t="inlineStr">
        <is>
          <t>India</t>
        </is>
      </c>
      <c r="B197" t="inlineStr">
        <is>
          <t>NT75589AC4A988D446CA94182886F6D8EADD (India - Row 13) PROVISIONALLY</t>
        </is>
      </c>
      <c r="C197" t="inlineStr">
        <is>
          <t>3</t>
        </is>
      </c>
      <c r="D197" s="8" t="inlineStr">
        <is>
          <t>All other instructions in this regard shall remain unchanged.</t>
        </is>
      </c>
      <c r="E197" t="inlineStr">
        <is>
          <t>1–2</t>
        </is>
      </c>
      <c r="F197" t="inlineStr">
        <is>
          <t>Other</t>
        </is>
      </c>
      <c r="G197" t="inlineStr">
        <is>
          <t>None</t>
        </is>
      </c>
      <c r="H197" t="inlineStr">
        <is>
          <t>Low</t>
        </is>
      </c>
      <c r="I197" s="8" t="inlineStr"/>
      <c r="J197" s="8" t="inlineStr"/>
      <c r="K197" t="inlineStr"/>
      <c r="L197" s="8" t="inlineStr"/>
      <c r="M197" s="8" t="inlineStr"/>
      <c r="N197" s="8" t="inlineStr"/>
      <c r="O197" s="8" t="inlineStr">
        <is>
          <t>All other instructions in this regard shall remain unchanged.</t>
        </is>
      </c>
    </row>
    <row r="198">
      <c r="A198" t="inlineStr">
        <is>
          <t>India</t>
        </is>
      </c>
      <c r="B198" t="inlineStr">
        <is>
          <t>RBI Digital Lending Directions 2025 Digital Lending Guidelines 2022 (India - Row 14)</t>
        </is>
      </c>
      <c r="C198" t="inlineStr">
        <is>
          <t>1</t>
        </is>
      </c>
      <c r="D198" s="8" t="inlineStr">
        <is>
          <t>Preamble</t>
        </is>
      </c>
      <c r="E198" t="inlineStr">
        <is>
          <t>3</t>
        </is>
      </c>
      <c r="F198" t="inlineStr">
        <is>
          <t>Other</t>
        </is>
      </c>
      <c r="G198" t="inlineStr">
        <is>
          <t>High</t>
        </is>
      </c>
      <c r="H198" t="inlineStr">
        <is>
          <t>High (explicit)</t>
        </is>
      </c>
      <c r="I198" s="8" t="inlineStr"/>
      <c r="J198" s="8" t="inlineStr"/>
      <c r="K198" t="inlineStr">
        <is>
          <t>Reserve Bank of India</t>
        </is>
      </c>
      <c r="L198" s="8" t="inlineStr">
        <is>
          <t>Reserve Bank mandates credit system operation, encourages financial innovation while ensuring stability and depositor/borrower protection. Addresses concerns in digital lending.</t>
        </is>
      </c>
      <c r="M198" s="8" t="inlineStr"/>
      <c r="N198" s="8" t="inlineStr"/>
      <c r="O198" s="8" t="inlineStr">
        <is>
          <t>Reserve Bank is statutorily mandated to operate the credit system of the country to its advantage.</t>
        </is>
      </c>
    </row>
    <row r="199">
      <c r="A199" t="inlineStr">
        <is>
          <t>India</t>
        </is>
      </c>
      <c r="B199" t="inlineStr">
        <is>
          <t>RBI Digital Lending Directions 2025 Digital Lending Guidelines 2022 (India - Row 14)</t>
        </is>
      </c>
      <c r="C199" t="inlineStr">
        <is>
          <t>1</t>
        </is>
      </c>
      <c r="D199" s="8" t="inlineStr">
        <is>
          <t>RBI/2019-20/258</t>
        </is>
      </c>
      <c r="E199" t="inlineStr">
        <is>
          <t>24</t>
        </is>
      </c>
      <c r="F199" t="inlineStr">
        <is>
          <t>Other</t>
        </is>
      </c>
      <c r="G199" t="inlineStr">
        <is>
          <t>Unknown</t>
        </is>
      </c>
      <c r="H199" t="inlineStr">
        <is>
          <t>Low</t>
        </is>
      </c>
      <c r="I199" s="8" t="inlineStr"/>
      <c r="J199" s="8" t="inlineStr"/>
      <c r="K199" t="inlineStr"/>
      <c r="L199" s="8" t="inlineStr"/>
      <c r="M199" s="8" t="inlineStr"/>
      <c r="N199" s="8" t="inlineStr"/>
      <c r="O199" s="8" t="inlineStr"/>
    </row>
    <row r="200">
      <c r="A200" t="inlineStr">
        <is>
          <t>India</t>
        </is>
      </c>
      <c r="B200" t="inlineStr">
        <is>
          <t>RBI Digital Lending Directions 2025 Digital Lending Guidelines 2022 (India - Row 14)</t>
        </is>
      </c>
      <c r="C200" t="inlineStr">
        <is>
          <t>3</t>
        </is>
      </c>
      <c r="D200" s="8" t="inlineStr">
        <is>
          <t>Applicability</t>
        </is>
      </c>
      <c r="E200" t="inlineStr">
        <is>
          <t>4</t>
        </is>
      </c>
      <c r="F200" t="inlineStr">
        <is>
          <t>Other</t>
        </is>
      </c>
      <c r="G200" t="inlineStr">
        <is>
          <t>High</t>
        </is>
      </c>
      <c r="H200" t="inlineStr">
        <is>
          <t>High (explicit)</t>
        </is>
      </c>
      <c r="I200" s="8" t="inlineStr"/>
      <c r="J200" s="8" t="inlineStr"/>
      <c r="K200" t="inlineStr"/>
      <c r="L200" s="8" t="inlineStr">
        <is>
          <t>Applies to all digital lending activities of Commercial Banks, Primary Co-operative Banks, State Co-operative Banks, Central Co-operative Banks, Non-Banking Financial Companies, and All-India Financial Institutions.</t>
        </is>
      </c>
      <c r="M200" s="8" t="inlineStr"/>
      <c r="N200" s="8" t="inlineStr"/>
      <c r="O200" s="8" t="inlineStr">
        <is>
          <t>These Directions shall be applicable to all digital lending activities of the following entities, hereinafter referred to as a Regulated Entity (RE) and collectively as Regulated Entities (REs), as the context may require</t>
        </is>
      </c>
    </row>
    <row r="201">
      <c r="A201" t="inlineStr">
        <is>
          <t>India</t>
        </is>
      </c>
      <c r="B201" t="inlineStr">
        <is>
          <t>RBI Digital Lending Directions 2025 Digital Lending Guidelines 2022 (India - Row 14)</t>
        </is>
      </c>
      <c r="C201" t="inlineStr">
        <is>
          <t>4</t>
        </is>
      </c>
      <c r="D201" s="8" t="inlineStr">
        <is>
          <t>Definitions</t>
        </is>
      </c>
      <c r="E201" t="inlineStr">
        <is>
          <t>4–5</t>
        </is>
      </c>
      <c r="F201" t="inlineStr">
        <is>
          <t>Definitions</t>
        </is>
      </c>
      <c r="G201" t="inlineStr">
        <is>
          <t>High</t>
        </is>
      </c>
      <c r="H201" t="inlineStr">
        <is>
          <t>High (explicit)</t>
        </is>
      </c>
      <c r="I201" s="8" t="inlineStr"/>
      <c r="J201" s="8" t="inlineStr"/>
      <c r="K201" t="inlineStr"/>
      <c r="L201" s="8" t="inlineStr">
        <is>
          <t>Defines key terms including Annual Percentage Rate, Default Loss Guarantee, Digital Lending, Digital Lending Apps/Platforms, and Lending Service Providers.</t>
        </is>
      </c>
      <c r="M201" s="8" t="inlineStr"/>
      <c r="N201" s="8" t="inlineStr"/>
      <c r="O201" s="8" t="inlineStr">
        <is>
          <t>For the purpose of these Directions, unless the context otherwise requires, the terms herein shall bear the meaning assigned to them below</t>
        </is>
      </c>
    </row>
    <row r="202">
      <c r="A202" t="inlineStr">
        <is>
          <t>India</t>
        </is>
      </c>
      <c r="B202" t="inlineStr">
        <is>
          <t>RBI Digital Lending Directions 2025 Digital Lending Guidelines 2022 (India - Row 14)</t>
        </is>
      </c>
      <c r="C202" t="inlineStr">
        <is>
          <t>5</t>
        </is>
      </c>
      <c r="D202" s="8" t="inlineStr">
        <is>
          <t>Due diligence requirements with respect to LSPs</t>
        </is>
      </c>
      <c r="E202" t="inlineStr">
        <is>
          <t>5–6</t>
        </is>
      </c>
      <c r="F202" t="inlineStr">
        <is>
          <t>Third Party Processing</t>
        </is>
      </c>
      <c r="G202" t="inlineStr">
        <is>
          <t>High</t>
        </is>
      </c>
      <c r="H202" t="inlineStr">
        <is>
          <t>High (explicit)</t>
        </is>
      </c>
      <c r="I202" s="8" t="inlineStr">
        <is>
          <t>Third Party Processing, Outsourcing</t>
        </is>
      </c>
      <c r="J202" s="8" t="inlineStr">
        <is>
          <t>Personal Information</t>
        </is>
      </c>
      <c r="K202" t="inlineStr">
        <is>
          <t>Reserve Bank of India</t>
        </is>
      </c>
      <c r="L202" s="8" t="inlineStr">
        <is>
          <t>RE must have contractual agreements with LSPs defining roles, conduct enhanced due diligence, perform periodic reviews, establish monitoring mechanisms, and ensure LSP compliance with regulations.</t>
        </is>
      </c>
      <c r="M202" s="8" t="inlineStr">
        <is>
          <t>RE must conduct enhanced due diligence on LSPs, perform periodic reviews, and ensure LSP compliance with regulations.</t>
        </is>
      </c>
      <c r="N202" s="8" t="inlineStr">
        <is>
          <t>[Must] RE shall conduct enhanced due diligence before entering into agreement with LSP for digital lending
[Must] RE shall carry out periodic review of LSP conduct against contractual terms
[Must] RE shall lay down monitoring mechanisms for loan portfolios originated with LSPs
[Must] RE shall ensure LSPs comply with applicable regulations</t>
        </is>
      </c>
      <c r="O202" s="8" t="inlineStr">
        <is>
          <t>RE shall conduct enhanced due diligence before they enter into an agreement with a LSP for digital lending</t>
        </is>
      </c>
    </row>
    <row r="203">
      <c r="A203" t="inlineStr">
        <is>
          <t>India</t>
        </is>
      </c>
      <c r="B203" t="inlineStr">
        <is>
          <t>RBI Digital Lending Directions 2025 Digital Lending Guidelines 2022 (India - Row 14)</t>
        </is>
      </c>
      <c r="C203" t="inlineStr">
        <is>
          <t>6</t>
        </is>
      </c>
      <c r="D203" s="8" t="inlineStr">
        <is>
          <t>RE-LSP arrangements involving multiple lenders</t>
        </is>
      </c>
      <c r="E203" t="inlineStr">
        <is>
          <t>6–7</t>
        </is>
      </c>
      <c r="F203" t="inlineStr">
        <is>
          <t>Cross-border Transfer</t>
        </is>
      </c>
      <c r="G203" t="inlineStr">
        <is>
          <t>High</t>
        </is>
      </c>
      <c r="H203" t="inlineStr">
        <is>
          <t>High (explicit)</t>
        </is>
      </c>
      <c r="I203" s="8" t="inlineStr">
        <is>
          <t>Cross-border Transfer, Data Sharing</t>
        </is>
      </c>
      <c r="J203" s="8" t="inlineStr">
        <is>
          <t>Personal Information</t>
        </is>
      </c>
      <c r="K203" t="inlineStr">
        <is>
          <t>Reserve Bank of India</t>
        </is>
      </c>
      <c r="L203" s="8" t="inlineStr">
        <is>
          <t>LSPs must provide transparent loan offers to borrowers, match lenders fairly, disclose loan details objectively, and avoid dark patterns in digital lending platforms.</t>
        </is>
      </c>
      <c r="M203" s="8" t="inlineStr">
        <is>
          <t>LSPs must provide transparent loan offers, match lenders fairly, disclose loan details objectively, and avoid dark patterns.</t>
        </is>
      </c>
      <c r="N203" s="8" t="inlineStr">
        <is>
          <t>[Must] LSP shall provide digital view of all loan offers matching borrower's request
[Must] LSP shall follow consistent approach for similarly placed borrowers
[Must] Digital view shall include name of REs, loan amount, tenor, APR, repayment obligations
[Must] Content displayed by LSP shall be unbiased and objective</t>
        </is>
      </c>
      <c r="O203" s="8" t="inlineStr">
        <is>
          <t>LSP shall provide a digital view of all the loan offers matching the borrower's request on the DLA</t>
        </is>
      </c>
    </row>
    <row r="204">
      <c r="A204" t="inlineStr">
        <is>
          <t>India</t>
        </is>
      </c>
      <c r="B204" t="inlineStr">
        <is>
          <t>RBI Digital Lending Directions 2025 Digital Lending Guidelines 2022 (India - Row 14)</t>
        </is>
      </c>
      <c r="C204" t="inlineStr">
        <is>
          <t>7</t>
        </is>
      </c>
      <c r="D204" s="8" t="inlineStr">
        <is>
          <t>Assessing the borrower's creditworthiness</t>
        </is>
      </c>
      <c r="E204" t="inlineStr">
        <is>
          <t>7–8</t>
        </is>
      </c>
      <c r="F204" t="inlineStr">
        <is>
          <t>Data Collection</t>
        </is>
      </c>
      <c r="G204" t="inlineStr">
        <is>
          <t>High</t>
        </is>
      </c>
      <c r="H204" t="inlineStr">
        <is>
          <t>High (explicit)</t>
        </is>
      </c>
      <c r="I204" s="8" t="inlineStr"/>
      <c r="J204" s="8" t="inlineStr">
        <is>
          <t>Personal Information</t>
        </is>
      </c>
      <c r="K204" t="inlineStr">
        <is>
          <t>Reserve Bank of India</t>
        </is>
      </c>
      <c r="L204" s="8" t="inlineStr">
        <is>
          <t>RE must obtain borrower's economic profile (age, occupation, income) for creditworthiness assessment and maintain records for audit purposes.</t>
        </is>
      </c>
      <c r="M204" s="8" t="inlineStr">
        <is>
          <t>RE must obtain borrower's economic profile for credit assessment and maintain records for audit.</t>
        </is>
      </c>
      <c r="N204" s="8" t="inlineStr">
        <is>
          <t>[Must] RE shall obtain necessary information relating to borrower's economic profile</t>
        </is>
      </c>
      <c r="O204" s="8" t="inlineStr">
        <is>
          <t>RE shall obtain the necessary information relating to economic profile of the borrower with a view to assessing the borrower's creditworthiness</t>
        </is>
      </c>
    </row>
    <row r="205">
      <c r="A205" t="inlineStr">
        <is>
          <t>India</t>
        </is>
      </c>
      <c r="B205" t="inlineStr">
        <is>
          <t>RBI Digital Lending Directions 2025 Digital Lending Guidelines 2022 (India - Row 14)</t>
        </is>
      </c>
      <c r="C205" t="inlineStr">
        <is>
          <t>8</t>
        </is>
      </c>
      <c r="D205" s="8" t="inlineStr">
        <is>
          <t>Disclosures to borrowers</t>
        </is>
      </c>
      <c r="E205" t="inlineStr">
        <is>
          <t>8–9</t>
        </is>
      </c>
      <c r="F205" t="inlineStr">
        <is>
          <t>Data Sharing</t>
        </is>
      </c>
      <c r="G205" t="inlineStr">
        <is>
          <t>High</t>
        </is>
      </c>
      <c r="H205" t="inlineStr">
        <is>
          <t>High (explicit)</t>
        </is>
      </c>
      <c r="I205" s="8" t="inlineStr">
        <is>
          <t>Data Sharing</t>
        </is>
      </c>
      <c r="J205" s="8" t="inlineStr">
        <is>
          <t>Personal Information</t>
        </is>
      </c>
      <c r="K205" t="inlineStr">
        <is>
          <t>Reserve Bank of India</t>
        </is>
      </c>
      <c r="L205" s="8" t="inlineStr">
        <is>
          <t>RE must provide Key Fact Statement (KFS), ensure fair penal charges, digitally sign documents, maintain public website with product details, and communicate recovery agent details.</t>
        </is>
      </c>
      <c r="M205" s="8" t="inlineStr">
        <is>
          <t>RE must provide KFS, ensure fair penal charges, digitally sign documents, maintain public website with product details, and communicate recovery agent details.</t>
        </is>
      </c>
      <c r="N205" s="8" t="inlineStr">
        <is>
          <t>[Must] RE shall provide Key Fact Statement (KFS) as per circular instructions
[Must] RE shall ensure digitally signed documents flow to borrower via email/SMS
[Must] RE shall maintain public website with product details, LSPs, grievance mechanisms, and privacy policies
[Must] RE shall communicate recovery agent details to borrower via email/SMS</t>
        </is>
      </c>
      <c r="O205" s="8" t="inlineStr">
        <is>
          <t>RE shall provide a Key Fact Statement (KFS), as per instructions contained in circular no. DOR.STR.REC.13/13.03.00/2024-25</t>
        </is>
      </c>
    </row>
    <row r="206">
      <c r="A206" t="inlineStr">
        <is>
          <t>India</t>
        </is>
      </c>
      <c r="B206" t="inlineStr">
        <is>
          <t>RBI Digital Lending Directions 2025 Digital Lending Guidelines 2022 (India - Row 14)</t>
        </is>
      </c>
      <c r="C206" t="inlineStr">
        <is>
          <t>9</t>
        </is>
      </c>
      <c r="D206" s="8" t="inlineStr">
        <is>
          <t>Loan disbursal, servicing and repayment</t>
        </is>
      </c>
      <c r="E206" t="inlineStr">
        <is>
          <t>9–10</t>
        </is>
      </c>
      <c r="F206" t="inlineStr">
        <is>
          <t>Data Storage</t>
        </is>
      </c>
      <c r="G206" t="inlineStr">
        <is>
          <t>High</t>
        </is>
      </c>
      <c r="H206" t="inlineStr">
        <is>
          <t>High (explicit)</t>
        </is>
      </c>
      <c r="I206" s="8" t="inlineStr">
        <is>
          <t>Data Storage</t>
        </is>
      </c>
      <c r="J206" s="8" t="inlineStr">
        <is>
          <t>Financial Data</t>
        </is>
      </c>
      <c r="K206" t="inlineStr">
        <is>
          <t>Reserve Bank of India</t>
        </is>
      </c>
      <c r="L206" s="8" t="inlineStr">
        <is>
          <t>RE must disburse loans directly to borrower's bank account, ensure no third-party pass-through accounts, and maintain direct fund flow between borrower and RE.</t>
        </is>
      </c>
      <c r="M206" s="8" t="inlineStr">
        <is>
          <t>RE must disburse loans directly to borrower's bank account, ensure no third-party pass-through accounts, and maintain direct fund flow.</t>
        </is>
      </c>
      <c r="N206" s="8" t="inlineStr">
        <is>
          <t>[Must] Disbursement of loan shall always be made into borrower's bank account
[Must] All loan servicing and repayment must be executed directly in RE's bank account
[Must] Flow of funds between borrower and RE shall not be controlled by third party</t>
        </is>
      </c>
      <c r="O206" s="8" t="inlineStr">
        <is>
          <t>Disbursement of loan by the RE shall always be made into the bank account of the borrower</t>
        </is>
      </c>
    </row>
    <row r="207">
      <c r="A207" t="inlineStr">
        <is>
          <t>India</t>
        </is>
      </c>
      <c r="B207" t="inlineStr">
        <is>
          <t>RBI Digital Lending Directions 2025 Digital Lending Guidelines 2022 (India - Row 14)</t>
        </is>
      </c>
      <c r="C207" t="inlineStr">
        <is>
          <t>10</t>
        </is>
      </c>
      <c r="D207" s="8" t="inlineStr">
        <is>
          <t>Cooling-off period</t>
        </is>
      </c>
      <c r="E207" t="inlineStr">
        <is>
          <t>10</t>
        </is>
      </c>
      <c r="F207" t="inlineStr">
        <is>
          <t>Other</t>
        </is>
      </c>
      <c r="G207" t="inlineStr">
        <is>
          <t>High</t>
        </is>
      </c>
      <c r="H207" t="inlineStr">
        <is>
          <t>High (explicit)</t>
        </is>
      </c>
      <c r="I207" s="8" t="inlineStr"/>
      <c r="J207" s="8" t="inlineStr">
        <is>
          <t>Personal Information</t>
        </is>
      </c>
      <c r="K207" t="inlineStr">
        <is>
          <t>Reserve Bank of India</t>
        </is>
      </c>
      <c r="L207" s="8" t="inlineStr">
        <is>
          <t>Borrowers must have explicit option to exit loan during cooling-off period (minimum 1 day) with principal and proportional APR without penalty.</t>
        </is>
      </c>
      <c r="M207" s="8" t="inlineStr">
        <is>
          <t>Borrowers must have explicit option to exit loan during cooling-off period (minimum 1 day) with principal and proportional APR without penalty.</t>
        </is>
      </c>
      <c r="N207" s="8" t="inlineStr">
        <is>
          <t>[Must] Borrower shall be given explicit option to exit loan by paying principal and proportional APR without penalty during cooling-off period</t>
        </is>
      </c>
      <c r="O207" s="8" t="inlineStr">
        <is>
          <t>The borrower shall be given an explicit option to exit a digital loan by paying the principal and the proportionate APR without any penalty during an initial 'cooling-off period'</t>
        </is>
      </c>
    </row>
    <row r="208">
      <c r="A208" t="inlineStr">
        <is>
          <t>India</t>
        </is>
      </c>
      <c r="B208" t="inlineStr">
        <is>
          <t>RBI Digital Lending Directions 2025 Digital Lending Guidelines 2022 (India - Row 14)</t>
        </is>
      </c>
      <c r="C208" t="inlineStr">
        <is>
          <t>11</t>
        </is>
      </c>
      <c r="D208" s="8" t="inlineStr">
        <is>
          <t>Grievance redressal</t>
        </is>
      </c>
      <c r="E208" t="inlineStr">
        <is>
          <t>10–11</t>
        </is>
      </c>
      <c r="F208" t="inlineStr">
        <is>
          <t>Other</t>
        </is>
      </c>
      <c r="G208" t="inlineStr">
        <is>
          <t>High</t>
        </is>
      </c>
      <c r="H208" t="inlineStr">
        <is>
          <t>High (explicit)</t>
        </is>
      </c>
      <c r="I208" s="8" t="inlineStr"/>
      <c r="J208" s="8" t="inlineStr">
        <is>
          <t>Personal Information</t>
        </is>
      </c>
      <c r="K208" t="inlineStr">
        <is>
          <t>Reserve Bank of India</t>
        </is>
      </c>
      <c r="L208" s="8" t="inlineStr">
        <is>
          <t>RE and LSP must designate nodal grievance redressal officers, display contact details prominently, and provide complaint mechanisms including RBI's CMS portal.</t>
        </is>
      </c>
      <c r="M208" s="8" t="inlineStr">
        <is>
          <t>RE and LSP must designate nodal grievance redressal officers, display contact details prominently, and provide complaint mechanisms including RBI's CMS portal.</t>
        </is>
      </c>
      <c r="N208" s="8" t="inlineStr">
        <is>
          <t>[Must] RE and LSP shall designate nodal grievance redressal officers
[Must] Contact details of nodal officers shall be prominently displayed on websites and KFS
[Must] Borrowers can lodge complaints via RBI's CMS portal or physical complaint to RBI</t>
        </is>
      </c>
      <c r="O208" s="8" t="inlineStr">
        <is>
          <t>The RE, and the LSP which has an interface with the borrower, shall designate nodal grievance redressal officers</t>
        </is>
      </c>
    </row>
    <row r="209">
      <c r="A209" t="inlineStr">
        <is>
          <t>India</t>
        </is>
      </c>
      <c r="B209" t="inlineStr">
        <is>
          <t>RBI Digital Lending Directions 2025 Digital Lending Guidelines 2022 (India - Row 14)</t>
        </is>
      </c>
      <c r="C209" t="inlineStr">
        <is>
          <t>12</t>
        </is>
      </c>
      <c r="D209" s="8" t="inlineStr">
        <is>
          <t>Collection, usage and sharing of data with third parties</t>
        </is>
      </c>
      <c r="E209" t="inlineStr">
        <is>
          <t>11–12</t>
        </is>
      </c>
      <c r="F209" t="inlineStr">
        <is>
          <t>Data Sharing</t>
        </is>
      </c>
      <c r="G209" t="inlineStr">
        <is>
          <t>High</t>
        </is>
      </c>
      <c r="H209" t="inlineStr">
        <is>
          <t>High (explicit)</t>
        </is>
      </c>
      <c r="I209" s="8" t="inlineStr">
        <is>
          <t>Data Sharing</t>
        </is>
      </c>
      <c r="J209" s="8" t="inlineStr">
        <is>
          <t>Personal Information</t>
        </is>
      </c>
      <c r="K209" t="inlineStr">
        <is>
          <t>Reserve Bank of India</t>
        </is>
      </c>
      <c r="L209" s="8" t="inlineStr">
        <is>
          <t>RE must ensure data collection is need-based with explicit consent, restrict data sharing with third parties, and provide options for data control and deletion.</t>
        </is>
      </c>
      <c r="M209" s="8" t="inlineStr">
        <is>
          <t>RE must ensure data collection is need-based with explicit consent, provide options for data control and deletion, and restrict data sharing with third parties.</t>
        </is>
      </c>
      <c r="N209" s="8" t="inlineStr">
        <is>
          <t>[Must] RE shall ensure data collection by DLA is need-based with prior and explicit consent
[Must] Borrower shall be provided option to give/deny consent for data use, restrict disclosure, and revoke consent
[Must] Purpose of obtaining consent must be disclosed at each stage of interface
[Must] Explicit consent required before sharing personal information with third parties</t>
        </is>
      </c>
      <c r="O209" s="8" t="inlineStr">
        <is>
          <t>RE shall ensure that any collection of data by their DLA and DLA of their LSP is need-based and with prior and explicit consent of the borrower</t>
        </is>
      </c>
    </row>
    <row r="210">
      <c r="A210" t="inlineStr">
        <is>
          <t>India</t>
        </is>
      </c>
      <c r="B210" t="inlineStr">
        <is>
          <t>RBI Digital Lending Directions 2025 Digital Lending Guidelines 2022 (India - Row 14)</t>
        </is>
      </c>
      <c r="C210" t="inlineStr">
        <is>
          <t>13</t>
        </is>
      </c>
      <c r="D210" s="8" t="inlineStr">
        <is>
          <t>Storage of data</t>
        </is>
      </c>
      <c r="E210" t="inlineStr">
        <is>
          <t>12–13</t>
        </is>
      </c>
      <c r="F210" t="inlineStr">
        <is>
          <t>Data Storage</t>
        </is>
      </c>
      <c r="G210" t="inlineStr">
        <is>
          <t>High</t>
        </is>
      </c>
      <c r="H210" t="inlineStr">
        <is>
          <t>High (explicit)</t>
        </is>
      </c>
      <c r="I210" s="8" t="inlineStr">
        <is>
          <t>Data Storage, Data Residency</t>
        </is>
      </c>
      <c r="J210" s="8" t="inlineStr">
        <is>
          <t>Personal Information</t>
        </is>
      </c>
      <c r="K210" t="inlineStr">
        <is>
          <t>RBI</t>
        </is>
      </c>
      <c r="L210" s="8" t="inlineStr">
        <is>
          <t>RE must ensure LSPs store only minimal borrower data (name, address, contact) and retain data within India with 24-hour deletion for cross-border processing.</t>
        </is>
      </c>
      <c r="M210" s="8" t="inlineStr">
        <is>
          <t>Requires minimal data storage, India-only servers, 24-hour data deletion for cross-border processing, and clear data retention policies.</t>
        </is>
      </c>
      <c r="N210" s="8" t="inlineStr">
        <is>
          <t>[Must] RE must ensure LSPs store only minimal borrower data (name, address, contact) for operations
[Must] RE must ensure data stored only in India servers
[Must] RE must ensure data deleted from servers outside India within 24 hours of processing
[Must] RE must ensure clear policy on data storage duration, usage restrictions, and destruction protocols</t>
        </is>
      </c>
      <c r="O210" s="8" t="inlineStr">
        <is>
          <t>RE shall ensure that LSP engaged by them do not store personal information of borrower except some basic minimal data (viz., name, address, contact details of the customer, etc.) that may be required to carry out their operations or service within the scope of the RE-LSP agreement.</t>
        </is>
      </c>
    </row>
    <row r="211">
      <c r="A211" t="inlineStr">
        <is>
          <t>India</t>
        </is>
      </c>
      <c r="B211" t="inlineStr">
        <is>
          <t>RBI Digital Lending Directions 2025 Digital Lending Guidelines 2022 (India - Row 14)</t>
        </is>
      </c>
      <c r="C211" t="inlineStr">
        <is>
          <t>14</t>
        </is>
      </c>
      <c r="D211" s="8" t="inlineStr">
        <is>
          <t>Comprehensive privacy policy</t>
        </is>
      </c>
      <c r="E211" t="inlineStr">
        <is>
          <t>13</t>
        </is>
      </c>
      <c r="F211" t="inlineStr">
        <is>
          <t>Data Collection</t>
        </is>
      </c>
      <c r="G211" t="inlineStr">
        <is>
          <t>Medium</t>
        </is>
      </c>
      <c r="H211" t="inlineStr">
        <is>
          <t>High (explicit)</t>
        </is>
      </c>
      <c r="I211" s="8" t="inlineStr">
        <is>
          <t>Data Sharing</t>
        </is>
      </c>
      <c r="J211" s="8" t="inlineStr">
        <is>
          <t>Personal Information</t>
        </is>
      </c>
      <c r="K211" t="inlineStr">
        <is>
          <t>RBI</t>
        </is>
      </c>
      <c r="L211" s="8" t="inlineStr">
        <is>
          <t>RE and LSPs must have publicly available comprehensive privacy policies disclosing third parties allowed to collect personal information.</t>
        </is>
      </c>
      <c r="M211" s="8" t="inlineStr">
        <is>
          <t>Requires public privacy policies for RE and LSPs that disclose third parties collecting personal information.</t>
        </is>
      </c>
      <c r="N211" s="8" t="inlineStr">
        <is>
          <t>[Must] RE and LSPs must have comprehensive privacy policies compliant with applicable laws
[Must] Privacy policies must disclose third parties allowed to collect personal information</t>
        </is>
      </c>
      <c r="O211" s="8" t="inlineStr">
        <is>
          <t>RE and LSPs engaged by RE shall have a comprehensive privacy policy compliant with applicable laws, associated regulations and RBI guidelines which shall be made available publicly on the website of RE and LSP, as the case may be.</t>
        </is>
      </c>
    </row>
    <row r="212">
      <c r="A212" t="inlineStr">
        <is>
          <t>India</t>
        </is>
      </c>
      <c r="B212" t="inlineStr">
        <is>
          <t>RBI Digital Lending Directions 2025 Digital Lending Guidelines 2022 (India - Row 14)</t>
        </is>
      </c>
      <c r="C212" t="inlineStr">
        <is>
          <t>15</t>
        </is>
      </c>
      <c r="D212" s="8" t="inlineStr">
        <is>
          <t>Technology standards</t>
        </is>
      </c>
      <c r="E212" t="inlineStr">
        <is>
          <t>13</t>
        </is>
      </c>
      <c r="F212" t="inlineStr">
        <is>
          <t>Security</t>
        </is>
      </c>
      <c r="G212" t="inlineStr">
        <is>
          <t>High</t>
        </is>
      </c>
      <c r="H212" t="inlineStr">
        <is>
          <t>High (explicit)</t>
        </is>
      </c>
      <c r="I212" s="8" t="inlineStr">
        <is>
          <t>Security</t>
        </is>
      </c>
      <c r="J212" s="8" t="inlineStr">
        <is>
          <t>Personal Information</t>
        </is>
      </c>
      <c r="K212" t="inlineStr">
        <is>
          <t>RBI</t>
        </is>
      </c>
      <c r="L212" s="8" t="inlineStr">
        <is>
          <t>RE and LSPs must comply with RBI and other relevant agencies' cybersecurity technology standards for digital lending.</t>
        </is>
      </c>
      <c r="M212" s="8" t="inlineStr">
        <is>
          <t>Requires RE and LSPs to follow RBI's cybersecurity standards for digital lending operations.</t>
        </is>
      </c>
      <c r="N212" s="8" t="inlineStr">
        <is>
          <t>[Must] RE and LSPs must comply with RBI and other relevant agencies' cybersecurity technology standards</t>
        </is>
      </c>
      <c r="O212" s="8" t="inlineStr">
        <is>
          <t>RE shall ensure that they and the LSPs engaged by them comply with various technology standards/ requirements on cybersecurity stipulated by RBI and other relevant agencies, or as may be specified from time to time, for undertaking digital lending.</t>
        </is>
      </c>
    </row>
    <row r="213">
      <c r="A213" t="inlineStr">
        <is>
          <t>India</t>
        </is>
      </c>
      <c r="B213" t="inlineStr">
        <is>
          <t>RBI Digital Lending Directions 2025 Digital Lending Guidelines 2022 (India - Row 14)</t>
        </is>
      </c>
      <c r="C213" t="inlineStr">
        <is>
          <t>16</t>
        </is>
      </c>
      <c r="D213" s="8" t="inlineStr">
        <is>
          <t>Reporting to Credit Information Companies (CICs)</t>
        </is>
      </c>
      <c r="E213" t="inlineStr">
        <is>
          <t>13</t>
        </is>
      </c>
      <c r="F213" t="inlineStr">
        <is>
          <t>Data Sharing</t>
        </is>
      </c>
      <c r="G213" t="inlineStr">
        <is>
          <t>High</t>
        </is>
      </c>
      <c r="H213" t="inlineStr">
        <is>
          <t>High (explicit)</t>
        </is>
      </c>
      <c r="I213" s="8" t="inlineStr">
        <is>
          <t>Data Sharing, Data Storage</t>
        </is>
      </c>
      <c r="J213" s="8" t="inlineStr">
        <is>
          <t>Financial Data</t>
        </is>
      </c>
      <c r="K213" t="inlineStr">
        <is>
          <t>RBI</t>
        </is>
      </c>
      <c r="L213" s="8" t="inlineStr">
        <is>
          <t>RE must report all digital lending activities to Credit Information Companies (CICs) regardless of loan type or tenor.</t>
        </is>
      </c>
      <c r="M213" s="8" t="inlineStr">
        <is>
          <t>Requires reporting of all digital lending products to CICs for credit information purposes.</t>
        </is>
      </c>
      <c r="N213" s="8" t="inlineStr">
        <is>
          <t>[Must] RE must report all digital lending activities to CICs irrespective of nature/tenor
[Must] RE must ensure LSPs comply with outsourcing guidelines for deferred payment credit products</t>
        </is>
      </c>
      <c r="O213" s="8" t="inlineStr">
        <is>
          <t>RE shall ensure that any lending done through their DLAs and/or DLAs of LSPs is reported by them to CICs irrespective of its nature/ tenor.</t>
        </is>
      </c>
    </row>
    <row r="214">
      <c r="A214" t="inlineStr">
        <is>
          <t>India</t>
        </is>
      </c>
      <c r="B214" t="inlineStr">
        <is>
          <t>RBI Digital Lending Directions 2025 Digital Lending Guidelines 2022 (India - Row 14)</t>
        </is>
      </c>
      <c r="C214" t="inlineStr">
        <is>
          <t>17</t>
        </is>
      </c>
      <c r="D214" s="8" t="inlineStr">
        <is>
          <t>Reporting of DLAs to RBI</t>
        </is>
      </c>
      <c r="E214" t="inlineStr">
        <is>
          <t>13–15</t>
        </is>
      </c>
      <c r="F214" t="inlineStr">
        <is>
          <t>Other</t>
        </is>
      </c>
      <c r="G214" t="inlineStr">
        <is>
          <t>High</t>
        </is>
      </c>
      <c r="H214" t="inlineStr">
        <is>
          <t>High (explicit)</t>
        </is>
      </c>
      <c r="I214" s="8" t="inlineStr">
        <is>
          <t>Data Storage</t>
        </is>
      </c>
      <c r="J214" s="8" t="inlineStr">
        <is>
          <t>Personal Information</t>
        </is>
      </c>
      <c r="K214" t="inlineStr">
        <is>
          <t>RBI</t>
        </is>
      </c>
      <c r="L214" s="8" t="inlineStr">
        <is>
          <t>RE must report all DLAs to RBI's CIMS portal with details on data storage compliance and grievance redressal mechanisms.</t>
        </is>
      </c>
      <c r="M214" s="8" t="inlineStr">
        <is>
          <t>Requires reporting of DLAs to RBI with data storage compliance and grievance redressal details.</t>
        </is>
      </c>
      <c r="N214" s="8" t="inlineStr">
        <is>
          <t>[Must] RE must report all DLAs deployed to RBI's CIMS portal
[Must] RE must update DLAs list on CIMS portal as new DLAs are deployed or existing ones cease
[Must] Chief Compliance Officer must certify DLAs comply with data storage and privacy policies
[Must] RE must ensure DLAs have link to website with loan product details and privacy policies
[Must] RE must ensure DLAs have nodal grievance redressal officer for borrower complaints
[Must] RE must ensure data collection and storage comply with data storage regulations</t>
        </is>
      </c>
      <c r="O214" s="8" t="inlineStr">
        <is>
          <t>RE shall report all DLAs deployed/ joined by them, whether their own or those of the LSPs, either exclusively or as a platform participant, on the Centralised Information Management System (CIMS) portal of RBI in the requisite format as given in the Annex-I to these Directions.</t>
        </is>
      </c>
    </row>
    <row r="215">
      <c r="A215" t="inlineStr">
        <is>
          <t>India</t>
        </is>
      </c>
      <c r="B215" t="inlineStr">
        <is>
          <t>RBI Digital Lending Directions 2025 Digital Lending Guidelines 2022 (India - Row 14)</t>
        </is>
      </c>
      <c r="C215" t="inlineStr">
        <is>
          <t>19</t>
        </is>
      </c>
      <c r="D215" s="8" t="inlineStr">
        <is>
          <t>Due diligence and other requirements with respect to DLG provider</t>
        </is>
      </c>
      <c r="E215" t="inlineStr">
        <is>
          <t>15–16</t>
        </is>
      </c>
      <c r="F215" t="inlineStr">
        <is>
          <t>Data Sharing</t>
        </is>
      </c>
      <c r="G215" t="inlineStr">
        <is>
          <t>High</t>
        </is>
      </c>
      <c r="H215" t="inlineStr">
        <is>
          <t>High (explicit)</t>
        </is>
      </c>
      <c r="I215" s="8" t="inlineStr">
        <is>
          <t>Data Sharing, Data Storage</t>
        </is>
      </c>
      <c r="J215" s="8" t="inlineStr">
        <is>
          <t>Financial Data</t>
        </is>
      </c>
      <c r="K215" t="inlineStr">
        <is>
          <t>RBI</t>
        </is>
      </c>
      <c r="L215" s="8" t="inlineStr">
        <is>
          <t>RE must establish Board-approved policy for DLG providers including eligibility criteria, coverage, monitoring, and fee details.</t>
        </is>
      </c>
      <c r="M215" s="8" t="inlineStr">
        <is>
          <t>Requires Board-approved policy for DLG providers with eligibility criteria, coverage, monitoring, and fee details.</t>
        </is>
      </c>
      <c r="N215" s="8" t="inlineStr">
        <is>
          <t>[Must] RE must put in place Board-approved policy for DLG arrangements
[Must] Policy must include eligibility criteria for DLG providers
[Must] Policy must specify nature and extent of DLG cover
[Must] Policy must include process for monitoring and reviewing DLG arrangements
[Must] Policy must detail fees payable/received by DLG providers</t>
        </is>
      </c>
      <c r="O215" s="8" t="inlineStr">
        <is>
          <t>RE, including a RE acting as DLG provider, shall put in place a Board approved policy before entering into any DLG arrangement. Such policy shall include, at a minimum, the eligibility criteria for DLG provider, nature and extent of DLG cover, process of monitoring and reviewing the DLG arrangement, and the details of the fees, if any, payable to/ received by the DLG provider, as the case may be.</t>
        </is>
      </c>
    </row>
    <row r="216">
      <c r="A216" t="inlineStr">
        <is>
          <t>India</t>
        </is>
      </c>
      <c r="B216" t="inlineStr">
        <is>
          <t>RBI Digital Lending Directions 2025 Digital Lending Guidelines 2022 (India - Row 14)</t>
        </is>
      </c>
      <c r="C216" t="inlineStr">
        <is>
          <t>20</t>
        </is>
      </c>
      <c r="D216" s="8" t="inlineStr">
        <is>
          <t>Restrictions on entering into DLG arrangements</t>
        </is>
      </c>
      <c r="E216" t="inlineStr">
        <is>
          <t>16</t>
        </is>
      </c>
      <c r="F216" t="inlineStr">
        <is>
          <t>Data Sharing</t>
        </is>
      </c>
      <c r="G216" t="inlineStr">
        <is>
          <t>High</t>
        </is>
      </c>
      <c r="H216" t="inlineStr">
        <is>
          <t>High (explicit)</t>
        </is>
      </c>
      <c r="I216" s="8" t="inlineStr">
        <is>
          <t>Data Sharing, Data Storage</t>
        </is>
      </c>
      <c r="J216" s="8" t="inlineStr">
        <is>
          <t>Financial Data</t>
        </is>
      </c>
      <c r="K216" t="inlineStr">
        <is>
          <t>RBI</t>
        </is>
      </c>
      <c r="L216" s="8" t="inlineStr">
        <is>
          <t>RE cannot enter into DLG arrangements for revolving credit facilities, credit cards, or loans covered by credit guarantee schemes.</t>
        </is>
      </c>
      <c r="M216" s="8" t="inlineStr">
        <is>
          <t>Restricts DLG arrangements for revolving credit facilities, credit cards, and loans covered by credit guarantee schemes.</t>
        </is>
      </c>
      <c r="N216" s="8" t="inlineStr">
        <is>
          <t>[Must Not] RE shall not enter into DLG arrangements for revolving credit facilities offered through digital lending channel and credit cards
[Must Not] RE shall not enter into DLG arrangements on loans covered by credit guarantee schemes administered by trust funds</t>
        </is>
      </c>
      <c r="O216" s="8" t="inlineStr">
        <is>
          <t>RE shall not enter into DLG arrangements for revolving credit facilities offered through digital lending channel and credit cards as defined under Master Direction – Credit Card and Debit Card – Issuance and Conduct Directions, 2022 dated April 21, 2022.</t>
        </is>
      </c>
    </row>
    <row r="217">
      <c r="A217" t="inlineStr">
        <is>
          <t>India</t>
        </is>
      </c>
      <c r="B217" t="inlineStr">
        <is>
          <t>RBI Digital Lending Directions 2025 Digital Lending Guidelines 2022 (India - Row 14)</t>
        </is>
      </c>
      <c r="C217" t="inlineStr">
        <is>
          <t>25</t>
        </is>
      </c>
      <c r="D217" s="8" t="inlineStr">
        <is>
          <t>Treatment of DLG for regulatory capital</t>
        </is>
      </c>
      <c r="E217" t="inlineStr">
        <is>
          <t>18</t>
        </is>
      </c>
      <c r="F217" t="inlineStr">
        <is>
          <t>Other</t>
        </is>
      </c>
      <c r="G217" t="inlineStr">
        <is>
          <t>High</t>
        </is>
      </c>
      <c r="H217" t="inlineStr">
        <is>
          <t>High (explicit)</t>
        </is>
      </c>
      <c r="I217" s="8" t="inlineStr"/>
      <c r="J217" s="8" t="inlineStr">
        <is>
          <t>Financial Data</t>
        </is>
      </c>
      <c r="K217" t="inlineStr">
        <is>
          <t>RBI</t>
        </is>
      </c>
      <c r="L217" s="8" t="inlineStr">
        <is>
          <t>DLG providers that are REs must deduct full DLG amount outstanding from their regulatory capital.</t>
        </is>
      </c>
      <c r="M217" s="8" t="inlineStr">
        <is>
          <t>Requires REs acting as DLG providers to deduct full DLG amount from regulatory capital.</t>
        </is>
      </c>
      <c r="N217" s="8" t="inlineStr">
        <is>
          <t>[Must] REs acting as DLG providers must deduct full DLG amount outstanding from regulatory capital</t>
        </is>
      </c>
      <c r="O217" s="8" t="inlineStr">
        <is>
          <t>In case, DLG provider is an RE, it shall deduct full amount of the DLG which is outstanding from its capital.</t>
        </is>
      </c>
    </row>
    <row r="218">
      <c r="A218" t="inlineStr">
        <is>
          <t>India</t>
        </is>
      </c>
      <c r="B218" t="inlineStr">
        <is>
          <t>RBI Digital Lending Directions 2025 Digital Lending Guidelines 2022 (India - Row 14)</t>
        </is>
      </c>
      <c r="C218" t="inlineStr">
        <is>
          <t>27</t>
        </is>
      </c>
      <c r="D218" s="8" t="inlineStr">
        <is>
          <t>Disclosure requirements</t>
        </is>
      </c>
      <c r="E218" t="inlineStr">
        <is>
          <t>18–19</t>
        </is>
      </c>
      <c r="F218" t="inlineStr">
        <is>
          <t>Other</t>
        </is>
      </c>
      <c r="G218" t="inlineStr">
        <is>
          <t>High</t>
        </is>
      </c>
      <c r="H218" t="inlineStr">
        <is>
          <t>High (explicit)</t>
        </is>
      </c>
      <c r="I218" s="8" t="inlineStr"/>
      <c r="J218" s="8" t="inlineStr">
        <is>
          <t>Financial Data</t>
        </is>
      </c>
      <c r="K218" t="inlineStr">
        <is>
          <t>RBI</t>
        </is>
      </c>
      <c r="L218" s="8" t="inlineStr">
        <is>
          <t>RE must disclose monthly to LSPs the total number of portfolios and amounts on which DLG has been offered.</t>
        </is>
      </c>
      <c r="M218" s="8" t="inlineStr">
        <is>
          <t>Requires monthly disclosure of DLG portfolio details to LSPs.</t>
        </is>
      </c>
      <c r="N218" s="8" t="inlineStr">
        <is>
          <t>[Must] RE must ensure LSPs publish monthly total portfolios and amounts with DLG
[Must] Disclosures must be made within 7 working days after month-end</t>
        </is>
      </c>
      <c r="O218" s="8" t="inlineStr">
        <is>
          <t>RE shall put in place a mechanism to ensure that LSPs with whom they have a DLG arrangement shall publish on their website the total number of portfolios and the respective amount of each portfolio on which DLG has been offered.</t>
        </is>
      </c>
    </row>
    <row r="219">
      <c r="A219" t="inlineStr">
        <is>
          <t>India</t>
        </is>
      </c>
      <c r="B219" t="inlineStr">
        <is>
          <t>RBI Digital Lending Directions 2025 Digital Lending Guidelines 2022 (India - Row 14)</t>
        </is>
      </c>
      <c r="C219" t="inlineStr">
        <is>
          <t>28</t>
        </is>
      </c>
      <c r="D219" s="8" t="inlineStr">
        <is>
          <t>Exceptions</t>
        </is>
      </c>
      <c r="E219" t="inlineStr">
        <is>
          <t>19</t>
        </is>
      </c>
      <c r="F219" t="inlineStr">
        <is>
          <t>Other</t>
        </is>
      </c>
      <c r="G219" t="inlineStr">
        <is>
          <t>Medium</t>
        </is>
      </c>
      <c r="H219" t="inlineStr">
        <is>
          <t>High (explicit)</t>
        </is>
      </c>
      <c r="I219" s="8" t="inlineStr"/>
      <c r="J219" s="8" t="inlineStr">
        <is>
          <t>Financial Data</t>
        </is>
      </c>
      <c r="K219" t="inlineStr">
        <is>
          <t>RBI</t>
        </is>
      </c>
      <c r="L219" s="8" t="inlineStr">
        <is>
          <t>DLG for certain credit guarantee schemes and international institutions are excluded from DLG definition.</t>
        </is>
      </c>
      <c r="M219" s="8" t="inlineStr">
        <is>
          <t>Excludes DLG for credit guarantee schemes and international institutions from DLG definition.</t>
        </is>
      </c>
      <c r="N219" s="8" t="inlineStr">
        <is>
          <t>[Must Not] DLG covered under CGTMSE, CRGFTLIH, and NCGTC schemes are excluded
[Must Not] DLG provided by BIS, IMF, and multilateral development banks are excluded</t>
        </is>
      </c>
      <c r="O219" s="8" t="inlineStr">
        <is>
          <t>Guarantees covered under the following schemes/ entities shall not be covered within the definition of DLG: [list of schemes]</t>
        </is>
      </c>
    </row>
    <row r="220">
      <c r="A220" t="inlineStr">
        <is>
          <t>India</t>
        </is>
      </c>
      <c r="B220" t="inlineStr">
        <is>
          <t>RBI Digital Lending Directions 2025 Digital Lending Guidelines 2022 (India - Row 14)</t>
        </is>
      </c>
      <c r="C220" t="inlineStr">
        <is>
          <t>29</t>
        </is>
      </c>
      <c r="D220" s="8" t="inlineStr">
        <is>
          <t>General provisions</t>
        </is>
      </c>
      <c r="E220" t="inlineStr">
        <is>
          <t>19–20</t>
        </is>
      </c>
      <c r="F220" t="inlineStr">
        <is>
          <t>Other</t>
        </is>
      </c>
      <c r="G220" t="inlineStr">
        <is>
          <t>Medium</t>
        </is>
      </c>
      <c r="H220" t="inlineStr">
        <is>
          <t>High (explicit)</t>
        </is>
      </c>
      <c r="I220" s="8" t="inlineStr"/>
      <c r="J220" s="8" t="inlineStr">
        <is>
          <t>Financial Data</t>
        </is>
      </c>
      <c r="K220" t="inlineStr">
        <is>
          <t>RBI</t>
        </is>
      </c>
      <c r="L220" s="8" t="inlineStr">
        <is>
          <t>EMI programs on credit cards are governed by specific Master Directions and not covered by this regulation.</t>
        </is>
      </c>
      <c r="M220" s="8" t="inlineStr">
        <is>
          <t>EMI programs on credit cards are governed by specific Master Directions and not covered by this regulation.</t>
        </is>
      </c>
      <c r="N220" s="8" t="inlineStr">
        <is>
          <t>[Must] EMI programs on credit cards are governed by specific Master Directions</t>
        </is>
      </c>
      <c r="O220" s="8" t="inlineStr">
        <is>
          <t>RBI/2019-20/258 DOR(NBFC)(PD) CC.No.112/03.10.001/2019-20 24.06.2020 Loans Sourced by Banks and NBFCs over Digital Lending Platforms: Adherence to Fair Practices Code and Outsourcing Guidelines</t>
        </is>
      </c>
    </row>
    <row r="221">
      <c r="A221" t="inlineStr">
        <is>
          <t>India</t>
        </is>
      </c>
      <c r="B221" t="inlineStr">
        <is>
          <t>RBI Digital Lending Directions 2025 Digital Lending Guidelines 2022 (India - Row 14)</t>
        </is>
      </c>
      <c r="C221" t="inlineStr">
        <is>
          <t>30</t>
        </is>
      </c>
      <c r="D221" s="8" t="inlineStr">
        <is>
          <t>Repeal provisions</t>
        </is>
      </c>
      <c r="E221" t="inlineStr">
        <is>
          <t>20–24</t>
        </is>
      </c>
      <c r="F221" t="inlineStr">
        <is>
          <t>Other</t>
        </is>
      </c>
      <c r="G221" t="inlineStr">
        <is>
          <t>Unknown</t>
        </is>
      </c>
      <c r="H221" t="inlineStr">
        <is>
          <t>Low</t>
        </is>
      </c>
      <c r="I221" s="8" t="inlineStr"/>
      <c r="J221" s="8" t="inlineStr"/>
      <c r="K221" t="inlineStr"/>
      <c r="L221" s="8" t="inlineStr"/>
      <c r="M221" s="8" t="inlineStr"/>
      <c r="N221" s="8" t="inlineStr"/>
      <c r="O221" s="8" t="inlineStr"/>
    </row>
    <row r="222">
      <c r="A222" t="inlineStr">
        <is>
          <t>India</t>
        </is>
      </c>
      <c r="B222" t="inlineStr">
        <is>
          <t>RBI Master Direction on Information Technology Framework for NBFC Sector (2017) (India - Row 15)</t>
        </is>
      </c>
      <c r="C222" t="inlineStr">
        <is>
          <t>2</t>
        </is>
      </c>
      <c r="D222" s="8" t="inlineStr">
        <is>
          <t>As you are aware, the Income Declaration Scheme, 2016 (the Scheme)   has</t>
        </is>
      </c>
      <c r="E222" t="inlineStr">
        <is>
          <t>1</t>
        </is>
      </c>
      <c r="F222" t="inlineStr">
        <is>
          <t>Other</t>
        </is>
      </c>
      <c r="G222" t="inlineStr">
        <is>
          <t>Low</t>
        </is>
      </c>
      <c r="H222" t="inlineStr">
        <is>
          <t>High (explicit)</t>
        </is>
      </c>
      <c r="I222" s="8" t="inlineStr"/>
      <c r="J222" s="8" t="inlineStr"/>
      <c r="K222" t="inlineStr"/>
      <c r="L222" s="8" t="inlineStr">
        <is>
          <t>Income Declaration Scheme 2016 effective from June 1, 2016; banks hesitant to accept large cash deposits for government accounts.</t>
        </is>
      </c>
      <c r="M222" s="8" t="inlineStr"/>
      <c r="N222" s="8" t="inlineStr"/>
      <c r="O222" s="8" t="inlineStr">
        <is>
          <t>2. As you are aware, the Income Declaration Scheme, 2016 (the Scheme) has come into effect from June 1, 2016 and some declarants may like to pay their tax dues in cash.</t>
        </is>
      </c>
    </row>
    <row r="223">
      <c r="A223" t="inlineStr">
        <is>
          <t>India</t>
        </is>
      </c>
      <c r="B223" t="inlineStr">
        <is>
          <t>RBI Master Direction on Information Technology Framework for NBFC Sector (2017) (India - Row 15)</t>
        </is>
      </c>
      <c r="C223" t="inlineStr">
        <is>
          <t>3</t>
        </is>
      </c>
      <c r="D223" s="8" t="inlineStr">
        <is>
          <t>We advise that banks must invariably accept cash, irrespective of amount, over</t>
        </is>
      </c>
      <c r="E223" t="inlineStr">
        <is>
          <t>1–2</t>
        </is>
      </c>
      <c r="F223" t="inlineStr">
        <is>
          <t>Other</t>
        </is>
      </c>
      <c r="G223" t="inlineStr">
        <is>
          <t>Low</t>
        </is>
      </c>
      <c r="H223" t="inlineStr">
        <is>
          <t>High (explicit)</t>
        </is>
      </c>
      <c r="I223" s="8" t="inlineStr"/>
      <c r="J223" s="8" t="inlineStr"/>
      <c r="K223" t="inlineStr">
        <is>
          <t>RBI</t>
        </is>
      </c>
      <c r="L223" s="8" t="inlineStr">
        <is>
          <t>Banks must accept cash deposits of any amount from declarants, including under Income Declaration Scheme, with KYC compliance.</t>
        </is>
      </c>
      <c r="M223" s="8" t="inlineStr"/>
      <c r="N223" s="8" t="inlineStr">
        <is>
          <t>[Must] banks must invariably accept cash, irrespective of amount, over the counters from all declarants who desire to deposit cash at the counters, including deposits under the above Scheme through challan ITNS- 286
[Must] banks shall comply with the Know Your Customer requirements for customers and walk-in customers</t>
        </is>
      </c>
      <c r="O223" s="8" t="inlineStr">
        <is>
          <t>3. We advise that banks must invariably accept cash, irrespective of amount, over the counters from all declarants who desire to deposit cash at the counters, including deposits under the above Scheme through challan ITNS- 286.</t>
        </is>
      </c>
    </row>
    <row r="224">
      <c r="A224" t="inlineStr">
        <is>
          <t>India</t>
        </is>
      </c>
      <c r="B224" t="inlineStr">
        <is>
          <t>RBI Payment Data Localisation Requirement (India - Row 17)</t>
        </is>
      </c>
      <c r="C224" t="inlineStr">
        <is>
          <t>2</t>
        </is>
      </c>
      <c r="D224" s="8" t="inlineStr">
        <is>
          <t>It is observed that not all system providers store the payments data in India. In order to ensure</t>
        </is>
      </c>
      <c r="E224" t="inlineStr">
        <is>
          <t>1</t>
        </is>
      </c>
      <c r="F224" t="inlineStr">
        <is>
          <t>Data Storage</t>
        </is>
      </c>
      <c r="G224" t="inlineStr">
        <is>
          <t>High</t>
        </is>
      </c>
      <c r="H224" t="inlineStr">
        <is>
          <t>High (explicit)</t>
        </is>
      </c>
      <c r="I224" s="8" t="inlineStr">
        <is>
          <t>Data Storage, Cross-border Transfer</t>
        </is>
      </c>
      <c r="J224" s="8" t="inlineStr"/>
      <c r="K224" t="inlineStr">
        <is>
          <t>Reserve Bank</t>
        </is>
      </c>
      <c r="L224" s="8" t="inlineStr">
        <is>
          <t>System providers must store all payment data in India, with exceptions for foreign transaction legs.</t>
        </is>
      </c>
      <c r="M224" s="8" t="inlineStr">
        <is>
          <t>Requires payment data storage in India for system providers; compliance deadline and audit reporting.</t>
        </is>
      </c>
      <c r="N224" s="8" t="inlineStr">
        <is>
          <t>[Must] All system providers shall ensure that the entire data relating to payment systems operated by them are stored in a system only in India.
[Must Not] For the foreign leg of the transaction, if any, the data can also be stored in the foreign country, if required.
[Must] System providers shall ensure compliance of (i) above within a period of six months and report compliance of the same to the Reserve Bank latest by October 15, 2018.
[Must] System providers shall submit the System Audit Report (SAR) on completion of the requirement at (i) above. The audit should be conducted by CERT-IN empaneled auditors certifying completion of activity at (i) above.</t>
        </is>
      </c>
      <c r="O224" s="8" t="inlineStr">
        <is>
          <t>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t>
        </is>
      </c>
    </row>
    <row r="225">
      <c r="A225" t="inlineStr">
        <is>
          <t>India</t>
        </is>
      </c>
      <c r="B225" t="inlineStr">
        <is>
          <t>RBI Payment Data Localisation Requirement (India - Row 17)</t>
        </is>
      </c>
      <c r="C225" t="inlineStr">
        <is>
          <t>2018</t>
        </is>
      </c>
      <c r="D225" s="8" t="inlineStr">
        <is>
          <t>3. The directive is issued under Section 10(2) read with Section 18 of Payment and Settlement</t>
        </is>
      </c>
      <c r="E225" t="inlineStr">
        <is>
          <t>1</t>
        </is>
      </c>
      <c r="F225" t="inlineStr">
        <is>
          <t>Other</t>
        </is>
      </c>
      <c r="G225" t="inlineStr">
        <is>
          <t>High</t>
        </is>
      </c>
      <c r="H225" t="inlineStr">
        <is>
          <t>High (explicit)</t>
        </is>
      </c>
      <c r="I225" s="8" t="inlineStr"/>
      <c r="J225" s="8" t="inlineStr"/>
      <c r="K225" t="inlineStr">
        <is>
          <t>Reserve Bank</t>
        </is>
      </c>
      <c r="L225" s="8" t="inlineStr">
        <is>
          <t>Directive issued under Section 10(2) read with Section 18 of Payment and Settlement Systems Act 2007.</t>
        </is>
      </c>
      <c r="M225" s="8" t="inlineStr"/>
      <c r="N225" s="8" t="inlineStr"/>
      <c r="O225" s="8" t="inlineStr">
        <is>
          <t>The directive is issued under Section 10(2) read with Section 18 of Payment and Settlement Systems Act 2007, (Act 51 of 2007).</t>
        </is>
      </c>
    </row>
    <row r="226">
      <c r="A226" t="inlineStr">
        <is>
          <t>India</t>
        </is>
      </c>
      <c r="B226" t="inlineStr">
        <is>
          <t>guidelines-on-cyber-security-and-cyber-resilience-for-regulated-entities-in-ifscs-1-10032025064412 (India - Row 5)</t>
        </is>
      </c>
      <c r="C226" t="inlineStr">
        <is>
          <t>1</t>
        </is>
      </c>
      <c r="D226" s="8" t="inlineStr">
        <is>
          <t>As the IFSC continues to evolve as a global ϐinancial hub, the sophistication of cyber</t>
        </is>
      </c>
      <c r="E226" t="inlineStr">
        <is>
          <t>1–2</t>
        </is>
      </c>
      <c r="F226" t="inlineStr">
        <is>
          <t>Governance</t>
        </is>
      </c>
      <c r="G226" t="inlineStr">
        <is>
          <t>High</t>
        </is>
      </c>
      <c r="H226" t="inlineStr">
        <is>
          <t>High (explicit)</t>
        </is>
      </c>
      <c r="I226" s="8" t="inlineStr"/>
      <c r="J226" s="8" t="inlineStr">
        <is>
          <t>Financial Data</t>
        </is>
      </c>
      <c r="K226" t="inlineStr">
        <is>
          <t>IFSCA</t>
        </is>
      </c>
      <c r="L226" s="8" t="inlineStr">
        <is>
          <t>Cyber security is foundational for financial stability in IFSC. Financial entities must maintain robust cyber security to protect systems from threats impacting trust in the jurisdiction.</t>
        </is>
      </c>
      <c r="M226" s="8" t="inlineStr">
        <is>
          <t>Cyber security is foundational for financial stability in IFSC. Financial entities must maintain robust cyber security to protect systems from threats impacting trust in the jurisdiction.</t>
        </is>
      </c>
      <c r="N226" s="8" t="inlineStr">
        <is>
          <t>[Must] Cyber security is foundational for financial stability in IFSC</t>
        </is>
      </c>
      <c r="O226" s="8" t="inlineStr">
        <is>
          <t>As the IFSC continues to evolve as a global financial hub, the sophistication of cyber threats targeting financial entities is also expected to grow.</t>
        </is>
      </c>
    </row>
    <row r="227">
      <c r="A227" t="inlineStr">
        <is>
          <t>India</t>
        </is>
      </c>
      <c r="B227" t="inlineStr">
        <is>
          <t>guidelines-on-cyber-security-and-cyber-resilience-for-regulated-entities-in-ifscs-1-10032025064412 (India - Row 5)</t>
        </is>
      </c>
      <c r="C227" t="inlineStr">
        <is>
          <t>2</t>
        </is>
      </c>
      <c r="D227" s="8" t="inlineStr">
        <is>
          <t>The key components of the Guidelines are categorized into:</t>
        </is>
      </c>
      <c r="E227" t="inlineStr">
        <is>
          <t>2</t>
        </is>
      </c>
      <c r="F227" t="inlineStr">
        <is>
          <t>Other</t>
        </is>
      </c>
      <c r="G227" t="inlineStr">
        <is>
          <t>None</t>
        </is>
      </c>
      <c r="H227" t="inlineStr">
        <is>
          <t>High (explicit)</t>
        </is>
      </c>
      <c r="I227" s="8" t="inlineStr"/>
      <c r="J227" s="8" t="inlineStr"/>
      <c r="K227" t="inlineStr"/>
      <c r="L227" s="8" t="inlineStr">
        <is>
          <t>Guidelines are categorized into governance, cyber security framework, third party risk management, communication &amp; awareness, and audit.</t>
        </is>
      </c>
      <c r="M227" s="8" t="inlineStr"/>
      <c r="N227" s="8" t="inlineStr"/>
      <c r="O227" s="8" t="inlineStr">
        <is>
          <t>The key components of the Guidelines are categorized into: Governance, Cyber security and cyber resilience framework, Third party risk management, Communication &amp; awareness, Audit</t>
        </is>
      </c>
    </row>
    <row r="228">
      <c r="A228" t="inlineStr">
        <is>
          <t>India</t>
        </is>
      </c>
      <c r="B228" t="inlineStr">
        <is>
          <t>guidelines-on-cyber-security-and-cyber-resilience-for-regulated-entities-in-ifscs-1-10032025064412 (India - Row 5)</t>
        </is>
      </c>
      <c r="C228" t="inlineStr">
        <is>
          <t>3</t>
        </is>
      </c>
      <c r="D228" s="8" t="inlineStr">
        <is>
          <t>The REs shall have adequate governance mechanisms, with a clear set of roles and</t>
        </is>
      </c>
      <c r="E228" t="inlineStr">
        <is>
          <t>2</t>
        </is>
      </c>
      <c r="F228" t="inlineStr">
        <is>
          <t>Governance</t>
        </is>
      </c>
      <c r="G228" t="inlineStr">
        <is>
          <t>High</t>
        </is>
      </c>
      <c r="H228" t="inlineStr">
        <is>
          <t>High (explicit)</t>
        </is>
      </c>
      <c r="I228" s="8" t="inlineStr">
        <is>
          <t>Governance</t>
        </is>
      </c>
      <c r="J228" s="8" t="inlineStr">
        <is>
          <t>Financial Data</t>
        </is>
      </c>
      <c r="K228" t="inlineStr">
        <is>
          <t>IFSCA</t>
        </is>
      </c>
      <c r="L228" s="8" t="inlineStr">
        <is>
          <t>REs must have clear governance mechanisms with an Oversight Body including governing board, senior management, or committees for cyber risk management.</t>
        </is>
      </c>
      <c r="M228" s="8" t="inlineStr">
        <is>
          <t>REs must have clear governance mechanisms with an Oversight Body including governing board, senior management, or committees for cyber risk management.</t>
        </is>
      </c>
      <c r="N228" s="8" t="inlineStr">
        <is>
          <t>[Must] REs shall have adequate governance mechanisms, with a clear set of roles and responsibilities to manage cyber risk</t>
        </is>
      </c>
      <c r="O228" s="8" t="inlineStr">
        <is>
          <t>The REs shall have adequate governance mechanisms, with a clear set of roles and responsibilities to manage cyber risk.</t>
        </is>
      </c>
    </row>
    <row r="229">
      <c r="A229" t="inlineStr">
        <is>
          <t>India</t>
        </is>
      </c>
      <c r="B229" t="inlineStr">
        <is>
          <t>guidelines-on-cyber-security-and-cyber-resilience-for-regulated-entities-in-ifscs-1-10032025064412 (India - Row 5)</t>
        </is>
      </c>
      <c r="C229" t="inlineStr">
        <is>
          <t>4</t>
        </is>
      </c>
      <c r="D229" s="8" t="inlineStr">
        <is>
          <t>The REs shall ensure that their Governing Board and the senior management possesses</t>
        </is>
      </c>
      <c r="E229" t="inlineStr">
        <is>
          <t>2–3</t>
        </is>
      </c>
      <c r="F229" t="inlineStr">
        <is>
          <t>Governance</t>
        </is>
      </c>
      <c r="G229" t="inlineStr">
        <is>
          <t>High</t>
        </is>
      </c>
      <c r="H229" t="inlineStr">
        <is>
          <t>High (explicit)</t>
        </is>
      </c>
      <c r="I229" s="8" t="inlineStr">
        <is>
          <t>Governance</t>
        </is>
      </c>
      <c r="J229" s="8" t="inlineStr">
        <is>
          <t>Financial Data</t>
        </is>
      </c>
      <c r="K229" t="inlineStr">
        <is>
          <t>IFSCA</t>
        </is>
      </c>
      <c r="L229" s="8" t="inlineStr">
        <is>
          <t>REs must ensure governing board and senior management have expertise to manage cyber risk and cultivate a culture of cyber risk awareness.</t>
        </is>
      </c>
      <c r="M229" s="8" t="inlineStr">
        <is>
          <t>REs must ensure governing board and senior management have expertise to manage cyber risk and cultivate a culture of cyber risk awareness.</t>
        </is>
      </c>
      <c r="N229" s="8" t="inlineStr">
        <is>
          <t>[Must] REs shall ensure that their Governing Board and the senior management possesses sufficient expertise and knowledge to effectively understand and manage cyber risk</t>
        </is>
      </c>
      <c r="O229" s="8" t="inlineStr">
        <is>
          <t>The REs shall ensure that their Governing Board and the senior management possesses sufficient expertise and knowledge to effectively understand and manage cyber risk.</t>
        </is>
      </c>
    </row>
    <row r="230">
      <c r="A230" t="inlineStr">
        <is>
          <t>India</t>
        </is>
      </c>
      <c r="B230" t="inlineStr">
        <is>
          <t>guidelines-on-cyber-security-and-cyber-resilience-for-regulated-entities-in-ifscs-1-10032025064412 (India - Row 5)</t>
        </is>
      </c>
      <c r="C230" t="inlineStr">
        <is>
          <t>5</t>
        </is>
      </c>
      <c r="D230" s="8" t="inlineStr">
        <is>
          <t>The REs shall appoint a CISO or alternatively, designate a senior employee/</t>
        </is>
      </c>
      <c r="E230" t="inlineStr">
        <is>
          <t>3</t>
        </is>
      </c>
      <c r="F230" t="inlineStr">
        <is>
          <t>Governance</t>
        </is>
      </c>
      <c r="G230" t="inlineStr">
        <is>
          <t>High</t>
        </is>
      </c>
      <c r="H230" t="inlineStr">
        <is>
          <t>High (explicit)</t>
        </is>
      </c>
      <c r="I230" s="8" t="inlineStr">
        <is>
          <t>Governance</t>
        </is>
      </c>
      <c r="J230" s="8" t="inlineStr">
        <is>
          <t>Financial Data</t>
        </is>
      </c>
      <c r="K230" t="inlineStr">
        <is>
          <t>IFSCA</t>
        </is>
      </c>
      <c r="L230" s="8" t="inlineStr">
        <is>
          <t>REs must appoint a CISO or designate a senior employee to assess, respond to incidents, and direct cyber security processes.</t>
        </is>
      </c>
      <c r="M230" s="8" t="inlineStr">
        <is>
          <t>REs must appoint a CISO or designate a senior employee to assess, respond to incidents, and direct cyber security processes.</t>
        </is>
      </c>
      <c r="N230" s="8" t="inlineStr">
        <is>
          <t>[Must] REs shall appoint a CISO or alternatively, designate a senior employee/ management personnel to assess, identify and reduce cyber security risks
[Must] REs shall appoint a CISO or alternatively, designate a senior employee/ management personnel to respond to incidents, establish appropriate standards and controls
[Must] REs shall appoint a CISO or alternatively, designate a senior employee/ management personnel to direct the establishment and implementation of processes and procedures as approved by the Oversight Body of the RE</t>
        </is>
      </c>
      <c r="O230" s="8" t="inlineStr">
        <is>
          <t>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is>
      </c>
    </row>
    <row r="231">
      <c r="A231" t="inlineStr">
        <is>
          <t>India</t>
        </is>
      </c>
      <c r="B231" t="inlineStr">
        <is>
          <t>guidelines-on-cyber-security-and-cyber-resilience-for-regulated-entities-in-ifscs-1-10032025064412 (India - Row 5)</t>
        </is>
      </c>
      <c r="C231" t="inlineStr">
        <is>
          <t>6</t>
        </is>
      </c>
      <c r="D231" s="8" t="inlineStr">
        <is>
          <t>The CISO or senior employee/ management personnel so designated shall henceforth</t>
        </is>
      </c>
      <c r="E231" t="inlineStr">
        <is>
          <t>3</t>
        </is>
      </c>
      <c r="F231" t="inlineStr">
        <is>
          <t>Other</t>
        </is>
      </c>
      <c r="G231" t="inlineStr">
        <is>
          <t>None</t>
        </is>
      </c>
      <c r="H231" t="inlineStr">
        <is>
          <t>High (explicit)</t>
        </is>
      </c>
      <c r="I231" s="8" t="inlineStr"/>
      <c r="J231" s="8" t="inlineStr"/>
      <c r="K231" t="inlineStr"/>
      <c r="L231" s="8" t="inlineStr">
        <is>
          <t>The CISO or designated senior employee is referred to as the 'Designated Officer'.</t>
        </is>
      </c>
      <c r="M231" s="8" t="inlineStr"/>
      <c r="N231" s="8" t="inlineStr"/>
      <c r="O231" s="8" t="inlineStr">
        <is>
          <t>The CISO or senior employee/ management personnel so designated shall henceforth be referred to as the 'Designated Officer'.</t>
        </is>
      </c>
    </row>
    <row r="232">
      <c r="A232" t="inlineStr">
        <is>
          <t>India</t>
        </is>
      </c>
      <c r="B232" t="inlineStr">
        <is>
          <t>guidelines-on-cyber-security-and-cyber-resilience-for-regulated-entities-in-ifscs-1-10032025064412 (India - Row 5)</t>
        </is>
      </c>
      <c r="C232" t="inlineStr">
        <is>
          <t>7</t>
        </is>
      </c>
      <c r="D232" s="8" t="inlineStr">
        <is>
          <t>The REs shall formulate the Cyber Security and Cyber Resilience Framework to</t>
        </is>
      </c>
      <c r="E232" t="inlineStr">
        <is>
          <t>3–4</t>
        </is>
      </c>
      <c r="F232" t="inlineStr">
        <is>
          <t>Other</t>
        </is>
      </c>
      <c r="G232" t="inlineStr">
        <is>
          <t>High</t>
        </is>
      </c>
      <c r="H232" t="inlineStr">
        <is>
          <t>High (explicit)</t>
        </is>
      </c>
      <c r="I232" s="8" t="inlineStr"/>
      <c r="J232" s="8" t="inlineStr">
        <is>
          <t>Financial Data</t>
        </is>
      </c>
      <c r="K232" t="inlineStr">
        <is>
          <t>IFSCA</t>
        </is>
      </c>
      <c r="L232" s="8" t="inlineStr">
        <is>
          <t>REs must formulate a Cyber Security and Cyber Resilience Framework to maintain confidentiality, integrity, and availability of IT assets.</t>
        </is>
      </c>
      <c r="M232" s="8" t="inlineStr">
        <is>
          <t>REs must formulate a Cyber Security and Cyber Resilience Framework to maintain confidentiality, integrity, and availability of IT assets.</t>
        </is>
      </c>
      <c r="N232" s="8" t="inlineStr">
        <is>
          <t>[Must] REs shall formulate the Cyber Security and Cyber Resilience Framework to maintain the Confidentiality, Integrity and Availability of their IT assets</t>
        </is>
      </c>
      <c r="O232" s="8" t="inlineStr">
        <is>
          <t>The REs shall formulate the Cyber Security and Cyber Resilience Framework to maintain the Confidentiality, Integrity and Availability of their IT assets.</t>
        </is>
      </c>
    </row>
    <row r="233">
      <c r="A233" t="inlineStr">
        <is>
          <t>India</t>
        </is>
      </c>
      <c r="B233" t="inlineStr">
        <is>
          <t>guidelines-on-cyber-security-and-cyber-resilience-for-regulated-entities-in-ifscs-1-10032025064412 (India - Row 5)</t>
        </is>
      </c>
      <c r="C233" t="inlineStr">
        <is>
          <t>9</t>
        </is>
      </c>
      <c r="D233" s="8" t="inlineStr">
        <is>
          <t>The REs shall formulate an Information Security (IS) Policy as part of their cyber</t>
        </is>
      </c>
      <c r="E233" t="inlineStr">
        <is>
          <t>4–6</t>
        </is>
      </c>
      <c r="F233" t="inlineStr">
        <is>
          <t>Other</t>
        </is>
      </c>
      <c r="G233" t="inlineStr">
        <is>
          <t>High</t>
        </is>
      </c>
      <c r="H233" t="inlineStr">
        <is>
          <t>High (explicit)</t>
        </is>
      </c>
      <c r="I233" s="8" t="inlineStr">
        <is>
          <t>Access Control</t>
        </is>
      </c>
      <c r="J233" s="8" t="inlineStr">
        <is>
          <t>Financial Data</t>
        </is>
      </c>
      <c r="K233" t="inlineStr">
        <is>
          <t>IFSCA</t>
        </is>
      </c>
      <c r="L233" s="8" t="inlineStr">
        <is>
          <t>REs must implement information security policies including asset identification, classification, protection, access control, physical security, vulnerability assessments, recovery, incident management, and audit trails.</t>
        </is>
      </c>
      <c r="M233" s="8" t="inlineStr">
        <is>
          <t>REs must implement information security policies including asset identification, classification, protection, access control, physical security, vulnerability assessments, recovery, incident management, and audit trails.</t>
        </is>
      </c>
      <c r="N233" s="8" t="inlineStr">
        <is>
          <t>[Must] REs shall maintain a detailed inventory of IT assets, including both logical (data, software) and physical (hardware) components
[Must] REs shall carry out a risk assessment of those assets and classify the assets based on their business criticality, sensitivity of data they hold, and potential impact on other systems if compromised
[Must] REs shall identify and classify their business functions and supporting processes based on their criticality to overall operations and potential impact on performance
[Must] REs shall implement appropriate security controls, aligned with international best practices and cyber security and cyber resilience standards like NIST, ISO 27000, etc
[Must] REs shall manage access rights to IT assets and their supporting systems on a 'need-to-know' basis, following the principle of 'least privilege' and principle of 'segregation of duties'
[Must] REs shall enforce authentication methods that are sufficiently robust to adequately and effectively ensure that access control policies and procedures are complied with
[Must] REs need to ensure adequate physical security of their IT assets, using measures such as secure location of critical data, restricted access to data centers, server rooms etc
[Must] REs shall conduct Vulnerability Assessment and Penetration Testing (VAPT) to detect vulnerabilities in the IT environment for all critical systems, infrastructure components and other IT systems at least once a year
[Must] REs shall have recovery policies and procedures to maximise their ability to provide services on an ongoing basis and to limit losses in the event of severe business disruption
[Must] REs shall develop and implement processes for preventing, detecting, analysing and responding to cyber incidents
[Must] REs shall ensure that audit trail exists for IT assets, such that it satisfies the entity's business continuity and recovery needs, regulatory and legal obligations, facilitates audit and serves as forensic evidence when required</t>
        </is>
      </c>
      <c r="O233" s="8" t="inlineStr">
        <is>
          <t>The REs shall formulate an Information Security (IS) Policy as part of their cyber security and cyber resilience framework with the following basic principles.</t>
        </is>
      </c>
    </row>
    <row r="234">
      <c r="A234" t="inlineStr">
        <is>
          <t>India</t>
        </is>
      </c>
      <c r="B234" t="inlineStr">
        <is>
          <t>guidelines-on-cyber-security-and-cyber-resilience-for-regulated-entities-in-ifscs-1-10032025064412 (India - Row 5)</t>
        </is>
      </c>
      <c r="C234" t="inlineStr">
        <is>
          <t>10</t>
        </is>
      </c>
      <c r="D234" s="8" t="inlineStr">
        <is>
          <t>The REs shall adopt a collaborative security approach with their third-party</t>
        </is>
      </c>
      <c r="E234" t="inlineStr">
        <is>
          <t>6</t>
        </is>
      </c>
      <c r="F234" t="inlineStr">
        <is>
          <t>Other</t>
        </is>
      </c>
      <c r="G234" t="inlineStr">
        <is>
          <t>High</t>
        </is>
      </c>
      <c r="H234" t="inlineStr">
        <is>
          <t>High (explicit)</t>
        </is>
      </c>
      <c r="I234" s="8" t="inlineStr"/>
      <c r="J234" s="8" t="inlineStr">
        <is>
          <t>Financial Data</t>
        </is>
      </c>
      <c r="K234" t="inlineStr">
        <is>
          <t>IFSCA</t>
        </is>
      </c>
      <c r="L234" s="8" t="inlineStr">
        <is>
          <t>REs must adopt a collaborative security approach with third-party vendors by outlining shared expectations for data security, incident reporting, and compliance.</t>
        </is>
      </c>
      <c r="M234" s="8" t="inlineStr">
        <is>
          <t>REs must adopt a collaborative security approach with third-party vendors by outlining shared expectations for data security, incident reporting, and compliance.</t>
        </is>
      </c>
      <c r="N234" s="8" t="inlineStr">
        <is>
          <t>[Must] REs shall adopt a collaborative security approach with their third-party vendors/external partners, by clearly outlining shared expectations for data security, incident reporting and adherence to relevant security standards</t>
        </is>
      </c>
      <c r="O234" s="8" t="inlineStr">
        <is>
          <t>The REs shall adopt a collaborative security approach with their third-party vendors/external partners, by clearly outlining shared expectations for data security, incident reporting and adherence to relevant security standards.</t>
        </is>
      </c>
    </row>
    <row r="235">
      <c r="A235" t="inlineStr">
        <is>
          <t>India</t>
        </is>
      </c>
      <c r="B235" t="inlineStr">
        <is>
          <t>guidelines-on-cyber-security-and-cyber-resilience-for-regulated-entities-in-ifscs-1-10032025064412 (India - Row 5)</t>
        </is>
      </c>
      <c r="C235" t="inlineStr">
        <is>
          <t>11</t>
        </is>
      </c>
      <c r="D235" s="8" t="inlineStr">
        <is>
          <t>The REs shall adopt a risk-based approach for periodic review of third-party</t>
        </is>
      </c>
      <c r="E235" t="inlineStr">
        <is>
          <t>6–7</t>
        </is>
      </c>
      <c r="F235" t="inlineStr">
        <is>
          <t>Other</t>
        </is>
      </c>
      <c r="G235" t="inlineStr">
        <is>
          <t>High</t>
        </is>
      </c>
      <c r="H235" t="inlineStr">
        <is>
          <t>High (explicit)</t>
        </is>
      </c>
      <c r="I235" s="8" t="inlineStr"/>
      <c r="J235" s="8" t="inlineStr">
        <is>
          <t>Financial Data</t>
        </is>
      </c>
      <c r="K235" t="inlineStr">
        <is>
          <t>IFSCA</t>
        </is>
      </c>
      <c r="L235" s="8" t="inlineStr">
        <is>
          <t>REs must conduct risk-based periodic reviews of third-party vendors for vulnerabilities or compliance gaps every six months for critical services.</t>
        </is>
      </c>
      <c r="M235" s="8" t="inlineStr">
        <is>
          <t>REs must conduct risk-based periodic reviews of third-party vendors for vulnerabilities or compliance gaps every six months for critical services.</t>
        </is>
      </c>
      <c r="N235" s="8" t="inlineStr">
        <is>
          <t>[Must] REs shall identify the third-party service providers which it is dependent on for its core operations or to whom it has granted access to its critical systems
[Must] For all such third-party service providers, the REs shall carry out an assessment for detecting vulnerabilities or compliance gaps through audit, review or feedback every six months</t>
        </is>
      </c>
      <c r="O235" s="8" t="inlineStr">
        <is>
          <t>The REs shall adopt a risk-based approach for periodic review of third-party vendors/external partners. The REs shall identify the third-party service providers which it is dependent on for its core operations or to whom it has granted access to its critical systems. For all such third-party service providers, the REs shall carry out an assessment for detecting vulnerabilities or compliance gaps through audit, review or feedback every six months.</t>
        </is>
      </c>
    </row>
    <row r="236">
      <c r="A236" t="inlineStr">
        <is>
          <t>India</t>
        </is>
      </c>
      <c r="B236" t="inlineStr">
        <is>
          <t>guidelines-on-cyber-security-and-cyber-resilience-for-regulated-entities-in-ifscs-1-10032025064412 (India - Row 5)</t>
        </is>
      </c>
      <c r="C236" t="inlineStr">
        <is>
          <t>12</t>
        </is>
      </c>
      <c r="D236" s="8" t="inlineStr">
        <is>
          <t>The REs should establish clear communication channels and escalation procedures</t>
        </is>
      </c>
      <c r="E236" t="inlineStr">
        <is>
          <t>7</t>
        </is>
      </c>
      <c r="F236" t="inlineStr">
        <is>
          <t>Other</t>
        </is>
      </c>
      <c r="G236" t="inlineStr">
        <is>
          <t>High</t>
        </is>
      </c>
      <c r="H236" t="inlineStr">
        <is>
          <t>High (explicit)</t>
        </is>
      </c>
      <c r="I236" s="8" t="inlineStr"/>
      <c r="J236" s="8" t="inlineStr">
        <is>
          <t>Financial Data</t>
        </is>
      </c>
      <c r="K236" t="inlineStr">
        <is>
          <t>IFSCA</t>
        </is>
      </c>
      <c r="L236" s="8" t="inlineStr">
        <is>
          <t>REs must establish clear communication channels and escalation procedures for addressing risks or non-compliance with partners.</t>
        </is>
      </c>
      <c r="M236" s="8" t="inlineStr">
        <is>
          <t>REs must establish clear communication channels and escalation procedures for addressing risks or non-compliance with partners.</t>
        </is>
      </c>
      <c r="N236" s="8" t="inlineStr">
        <is>
          <t>[Must] REs should establish clear communication channels and escalation procedures for addressing any identified risks or non-compliance with partners, promptly and effectively</t>
        </is>
      </c>
      <c r="O236" s="8" t="inlineStr">
        <is>
          <t>The REs should establish clear communication channels and escalation procedures for addressing any identified risks or non-compliance with partners, promptly and effectively.</t>
        </is>
      </c>
    </row>
    <row r="237">
      <c r="A237" t="inlineStr">
        <is>
          <t>India</t>
        </is>
      </c>
      <c r="B237" t="inlineStr">
        <is>
          <t>guidelines-on-cyber-security-and-cyber-resilience-for-regulated-entities-in-ifscs-1-10032025064412 (India - Row 5)</t>
        </is>
      </c>
      <c r="C237" t="inlineStr">
        <is>
          <t>13</t>
        </is>
      </c>
      <c r="D237" s="8" t="inlineStr">
        <is>
          <t>The ultimate responsibility to mitigate the cyber risks arising from the third parties</t>
        </is>
      </c>
      <c r="E237" t="inlineStr">
        <is>
          <t>7</t>
        </is>
      </c>
      <c r="F237" t="inlineStr">
        <is>
          <t>Other</t>
        </is>
      </c>
      <c r="G237" t="inlineStr">
        <is>
          <t>High</t>
        </is>
      </c>
      <c r="H237" t="inlineStr">
        <is>
          <t>High (explicit)</t>
        </is>
      </c>
      <c r="I237" s="8" t="inlineStr"/>
      <c r="J237" s="8" t="inlineStr">
        <is>
          <t>Financial Data</t>
        </is>
      </c>
      <c r="K237" t="inlineStr">
        <is>
          <t>IFSCA</t>
        </is>
      </c>
      <c r="L237" s="8" t="inlineStr">
        <is>
          <t>REs bear ultimate responsibility for mitigating cyber risks arising from third parties.</t>
        </is>
      </c>
      <c r="M237" s="8" t="inlineStr">
        <is>
          <t>REs bear ultimate responsibility for mitigating cyber risks arising from third parties.</t>
        </is>
      </c>
      <c r="N237" s="8" t="inlineStr">
        <is>
          <t>[Must] The ultimate responsibility to mitigate the cyber risks arising from the third parties shall be on the REs</t>
        </is>
      </c>
      <c r="O237" s="8" t="inlineStr">
        <is>
          <t>The ultimate responsibility to mitigate the cyber risks arising from the third parties shall be on the REs.</t>
        </is>
      </c>
    </row>
    <row r="238">
      <c r="A238" t="inlineStr">
        <is>
          <t>India</t>
        </is>
      </c>
      <c r="B238" t="inlineStr">
        <is>
          <t>guidelines-on-cyber-security-and-cyber-resilience-for-regulated-entities-in-ifscs-1-10032025064412 (India - Row 5)</t>
        </is>
      </c>
      <c r="C238" t="inlineStr">
        <is>
          <t>14</t>
        </is>
      </c>
      <c r="D238" s="8" t="inlineStr">
        <is>
          <t>The REs shall provide regular training to its employees on topics pertaining to cyber</t>
        </is>
      </c>
      <c r="E238" t="inlineStr">
        <is>
          <t>7</t>
        </is>
      </c>
      <c r="F238" t="inlineStr">
        <is>
          <t>Other</t>
        </is>
      </c>
      <c r="G238" t="inlineStr">
        <is>
          <t>High</t>
        </is>
      </c>
      <c r="H238" t="inlineStr">
        <is>
          <t>High (explicit)</t>
        </is>
      </c>
      <c r="I238" s="8" t="inlineStr"/>
      <c r="J238" s="8" t="inlineStr">
        <is>
          <t>Financial Data</t>
        </is>
      </c>
      <c r="K238" t="inlineStr">
        <is>
          <t>IFSCA</t>
        </is>
      </c>
      <c r="L238" s="8" t="inlineStr">
        <is>
          <t>REs must provide regular cyber security training to employees on phishing, social engineering, password hygiene, and incident reporting.</t>
        </is>
      </c>
      <c r="M238" s="8" t="inlineStr">
        <is>
          <t>REs must provide regular cyber security training to employees on phishing, social engineering, password hygiene, and incident reporting.</t>
        </is>
      </c>
      <c r="N238" s="8" t="inlineStr">
        <is>
          <t>[Must] REs shall provide regular training to its employees on topics pertaining to cyber security, including but not limited to, phishing awareness, social engineering, password hygiene and incident reporting procedures</t>
        </is>
      </c>
      <c r="O238" s="8" t="inlineStr">
        <is>
          <t>REs shall provide regular training to its employees on topics pertaining to cyber security, including but not limited to, phishing awareness, social engineering, password hygiene and incident reporting procedures.</t>
        </is>
      </c>
    </row>
    <row r="239">
      <c r="A239" t="inlineStr">
        <is>
          <t>India</t>
        </is>
      </c>
      <c r="B239" t="inlineStr">
        <is>
          <t>guidelines-on-cyber-security-and-cyber-resilience-for-regulated-entities-in-ifscs-1-10032025064412 (India - Row 5)</t>
        </is>
      </c>
      <c r="C239" t="inlineStr">
        <is>
          <t>15</t>
        </is>
      </c>
      <c r="D239" s="8" t="inlineStr">
        <is>
          <t>The REs shall establish clear and accessible channels for employees to report</t>
        </is>
      </c>
      <c r="E239" t="inlineStr">
        <is>
          <t>7</t>
        </is>
      </c>
      <c r="F239" t="inlineStr">
        <is>
          <t>Other</t>
        </is>
      </c>
      <c r="G239" t="inlineStr">
        <is>
          <t>None</t>
        </is>
      </c>
      <c r="H239" t="inlineStr">
        <is>
          <t>High (explicit)</t>
        </is>
      </c>
      <c r="I239" s="8" t="inlineStr"/>
      <c r="J239" s="8" t="inlineStr"/>
      <c r="K239" t="inlineStr"/>
      <c r="L239" s="8" t="inlineStr">
        <is>
          <t>REs must provide regular cyber security training to employees on phishing, social engineering, password hygiene, and incident reporting.</t>
        </is>
      </c>
      <c r="M239" s="8" t="inlineStr"/>
      <c r="N239" s="8" t="inlineStr"/>
      <c r="O239" s="8" t="inlineStr"/>
    </row>
    <row r="240">
      <c r="A240" t="inlineStr">
        <is>
          <t>India</t>
        </is>
      </c>
      <c r="B240" t="inlineStr">
        <is>
          <t>guidelines-on-cyber-security-and-cyber-resilience-for-regulated-entities-in-ifscs-1-10032025064412 (India - Row 5)</t>
        </is>
      </c>
      <c r="C240" t="inlineStr">
        <is>
          <t>16</t>
        </is>
      </c>
      <c r="D240" s="8" t="inlineStr">
        <is>
          <t>The aim of the audit is to provide an independent assurance of the effectiveness of</t>
        </is>
      </c>
      <c r="E240" t="inlineStr">
        <is>
          <t>7–8</t>
        </is>
      </c>
      <c r="F240" t="inlineStr">
        <is>
          <t>Other</t>
        </is>
      </c>
      <c r="G240" t="inlineStr">
        <is>
          <t>None</t>
        </is>
      </c>
      <c r="H240" t="inlineStr">
        <is>
          <t>High (explicit)</t>
        </is>
      </c>
      <c r="I240" s="8" t="inlineStr"/>
      <c r="J240" s="8" t="inlineStr"/>
      <c r="K240" t="inlineStr"/>
      <c r="L240" s="8" t="inlineStr">
        <is>
          <t>REs must provide regular cyber security training to employees on phishing, social engineering, password hygiene, and incident reporting.</t>
        </is>
      </c>
      <c r="M240" s="8" t="inlineStr"/>
      <c r="N240" s="8" t="inlineStr"/>
      <c r="O240" s="8" t="inlineStr"/>
    </row>
    <row r="241">
      <c r="A241" t="inlineStr">
        <is>
          <t>India</t>
        </is>
      </c>
      <c r="B241" t="inlineStr">
        <is>
          <t>guidelines-on-cyber-security-and-cyber-resilience-for-regulated-entities-in-ifscs-1-10032025064412 (India - Row 5)</t>
        </is>
      </c>
      <c r="C241" t="inlineStr">
        <is>
          <t>17</t>
        </is>
      </c>
      <c r="D241" s="8" t="inlineStr">
        <is>
          <t>The auditor engaged by an RE shall not have any conϐlict of interest with the RE. The</t>
        </is>
      </c>
      <c r="E241" t="inlineStr">
        <is>
          <t>8</t>
        </is>
      </c>
      <c r="F241" t="inlineStr">
        <is>
          <t>Other</t>
        </is>
      </c>
      <c r="G241" t="inlineStr">
        <is>
          <t>None</t>
        </is>
      </c>
      <c r="H241" t="inlineStr">
        <is>
          <t>High (explicit)</t>
        </is>
      </c>
      <c r="I241" s="8" t="inlineStr"/>
      <c r="J241" s="8" t="inlineStr"/>
      <c r="K241" t="inlineStr"/>
      <c r="L241" s="8" t="inlineStr">
        <is>
          <t>REs must provide regular cyber security training to employees on phishing, social engineering, password hygiene, and incident reporting.</t>
        </is>
      </c>
      <c r="M241" s="8" t="inlineStr"/>
      <c r="N241" s="8" t="inlineStr"/>
      <c r="O241" s="8" t="inlineStr"/>
    </row>
    <row r="242">
      <c r="A242" t="inlineStr">
        <is>
          <t>India</t>
        </is>
      </c>
      <c r="B242" t="inlineStr">
        <is>
          <t>guidelines-on-cyber-security-and-cyber-resilience-for-regulated-entities-in-ifscs-1-10032025064412 (India - Row 5)</t>
        </is>
      </c>
      <c r="C242" t="inlineStr">
        <is>
          <t>18</t>
        </is>
      </c>
      <c r="D242" s="8" t="inlineStr">
        <is>
          <t>In case the RE is registered with IFSCA as a Broker Dealer/Bullion Trading Member,</t>
        </is>
      </c>
      <c r="E242" t="inlineStr">
        <is>
          <t>8</t>
        </is>
      </c>
      <c r="F242" t="inlineStr">
        <is>
          <t>Other</t>
        </is>
      </c>
      <c r="G242" t="inlineStr">
        <is>
          <t>None</t>
        </is>
      </c>
      <c r="H242" t="inlineStr">
        <is>
          <t>High (explicit)</t>
        </is>
      </c>
      <c r="I242" s="8" t="inlineStr"/>
      <c r="J242" s="8" t="inlineStr"/>
      <c r="K242" t="inlineStr"/>
      <c r="L242" s="8" t="inlineStr">
        <is>
          <t>REs must provide regular cyber security training to employees on phishing, social engineering, password hygiene, and incident reporting.</t>
        </is>
      </c>
      <c r="M242" s="8" t="inlineStr"/>
      <c r="N242" s="8" t="inlineStr"/>
      <c r="O242" s="8" t="inlineStr"/>
    </row>
    <row r="243">
      <c r="A243" t="inlineStr">
        <is>
          <t>India</t>
        </is>
      </c>
      <c r="B243" t="inlineStr">
        <is>
          <t>guidelines-on-cyber-security-and-cyber-resilience-for-regulated-entities-in-ifscs-1-10032025064412 (India - Row 5)</t>
        </is>
      </c>
      <c r="C243" t="inlineStr">
        <is>
          <t>19</t>
        </is>
      </c>
      <c r="D243" s="8" t="inlineStr">
        <is>
          <t>In case of occurrence of any cyber incident, the REs are required to report the</t>
        </is>
      </c>
      <c r="E243" t="inlineStr">
        <is>
          <t>8</t>
        </is>
      </c>
      <c r="F243" t="inlineStr">
        <is>
          <t>Other</t>
        </is>
      </c>
      <c r="G243" t="inlineStr">
        <is>
          <t>None</t>
        </is>
      </c>
      <c r="H243" t="inlineStr">
        <is>
          <t>High (explicit)</t>
        </is>
      </c>
      <c r="I243" s="8" t="inlineStr"/>
      <c r="J243" s="8" t="inlineStr"/>
      <c r="K243" t="inlineStr"/>
      <c r="L243" s="8" t="inlineStr">
        <is>
          <t>REs must provide regular cyber security training to employees on phishing, social engineering, password hygiene, and incident reporting.</t>
        </is>
      </c>
      <c r="M243" s="8" t="inlineStr"/>
      <c r="N243" s="8" t="inlineStr"/>
      <c r="O243" s="8" t="inlineStr"/>
    </row>
    <row r="244">
      <c r="A244" t="inlineStr">
        <is>
          <t>India</t>
        </is>
      </c>
      <c r="B244" t="inlineStr">
        <is>
          <t>guidelines-on-cyber-security-and-cyber-resilience-for-regulated-entities-in-ifscs-1-10032025064412 (India - Row 5)</t>
        </is>
      </c>
      <c r="C244" t="inlineStr">
        <is>
          <t>20</t>
        </is>
      </c>
      <c r="D244" s="8" t="inlineStr">
        <is>
          <t>Additionally, the REs shall submit the interim report within 3 days followed by a</t>
        </is>
      </c>
      <c r="E244" t="inlineStr">
        <is>
          <t>8–9</t>
        </is>
      </c>
      <c r="F244" t="inlineStr">
        <is>
          <t>Other</t>
        </is>
      </c>
      <c r="G244" t="inlineStr">
        <is>
          <t>None</t>
        </is>
      </c>
      <c r="H244" t="inlineStr">
        <is>
          <t>High (explicit)</t>
        </is>
      </c>
      <c r="I244" s="8" t="inlineStr"/>
      <c r="J244" s="8" t="inlineStr"/>
      <c r="K244" t="inlineStr"/>
      <c r="L244" s="8" t="inlineStr">
        <is>
          <t>REs must provide regular cyber security training to employees on phishing, social engineering, password hygiene, and incident reporting.</t>
        </is>
      </c>
      <c r="M244" s="8" t="inlineStr"/>
      <c r="N244" s="8" t="inlineStr"/>
      <c r="O244" s="8" t="inlineStr"/>
    </row>
    <row r="245">
      <c r="A245" t="inlineStr">
        <is>
          <t>India</t>
        </is>
      </c>
      <c r="B245" t="inlineStr">
        <is>
          <t>guidelines-on-cyber-security-and-cyber-resilience-for-regulated-entities-in-ifscs-1-10032025064412 (India - Row 5)</t>
        </is>
      </c>
      <c r="C245" t="inlineStr">
        <is>
          <t>21</t>
        </is>
      </c>
      <c r="D245" s="8" t="inlineStr">
        <is>
          <t>The following categories of REs are exempted from the requirements mentioned in</t>
        </is>
      </c>
      <c r="E245" t="inlineStr">
        <is>
          <t>9</t>
        </is>
      </c>
      <c r="F245" t="inlineStr">
        <is>
          <t>Exemptions</t>
        </is>
      </c>
      <c r="G245" t="inlineStr">
        <is>
          <t>High</t>
        </is>
      </c>
      <c r="H245" t="inlineStr">
        <is>
          <t>High (explicit)</t>
        </is>
      </c>
      <c r="I245" s="8" t="inlineStr"/>
      <c r="J245" s="8" t="inlineStr">
        <is>
          <t>Financial Data</t>
        </is>
      </c>
      <c r="K245" t="inlineStr">
        <is>
          <t>IFSCA</t>
        </is>
      </c>
      <c r="L245" s="8" t="inlineStr">
        <is>
          <t>REs operating as branches of regulated entities, providing services to group entities only, with less than 10 employees, or foreign universities in IFSCs are exempted from requirements.</t>
        </is>
      </c>
      <c r="M245" s="8" t="inlineStr">
        <is>
          <t>REs operating as branches of regulated entities, providing services to group entities only, with less than 10 employees, or foreign universities in IFSCs are exempted from requirements.</t>
        </is>
      </c>
      <c r="N245" s="8" t="inlineStr">
        <is>
          <t>[Exempt] REs operating in the form of a branch of a regulated Indian or foreign entity are exempted
[Exempt] REs providing services to their group entities only e.g. Global In-House Centres (GICs) are exempted
[Exempt] REs which have less than 10 employees are exempted
[Exempt] Foreign universities set up in IFSCs are exempted</t>
        </is>
      </c>
      <c r="O245" s="8" t="inlineStr">
        <is>
          <t>The following categories of REs are exempted from the requirements mentioned in these Guidelines: REs operating in the form of a branch of a regulated Indian or foreign entity, REs providing services to their group entities only e.g. Global In-House Centres (GICs), REs which have less than 10 employees, Foreign universities set up in IFSCs.</t>
        </is>
      </c>
    </row>
    <row r="246">
      <c r="A246" t="inlineStr">
        <is>
          <t>India</t>
        </is>
      </c>
      <c r="B246" t="inlineStr">
        <is>
          <t>guidelines-on-cyber-security-and-cyber-resilience-for-regulated-entities-in-ifscs-1-10032025064412 (India - Row 5)</t>
        </is>
      </c>
      <c r="C246" t="inlineStr">
        <is>
          <t>22</t>
        </is>
      </c>
      <c r="D246" s="8" t="inlineStr">
        <is>
          <t>The exemptions to the REs provided vide para 21, are subject to fulϐilment of the</t>
        </is>
      </c>
      <c r="E246" t="inlineStr">
        <is>
          <t>9–10</t>
        </is>
      </c>
      <c r="F246" t="inlineStr">
        <is>
          <t>Exemptions</t>
        </is>
      </c>
      <c r="G246" t="inlineStr">
        <is>
          <t>High</t>
        </is>
      </c>
      <c r="H246" t="inlineStr">
        <is>
          <t>High (explicit)</t>
        </is>
      </c>
      <c r="I246" s="8" t="inlineStr"/>
      <c r="J246" s="8" t="inlineStr">
        <is>
          <t>Financial Data</t>
        </is>
      </c>
      <c r="K246" t="inlineStr">
        <is>
          <t>IFSCA</t>
        </is>
      </c>
      <c r="L246" s="8" t="inlineStr">
        <is>
          <t>Exemptions require REs to adopt parent entity's cyber security framework, have parent entity's CISO as Designated Officer, and parent entity must be regulated by a financial-sector regulator.</t>
        </is>
      </c>
      <c r="M246" s="8" t="inlineStr">
        <is>
          <t>Exemptions require REs to adopt parent entity's cyber security framework, have parent entity's CISO as Designated Officer, and parent entity must be regulated by a financial-sector regulator.</t>
        </is>
      </c>
      <c r="N246" s="8" t="inlineStr">
        <is>
          <t>[Must] REs shall adopt the Cyber Security and Cyber Resilience framework and IS Policy of its parent entity
[Must] The CISO of the parent entity shall act as the Designated Officer for the REs in IFSC
[Must] The parent entity of REs, in India or overseas, shall be regulated by a financial-sector regulator in its home jurisdiction and cyber security and cyber resilience framework of the parent entity shall include within its scope, the REs in IFSC</t>
        </is>
      </c>
      <c r="O246" s="8" t="inlineStr">
        <is>
          <t>The exemptions to the REs provided vide para 21, are subject to fulfilment of the following conditions: REs shall adopt the Cyber Security and Cyber Resilience framework and IS Policy of its parent entity, The CISO of the parent entity shall act as the Designated Officer for the REs in IFSC, The parent entity of REs, in India or overseas, shall be regulated by a financial-sector regulator in its home jurisdiction and cyber security and cyber resilience framework of the parent entity shall include within its scope, the REs in IFSC.</t>
        </is>
      </c>
    </row>
    <row r="247">
      <c r="A247" t="inlineStr">
        <is>
          <t>Kenya</t>
        </is>
      </c>
      <c r="B247" t="inlineStr">
        <is>
          <t>Capital Markets Act</t>
        </is>
      </c>
      <c r="C247" t="inlineStr">
        <is>
          <t>2</t>
        </is>
      </c>
      <c r="D247" s="8" t="inlineStr">
        <is>
          <t>Interpretation</t>
        </is>
      </c>
      <c r="E247" t="inlineStr">
        <is>
          <t>7–14</t>
        </is>
      </c>
      <c r="F247" t="inlineStr">
        <is>
          <t>Definitions</t>
        </is>
      </c>
      <c r="G247" t="inlineStr">
        <is>
          <t>Low</t>
        </is>
      </c>
      <c r="H247" t="inlineStr">
        <is>
          <t>High (explicit)</t>
        </is>
      </c>
      <c r="I247" s="8" t="inlineStr"/>
      <c r="J247" s="8" t="inlineStr"/>
      <c r="K247" t="inlineStr"/>
      <c r="L247" s="8" t="inlineStr">
        <is>
          <t>Defines key terms used in the Capital Markets Act, including 'agent', 'authorised securities dealer', 'Authority', 'beneficial owner', 'capital market instrument', 'collective investment scheme', 'commodity', 'commodity contract', 'commodity market', 'company', 'Compensation Fund', 'credit rating agency', 'dealer', 'dealing in securities', 'derivatives exchange', 'derivatives dealer', 'derivatives market', 'director', 'exchange-traded derivative contracts', 'expert', 'financial instrument', 'fund manager', 'futures broker', 'futures contract', 'futures member', 'incorporation documents', 'information memorandum', 'insider', 'investment adviser', 'investment bank', 'investment company', 'key personnel', 'licence', 'licensed person', 'member', 'mutual fund', 'online forex broker', 'options contract', 'over the counter', 'promoter', 'quotation', 'real estate investment trust', 'registered venture capital company', 'regulated person', 'REIT manager', 'representative', 'securities', 'securities exchange', 'self-regulatory organization', 'share', 'sophisticated investor', 'spot commodity trading', 'stockbroker', 'stockbroking agent', 'stock exchange', 'stock market', 'substantial shareholder', 'trading participant', 'trustee', 'underwriting', 'unit trust'.</t>
        </is>
      </c>
      <c r="M247" s="8" t="inlineStr"/>
      <c r="N247" s="8" t="inlineStr"/>
      <c r="O247" s="8" t="inlineStr">
        <is>
          <t>Interpretation: In this Act, unless the context otherwise requires—</t>
        </is>
      </c>
    </row>
    <row r="248">
      <c r="A248" t="inlineStr">
        <is>
          <t>Kenya</t>
        </is>
      </c>
      <c r="B248" t="inlineStr">
        <is>
          <t>Capital Markets Act</t>
        </is>
      </c>
      <c r="C248" t="inlineStr">
        <is>
          <t>4</t>
        </is>
      </c>
      <c r="D248" s="8" t="inlineStr">
        <is>
          <t>Definition of "interest in securities"</t>
        </is>
      </c>
      <c r="E248" t="inlineStr">
        <is>
          <t>14–16</t>
        </is>
      </c>
      <c r="F248" t="inlineStr">
        <is>
          <t>Definitions</t>
        </is>
      </c>
      <c r="G248" t="inlineStr">
        <is>
          <t>Low</t>
        </is>
      </c>
      <c r="H248" t="inlineStr">
        <is>
          <t>High (explicit)</t>
        </is>
      </c>
      <c r="I248" s="8" t="inlineStr"/>
      <c r="J248" s="8" t="inlineStr"/>
      <c r="K248" t="inlineStr"/>
      <c r="L248" s="8" t="inlineStr">
        <is>
          <t>A person is deemed to have an interest in securities if they know or have reasonable grounds to believe they have an interest, or meet specific conditions like control over a body corporate or holding securities jointly.</t>
        </is>
      </c>
      <c r="M248" s="8" t="inlineStr"/>
      <c r="N248" s="8" t="inlineStr">
        <is>
          <t>[Must] Where any property held in trust consists of or includes securities in which a person knows, or has reasonable grounds for believing, that he or she has an interest, he or she shall be deemed to have an interest in those securities.
[Must]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[Must]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(c) where he or she has the right to acquire a security, or an interest in a security, under an option; or (d) where he or she is entitled, otherwise than by reason of his having been appointed a proxy or representative to vote at a meeting of members of a body corporate, to exercise or control the exercise of a right attached to a security.
[Must] A person shall be deemed to have an interest in a security if that security is held jointly with another person.</t>
        </is>
      </c>
      <c r="O248" s="8" t="inlineStr">
        <is>
          <t>Definition of "interest in securities" (1) Where any property held in trust consists of or includes securities in which a person knows, or has reasonable grounds for believing, that he or she has an interest, he or she shall be deemed to have an interest in those securities.</t>
        </is>
      </c>
    </row>
    <row r="249">
      <c r="A249" t="inlineStr">
        <is>
          <t>Kenya</t>
        </is>
      </c>
      <c r="B249" t="inlineStr">
        <is>
          <t>Capital Markets Act</t>
        </is>
      </c>
      <c r="C249" t="inlineStr">
        <is>
          <t>5</t>
        </is>
      </c>
      <c r="D249" s="8" t="inlineStr">
        <is>
          <t>Establishment and membership of the Authority</t>
        </is>
      </c>
      <c r="E249" t="inlineStr">
        <is>
          <t>16–17</t>
        </is>
      </c>
      <c r="F249" t="inlineStr">
        <is>
          <t>Governance</t>
        </is>
      </c>
      <c r="G249" t="inlineStr">
        <is>
          <t>High</t>
        </is>
      </c>
      <c r="H249" t="inlineStr">
        <is>
          <t>High (explicit)</t>
        </is>
      </c>
      <c r="I249" s="8" t="inlineStr">
        <is>
          <t>Governance, Record Keeping</t>
        </is>
      </c>
      <c r="J249" s="8" t="inlineStr"/>
      <c r="K249" t="inlineStr">
        <is>
          <t>Cabinet Secretary</t>
        </is>
      </c>
      <c r="L249" s="8" t="inlineStr">
        <is>
          <t>Establishes the Capital Markets Authority as a body corporate with perpetual succession, capable of suing and being sued, and specifies its composition, appointment, term of office, and removal procedures.</t>
        </is>
      </c>
      <c r="M249" s="8" t="inlineStr"/>
      <c r="N249" s="8" t="inlineStr">
        <is>
          <t>[Must] There is hereby established an authority to be known as the Capital Markets Authority.
[Must] The Authority shall be a body corporate with perpetual succession and a common seal and shall be capable in its corporate name of— (a) suing and being sued; (b) taking, purchasing or otherwise acquiring, holding, charging and disposing of both movable and immovable property; (c) borrowing and lending money; (d) entering into contracts; and (e) doing or performing all such other things or acts necessary for the proper performance of its functions under this Act which may lawfully be done by a body corporate.
[Must] The Authority shall consist of— (a) a Chairperson to be appointed by the President on the recommendation of the Cabinet Secretary; (b) six other members appointed by the Cabinet Secretary; (c) the Principal Secretary to the National Treasury or a person deputed by him or her in writing for the purposes of this Act; (d) the Governor of the Central Bank of Kenya or a person deputed by him or her in writing for the purposes of this Act; (e) the Attorney-General or a person deputed by him or her in writing for the purposes of this Act; (f) the chief executive of the Authority.
[Must] The Chairperson and every member appointed under paragraph (b) of subsection (3) shall be appointed from amongst persons who have experience and expertise in legal, financial, banking, accounting, economics or insurance matters.
[Must] The Chairperson and every member appointed under paragraph (b) of subsection (3) shall hold office for a period of three years and shall be eligible for re-appointment for a further term of three years.
[Must] The members of the Authority shall be appointed at different times so that the respective expiry dates of their terms of office shall fall at different times.
[Must] Any member appointed under subsection (3)(b) shall cease to hold office if— (a) he or she delivers to the Cabinet Secretary a written resignation of his appointment; (b) on the advice of the Authority, the Cabinet Secretary removes him or her from office on the grounds that he or she is incapacitated by mental or physical illness or is otherwise unable or unfit to discharge the functions of a member; (c) he or she has been absent from three consecutive meetings of the Authority without leave or good cause; (d) he or she is adjudged bankrupt or enters into a composition scheme or arrangement with his creditors; (e) he or she is sentenced by a court to imprisonment for a term of six months or more; or (f) he or she is convicted of an offence involving dishonesty, fraud or moral turpitude.</t>
        </is>
      </c>
      <c r="O249" s="8" t="inlineStr">
        <is>
          <t>Establishment and membership of the Authority (1) There is hereby established an authority to be known as the Capital Markets Authority.</t>
        </is>
      </c>
    </row>
    <row r="250">
      <c r="A250" t="inlineStr">
        <is>
          <t>Kenya</t>
        </is>
      </c>
      <c r="B250" t="inlineStr">
        <is>
          <t>Capital Markets Act</t>
        </is>
      </c>
      <c r="C250" t="inlineStr">
        <is>
          <t>6</t>
        </is>
      </c>
      <c r="D250" s="8" t="inlineStr">
        <is>
          <t>Meetings and procedures of the Authority</t>
        </is>
      </c>
      <c r="E250" t="inlineStr">
        <is>
          <t>17</t>
        </is>
      </c>
      <c r="F250" t="inlineStr">
        <is>
          <t>Governance</t>
        </is>
      </c>
      <c r="G250" t="inlineStr">
        <is>
          <t>High</t>
        </is>
      </c>
      <c r="H250" t="inlineStr">
        <is>
          <t>High (explicit)</t>
        </is>
      </c>
      <c r="I250" s="8" t="inlineStr">
        <is>
          <t>Governance, Record Keeping</t>
        </is>
      </c>
      <c r="J250" s="8" t="inlineStr"/>
      <c r="K250" t="inlineStr">
        <is>
          <t>Cabinet Secretary</t>
        </is>
      </c>
      <c r="L250" s="8" t="inlineStr">
        <is>
          <t>Specifies meeting frequency, quorum, chairperson's role, voting procedures, and conflict of interest disclosures for the Authority's meetings.</t>
        </is>
      </c>
      <c r="M250" s="8" t="inlineStr"/>
      <c r="N250" s="8" t="inlineStr">
        <is>
          <t>[Must] The Board shall meet not less than six times in every financial year and not more than two months shall elapse between the date of one meeting and the date of the next meeting.
[Must] The quorum for the conduct of the business of the Board shall be six members including the chief executive.
[Must] The Chairperson shall preside at every meeting of the Board at which he or she is present but in his absence, the members present shall elect one of their number who shall, with respect to that meeting and the business transacted thereat, have all the powers of the Chairperson.
[Must] All questions for decisions at any meeting of the Authority shall be decided by the vote of the majority of the members present and in case of an equality of votes the Chairperson shall have a casting vote.
[Must] If the Chairperson of the Authority, by reason of extended illness or absence is temporarily unable to perform the duties of his office, the President, on the recommendation of the Cabinet Secretary, shall appoint another member of the Authority to act in his place during the period of absence.
[Must] Any member who has a direct or indirect interest in any decision that is to be taken on any specific non-rule making matter by the Authority, shall disclose the nature of such interest at the meeting of the Authority where such decision is being taken and the disclosure shall be recorded in the minutes of the meeting, and if either the member or majority of the members of the Authority believe that such member's interest in the matter is such as to influence his judgment, he or she shall not participate in the deliberation or the decision of the Authority on such matter.</t>
        </is>
      </c>
      <c r="O250" s="8" t="inlineStr">
        <is>
          <t>Meetings and procedures of the Authority (1) The Board shall meet not less than six times in every financial year and not more than two months shall elapse between the date of one meeting and the date of the next meeting.</t>
        </is>
      </c>
    </row>
    <row r="251">
      <c r="A251" t="inlineStr">
        <is>
          <t>Kenya</t>
        </is>
      </c>
      <c r="B251" t="inlineStr">
        <is>
          <t>Capital Markets Act</t>
        </is>
      </c>
      <c r="C251" t="inlineStr">
        <is>
          <t>8</t>
        </is>
      </c>
      <c r="D251" s="8" t="inlineStr">
        <is>
          <t>Appointment of chief executive of the Authority</t>
        </is>
      </c>
      <c r="E251" t="inlineStr">
        <is>
          <t>18</t>
        </is>
      </c>
      <c r="F251" t="inlineStr">
        <is>
          <t>Governance</t>
        </is>
      </c>
      <c r="G251" t="inlineStr">
        <is>
          <t>High</t>
        </is>
      </c>
      <c r="H251" t="inlineStr">
        <is>
          <t>High (explicit)</t>
        </is>
      </c>
      <c r="I251" s="8" t="inlineStr">
        <is>
          <t>Governance, Record Keeping</t>
        </is>
      </c>
      <c r="J251" s="8" t="inlineStr"/>
      <c r="K251" t="inlineStr">
        <is>
          <t>Cabinet Secretary</t>
        </is>
      </c>
      <c r="L251" s="8" t="inlineStr">
        <is>
          <t>Details the appointment, qualifications, term of office, and responsibilities of the Chief Executive of the Authority.</t>
        </is>
      </c>
      <c r="M251" s="8" t="inlineStr"/>
      <c r="N251" s="8" t="inlineStr">
        <is>
          <t>[Must] There shall be a Chief Executive of the Authority who shall be appointed by the Cabinet Secretary and who shall, subject to this section, hold office on such terms and conditions of service as may be specified in the instrument of appointment, or otherwise from time to time.
[Must] No person shall be qualified for appointment under this section unless such person— (a) has at least ten years' experience at a senior management level in matters relating to law, finance, accounting, economics, banking or insurance; and (b) has expertise in matters relating to money or capital markets or finance.
[Must] The Cabinet Secretary, in consultation with the Board, shall appoint a person qualified in terms of this section as the chief executive.
[Must] The chief executive shall hold office for a period of four years but shall be eligible for reappointment for a further term of four years: Provided that no person shall serve as the chief executive for more than two terms.
[Must] The chief executive shall, subject to the general direction and control of the Authority, be charged with the direction of the affairs and transactions of the Authority, the exercise, discharge and performance of its objectives, functions and duties, and the administration and control of the servants of the Authority.</t>
        </is>
      </c>
      <c r="O251" s="8" t="inlineStr">
        <is>
          <t>Appointment of chief executive of the Authority (1) There shall be a Chief Executive of the Authority who shall be appointed by the Cabinet Secretary and who shall, subject to this section, hold office on such terms and conditions of service as may be specified in the instrument of appointment, or otherwise from time to time.</t>
        </is>
      </c>
    </row>
    <row r="252">
      <c r="A252" t="inlineStr">
        <is>
          <t>Kenya</t>
        </is>
      </c>
      <c r="B252" t="inlineStr">
        <is>
          <t>Capital Markets Act</t>
        </is>
      </c>
      <c r="C252" t="inlineStr">
        <is>
          <t>11</t>
        </is>
      </c>
      <c r="D252" s="8" t="inlineStr">
        <is>
          <t>Objectives of the Authority</t>
        </is>
      </c>
      <c r="E252" t="inlineStr">
        <is>
          <t>19–21</t>
        </is>
      </c>
      <c r="F252" t="inlineStr">
        <is>
          <t>Other</t>
        </is>
      </c>
      <c r="G252" t="inlineStr">
        <is>
          <t>High</t>
        </is>
      </c>
      <c r="H252" t="inlineStr">
        <is>
          <t>High (explicit)</t>
        </is>
      </c>
      <c r="I252" s="8" t="inlineStr">
        <is>
          <t>Governance, Record Keeping</t>
        </is>
      </c>
      <c r="J252" s="8" t="inlineStr"/>
      <c r="K252" t="inlineStr">
        <is>
          <t>Cabinet Secretary</t>
        </is>
      </c>
      <c r="L252" s="8" t="inlineStr">
        <is>
          <t>Outlines the Authority's objectives including capital markets development, investor protection, compensation funds, and electronic commerce frameworks.</t>
        </is>
      </c>
      <c r="M252" s="8" t="inlineStr"/>
      <c r="N252" s="8" t="inlineStr">
        <is>
          <t>[Must] The principal objectives of the Authority shall be— (a) the development of all aspects of the capital markets with particular emphasis on the removal of impediments to, and the creation of incentives for longer term investments in, productive enterprises; (b) to facilitate the existence of a nationwide system of securities commodities market and derivatives market and brokerage services so as to enable wider participation of the general public in the securities commodities market and derivatives market; (c) the creation, maintenance and regulation of a market in which securities can be issued and traded in an orderly, fair and efficient manner, through the implementation of a system in which the market participants are self-regulatory to the maximum practicable extent; (d) the protection of investor interests; (e) the facilitation of a compensation fund to protect investors from financial loss arising from the failure of a licensed broker or dealer to meet his contractual obligations; and (f) the development of a framework to facilitate the use of electronic commerce for the development of capital markets in Kenya.
[Must] For the purpose of carrying out its objectives, the Authority may exercise, perform or discharge all or any of the following powers, duties and functions— (a) advise the Cabinet Secretary on all aspects of the development and operation of capital markets; (b) implement policies and programmes of the Government with respect to the capital markets; (c) employ such officers and servants as may be necessary for the proper discharge of the functions of the Authority; (d) impose sanctions for breach of the provisions of this Act or the regulations made thereunder, and such sanctions may include— (i) levying of financial penalties, proportional to the gravity or severity of the breach, as may be prescribed; (ii) ordering a person to remedy or mitigate the effect of the breach, make restitution or pay compensation to any person aggrieved by the breach; (iii) publishing findings of malfeasance by any person; (iv) suspending or cancelling the listing of any securities or exchange-traded derivatives contracts, or the trading of any securities or exchange-traded derivatives contracts, for the protection of investors; (e) to issue guidelines and notices on all matters within the jurisdiction of the Authority under this Act; (f) to grant a licence to any person to operate as a stockbroker, derivatives broker, dealer or investment adviser, fund manager, investment bank, central depository or authorised securities dealer, and ensure the proper conduct of that business; (g) to grant approval to any person to operate as a securities exchange, commodity exchange, derivatives exchange, credit rating agency, registered venture capital company or to operate in any other capacity which directly contributes to the attainment of the objectives of this Act and to ensure the proper conduct of that business; (h) inquire, either on its own motion or at the request of any other person, into the affairs of any person which the Authority has approved or to which it has granted a licence and any public company the securities of which are publicly offered or traded on an approved securities exchange or on an over the counter market; (i) give directions to any person which the Authority has approved or to which it has granted a licence and any public company the securities of which are publicly offered or traded on an approved securities exchange or on an over the counter market; (j) conduct inspection of the activities, books and records of any persons approved or licensed by the Authority; (k) appoint an auditor to carry out a specific audit of the financial operations of any collective investment scheme or public company the securities of which are publicly offered or traded on an approved securities exchange or on an over the counter market, if such action is deemed to be in the interest of the investors, at the expense of such collective investment scheme or company; (l) grant compensation to any investor who suffers pecuniary loss resulting from the failure of a licensed broker or dealer to meet his contractual obligations; (m) have recourse against any person whose act or omission has resulted in a payment from the Compensation Fund; (n) act as an appellate body in respect of appeals against any self regulatory organization securities or exchange-traded derivatives contracts exchange, derivatives exchange or central de. depository in actions by parties aggrieved thereby; (o) co-operate or enter into agreements for mutual co-operation with other regulatory authorities for the development and regulation of cross-border activities in capital markets; (p) regulate and oversee the issue and subsequent trading, both in primary and secondary markets, of capital market instruments; (q) regulate the use of electronic commerce for dealing in securities or offer services ordinarily carried out by a licensed person; (r) trace any assets, including bank accounts, of any person who, upon investigation by the Authority, is found to have engaged in any fraudulent dealings in an issuer and its securities or insider trading; (s) in writing, order caveats to be placed against the title to such assets or prohibit any such person from operating any such bank accounts as may be directed by the Authority, pending determination of any charges instituted against that person; (t) prescribe notices or guidelines on corporate governance of a company whose securities have been issued to the public or a section of the public; (u) ensure processing of personal data in the operations of capital markets is in accordance with principles set out under the Data Protection Act (Cap. 411C); (v) do all such other acts as may be incidental or conducive to the attainment of the objectives of the Authority or the exercise of its powers under this Act.</t>
        </is>
      </c>
      <c r="O252" s="8" t="inlineStr">
        <is>
          <t>Objectives (1) The principal objectives of the Authority shall be— (a) the development of all aspects of the capital markets with particular emphasis on the removal of impediments to, and the creation of incentives for longer term investments in, productive enterprises; (b) to facilitate the existence of a nationwide system of securities commodities market and derivatives market and brokerage services so as to enable wider participation of the general public in the securities commodities market and derivatives market; (c) the creation, maintenance and regulation of a market in which securities can be issued and traded in an orderly, fair and efficient manner, through the implementation of a system in which the market participants are self-regulatory to the maximum practicable extent; (d) the protection of investor interests; (e) the facilitation of a compensation fund to protect investors from financial loss arising from the failure of a licensed broker or dealer to meet his contractual obligations; and (f) the development of a framework to facilitate the use of electronic commerce for the development of capital markets in Kenya.</t>
        </is>
      </c>
    </row>
    <row r="253">
      <c r="A253" t="inlineStr">
        <is>
          <t>Kenya</t>
        </is>
      </c>
      <c r="B253" t="inlineStr">
        <is>
          <t>Capital Markets Act</t>
        </is>
      </c>
      <c r="C253" t="inlineStr">
        <is>
          <t>12</t>
        </is>
      </c>
      <c r="D253" s="8" t="inlineStr">
        <is>
          <t>Power of the Cabinet Secretary to issue rules and regulations ......................................................................................... 15</t>
        </is>
      </c>
      <c r="E253" t="inlineStr">
        <is>
          <t>3</t>
        </is>
      </c>
      <c r="F253" t="inlineStr">
        <is>
          <t>Other</t>
        </is>
      </c>
      <c r="G253" t="inlineStr">
        <is>
          <t>Low</t>
        </is>
      </c>
      <c r="H253" t="inlineStr">
        <is>
          <t>High (explicit)</t>
        </is>
      </c>
      <c r="I253" s="8" t="inlineStr"/>
      <c r="J253" s="8" t="inlineStr"/>
      <c r="K253" t="inlineStr">
        <is>
          <t>Cabinet Secretary</t>
        </is>
      </c>
      <c r="L253" s="8" t="inlineStr">
        <is>
          <t>Cabinet Secretary may issue rules and regulations.</t>
        </is>
      </c>
      <c r="M253" s="8" t="inlineStr"/>
      <c r="N253" s="8" t="inlineStr">
        <is>
          <t>[Authority] Power of the Cabinet Secretary to issue rules and regulations</t>
        </is>
      </c>
      <c r="O253" s="8" t="inlineStr">
        <is>
          <t>12. Power of the Cabinet Secretary to issue rules and regulations</t>
        </is>
      </c>
    </row>
    <row r="254">
      <c r="A254" t="inlineStr">
        <is>
          <t>Kenya</t>
        </is>
      </c>
      <c r="B254" t="inlineStr">
        <is>
          <t>Capital Markets Act</t>
        </is>
      </c>
      <c r="C254" t="inlineStr">
        <is>
          <t>12</t>
        </is>
      </c>
      <c r="D254" s="8" t="inlineStr">
        <is>
          <t>Power of the Cabinet Secretary to issue rules and regulations</t>
        </is>
      </c>
      <c r="E254" t="inlineStr">
        <is>
          <t>21–24</t>
        </is>
      </c>
      <c r="F254" t="inlineStr">
        <is>
          <t>Other</t>
        </is>
      </c>
      <c r="G254" t="inlineStr">
        <is>
          <t>High</t>
        </is>
      </c>
      <c r="H254" t="inlineStr">
        <is>
          <t>High (explicit)</t>
        </is>
      </c>
      <c r="I254" s="8" t="inlineStr"/>
      <c r="J254" s="8" t="inlineStr">
        <is>
          <t>Financial Data</t>
        </is>
      </c>
      <c r="K254" t="inlineStr">
        <is>
          <t>Cabinet Secretary</t>
        </is>
      </c>
      <c r="L254" s="8" t="inlineStr">
        <is>
          <t>Cabinet Secretary may issue rules and regulations for capital markets activities, including securities exchanges, disclosures, reporting, and foreign investors.</t>
        </is>
      </c>
      <c r="M254" s="8" t="inlineStr"/>
      <c r="N254" s="8" t="inlineStr">
        <is>
          <t>[Must] Cabinet Secretary shall formulate rules and regulations for capital markets activities
[Must] Rules must be exposed for comment for 30 days via newspapers and electronic media</t>
        </is>
      </c>
      <c r="O254" s="8" t="inlineStr">
        <is>
          <t>The Cabinet Secretary shall formulate such rules and regulations as may be required to regulate— (a) listing and de-listing of securities on a securities exchange; (b) disclosures about securities transactions by— (i) stockbrokers, derivatives brokers and dealers; (ii) persons who acquire or dispose of securities or exchange-traded derivatives contracts; (iii) a securities exchange; etc.</t>
        </is>
      </c>
    </row>
    <row r="255">
      <c r="A255" t="inlineStr">
        <is>
          <t>Kenya</t>
        </is>
      </c>
      <c r="B255" t="inlineStr">
        <is>
          <t>Capital Markets Act</t>
        </is>
      </c>
      <c r="C255" t="inlineStr">
        <is>
          <t>13</t>
        </is>
      </c>
      <c r="D255" s="8" t="inlineStr">
        <is>
          <t>Furnishing of information to the Authority .............................................................................................................................. 18</t>
        </is>
      </c>
      <c r="E255" t="inlineStr">
        <is>
          <t>3</t>
        </is>
      </c>
      <c r="F255" t="inlineStr">
        <is>
          <t>Other</t>
        </is>
      </c>
      <c r="G255" t="inlineStr">
        <is>
          <t>Low</t>
        </is>
      </c>
      <c r="H255" t="inlineStr">
        <is>
          <t>High (explicit)</t>
        </is>
      </c>
      <c r="I255" s="8" t="inlineStr"/>
      <c r="J255" s="8" t="inlineStr"/>
      <c r="K255" t="inlineStr">
        <is>
          <t>Authority</t>
        </is>
      </c>
      <c r="L255" s="8" t="inlineStr">
        <is>
          <t>Entities must furnish information to the Authority.</t>
        </is>
      </c>
      <c r="M255" s="8" t="inlineStr"/>
      <c r="N255" s="8" t="inlineStr">
        <is>
          <t>[Must] Furnishing of information to the Authority</t>
        </is>
      </c>
      <c r="O255" s="8" t="inlineStr">
        <is>
          <t>13. Furnishing of information to the Authority</t>
        </is>
      </c>
    </row>
    <row r="256">
      <c r="A256" t="inlineStr">
        <is>
          <t>Kenya</t>
        </is>
      </c>
      <c r="B256" t="inlineStr">
        <is>
          <t>Capital Markets Act</t>
        </is>
      </c>
      <c r="C256" t="inlineStr">
        <is>
          <t>13</t>
        </is>
      </c>
      <c r="D256" s="8" t="inlineStr">
        <is>
          <t>Furnishing of information to the Authority</t>
        </is>
      </c>
      <c r="E256" t="inlineStr">
        <is>
          <t>24–26</t>
        </is>
      </c>
      <c r="F256" t="inlineStr">
        <is>
          <t>Other</t>
        </is>
      </c>
      <c r="G256" t="inlineStr">
        <is>
          <t>High</t>
        </is>
      </c>
      <c r="H256" t="inlineStr">
        <is>
          <t>High (explicit)</t>
        </is>
      </c>
      <c r="I256" s="8" t="inlineStr"/>
      <c r="J256" s="8" t="inlineStr">
        <is>
          <t>Financial Data</t>
        </is>
      </c>
      <c r="K256" t="inlineStr">
        <is>
          <t>Authority</t>
        </is>
      </c>
      <c r="L256" s="8" t="inlineStr">
        <is>
          <t>Authority may require information from persons, with restrictions on disclosure and cooperation with foreign regulatory bodies.</t>
        </is>
      </c>
      <c r="M256" s="8" t="inlineStr"/>
      <c r="N256" s="8" t="inlineStr">
        <is>
          <t>[Must] Authority may require persons to furnish information within specified period
[Must Not] Authority may not disclose information except for achieving objectives or court order
[May] Authority may provide assistance to foreign regulatory bodies under specific conditions</t>
        </is>
      </c>
      <c r="O256" s="8" t="inlineStr">
        <is>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is>
      </c>
    </row>
    <row r="257">
      <c r="A257" t="inlineStr">
        <is>
          <t>Kenya</t>
        </is>
      </c>
      <c r="B257" t="inlineStr">
        <is>
          <t>Capital Markets Act</t>
        </is>
      </c>
      <c r="C257" t="inlineStr">
        <is>
          <t>16</t>
        </is>
      </c>
      <c r="D257" s="8" t="inlineStr">
        <is>
          <t>Financial year of Authority</t>
        </is>
      </c>
      <c r="E257" t="inlineStr">
        <is>
          <t>26–27</t>
        </is>
      </c>
      <c r="F257" t="inlineStr">
        <is>
          <t>Other</t>
        </is>
      </c>
      <c r="G257" t="inlineStr">
        <is>
          <t>Low</t>
        </is>
      </c>
      <c r="H257" t="inlineStr">
        <is>
          <t>High (explicit)</t>
        </is>
      </c>
      <c r="I257" s="8" t="inlineStr"/>
      <c r="J257" s="8" t="inlineStr">
        <is>
          <t>Financial Data</t>
        </is>
      </c>
      <c r="K257" t="inlineStr"/>
      <c r="L257" s="8" t="inlineStr">
        <is>
          <t>Authority's financial year commences on the first day of July each year.</t>
        </is>
      </c>
      <c r="M257" s="8" t="inlineStr"/>
      <c r="N257" s="8" t="inlineStr">
        <is>
          <t>[Must] Financial year of Authority commences on first day of July</t>
        </is>
      </c>
      <c r="O257" s="8" t="inlineStr">
        <is>
          <t>The financial year of the Authority shall be the period of twelve months commencing on the first day of July in each year.</t>
        </is>
      </c>
    </row>
    <row r="258">
      <c r="A258" t="inlineStr">
        <is>
          <t>Kenya</t>
        </is>
      </c>
      <c r="B258" t="inlineStr">
        <is>
          <t>Capital Markets Act</t>
        </is>
      </c>
      <c r="C258" t="inlineStr">
        <is>
          <t>17</t>
        </is>
      </c>
      <c r="D258" s="8" t="inlineStr">
        <is>
          <t>Accounts</t>
        </is>
      </c>
      <c r="E258" t="inlineStr">
        <is>
          <t>27</t>
        </is>
      </c>
      <c r="F258" t="inlineStr">
        <is>
          <t>Other</t>
        </is>
      </c>
      <c r="G258" t="inlineStr">
        <is>
          <t>High</t>
        </is>
      </c>
      <c r="H258" t="inlineStr">
        <is>
          <t>High (explicit)</t>
        </is>
      </c>
      <c r="I258" s="8" t="inlineStr"/>
      <c r="J258" s="8" t="inlineStr">
        <is>
          <t>Financial Data</t>
        </is>
      </c>
      <c r="K258" t="inlineStr"/>
      <c r="L258" s="8" t="inlineStr">
        <is>
          <t>Authority shall maintain proper books of accounts for income, expenditures, assets, liabilities, and transactions.</t>
        </is>
      </c>
      <c r="M258" s="8" t="inlineStr"/>
      <c r="N258" s="8" t="inlineStr">
        <is>
          <t>[Must] Authority shall cause proper books of accounts to be kept of its income and expenditures, assets and liabilities and all other transactions</t>
        </is>
      </c>
      <c r="O258" s="8" t="inlineStr">
        <is>
          <t>The Authority shall cause proper books of accounts to be kept of its income and expenditures, assets and liabilities and all other transactions of the Authority.</t>
        </is>
      </c>
    </row>
    <row r="259">
      <c r="A259" t="inlineStr">
        <is>
          <t>Kenya</t>
        </is>
      </c>
      <c r="B259" t="inlineStr">
        <is>
          <t>Capital Markets Act</t>
        </is>
      </c>
      <c r="C259" t="inlineStr">
        <is>
          <t>18</t>
        </is>
      </c>
      <c r="D259" s="8" t="inlineStr">
        <is>
          <t>Establishment of the Investor Compensation Fund ............................................................................................................... 21</t>
        </is>
      </c>
      <c r="E259" t="inlineStr">
        <is>
          <t>3–4</t>
        </is>
      </c>
      <c r="F259" t="inlineStr">
        <is>
          <t>Other</t>
        </is>
      </c>
      <c r="G259" t="inlineStr">
        <is>
          <t>Low</t>
        </is>
      </c>
      <c r="H259" t="inlineStr">
        <is>
          <t>High (explicit)</t>
        </is>
      </c>
      <c r="I259" s="8" t="inlineStr"/>
      <c r="J259" s="8" t="inlineStr"/>
      <c r="K259" t="inlineStr"/>
      <c r="L259" s="8" t="inlineStr">
        <is>
          <t>Establishes Investor Compensation Fund and self-regulatory organizations.</t>
        </is>
      </c>
      <c r="M259" s="8" t="inlineStr"/>
      <c r="N259" s="8" t="inlineStr">
        <is>
          <t>[Must] Establishment of the Investor Compensation Fund</t>
        </is>
      </c>
      <c r="O259" s="8" t="inlineStr">
        <is>
          <t>18. Establishment of the Investor Compensation Fund</t>
        </is>
      </c>
    </row>
    <row r="260">
      <c r="A260" t="inlineStr">
        <is>
          <t>Kenya</t>
        </is>
      </c>
      <c r="B260" t="inlineStr">
        <is>
          <t>Capital Markets Act</t>
        </is>
      </c>
      <c r="C260" t="inlineStr">
        <is>
          <t>18</t>
        </is>
      </c>
      <c r="D260" s="8" t="inlineStr">
        <is>
          <t>Establishment of the Investor Compensation Fund</t>
        </is>
      </c>
      <c r="E260" t="inlineStr">
        <is>
          <t>27–31</t>
        </is>
      </c>
      <c r="F260" t="inlineStr">
        <is>
          <t>Other</t>
        </is>
      </c>
      <c r="G260" t="inlineStr">
        <is>
          <t>High</t>
        </is>
      </c>
      <c r="H260" t="inlineStr">
        <is>
          <t>High (explicit)</t>
        </is>
      </c>
      <c r="I260" s="8" t="inlineStr"/>
      <c r="J260" s="8" t="inlineStr"/>
      <c r="K260" t="inlineStr">
        <is>
          <t>Authority</t>
        </is>
      </c>
      <c r="L260" s="8" t="inlineStr">
        <is>
          <t>Establishes an Investor Compensation Fund for compensating investors who suffer pecuniary loss due to licensed stockbrokers or dealers failing contractual obligations.</t>
        </is>
      </c>
      <c r="M260" s="8" t="inlineStr"/>
      <c r="N260" s="8" t="inlineStr">
        <is>
          <t>[Must] There shall be established a Fund to be known as the Investor Compensation Fund for the purposes of granting compensation to investors who suffer pecuniary loss resulting from the failure of a licensed stockbroker or dealer to meet his contractual obligations.</t>
        </is>
      </c>
      <c r="O260" s="8" t="inlineStr">
        <is>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is>
      </c>
    </row>
    <row r="261">
      <c r="A261" t="inlineStr">
        <is>
          <t>Kenya</t>
        </is>
      </c>
      <c r="B261" t="inlineStr">
        <is>
          <t>Capital Markets Act</t>
        </is>
      </c>
      <c r="C261" t="inlineStr">
        <is>
          <t>20</t>
        </is>
      </c>
      <c r="D261" s="8" t="inlineStr">
        <is>
          <t>Application for securities exchange, commodities exchange approval</t>
        </is>
      </c>
      <c r="E261" t="inlineStr">
        <is>
          <t>32</t>
        </is>
      </c>
      <c r="F261" t="inlineStr">
        <is>
          <t>Other</t>
        </is>
      </c>
      <c r="G261" t="inlineStr">
        <is>
          <t>High</t>
        </is>
      </c>
      <c r="H261" t="inlineStr">
        <is>
          <t>High (explicit)</t>
        </is>
      </c>
      <c r="I261" s="8" t="inlineStr"/>
      <c r="J261" s="8" t="inlineStr"/>
      <c r="K261" t="inlineStr">
        <is>
          <t>Authority</t>
        </is>
      </c>
      <c r="L261" s="8" t="inlineStr">
        <is>
          <t>Applications for securities/commodities exchange approval must be made to Authority with prescribed fee and meet criteria including being a limited liability company and having approved rules.</t>
        </is>
      </c>
      <c r="M261" s="8" t="inlineStr"/>
      <c r="N261" s="8" t="inlineStr">
        <is>
          <t>[Must] An application for securities exchange, commodities exchange or derivatives exchange approval shall be made to the Authority in the form and manner prescribed by the Authority and shall be accompanied by the prescribed fee.
[May] The Authority may, by notice in writing, approve a person as a securities exchange, commodities exchange or derivatives exchange if it is satisfied— (a) that the applicant is a limited liability company whose liability is limited by shares, or as may be prescribed by the Authority; (b) that the applicant's board of directors is constituted in a manner prescribed by the Authority; (c) the applicant has made and adopted rules in compliance with the Act and any Regulations made thereunder.</t>
        </is>
      </c>
      <c r="O261" s="8" t="inlineStr">
        <is>
          <t>20. Application for securities exchange, commodities exchange approval (1) An application for securities exchange, commodities exchange or derivatives exchange approval shall be made to the Authority in the form and manner prescribed by the Authority and shall be accompanied by the prescribed fee.</t>
        </is>
      </c>
    </row>
    <row r="262">
      <c r="A262" t="inlineStr">
        <is>
          <t>Kenya</t>
        </is>
      </c>
      <c r="B262" t="inlineStr">
        <is>
          <t>Capital Markets Act</t>
        </is>
      </c>
      <c r="C262" t="inlineStr">
        <is>
          <t>21</t>
        </is>
      </c>
      <c r="D262" s="8" t="inlineStr">
        <is>
          <t>Changes in securities exchange, commodities exchange rules</t>
        </is>
      </c>
      <c r="E262" t="inlineStr">
        <is>
          <t>32–33</t>
        </is>
      </c>
      <c r="F262" t="inlineStr">
        <is>
          <t>Other</t>
        </is>
      </c>
      <c r="G262" t="inlineStr">
        <is>
          <t>High</t>
        </is>
      </c>
      <c r="H262" t="inlineStr">
        <is>
          <t>High (explicit)</t>
        </is>
      </c>
      <c r="I262" s="8" t="inlineStr"/>
      <c r="J262" s="8" t="inlineStr"/>
      <c r="K262" t="inlineStr">
        <is>
          <t>Authority</t>
        </is>
      </c>
      <c r="L262" s="8" t="inlineStr">
        <is>
          <t>Changes to securities exchange rules require Authority approval, with exceptions for policy changes, fees, and administrative matters.</t>
        </is>
      </c>
      <c r="M262" s="8" t="inlineStr"/>
      <c r="N262" s="8" t="inlineStr">
        <is>
          <t>[Must] The rules of an approved securities exchange, commodities exchange or a derivatives exchange, in so far as they have been approved by the Authority, shall not be amended, varied or rescinded without the prior approval of the Authority.
[Must] Where the board of directors of an approved securities exchange, commodities exchange or a derivatives exchange wishes to amend its rules, it shall forward the amendments to the Authority for approval.</t>
        </is>
      </c>
      <c r="O262" s="8" t="inlineStr">
        <is>
          <t>21. Changes in securities exchange, commodities exchange rules (1) The rules of an approved securities exchange, commodities exchange or a derivatives exchange, in so far as they have been approved by the Authority, shall not be amended, varied or rescinded without the prior approval of the Authority.</t>
        </is>
      </c>
    </row>
    <row r="263">
      <c r="A263" t="inlineStr">
        <is>
          <t>Kenya</t>
        </is>
      </c>
      <c r="B263" t="inlineStr">
        <is>
          <t>Capital Markets Act</t>
        </is>
      </c>
      <c r="C263" t="inlineStr">
        <is>
          <t>22</t>
        </is>
      </c>
      <c r="D263" s="8" t="inlineStr">
        <is>
          <t>Disciplinary action by securities exchange ............................................................................................................................... 27</t>
        </is>
      </c>
      <c r="E263" t="inlineStr">
        <is>
          <t>4</t>
        </is>
      </c>
      <c r="F263" t="inlineStr">
        <is>
          <t>Other</t>
        </is>
      </c>
      <c r="G263" t="inlineStr">
        <is>
          <t>Low</t>
        </is>
      </c>
      <c r="H263" t="inlineStr">
        <is>
          <t>High (explicit)</t>
        </is>
      </c>
      <c r="I263" s="8" t="inlineStr"/>
      <c r="J263" s="8" t="inlineStr"/>
      <c r="K263" t="inlineStr"/>
      <c r="L263" s="8" t="inlineStr">
        <is>
          <t>Securities exchanges may take disciplinary action.</t>
        </is>
      </c>
      <c r="M263" s="8" t="inlineStr"/>
      <c r="N263" s="8" t="inlineStr">
        <is>
          <t>[Must] Disciplinary action by securities exchange</t>
        </is>
      </c>
      <c r="O263" s="8" t="inlineStr">
        <is>
          <t>22. Disciplinary action by securities exchange</t>
        </is>
      </c>
    </row>
    <row r="264">
      <c r="A264" t="inlineStr">
        <is>
          <t>Kenya</t>
        </is>
      </c>
      <c r="B264" t="inlineStr">
        <is>
          <t>Capital Markets Act</t>
        </is>
      </c>
      <c r="C264" t="inlineStr">
        <is>
          <t>22</t>
        </is>
      </c>
      <c r="D264" s="8" t="inlineStr">
        <is>
          <t>Disciplinary action by securities exchange</t>
        </is>
      </c>
      <c r="E264" t="inlineStr">
        <is>
          <t>33–37</t>
        </is>
      </c>
      <c r="F264" t="inlineStr">
        <is>
          <t>Other</t>
        </is>
      </c>
      <c r="G264" t="inlineStr">
        <is>
          <t>Low</t>
        </is>
      </c>
      <c r="H264" t="inlineStr">
        <is>
          <t>High (explicit)</t>
        </is>
      </c>
      <c r="I264" s="8" t="inlineStr"/>
      <c r="J264" s="8" t="inlineStr"/>
      <c r="K264" t="inlineStr">
        <is>
          <t>Authority</t>
        </is>
      </c>
      <c r="L264" s="8" t="inlineStr">
        <is>
          <t>Securities exchanges must notify the Authority within seven days of disciplinary actions against trading participants or listed companies.</t>
        </is>
      </c>
      <c r="M264" s="8" t="inlineStr"/>
      <c r="N264" s="8" t="inlineStr">
        <is>
          <t>[Must] Securities exchange or derivatives exchange must notify Authority in writing within seven days of disciplinary action against trading participant or listed company, including name, reason, and nature of action.</t>
        </is>
      </c>
      <c r="O264" s="8" t="inlineStr">
        <is>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is>
      </c>
    </row>
    <row r="265">
      <c r="A265" t="inlineStr">
        <is>
          <t>Kenya</t>
        </is>
      </c>
      <c r="B265" t="inlineStr">
        <is>
          <t>Capital Markets Act</t>
        </is>
      </c>
      <c r="C265" t="inlineStr">
        <is>
          <t>23</t>
        </is>
      </c>
      <c r="D265" s="8" t="inlineStr">
        <is>
          <t>Licences required</t>
        </is>
      </c>
      <c r="E265" t="inlineStr">
        <is>
          <t>37</t>
        </is>
      </c>
      <c r="F265" t="inlineStr">
        <is>
          <t>Other</t>
        </is>
      </c>
      <c r="G265" t="inlineStr">
        <is>
          <t>Low</t>
        </is>
      </c>
      <c r="H265" t="inlineStr">
        <is>
          <t>High (explicit)</t>
        </is>
      </c>
      <c r="I265" s="8" t="inlineStr"/>
      <c r="J265" s="8" t="inlineStr"/>
      <c r="K265" t="inlineStr">
        <is>
          <t>Authority</t>
        </is>
      </c>
      <c r="L265" s="8" t="inlineStr">
        <is>
          <t>Businesses requiring licenses or approvals must hold valid licenses or approvals from the Authority.</t>
        </is>
      </c>
      <c r="M265" s="8" t="inlineStr"/>
      <c r="N265" s="8" t="inlineStr">
        <is>
          <t>[Must Not] No person may carry on business as a stockbroker, derivatives broker, or other regulated entities without a valid license from the Authority.</t>
        </is>
      </c>
      <c r="O265" s="8" t="inlineStr">
        <is>
          <t>No person shall carry on business as a stockbroker, derivatives broker, REIT manager, trustee, dealer, investment adviser, fund manager, investment bank, central depository, authorised securities dealer, authorized depository, online forex broker, commodity dealer, commodity broker or hold himself out as carrying on such a business unless he or she holds a valid licence issued under this Act or under the authority of this Act.</t>
        </is>
      </c>
    </row>
    <row r="266">
      <c r="A266" t="inlineStr">
        <is>
          <t>Kenya</t>
        </is>
      </c>
      <c r="B266" t="inlineStr">
        <is>
          <t>Capital Markets Act</t>
        </is>
      </c>
      <c r="C266" t="inlineStr">
        <is>
          <t>24</t>
        </is>
      </c>
      <c r="D266" s="8" t="inlineStr">
        <is>
          <t>Application for licence</t>
        </is>
      </c>
      <c r="E266" t="inlineStr">
        <is>
          <t>37–39</t>
        </is>
      </c>
      <c r="F266" t="inlineStr">
        <is>
          <t>Other</t>
        </is>
      </c>
      <c r="G266" t="inlineStr">
        <is>
          <t>Low</t>
        </is>
      </c>
      <c r="H266" t="inlineStr">
        <is>
          <t>High (explicit)</t>
        </is>
      </c>
      <c r="I266" s="8" t="inlineStr"/>
      <c r="J266" s="8" t="inlineStr"/>
      <c r="K266" t="inlineStr">
        <is>
          <t>Authority</t>
        </is>
      </c>
      <c r="L266" s="8" t="inlineStr">
        <is>
          <t>Applications for licenses must be submitted with prescribed forms, fees, and meet financial requirements.</t>
        </is>
      </c>
      <c r="M266" s="8" t="inlineStr"/>
      <c r="N266" s="8" t="inlineStr">
        <is>
          <t>[Must] Applications for licenses must be submitted to Authority in prescribed form with prescribed fee, and meet minimum financial requirements.</t>
        </is>
      </c>
      <c r="O266" s="8" t="inlineStr">
        <is>
          <t>An application for a licence or for the renewal of a licence shall be made to the Authority in the prescribed form and shall be accompanied by the prescribed fee and in the case of an application for the renewal of a licence, may be made within three months but not later than one month prior to the expiry of the licence.</t>
        </is>
      </c>
    </row>
    <row r="267">
      <c r="A267" t="inlineStr">
        <is>
          <t>Kenya</t>
        </is>
      </c>
      <c r="B267" t="inlineStr">
        <is>
          <t>Capital Markets Act</t>
        </is>
      </c>
      <c r="C267" t="inlineStr">
        <is>
          <t>25</t>
        </is>
      </c>
      <c r="D267" s="8" t="inlineStr">
        <is>
          <t>[Repealed by , s. 18.]</t>
        </is>
      </c>
      <c r="E267" t="inlineStr">
        <is>
          <t>39–40</t>
        </is>
      </c>
      <c r="F267" t="inlineStr">
        <is>
          <t>Other</t>
        </is>
      </c>
      <c r="G267" t="inlineStr">
        <is>
          <t>Low</t>
        </is>
      </c>
      <c r="H267" t="inlineStr">
        <is>
          <t>High (explicit)</t>
        </is>
      </c>
      <c r="I267" s="8" t="inlineStr"/>
      <c r="J267" s="8" t="inlineStr"/>
      <c r="K267" t="inlineStr">
        <is>
          <t>Authority</t>
        </is>
      </c>
      <c r="L267" s="8" t="inlineStr">
        <is>
          <t>Authority may impose sanctions and financial penalties for breaches of the Act by licensed persons.</t>
        </is>
      </c>
      <c r="M267" s="8" t="inlineStr"/>
      <c r="N267" s="8" t="inlineStr">
        <is>
          <t>[May] Authority may impose sanctions including public reprimands, suspensions, financial penalties, and restitution orders for breaches of the Act.</t>
        </is>
      </c>
      <c r="O267" s="8" t="inlineStr">
        <is>
          <t>Without prejudice to any other provision of this Act, the Authority may impose the following sanctions or levy financial penalties in accordance with this Act, for the breach of any provisions of this Act...</t>
        </is>
      </c>
    </row>
    <row r="268">
      <c r="A268" t="inlineStr">
        <is>
          <t>Kenya</t>
        </is>
      </c>
      <c r="B268" t="inlineStr">
        <is>
          <t>Capital Markets Act</t>
        </is>
      </c>
      <c r="C268" t="inlineStr">
        <is>
          <t>26</t>
        </is>
      </c>
      <c r="D268" s="8" t="inlineStr">
        <is>
          <t>Suspension or revocation of a licence</t>
        </is>
      </c>
      <c r="E268" t="inlineStr">
        <is>
          <t>40–42</t>
        </is>
      </c>
      <c r="F268" t="inlineStr">
        <is>
          <t>Other</t>
        </is>
      </c>
      <c r="G268" t="inlineStr">
        <is>
          <t>High</t>
        </is>
      </c>
      <c r="H268" t="inlineStr">
        <is>
          <t>High (explicit)</t>
        </is>
      </c>
      <c r="I268" s="8" t="inlineStr"/>
      <c r="J268" s="8" t="inlineStr"/>
      <c r="K268" t="inlineStr">
        <is>
          <t>Capital Markets Authority</t>
        </is>
      </c>
      <c r="L268" s="8" t="inlineStr">
        <is>
          <t>Authority may suspend or revoke license for specified events including liquidation, unauthorized activities, failure to comply with conditions, and other reasons.</t>
        </is>
      </c>
      <c r="M268" s="8" t="inlineStr"/>
      <c r="N268" s="8" t="inlineStr">
        <is>
          <t>[Must] The Authority may suspend or revoke a license for such period or until the occurrence of such event as the Authority may specify, if a licensed person—
[Condition] A suspension of a license under this section shall not exceed a period of three months
[Must] The Authority shall, at the expiry of the suspension period specified under subsection (2), lift the suspension or revoke the license, as the Authority considers appropriate
[Must] Where a licensed person fails to pay the prescribed annual fee, the license held by such licensee shall be considered suspended
[Must] Where a licence is suspended under subsection (4), and the licensee has not paid the prescribed fee within thirty days after the day on which the suspension takes effect or such further period as the Authority may specify, the licence shall stand revoked
[May] The Authority may revoke or suspend a license at the request of a licensed person
[Must] The Authority shall publish, in the Gazette, all the licences suspended or revoked under this section
[Must] The Authority shall, in all cases where the Authority takes action under sections 25 and 26, give the person affected by such action an opportunity to be heard</t>
        </is>
      </c>
      <c r="O268" s="8" t="inlineStr">
        <is>
          <t>26. Suspension or revocation of a licence (1) The Authority may suspend or revoke a license, for such period or until the occurrence of such event as the Authority may specify, if a licensed person—</t>
        </is>
      </c>
    </row>
    <row r="269">
      <c r="A269" t="inlineStr">
        <is>
          <t>Kenya</t>
        </is>
      </c>
      <c r="B269" t="inlineStr">
        <is>
          <t>Capital Markets Act</t>
        </is>
      </c>
      <c r="C269" t="inlineStr">
        <is>
          <t>28</t>
        </is>
      </c>
      <c r="D269" s="8" t="inlineStr">
        <is>
          <t>Obligation to report changes</t>
        </is>
      </c>
      <c r="E269" t="inlineStr">
        <is>
          <t>42</t>
        </is>
      </c>
      <c r="F269" t="inlineStr">
        <is>
          <t>Other</t>
        </is>
      </c>
      <c r="G269" t="inlineStr">
        <is>
          <t>High</t>
        </is>
      </c>
      <c r="H269" t="inlineStr">
        <is>
          <t>High (explicit)</t>
        </is>
      </c>
      <c r="I269" s="8" t="inlineStr"/>
      <c r="J269" s="8" t="inlineStr"/>
      <c r="K269" t="inlineStr">
        <is>
          <t>Capital Markets Authority</t>
        </is>
      </c>
      <c r="L269" s="8" t="inlineStr">
        <is>
          <t>Licensed persons must report changes in business activities or register details to the Authority within fourteen days.</t>
        </is>
      </c>
      <c r="M269" s="8" t="inlineStr"/>
      <c r="N269" s="8" t="inlineStr">
        <is>
          <t>[Must] Where the holder of a licence ceases to carry on the business to which the licence relates
[Must] Where a change occurs in any particulars which are required by section 27 to be entered in a register of licence holders with respect to the holder of a licence</t>
        </is>
      </c>
      <c r="O269" s="8" t="inlineStr">
        <is>
          <t>28. Obligation to report changes Where— (a) the holder of a licence ceases to carry on the business to which the licence relates; or (b) a change occurs in any particulars which are required by section 27 to be entered in a register of licence holders with respect to the holder of a licence, the holder of the licence shall within fourteen days of the occurrence of the event concerned, give to the Authority, particulars of such event.</t>
        </is>
      </c>
    </row>
    <row r="270">
      <c r="A270" t="inlineStr">
        <is>
          <t>Kenya</t>
        </is>
      </c>
      <c r="B270" t="inlineStr">
        <is>
          <t>Capital Markets Act</t>
        </is>
      </c>
      <c r="C270" t="inlineStr">
        <is>
          <t>29</t>
        </is>
      </c>
      <c r="D270" s="8" t="inlineStr">
        <is>
          <t>Licensing requirements</t>
        </is>
      </c>
      <c r="E270" t="inlineStr">
        <is>
          <t>42–44</t>
        </is>
      </c>
      <c r="F270" t="inlineStr">
        <is>
          <t>Other</t>
        </is>
      </c>
      <c r="G270" t="inlineStr">
        <is>
          <t>High</t>
        </is>
      </c>
      <c r="H270" t="inlineStr">
        <is>
          <t>High (explicit)</t>
        </is>
      </c>
      <c r="I270" s="8" t="inlineStr"/>
      <c r="J270" s="8" t="inlineStr"/>
      <c r="K270" t="inlineStr">
        <is>
          <t>Capital Markets Authority</t>
        </is>
      </c>
      <c r="L270" s="8" t="inlineStr">
        <is>
          <t>Authority must verify applicant qualifications, security requirements, and business capacity before granting licenses.</t>
        </is>
      </c>
      <c r="M270" s="8" t="inlineStr"/>
      <c r="N270" s="8" t="inlineStr">
        <is>
          <t>[Must] Before granting any licence or approval, the Authority in respect of a business that requires to be licensed or approved shall satisfy itself—
[Must] that the applicant is such legal entity as may be prescribed in the Regulations as the Authority may prescribe or is duly constituted as a collective investment scheme
[Must] that at least one the director, chief executive officer or such other person who directs, conducts, manages or supervises the business of the applicant has satisfied such minimum qualification requirements as may be prescribed
[Must] in the case of a stockbroker, dealer or other person prescribed by the Authority that the applicant company has lodged security in such sum as may be determined by the Authority or an equivalent bank guarantee or bond with the securities exchange in which it is a trading participant or with the Authority or other person approved by the Authority as the case may be
[Must] that the applicant company has the necessary administrative capacity to carry on business for which the licence is required
[Must] in the case of an application for a stockbroker's licence, that the applicant shall carry on business solely on behalf of clients
[Must] in the case of an application for a dealer's licence, that the applicant shall carry on business solely on the applicant's own behalf
[Must] in the case of an application for a derivatives broker licences, that the applicant may carry on business either on behalf of clients or on the applicant's own behalf, or both
[Must] A securities exchange or a derivatives exchange shall admit an applicant for a stockbroker, dealer or derivatives broker license if the applicant—
[Must] fulfils all the requirements imposed by the Authority and the relevant securities exchange, derivatives exchange or any self-regulatory organization
[Must] pays an admission fee which has been approved by the Authority
[Must] A securities broker, a derivatives broker or a dealer whose license is revoked under section 26, shall cease to be a trading participant of the securities exchange
[Must Not] An individual or a corporate person shall not, in relation to a company—
[Must Not] control or be beneficially entitled, directly or indirectly, to more than thirty three and a third percent of the issued share capital or voting rights in a company
[Must Not] appoint more than one-third of the members of the Board of directors
[Must Not] receive more than thirty-three and a third percent of the aggregate dividends and interest on shareholders loans to be paid in any given financial year</t>
        </is>
      </c>
      <c r="O270" s="8" t="inlineStr">
        <is>
          <t>29. Licensing requirements (1) Before granting any licence or approval, the Authority in respect of a business that requires to be licensed or approved shall satisfy itself—</t>
        </is>
      </c>
    </row>
    <row r="271">
      <c r="A271" t="inlineStr">
        <is>
          <t>Kenya</t>
        </is>
      </c>
      <c r="B271" t="inlineStr">
        <is>
          <t>Capital Markets Act</t>
        </is>
      </c>
      <c r="C271" t="inlineStr">
        <is>
          <t>30</t>
        </is>
      </c>
      <c r="D271" s="8" t="inlineStr">
        <is>
          <t>Procedure for collective investment schemes .......................................................................................................................... 38</t>
        </is>
      </c>
      <c r="E271" t="inlineStr">
        <is>
          <t>4–5</t>
        </is>
      </c>
      <c r="F271" t="inlineStr">
        <is>
          <t>Other</t>
        </is>
      </c>
      <c r="G271" t="inlineStr">
        <is>
          <t>Low</t>
        </is>
      </c>
      <c r="H271" t="inlineStr">
        <is>
          <t>High (explicit)</t>
        </is>
      </c>
      <c r="I271" s="8" t="inlineStr"/>
      <c r="J271" s="8" t="inlineStr"/>
      <c r="K271" t="inlineStr"/>
      <c r="L271" s="8" t="inlineStr">
        <is>
          <t>Procedures for collective investment schemes and securities offers.</t>
        </is>
      </c>
      <c r="M271" s="8" t="inlineStr"/>
      <c r="N271" s="8" t="inlineStr">
        <is>
          <t>[Must] Procedure for collective investment schemes</t>
        </is>
      </c>
      <c r="O271" s="8" t="inlineStr">
        <is>
          <t>30. Procedure for collective investment schemes</t>
        </is>
      </c>
    </row>
    <row r="272">
      <c r="A272" t="inlineStr">
        <is>
          <t>Kenya</t>
        </is>
      </c>
      <c r="B272" t="inlineStr">
        <is>
          <t>Capital Markets Act</t>
        </is>
      </c>
      <c r="C272" t="inlineStr">
        <is>
          <t>30</t>
        </is>
      </c>
      <c r="D272" s="8" t="inlineStr">
        <is>
          <t>Procedure for collective investment schemes</t>
        </is>
      </c>
      <c r="E272" t="inlineStr">
        <is>
          <t>44–59</t>
        </is>
      </c>
      <c r="F272" t="inlineStr">
        <is>
          <t>Other</t>
        </is>
      </c>
      <c r="G272" t="inlineStr">
        <is>
          <t>High</t>
        </is>
      </c>
      <c r="H272" t="inlineStr">
        <is>
          <t>High (explicit)</t>
        </is>
      </c>
      <c r="I272" s="8" t="inlineStr"/>
      <c r="J272" s="8" t="inlineStr"/>
      <c r="K272" t="inlineStr">
        <is>
          <t>Authority</t>
        </is>
      </c>
      <c r="L272" s="8" t="inlineStr">
        <is>
          <t>No person may operate a collective investment scheme in Kenya without registration under the Act.</t>
        </is>
      </c>
      <c r="M272" s="8" t="inlineStr">
        <is>
          <t>Registration required for collective investment schemes operating in or from Kenya.</t>
        </is>
      </c>
      <c r="N272" s="8" t="inlineStr">
        <is>
          <t>[Must] No person shall carry on any business or engage in any activity as a collective investment scheme, in or from within Kenya, unless such person is registered under this Act.</t>
        </is>
      </c>
      <c r="O272" s="8" t="inlineStr">
        <is>
          <t>No person shall carry on any business or engage in any activity as a collective investment scheme, in or from within Kenya, unless such person is registered under this Act.</t>
        </is>
      </c>
    </row>
    <row r="273">
      <c r="A273" t="inlineStr">
        <is>
          <t>Kenya</t>
        </is>
      </c>
      <c r="B273" t="inlineStr">
        <is>
          <t>Capital Markets Act</t>
        </is>
      </c>
      <c r="C273" t="inlineStr">
        <is>
          <t>31</t>
        </is>
      </c>
      <c r="D273" s="8" t="inlineStr">
        <is>
          <t>Transactions in securities</t>
        </is>
      </c>
      <c r="E273" t="inlineStr">
        <is>
          <t>59</t>
        </is>
      </c>
      <c r="F273" t="inlineStr">
        <is>
          <t>Cross-border Transfer</t>
        </is>
      </c>
      <c r="G273" t="inlineStr">
        <is>
          <t>High</t>
        </is>
      </c>
      <c r="H273" t="inlineStr">
        <is>
          <t>High (explicit)</t>
        </is>
      </c>
      <c r="I273" s="8" t="inlineStr">
        <is>
          <t>Cross-border Transfer, Security</t>
        </is>
      </c>
      <c r="J273" s="8" t="inlineStr">
        <is>
          <t>Financial Data</t>
        </is>
      </c>
      <c r="K273" t="inlineStr">
        <is>
          <t>Authority</t>
        </is>
      </c>
      <c r="L273" s="8" t="inlineStr">
        <is>
          <t>Licensed persons cannot transfer listed securities outside their exchange without Authority approval or fee payment.</t>
        </is>
      </c>
      <c r="M273" s="8" t="inlineStr">
        <is>
          <t>Requires Authority approval for cross-exchange transfers of listed securities with specific conditions.</t>
        </is>
      </c>
      <c r="N273" s="8" t="inlineStr">
        <is>
          <t>[Must] No licensed person, broker or dealer shall transfer listed securities outside the securities exchange in which he or she is a trading participant except as provided for by the Authority in rules or as authorised by the Authority on a case by case basis, and on payment of a prescribed fee.
[Condition] The Authority may authorise the transfer of a listed security outside the securities exchange if the Authority is satisfied that— (i) the transaction is a private transaction as prescribed by the Authority; (ii) the security trades over the counter and such trade is reported in accordance with the rules prescribed by the Authority; or (iii) it would be in the interest of the holders of ordinary shares of the company having regard to the prevailing conditions and all factors which are relevant in the circumstances to so authorise.</t>
        </is>
      </c>
      <c r="O273" s="8" t="inlineStr">
        <is>
          <t>No licensed person, broker or dealer shall transfer listed securities outside the securities exchange in which he or she is a trading participant except as provided for by the Authority in rules or as authorised by the Authority on a case by case basis, and on payment of a prescribed fee.</t>
        </is>
      </c>
    </row>
    <row r="274">
      <c r="A274" t="inlineStr">
        <is>
          <t>Kenya</t>
        </is>
      </c>
      <c r="B274" t="inlineStr">
        <is>
          <t>Capital Markets Act</t>
        </is>
      </c>
      <c r="C274" t="inlineStr">
        <is>
          <t>32</t>
        </is>
      </c>
      <c r="D274" s="8" t="inlineStr">
        <is>
          <t>Register of interest in securities ................................................................................................................................................... 53</t>
        </is>
      </c>
      <c r="E274" t="inlineStr">
        <is>
          <t>5–6</t>
        </is>
      </c>
      <c r="F274" t="inlineStr">
        <is>
          <t>Other</t>
        </is>
      </c>
      <c r="G274" t="inlineStr">
        <is>
          <t>Low</t>
        </is>
      </c>
      <c r="H274" t="inlineStr">
        <is>
          <t>High (explicit)</t>
        </is>
      </c>
      <c r="I274" s="8" t="inlineStr"/>
      <c r="J274" s="8" t="inlineStr"/>
      <c r="K274" t="inlineStr"/>
      <c r="L274" s="8" t="inlineStr">
        <is>
          <t>Registers of interest in securities and market abuse regulations.</t>
        </is>
      </c>
      <c r="M274" s="8" t="inlineStr"/>
      <c r="N274" s="8" t="inlineStr">
        <is>
          <t>[Must] Register of interest in securities</t>
        </is>
      </c>
      <c r="O274" s="8" t="inlineStr">
        <is>
          <t>32. Register of interest in securities</t>
        </is>
      </c>
    </row>
    <row r="275">
      <c r="A275" t="inlineStr">
        <is>
          <t>Kenya</t>
        </is>
      </c>
      <c r="B275" t="inlineStr">
        <is>
          <t>Capital Markets Act</t>
        </is>
      </c>
      <c r="C275" t="inlineStr">
        <is>
          <t>32</t>
        </is>
      </c>
      <c r="D275" s="8" t="inlineStr">
        <is>
          <t>Register of interest in securities</t>
        </is>
      </c>
      <c r="E275" t="inlineStr">
        <is>
          <t>59–68</t>
        </is>
      </c>
      <c r="F275" t="inlineStr">
        <is>
          <t>Other</t>
        </is>
      </c>
      <c r="G275" t="inlineStr">
        <is>
          <t>High</t>
        </is>
      </c>
      <c r="H275" t="inlineStr">
        <is>
          <t>High (explicit)</t>
        </is>
      </c>
      <c r="I275" s="8" t="inlineStr"/>
      <c r="J275" s="8" t="inlineStr"/>
      <c r="K275" t="inlineStr">
        <is>
          <t>Capital Markets Authority</t>
        </is>
      </c>
      <c r="L275" s="8" t="inlineStr">
        <is>
          <t>Licensing entities and financial journalists must maintain a register of securities interests within 7 days of acquisition or change.</t>
        </is>
      </c>
      <c r="M275" s="8" t="inlineStr"/>
      <c r="N275" s="8" t="inlineStr">
        <is>
          <t>[Must] A person to whom section (1) applies shall maintain a register of the securities in which he or she has an interest and such interest or any changes in such interest shall be entered in the register within seven days of the acquisition or change in the interest.</t>
        </is>
      </c>
      <c r="O275" s="8" t="inlineStr">
        <is>
          <t>A person to whom section (1) applies shall maintain a register of the securities in which he or she has an interest and such interest or any changes in such interest shall be entered in the register within seven days of the acquisition or change in the interest.</t>
        </is>
      </c>
    </row>
    <row r="276">
      <c r="A276" t="inlineStr">
        <is>
          <t>Kenya</t>
        </is>
      </c>
      <c r="B276" t="inlineStr">
        <is>
          <t>Capital Markets Act</t>
        </is>
      </c>
      <c r="C276" t="inlineStr">
        <is>
          <t>34</t>
        </is>
      </c>
      <c r="D276" s="8" t="inlineStr">
        <is>
          <t>Other offences</t>
        </is>
      </c>
      <c r="E276" t="inlineStr">
        <is>
          <t>68–70</t>
        </is>
      </c>
      <c r="F276" t="inlineStr">
        <is>
          <t>Other</t>
        </is>
      </c>
      <c r="G276" t="inlineStr">
        <is>
          <t>High</t>
        </is>
      </c>
      <c r="H276" t="inlineStr">
        <is>
          <t>High (explicit)</t>
        </is>
      </c>
      <c r="I276" s="8" t="inlineStr"/>
      <c r="J276" s="8" t="inlineStr"/>
      <c r="K276" t="inlineStr">
        <is>
          <t>Authority</t>
        </is>
      </c>
      <c r="L276" s="8" t="inlineStr">
        <is>
          <t>Persons committing offences under the Act face penalties including fines and imprisonment.</t>
        </is>
      </c>
      <c r="M276" s="8" t="inlineStr"/>
      <c r="N276" s="8" t="inlineStr">
        <is>
          <t>[Must] Any person who contravenes any provision of this Act or any requirement imposed under the provision of this Act or any rule or regulation made thereunder
[Must] Any person who furnishes or publishes for the purpose of this Act or in connection with an issuer whose securities are listed or quoted to be listed on a securities exchange, or issued or to be issued to the public or a collective investment scheme, any information or any returns the contents of which are to his knowledge untrue or incorrect or misleading because of material omissions
[Must] Any person who wilfully obstructs any member of the Authority or an officer or servant of the Authority in the performance of his duties under the provisions of that Act</t>
        </is>
      </c>
      <c r="O276" s="8" t="inlineStr">
        <is>
          <t>Any person who— (a) contravenes any provision of this Act or any requirement imposed under the provision of this Act or any rule or regulation made thereunder; (b) furnishes or publishes for the purpose of this Act or in connection with an issuer whose securities are listed or quoted to be listed on a securities exchange, or issued or to be issued to the public or a collective investment scheme, any information or any returns the contents of which are to his knowledge untrue or incorrect or misleading because of material omissions; or (c) wilfully obstructs any member of the Authority or an officer or servant of the Authority in the performance of his duties under the provisions of that Act, shall be guilty of an offence.</t>
        </is>
      </c>
    </row>
    <row r="277">
      <c r="A277" t="inlineStr">
        <is>
          <t>Kenya</t>
        </is>
      </c>
      <c r="B277" t="inlineStr">
        <is>
          <t>Capital Markets Act</t>
        </is>
      </c>
      <c r="C277" t="inlineStr">
        <is>
          <t>35</t>
        </is>
      </c>
      <c r="D277" s="8" t="inlineStr">
        <is>
          <t>Appeals from action by Authority</t>
        </is>
      </c>
      <c r="E277" t="inlineStr">
        <is>
          <t>70–73</t>
        </is>
      </c>
      <c r="F277" t="inlineStr">
        <is>
          <t>Other</t>
        </is>
      </c>
      <c r="G277" t="inlineStr">
        <is>
          <t>High</t>
        </is>
      </c>
      <c r="H277" t="inlineStr">
        <is>
          <t>High (explicit)</t>
        </is>
      </c>
      <c r="I277" s="8" t="inlineStr"/>
      <c r="J277" s="8" t="inlineStr"/>
      <c r="K277" t="inlineStr">
        <is>
          <t>Capital Markets Tribunal</t>
        </is>
      </c>
      <c r="L277" s="8" t="inlineStr">
        <is>
          <t>Provides for appeals from the Authority's decisions to the Capital Markets Tribunal.</t>
        </is>
      </c>
      <c r="M277" s="8" t="inlineStr"/>
      <c r="N277" s="8" t="inlineStr">
        <is>
          <t>[Must] Any person aggrieved by any direction given by the Authority to such person or by a decision of the Authority or by the Investor Compensation Fund Board— (a) refusing to grant a licence; (b) imposing limitations or restrictions on a licence; (c) suspending or revoking a licence; (cc) refusing to approve a public offer of securities; (d) refusing to admit a security to the official list of a securities exchange; (e) suspending trading of a security on a securities exchange; or (f) requiring the removal of a security from the official list of a securities exchange; (g) refusing to grant compensation to an investor who has suffered pecuniary loss resulting from failure of a licensed stockbroker or dealer, to meet his contractual obligations or pay unclaimed dividends to a beneficiary who resurfaces</t>
        </is>
      </c>
      <c r="O277" s="8" t="inlineStr">
        <is>
          <t>Any person aggrieved by any direction given by the Authority to such person or by a decision of the Authority or by the Investor Compensation Fund Board— (a) refusing to grant a licence; (b) imposing limitations or restrictions on a licence; (c) suspending or revoking a licence; (cc) refusing to approve a public offer of securities; (d) refusing to admit a security to the official list of a securities exchange; (e) suspending trading of a security on a securities exchange; or (f) requiring the removal of a security from the official list of a securities exchange; (g) refusing to grant compensation to an investor who has suffered pecuniary loss resulting from failure of a licensed stockbroker or dealer, to meet his contractual obligations or pay unclaimed dividends to a beneficiary who resurfaces, may appeal to the Capital Markets Tribunal against such directions, refusal, limitations or restrictions, cancellations, suspension or removal, as the case may be, within fifteen days from the date on which the decision was communicated to such person.</t>
        </is>
      </c>
    </row>
    <row r="278">
      <c r="A278" t="inlineStr">
        <is>
          <t>Kenya</t>
        </is>
      </c>
      <c r="B278" t="inlineStr">
        <is>
          <t>Capital Markets Act</t>
        </is>
      </c>
      <c r="C278" t="inlineStr">
        <is>
          <t>36</t>
        </is>
      </c>
      <c r="D278" s="8" t="inlineStr">
        <is>
          <t>Directions and submission of reports</t>
        </is>
      </c>
      <c r="E278" t="inlineStr">
        <is>
          <t>73–74</t>
        </is>
      </c>
      <c r="F278" t="inlineStr">
        <is>
          <t>Other</t>
        </is>
      </c>
      <c r="G278" t="inlineStr">
        <is>
          <t>High</t>
        </is>
      </c>
      <c r="H278" t="inlineStr">
        <is>
          <t>High (explicit)</t>
        </is>
      </c>
      <c r="I278" s="8" t="inlineStr"/>
      <c r="J278" s="8" t="inlineStr"/>
      <c r="K278" t="inlineStr">
        <is>
          <t>Cabinet Secretary</t>
        </is>
      </c>
      <c r="L278" s="8" t="inlineStr">
        <is>
          <t>Requires the Authority to submit annual reports and comply with Cabinet Secretary's directions.</t>
        </is>
      </c>
      <c r="M278" s="8" t="inlineStr"/>
      <c r="N278" s="8" t="inlineStr">
        <is>
          <t>[Must] The Cabinet Secretary may, from time to time, direct the Authority to furnish in such form as he or she may require, returns, accounts and any other information with respect to the work of the Authority and the Authority shall comply with such direction
[Must] 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t>
        </is>
      </c>
      <c r="O278" s="8" t="inlineStr">
        <is>
          <t>The Cabinet Secretary may, from time to time, direct the Authority to furnish in such form as he or she may require, returns, accounts and any other information with respect to the work of the Authority and the Authority shall comply with such direction.</t>
        </is>
      </c>
    </row>
    <row r="279">
      <c r="A279" t="inlineStr">
        <is>
          <t>Kenya</t>
        </is>
      </c>
      <c r="B279" t="inlineStr">
        <is>
          <t>Capital Markets Act</t>
        </is>
      </c>
      <c r="C279" t="inlineStr">
        <is>
          <t>39</t>
        </is>
      </c>
      <c r="D279" s="8" t="inlineStr">
        <is>
          <t>Exemption from Cap. 446 ................................................................................................................................................................ 68</t>
        </is>
      </c>
      <c r="E279" t="inlineStr">
        <is>
          <t>6–7</t>
        </is>
      </c>
      <c r="F279" t="inlineStr">
        <is>
          <t>Exemptions</t>
        </is>
      </c>
      <c r="G279" t="inlineStr">
        <is>
          <t>Low</t>
        </is>
      </c>
      <c r="H279" t="inlineStr">
        <is>
          <t>High (explicit)</t>
        </is>
      </c>
      <c r="I279" s="8" t="inlineStr"/>
      <c r="J279" s="8" t="inlineStr"/>
      <c r="K279" t="inlineStr"/>
      <c r="L279" s="8" t="inlineStr">
        <is>
          <t>Exemptions from Cap. 446.</t>
        </is>
      </c>
      <c r="M279" s="8" t="inlineStr"/>
      <c r="N279" s="8" t="inlineStr">
        <is>
          <t>[Exemption] Exemption from Cap. 446</t>
        </is>
      </c>
      <c r="O279" s="8" t="inlineStr">
        <is>
          <t>39. Exemption from Cap. 446</t>
        </is>
      </c>
    </row>
    <row r="280">
      <c r="A280" t="inlineStr">
        <is>
          <t>Kenya</t>
        </is>
      </c>
      <c r="B280" t="inlineStr">
        <is>
          <t>GUIDANCE-NOTE-ON-CYBERSECURITY-FOR-THE-BANKING-SECTOR</t>
        </is>
      </c>
      <c r="C280" t="inlineStr">
        <is>
          <t>2</t>
        </is>
      </c>
      <c r="D280" s="8" t="inlineStr">
        <is>
          <t>PART II Statement of Policy</t>
        </is>
      </c>
      <c r="E280" t="inlineStr">
        <is>
          <t>2</t>
        </is>
      </c>
      <c r="F280" t="inlineStr">
        <is>
          <t>Other</t>
        </is>
      </c>
      <c r="G280" t="inlineStr">
        <is>
          <t>Low</t>
        </is>
      </c>
      <c r="H280" t="inlineStr">
        <is>
          <t>High (explicit)</t>
        </is>
      </c>
      <c r="I280" s="8" t="inlineStr"/>
      <c r="J280" s="8" t="inlineStr"/>
      <c r="K280" t="inlineStr"/>
      <c r="L280" s="8" t="inlineStr">
        <is>
          <t>Defines policy sections for cybersecurity in banking sector including purpose, scope, responsibility, and cyber risk examples.</t>
        </is>
      </c>
      <c r="M280" s="8" t="inlineStr"/>
      <c r="N280" s="8" t="inlineStr"/>
      <c r="O280" s="8" t="inlineStr">
        <is>
          <t>PART II Statement of Policy 2.1 Purpose 2.2 Scope 2:3 Responsibility 2.4 Examples of Sources of Cyber Risk</t>
        </is>
      </c>
    </row>
    <row r="281">
      <c r="A281" t="inlineStr">
        <is>
          <t>Kenya</t>
        </is>
      </c>
      <c r="B281" t="inlineStr">
        <is>
          <t>GUIDANCE-NOTE-ON-CYBERSECURITY-FOR-THE-BANKING-SECTOR</t>
        </is>
      </c>
      <c r="C281" t="inlineStr">
        <is>
          <t>3</t>
        </is>
      </c>
      <c r="D281" s="8" t="inlineStr">
        <is>
          <t>PART III Specific Requirements</t>
        </is>
      </c>
      <c r="E281" t="inlineStr">
        <is>
          <t>2–14</t>
        </is>
      </c>
      <c r="F281" t="inlineStr">
        <is>
          <t>Governance</t>
        </is>
      </c>
      <c r="G281" t="inlineStr">
        <is>
          <t>High</t>
        </is>
      </c>
      <c r="H281" t="inlineStr">
        <is>
          <t>High (explicit)</t>
        </is>
      </c>
      <c r="I281" s="8" t="inlineStr">
        <is>
          <t>Governance</t>
        </is>
      </c>
      <c r="J281" s="8" t="inlineStr">
        <is>
          <t>Financial Data</t>
        </is>
      </c>
      <c r="K281" t="inlineStr">
        <is>
          <t>Central Bank of Kenya (CBK)</t>
        </is>
      </c>
      <c r="L281" s="8" t="inlineStr">
        <is>
          <t>Board and senior management must establish cybersecurity strategy, policies, and frameworks; ensure oversight, budget allocation, and regular reviews of cybersecurity readiness.</t>
        </is>
      </c>
      <c r="M281" s="8" t="inlineStr">
        <is>
          <t>Requires institutions to define cybersecurity governance structures, risk ownership, and accountability for cyber threats within banking operations.</t>
        </is>
      </c>
      <c r="N281" s="8" t="inlineStr">
        <is>
          <t>[Must] Board of Directors must oversee cybersecurity strategy, risk appetite, and strategic direction
[Must] Board must review cybersecurity preparedness against cyber risks annually
[Must] Senior Management must implement cybersecurity strategy and ensure business continuity
[Must] CISO must report cybersecurity status quarterly to CEO</t>
        </is>
      </c>
      <c r="O281" s="8" t="inlineStr">
        <is>
          <t>Board of Directors must oversee cultivation of ethical governance culture, establish cyber risk appetite, allocate cybersecurity budget, and review cybersecurity preparedness annually.</t>
        </is>
      </c>
    </row>
    <row r="282">
      <c r="A282" t="inlineStr">
        <is>
          <t>Kenya</t>
        </is>
      </c>
      <c r="B282" t="inlineStr">
        <is>
          <t>GuidelinesonCybersecurityforPSPs (Kenya - Row19)</t>
        </is>
      </c>
      <c r="C282" t="inlineStr">
        <is>
          <t>2</t>
        </is>
      </c>
      <c r="D282" s="8" t="inlineStr">
        <is>
          <t>PART II STATEMENT OF POLICY</t>
        </is>
      </c>
      <c r="E282" t="inlineStr">
        <is>
          <t>2</t>
        </is>
      </c>
      <c r="F282" t="inlineStr">
        <is>
          <t>Other</t>
        </is>
      </c>
      <c r="G282" t="inlineStr">
        <is>
          <t>Low</t>
        </is>
      </c>
      <c r="H282" t="inlineStr">
        <is>
          <t>High (explicit)</t>
        </is>
      </c>
      <c r="I282" s="8" t="inlineStr">
        <is>
          <t>Governance, Record Keeping</t>
        </is>
      </c>
      <c r="J282" s="8" t="inlineStr"/>
      <c r="K282" t="inlineStr"/>
      <c r="L282" s="8" t="inlineStr">
        <is>
          <t>States purpose and scope of cybersecurity guidelines for Payment Service Providers in Kenya.</t>
        </is>
      </c>
      <c r="M282" s="8" t="inlineStr"/>
      <c r="N282" s="8" t="inlineStr">
        <is>
          <t>[Must] Part II Statement of Policy</t>
        </is>
      </c>
      <c r="O282" s="8" t="inlineStr">
        <is>
          <t>PART II STATEMENT OF POLICY 2.1 Purpose 2.2 Scope 2.3 Sources of Cyber Risk 2.4 Responsibility 2.5 Cybersecurity Program</t>
        </is>
      </c>
    </row>
    <row r="283">
      <c r="A283" t="inlineStr">
        <is>
          <t>Kenya</t>
        </is>
      </c>
      <c r="B283" t="inlineStr">
        <is>
          <t>GuidelinesonCybersecurityforPSPs (Kenya - Row19)</t>
        </is>
      </c>
      <c r="C283" t="inlineStr">
        <is>
          <t>3</t>
        </is>
      </c>
      <c r="D283" s="8" t="inlineStr">
        <is>
          <t>PART III SPECIFIC REQUIREMENTS</t>
        </is>
      </c>
      <c r="E283" t="inlineStr">
        <is>
          <t>2</t>
        </is>
      </c>
      <c r="F283" t="inlineStr">
        <is>
          <t>Other</t>
        </is>
      </c>
      <c r="G283" t="inlineStr">
        <is>
          <t>High</t>
        </is>
      </c>
      <c r="H283" t="inlineStr">
        <is>
          <t>High (explicit)</t>
        </is>
      </c>
      <c r="I283" s="8" t="inlineStr">
        <is>
          <t>Governance, Incident Reporting, Breach Notification, Outsourcing, Cloud Services</t>
        </is>
      </c>
      <c r="J283" s="8" t="inlineStr"/>
      <c r="K283" t="inlineStr"/>
      <c r="L283" s="8" t="inlineStr">
        <is>
          <t>Specifies governance, risk management, incident response, and outsourcing requirements for Payment Service Providers.</t>
        </is>
      </c>
      <c r="M283" s="8" t="inlineStr"/>
      <c r="N283" s="8" t="inlineStr">
        <is>
          <t>[Must] 3.1 Governance of Payment Service Providers
[Must] 3.2 Risk Management
[Must] 3.3 Additional Requirements for Systemically Important Payment Systems
[Must] 3.4 Outsourcing
[Must] 3.5 Regular Independent Assessment and Testing
[Must] 3.6 Training and Awareness</t>
        </is>
      </c>
      <c r="O283" s="8" t="inlineStr">
        <is>
          <t>PART III SPECIFIC REQUIREMENTS 3.1 Governance of Payment Service Providers 3.1.1 Board of Directors 3.1.2 Senior Management 3.1.3 Chief Information Systems Officer 3.1.4 Cybersecurity Strategy, Frameworks and Policies 3.2 Risk Management 3.2.1 Risk Assessment 3.2.2 General Risk Management Requirements for Payment Service Providers 3.2.3 Dependency Risk Management 3.2.4 Incident Response and Cyber Resilience 3.2.5 Vulnerability Assessments and Penetration Testing 3.3 Additional Requirements for Systemically Important Payment Systems and System-wide Important Payment Systems 3.4 Outsourcing 3.4.1 Outsourcing Contracts 3.4.2 Notification to CBK 3.5 Regular Independent Assessment and Testing 3.5.1 Role of Risk Management Function 3.5.2 Role of Internal Audit function 3.5.3 Role of External Audit function 3.6 Training and Awareness</t>
        </is>
      </c>
    </row>
    <row r="284">
      <c r="A284" t="inlineStr">
        <is>
          <t>Kenya</t>
        </is>
      </c>
      <c r="B284" t="inlineStr">
        <is>
          <t>GuidelinesonCybersecurityforPSPs (Kenya - Row19)</t>
        </is>
      </c>
      <c r="C284" t="inlineStr">
        <is>
          <t>4</t>
        </is>
      </c>
      <c r="D284" s="8" t="inlineStr"/>
      <c r="E284" t="inlineStr">
        <is>
          <t>2–24</t>
        </is>
      </c>
      <c r="F284" t="inlineStr">
        <is>
          <t>Definitions</t>
        </is>
      </c>
      <c r="G284" t="inlineStr">
        <is>
          <t>Low</t>
        </is>
      </c>
      <c r="H284" t="inlineStr">
        <is>
          <t>High (explicit)</t>
        </is>
      </c>
      <c r="I284" s="8" t="inlineStr"/>
      <c r="J284" s="8" t="inlineStr"/>
      <c r="K284" t="inlineStr"/>
      <c r="L284" s="8" t="inlineStr">
        <is>
          <t>Defines key cybersecurity terms relevant to Payment Service Providers in Kenya.</t>
        </is>
      </c>
      <c r="M284" s="8" t="inlineStr"/>
      <c r="N284" s="8" t="inlineStr"/>
      <c r="O284" s="8" t="inlineStr">
        <is>
          <t>4.0 Transitional Periods</t>
        </is>
      </c>
    </row>
    <row r="285">
      <c r="A285" t="inlineStr">
        <is>
          <t>Kenya</t>
        </is>
      </c>
      <c r="B285" t="inlineStr">
        <is>
          <t>THE-DATA-PROTECTION-COMPLAINTS-HANDLING-AND-ENFORCEMENT (Kenya - Row 15)</t>
        </is>
      </c>
      <c r="C285" t="inlineStr">
        <is>
          <t>1</t>
        </is>
      </c>
      <c r="D285" s="8" t="inlineStr">
        <is>
          <t>These Regulations may be cited as the Data Protection</t>
        </is>
      </c>
      <c r="E285" t="inlineStr">
        <is>
          <t>3</t>
        </is>
      </c>
      <c r="F285" t="inlineStr">
        <is>
          <t>Definitions</t>
        </is>
      </c>
      <c r="G285" t="inlineStr">
        <is>
          <t>None</t>
        </is>
      </c>
      <c r="H285" t="inlineStr">
        <is>
          <t>High (explicit)</t>
        </is>
      </c>
      <c r="I285" s="8" t="inlineStr"/>
      <c r="J285" s="8" t="inlineStr"/>
      <c r="K285" t="inlineStr"/>
      <c r="L285" s="8" t="inlineStr">
        <is>
          <t>These Regulations may be cited as the Data Protection (Complaints Handling Procedure and Enforcement) Regulations, 2021.</t>
        </is>
      </c>
      <c r="M285" s="8" t="inlineStr"/>
      <c r="N285" s="8" t="inlineStr"/>
      <c r="O285" s="8" t="inlineStr">
        <is>
          <t>These Regulations may be cited as the Data Protection (Complaints Handling Procedure and Enforcement) Regulations, 2021.</t>
        </is>
      </c>
    </row>
    <row r="286">
      <c r="A286" t="inlineStr">
        <is>
          <t>Kenya</t>
        </is>
      </c>
      <c r="B286" t="inlineStr">
        <is>
          <t>THE-DATA-PROTECTION-COMPLAINTS-HANDLING-AND-ENFORCEMENT (Kenya - Row 15)</t>
        </is>
      </c>
      <c r="C286" t="inlineStr">
        <is>
          <t>2</t>
        </is>
      </c>
      <c r="D286" s="8" t="inlineStr">
        <is>
          <t>In these Regulations, unless the context otherwise requires</t>
        </is>
      </c>
      <c r="E286" t="inlineStr">
        <is>
          <t>3</t>
        </is>
      </c>
      <c r="F286" t="inlineStr">
        <is>
          <t>Definitions</t>
        </is>
      </c>
      <c r="G286" t="inlineStr">
        <is>
          <t>None</t>
        </is>
      </c>
      <c r="H286" t="inlineStr">
        <is>
          <t>High (explicit)</t>
        </is>
      </c>
      <c r="I286" s="8" t="inlineStr"/>
      <c r="J286" s="8" t="inlineStr"/>
      <c r="K286" t="inlineStr"/>
      <c r="L286" s="8" t="inlineStr">
        <is>
          <t>Defines terms including data subject, Data Protection Commissioner, and related concepts.</t>
        </is>
      </c>
      <c r="M286" s="8" t="inlineStr"/>
      <c r="N286" s="8" t="inlineStr">
        <is>
          <t>[Definition] means a data subject or a person who has lodged a complaint pursuant to regulation 4
[Definition] means the person appointed under section 6 of the Act
[Definition] means the office of the Data Protection Commissioner
[Definition] Commissioner under regulation 16
[Definition] Commissioner under regulation 20
[Definition] lodged
[Definition] writing, directing a person to appear before the Office</t>
        </is>
      </c>
      <c r="O286" s="8" t="inlineStr">
        <is>
          <t>In these Regulations, unless the context otherwise requires means a data subject or a person who has lodged a complaint pursuant to regulation 4; means the person appointed under section 6 of the Act; means the office of the Data Protection Commissioner; Commissioner under regulation 16; Commissioner under regulation 20; lodged; and writing, directing a person to appear before the Office.</t>
        </is>
      </c>
    </row>
    <row r="287">
      <c r="A287" t="inlineStr">
        <is>
          <t>Kenya</t>
        </is>
      </c>
      <c r="B287" t="inlineStr">
        <is>
          <t>THE-DATA-PROTECTION-COMPLAINTS-HANDLING-AND-ENFORCEMENT (Kenya - Row 15)</t>
        </is>
      </c>
      <c r="C287" t="inlineStr">
        <is>
          <t>3</t>
        </is>
      </c>
      <c r="D287" s="8" t="inlineStr">
        <is>
          <t>The object and purpose of these Regulations is to</t>
        </is>
      </c>
      <c r="E287" t="inlineStr">
        <is>
          <t>3–4</t>
        </is>
      </c>
      <c r="F287" t="inlineStr">
        <is>
          <t>Other</t>
        </is>
      </c>
      <c r="G287" t="inlineStr">
        <is>
          <t>None</t>
        </is>
      </c>
      <c r="H287" t="inlineStr">
        <is>
          <t>High (explicit)</t>
        </is>
      </c>
      <c r="I287" s="8" t="inlineStr"/>
      <c r="J287" s="8" t="inlineStr"/>
      <c r="K287" t="inlineStr"/>
      <c r="L287" s="8" t="inlineStr">
        <is>
          <t>Regulations aim to facilitate fair complaint determination, issue enforcement notices, penalty notices, and provide procedures for complaint resolution.</t>
        </is>
      </c>
      <c r="M287" s="8" t="inlineStr"/>
      <c r="N287" s="8" t="inlineStr"/>
      <c r="O287" s="8" t="inlineStr">
        <is>
          <t>The object and purpose of these Regulations is to facilitate a fair, impartial, just, expeditious, proportionate and affordable determination of complaints lodged with the Data Commissioner in accordance with the Act and these Regulations, without undue regard to technicalities of procedure; provide for issuance of enforcement notices as contemplated under section 58 of the Act; provide for issuance of penalty notices as contemplated under section 62 of the Act; provide for the procedure for hearing and determining of complaints; and provide for the resolution of complaints lodged with the Data Commissioner by means of alternative dispute resolution mechanisms as specified under section 9(1)(c) of the Act.</t>
        </is>
      </c>
    </row>
    <row r="288">
      <c r="A288" t="inlineStr">
        <is>
          <t>Kenya</t>
        </is>
      </c>
      <c r="B288" t="inlineStr">
        <is>
          <t>THE-DATA-PROTECTION-COMPLAINTS-HANDLING-AND-ENFORCEMENT (Kenya - Row 15)</t>
        </is>
      </c>
      <c r="C288" t="inlineStr">
        <is>
          <t>4</t>
        </is>
      </c>
      <c r="D288" s="8" t="inlineStr">
        <is>
          <t>(1) Pursuant to section 56 of the Act, a data subject or any</t>
        </is>
      </c>
      <c r="E288" t="inlineStr">
        <is>
          <t>4</t>
        </is>
      </c>
      <c r="F288" t="inlineStr">
        <is>
          <t>Data Collection</t>
        </is>
      </c>
      <c r="G288" t="inlineStr">
        <is>
          <t>None</t>
        </is>
      </c>
      <c r="H288" t="inlineStr">
        <is>
          <t>High (explicit)</t>
        </is>
      </c>
      <c r="I288" s="8" t="inlineStr"/>
      <c r="J288" s="8" t="inlineStr"/>
      <c r="K288" t="inlineStr"/>
      <c r="L288" s="8" t="inlineStr">
        <is>
          <t>Complaints may be lodged orally, electronically, or by other means; free of charge; acknowledged within seven days.</t>
        </is>
      </c>
      <c r="M288" s="8" t="inlineStr">
        <is>
          <t>Complaints must be lodged free of charge and acknowledged within seven days.</t>
        </is>
      </c>
      <c r="N288" s="8" t="inlineStr">
        <is>
          <t>[May] A complaint lodged under sub-regulation (1) may be lodged orally, subject to section 56(3) of the Act
[May] A complaint lodged under sub-regulation (1) may be lodged through electronic means, including email, web posting, complaint management information system
[May] A complaint lodged under sub-regulation (1) may be lodged by the complainant in person
[May] A complaint lodged under sub-regulation (1) may be lodged by a person acting on behalf of the complainant
[May] A complaint lodged under sub-regulation (1) may be lodged by any other person authorized by law to act on behalf of a data subject
[May] A complaint lodged under sub-regulation (1) may be lodged anonymously
[Must] The Data Commissioner shall acknowledge receipt of the complaint within seven days of receipt of the complaint under sub-regulation (1)
[Must] A complaint under sub-regulation (1) shall be lodged free of charge</t>
        </is>
      </c>
      <c r="O288" s="8" t="inlineStr">
        <is>
          <t>(1) Pursuant to section 56 of the Act, a data subject or any person aggrieved on any matter under the Act may lodge a complaint with the Data Commissioner. (2) A complaint lodged under sub-regulation (1) may be lodged in Form DPC 1 set out in the Schedule (a) orally, subject to section 56(3) of the Act; (b) through electronic means, including email, web posting, complaint management information system; or (c) by any other appropriate means. (4) The Data Commissioner shall acknowledge receipt of the complaint within seven days of receipt of the complaint under sub-regulation (1). (5) The complaint under sub-regulation (1) shall be lodged free of charge.</t>
        </is>
      </c>
    </row>
    <row r="289">
      <c r="A289" t="inlineStr">
        <is>
          <t>Kenya</t>
        </is>
      </c>
      <c r="B289" t="inlineStr">
        <is>
          <t>THE-DATA-PROTECTION-COMPLAINTS-HANDLING-AND-ENFORCEMENT (Kenya - Row 15)</t>
        </is>
      </c>
      <c r="C289" t="inlineStr">
        <is>
          <t>5</t>
        </is>
      </c>
      <c r="D289" s="8" t="inlineStr">
        <is>
          <t>(1) The Data Commissioner shall keep and maintain an up to</t>
        </is>
      </c>
      <c r="E289" t="inlineStr">
        <is>
          <t>4</t>
        </is>
      </c>
      <c r="F289" t="inlineStr">
        <is>
          <t>Data Storage</t>
        </is>
      </c>
      <c r="G289" t="inlineStr">
        <is>
          <t>None</t>
        </is>
      </c>
      <c r="H289" t="inlineStr">
        <is>
          <t>High (explicit)</t>
        </is>
      </c>
      <c r="I289" s="8" t="inlineStr"/>
      <c r="J289" s="8" t="inlineStr"/>
      <c r="K289" t="inlineStr"/>
      <c r="L289" s="8" t="inlineStr">
        <is>
          <t>Data Commissioner maintains a Register of Complaints with complainant details and may protect complainant identity.</t>
        </is>
      </c>
      <c r="M289" s="8" t="inlineStr">
        <is>
          <t>Data Commissioner must maintain a Register of Complaints with complainant details and protect identity where requested.</t>
        </is>
      </c>
      <c r="N289" s="8" t="inlineStr">
        <is>
          <t>[Must] The Data Commissioner shall keep and maintain an up to date Register of Complaints
[Must] An entry into the register of complaints shall state the particulars of the complainant and the complaint filed with the Data Commissioner
[Must] The Data Commissioner shall protect the identity of the complainant where the request to protect the identity is sought by the complainant</t>
        </is>
      </c>
      <c r="O289" s="8" t="inlineStr">
        <is>
          <t>(1) The Data Commissioner shall keep and maintain an up to date Register of Complaints. (2) An entry into the register of complaints shall state the particulars of the complainant and the complaint filed with the Data Commissioner. (3) The Data Commissioner shall protect the identity of the complainant where the request to protect the identity is sought by the complainant.</t>
        </is>
      </c>
    </row>
    <row r="290">
      <c r="A290" t="inlineStr">
        <is>
          <t>Kenya</t>
        </is>
      </c>
      <c r="B290" t="inlineStr">
        <is>
          <t>THE-DATA-PROTECTION-COMPLAINTS-HANDLING-AND-ENFORCEMENT (Kenya - Row 15)</t>
        </is>
      </c>
      <c r="C290" t="inlineStr">
        <is>
          <t>6</t>
        </is>
      </c>
      <c r="D290" s="8" t="inlineStr">
        <is>
          <t>(1) The Data Commissioner shall undertake a preliminary</t>
        </is>
      </c>
      <c r="E290" t="inlineStr">
        <is>
          <t>4–5</t>
        </is>
      </c>
      <c r="F290" t="inlineStr">
        <is>
          <t>Other</t>
        </is>
      </c>
      <c r="G290" t="inlineStr">
        <is>
          <t>None</t>
        </is>
      </c>
      <c r="H290" t="inlineStr">
        <is>
          <t>High (explicit)</t>
        </is>
      </c>
      <c r="I290" s="8" t="inlineStr"/>
      <c r="J290" s="8" t="inlineStr"/>
      <c r="K290" t="inlineStr"/>
      <c r="L290" s="8" t="inlineStr">
        <is>
          <t>Data Commissioner undertakes preliminary review of complaints; may admit, refer, or decline complaints; may conduct inquiries or mediation.</t>
        </is>
      </c>
      <c r="M290" s="8" t="inlineStr">
        <is>
          <t>Data Commissioner must preliminarily review complaints; may admit, refer, or decline complaints; may conduct inquiries or mediation.</t>
        </is>
      </c>
      <c r="N290" s="8" t="inlineStr">
        <is>
          <t>[Must] The Data Commissioner shall undertake a preliminary review of a complaint, upon receipt of the complaint by the Office
[May] The Data Commissioner may, upon undertaking a preliminary review of the complaint (a) admit the complaint; (b) where applicable, advise the complainant in writing that the matter is not within the mandate of the Data Commissioner; or (c) advise the complainant that the matter lies for determination by another body or institution and refer the complainant to that body or institution
[May] Despite sub-regulation (2), the Data Commissioner may decline to admit a complaint where the complaint does not raise any issue under the Act
[May] Upon admission of a complaint, the Data Commissioner may (a) conduct an inquiry into the complaint; (b) conduct investigations; (c) facilitate mediation, conciliation or negotiation in accordance with the Act and these Regulations; or (d) use any other mechanisms to resolve the complaint
[May] Where a complaint is declined for admission under sub-regulation (3), the complaint may be re-admitted within six months from the date of decline, where the complaint raises new issues for determination under the Act</t>
        </is>
      </c>
      <c r="O290" s="8" t="inlineStr">
        <is>
          <t>(1) The Data Commissioner shall undertake a preliminary review of a complaint, upon receipt of the complaint by the Office. (2) The Data Commissioner may, upon undertaking a preliminary review of the complaint (a) admit the complaint; (b) where applicable, advise the complainant in writing that the matter is not within the mandate of the Data Commissioner; or (c) advise the complainant that the matter lies for determination by another body or institution and refer the complainant to that body or institution. (3) Despite sub-regulation (2), the Data Commissioner may decline to admit a complaint where the complaint does not raise any issue under the Act. (4) Upon admission of a complaint, the Data Commissioner may (a) conduct an inquiry into the complaint; (b) conduct investigations; (c) facilitate mediation, conciliation or negotiation in accordance with the Act and these Regulations; or (d) use any other mechanisms to resolve the complaint. (5) Where a complaint is declined for admission under sub-regulation (3), the complaint may be re-admitted within six months from the date of decline, where the complaint raises new issues for determination under the Act.</t>
        </is>
      </c>
    </row>
    <row r="291">
      <c r="A291" t="inlineStr">
        <is>
          <t>Kenya</t>
        </is>
      </c>
      <c r="B291" t="inlineStr">
        <is>
          <t>THE-DATA-PROTECTION-COMPLAINTS-HANDLING-AND-ENFORCEMENT (Kenya - Row 15)</t>
        </is>
      </c>
      <c r="C291" t="inlineStr">
        <is>
          <t>7</t>
        </is>
      </c>
      <c r="D291" s="8" t="inlineStr">
        <is>
          <t>(1) The Data Commissioner may discontinue an existing</t>
        </is>
      </c>
      <c r="E291" t="inlineStr">
        <is>
          <t>5</t>
        </is>
      </c>
      <c r="F291" t="inlineStr">
        <is>
          <t>Other</t>
        </is>
      </c>
      <c r="G291" t="inlineStr">
        <is>
          <t>None</t>
        </is>
      </c>
      <c r="H291" t="inlineStr">
        <is>
          <t>High (explicit)</t>
        </is>
      </c>
      <c r="I291" s="8" t="inlineStr"/>
      <c r="J291" s="8" t="inlineStr"/>
      <c r="K291" t="inlineStr"/>
      <c r="L291" s="8" t="inlineStr">
        <is>
          <t>Data Commissioner may discontinue complaints where they do not merit further consideration or complainant fails to communicate.</t>
        </is>
      </c>
      <c r="M291" s="8" t="inlineStr">
        <is>
          <t>Data Commissioner may discontinue complaints where they do not merit further consideration or complainant fails to communicate; must notify reasons within 14 days.</t>
        </is>
      </c>
      <c r="N291" s="8" t="inlineStr">
        <is>
          <t>[May] The Data Commissioner may discontinue an existing complaint in Form DPC 2 set out in the Schedule, where (a) a complaint does not merit further consideration; or (b) a complainant refuses, fails or neglects to communicate without justifiable cause
[Must] The Data Commissioner shall provide the reasons for discontinuation on any of the grounds specified under sub-regulation (1) (a) or (b) and shall, in writing, notify the complainant and respondent within fourteen days from the date the decision to discontinue a complaint is made
[May] A complainant may, where a complaint has been discontinued pursuant to these Regulations, re-institute a complaint upon providing grounds for the restitution to the Data Commissioner</t>
        </is>
      </c>
      <c r="O291" s="8" t="inlineStr">
        <is>
          <t>(1) The Data Commissioner may discontinue an existing complaint in Form DPC 2 set out in the Schedule, where (a) a complaint does not merit further consideration; or (b) a complainant refuses, fails or neglects to communicate without justifiable cause. (2) The Data Commissioner shall provide the reasons for discontinuation on any of the grounds specified under sub-regulation (1) (a) or (b) and shall, in writing, notify the complainant and respondent within fourteen days from the date the decision to discontinue a complaint is made. (3) A complainant may, where a complaint has been discontinued pursuant to these Regulations, re-institute a complaint upon providing grounds for the restitution to the Data Commissioner.</t>
        </is>
      </c>
    </row>
    <row r="292">
      <c r="A292" t="inlineStr">
        <is>
          <t>Kenya</t>
        </is>
      </c>
      <c r="B292" t="inlineStr">
        <is>
          <t>THE-DATA-PROTECTION-COMPLAINTS-HANDLING-AND-ENFORCEMENT (Kenya - Row 15)</t>
        </is>
      </c>
      <c r="C292" t="inlineStr">
        <is>
          <t>8</t>
        </is>
      </c>
      <c r="D292" s="8" t="inlineStr">
        <is>
          <t>(1) A complaint may be withdrawn at any stage during its</t>
        </is>
      </c>
      <c r="E292" t="inlineStr">
        <is>
          <t>5</t>
        </is>
      </c>
      <c r="F292" t="inlineStr">
        <is>
          <t>Other</t>
        </is>
      </c>
      <c r="G292" t="inlineStr">
        <is>
          <t>None</t>
        </is>
      </c>
      <c r="H292" t="inlineStr">
        <is>
          <t>High (explicit)</t>
        </is>
      </c>
      <c r="I292" s="8" t="inlineStr"/>
      <c r="J292" s="8" t="inlineStr"/>
      <c r="K292" t="inlineStr"/>
      <c r="L292" s="8" t="inlineStr">
        <is>
          <t>Complaints may be withdrawn at any stage before determination; re-lodged within six months.</t>
        </is>
      </c>
      <c r="M292" s="8" t="inlineStr">
        <is>
          <t>Complaints may be withdrawn at any stage before determination; re-lodged within six months.</t>
        </is>
      </c>
      <c r="N292" s="8" t="inlineStr">
        <is>
          <t>[May] A complaint may be withdrawn at any stage during its consideration but before a determination is made
[May] A complainant may, at any time during the consideration of a complaint lodged pursuant to regulation 4 and before its determination, withdraw the complaint
[May] A complaint lodged under sub-regulation (1) may be lodged in Form DPC  1 set out in the Schedule
[May] A complainant may re-institute a complaint upon providing grounds for the restitution to the Data Commissioner</t>
        </is>
      </c>
      <c r="O292" s="8" t="inlineStr">
        <is>
          <t>(1) A complaint may be withdrawn at any stage during its consideration but before a determination is made. (2) A complainant may, at any time during the consideration of a complaint lodged pursuant to regulation 4 and before its determination, withdraw the complaint. (3) A complaint lodged under sub-regulation (1) may be lodged in Form DPC 1 set out in the Schedule.</t>
        </is>
      </c>
    </row>
    <row r="293">
      <c r="A293" t="inlineStr">
        <is>
          <t>Kenya</t>
        </is>
      </c>
      <c r="B293" t="inlineStr">
        <is>
          <t>THE-DATA-PROTECTION-COMPLAINTS-HANDLING-AND-ENFORCEMENT (Kenya - Row 15)</t>
        </is>
      </c>
      <c r="C293" t="inlineStr">
        <is>
          <t>9</t>
        </is>
      </c>
      <c r="D293" s="8" t="inlineStr">
        <is>
          <t>(1) Where two or more complaints are lodged in which similar</t>
        </is>
      </c>
      <c r="E293" t="inlineStr">
        <is>
          <t>5–6</t>
        </is>
      </c>
      <c r="F293" t="inlineStr">
        <is>
          <t>Other</t>
        </is>
      </c>
      <c r="G293" t="inlineStr">
        <is>
          <t>None</t>
        </is>
      </c>
      <c r="H293" t="inlineStr">
        <is>
          <t>High (explicit)</t>
        </is>
      </c>
      <c r="I293" s="8" t="inlineStr"/>
      <c r="J293" s="8" t="inlineStr"/>
      <c r="K293" t="inlineStr"/>
      <c r="L293" s="8" t="inlineStr">
        <is>
          <t>Complaints may be resolved through negotiation, mediation, or conciliation; otherwise, determined by the Data Commissioner.</t>
        </is>
      </c>
      <c r="M293" s="8" t="inlineStr">
        <is>
          <t>Complaints may be resolved through negotiation, mediation, or conciliation; otherwise, determined by the Data Commissioner.</t>
        </is>
      </c>
      <c r="N293" s="8" t="inlineStr">
        <is>
          <t>[Must] Parties to a dispute shall take all reasonable measures to amicably determine a dispute and act in good faith
[Must] Where the complaint is not determined through negotiation, mediation or conciliation, the Data Commissioner shall proceed to determine the complaint as provided for in the Act and these Regulations</t>
        </is>
      </c>
      <c r="O293" s="8" t="inlineStr">
        <is>
          <t>Parties to a dispute shall take all reasonable measures to amicably determine a dispute and act in good faith. Where the complaint is not determined through negotiation, mediation or conciliation, the Data Commissioner shall proceed to determine the complaint as provided for in the Act and these Regulations.</t>
        </is>
      </c>
    </row>
    <row r="294">
      <c r="A294" t="inlineStr">
        <is>
          <t>Kenya</t>
        </is>
      </c>
      <c r="B294" t="inlineStr">
        <is>
          <t>THE-DATA-PROTECTION-COMPLAINTS-HANDLING-AND-ENFORCEMENT (Kenya - Row 15)</t>
        </is>
      </c>
      <c r="C294" t="inlineStr">
        <is>
          <t>10</t>
        </is>
      </c>
      <c r="D294" s="8" t="inlineStr">
        <is>
          <t>(1) Proceedings before the Office shall be conducted in</t>
        </is>
      </c>
      <c r="E294" t="inlineStr">
        <is>
          <t>6</t>
        </is>
      </c>
      <c r="F294" t="inlineStr">
        <is>
          <t>Other</t>
        </is>
      </c>
      <c r="G294" t="inlineStr">
        <is>
          <t>None</t>
        </is>
      </c>
      <c r="H294" t="inlineStr">
        <is>
          <t>High (explicit)</t>
        </is>
      </c>
      <c r="I294" s="8" t="inlineStr"/>
      <c r="J294" s="8" t="inlineStr"/>
      <c r="K294" t="inlineStr"/>
      <c r="L294" s="8" t="inlineStr">
        <is>
          <t>Data Commissioner may issue enforcement notices under the Regulations or section 58 of the Act.</t>
        </is>
      </c>
      <c r="M294" s="8" t="inlineStr">
        <is>
          <t>Data Commissioner may issue enforcement notices under the Regulations or section 58 of the Act.</t>
        </is>
      </c>
      <c r="N294" s="8" t="inlineStr">
        <is>
          <t>[May] The Data Commissioner may pursuant these Regulations or section 58 of the Act issue an enforcement notice</t>
        </is>
      </c>
      <c r="O294" s="8" t="inlineStr">
        <is>
          <t>The Data Commissioner may pursuant these Regulations or section 58 of the Act issue an enforcement notice.</t>
        </is>
      </c>
    </row>
    <row r="295">
      <c r="A295" t="inlineStr">
        <is>
          <t>Kenya</t>
        </is>
      </c>
      <c r="B295" t="inlineStr">
        <is>
          <t>THE-DATA-PROTECTION-COMPLAINTS-HANDLING-AND-ENFORCEMENT (Kenya - Row 15)</t>
        </is>
      </c>
      <c r="C295" t="inlineStr">
        <is>
          <t>11</t>
        </is>
      </c>
      <c r="D295" s="8" t="inlineStr">
        <is>
          <t>(1) Upon admission of a complaint, the Data Commissioner</t>
        </is>
      </c>
      <c r="E295" t="inlineStr">
        <is>
          <t>6</t>
        </is>
      </c>
      <c r="F295" t="inlineStr">
        <is>
          <t>Other</t>
        </is>
      </c>
      <c r="G295" t="inlineStr">
        <is>
          <t>None</t>
        </is>
      </c>
      <c r="H295" t="inlineStr">
        <is>
          <t>High (explicit)</t>
        </is>
      </c>
      <c r="I295" s="8" t="inlineStr"/>
      <c r="J295" s="8" t="inlineStr"/>
      <c r="K295" t="inlineStr"/>
      <c r="L295" s="8" t="inlineStr">
        <is>
          <t>Enforcement notices are deemed served via electronic delivery or physical delivery to registered offices.</t>
        </is>
      </c>
      <c r="M295" s="8" t="inlineStr">
        <is>
          <t>Enforcement notices are deemed served via electronic delivery or physical delivery to registered offices.</t>
        </is>
      </c>
      <c r="N295" s="8" t="inlineStr">
        <is>
          <t>[Must] An enforcement notice shall be deemed to have been duly served on the concerned person where (a) an electronic copy of enforcement notice is sent to the (b) the enforcement notice is posted or physically delivered to the registered offices of the concerned person, in the absence of an electronic address</t>
        </is>
      </c>
      <c r="O295" s="8" t="inlineStr">
        <is>
          <t>An enforcement notice shall be deemed to have been duly served on the concerned person where (a) an electronic copy of enforcement notice is sent to the (b) the enforcement notice is posted or physically delivered to the registered offices of the concerned person, in the absence of an electronic address.</t>
        </is>
      </c>
    </row>
    <row r="296">
      <c r="A296" t="inlineStr">
        <is>
          <t>Kenya</t>
        </is>
      </c>
      <c r="B296" t="inlineStr">
        <is>
          <t>THE-DATA-PROTECTION-COMPLAINTS-HANDLING-AND-ENFORCEMENT (Kenya - Row 15)</t>
        </is>
      </c>
      <c r="C296" t="inlineStr">
        <is>
          <t>12</t>
        </is>
      </c>
      <c r="D296" s="8" t="inlineStr">
        <is>
          <t>(1) Where it appears to the Data Commissioner, or by</t>
        </is>
      </c>
      <c r="E296" t="inlineStr">
        <is>
          <t>6–7</t>
        </is>
      </c>
      <c r="F296" t="inlineStr">
        <is>
          <t>Other</t>
        </is>
      </c>
      <c r="G296" t="inlineStr">
        <is>
          <t>None</t>
        </is>
      </c>
      <c r="H296" t="inlineStr">
        <is>
          <t>High (explicit)</t>
        </is>
      </c>
      <c r="I296" s="8" t="inlineStr"/>
      <c r="J296" s="8" t="inlineStr"/>
      <c r="K296" t="inlineStr"/>
      <c r="L296" s="8" t="inlineStr">
        <is>
          <t>Persons may apply for review of enforcement notices before the end of the specified period or on grounds of changed circumstances.</t>
        </is>
      </c>
      <c r="M296" s="8" t="inlineStr">
        <is>
          <t>Persons may apply for review of enforcement notices before the end of the specified period or on grounds of changed circumstances.</t>
        </is>
      </c>
      <c r="N296" s="8" t="inlineStr">
        <is>
          <t>[May] A person to whom an enforcement notice is given may apply in Form DPC 6 set out in the Schedule to the Data Commissioner for a review of the enforcement notice
[May]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t>
        </is>
      </c>
      <c r="O296" s="8" t="inlineStr">
        <is>
          <t>(1) A person to whom an enforcement notice is given may apply in Form DPC 6 set out in the Schedule to the Data Commissioner for a review of the enforcement notice. (2)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t>
        </is>
      </c>
    </row>
    <row r="297">
      <c r="A297" t="inlineStr">
        <is>
          <t>Kenya</t>
        </is>
      </c>
      <c r="B297" t="inlineStr">
        <is>
          <t>THE-DATA-PROTECTION-COMPLAINTS-HANDLING-AND-ENFORCEMENT (Kenya - Row 15)</t>
        </is>
      </c>
      <c r="C297" t="inlineStr">
        <is>
          <t>13</t>
        </is>
      </c>
      <c r="D297" s="8" t="inlineStr">
        <is>
          <t>(1) In investigating a complaint, the Data Commissioner</t>
        </is>
      </c>
      <c r="E297" t="inlineStr">
        <is>
          <t>7</t>
        </is>
      </c>
      <c r="F297" t="inlineStr">
        <is>
          <t>Other</t>
        </is>
      </c>
      <c r="G297" t="inlineStr">
        <is>
          <t>None</t>
        </is>
      </c>
      <c r="H297" t="inlineStr">
        <is>
          <t>High (explicit)</t>
        </is>
      </c>
      <c r="I297" s="8" t="inlineStr"/>
      <c r="J297" s="8" t="inlineStr"/>
      <c r="K297" t="inlineStr"/>
      <c r="L297" s="8" t="inlineStr">
        <is>
          <t>Persons may appeal against enforcement notices to the High Court within thirty days of service.</t>
        </is>
      </c>
      <c r="M297" s="8" t="inlineStr">
        <is>
          <t>Persons may appeal against enforcement notices to the High Court within thirty days of service.</t>
        </is>
      </c>
      <c r="N297" s="8" t="inlineStr">
        <is>
          <t>[May] Subject to sections 58 (2) (d) and 64 of the Act, a person may before the lapse of thirty days from the date of service of the enforcement notice, appeal to the High Court against a decision arising out of the enforcement of the notice</t>
        </is>
      </c>
      <c r="O297" s="8" t="inlineStr">
        <is>
          <t>Subject to sections 58 (2) (d) and 64 of the Act, a person may before the lapse of thirty days from the date of service of the enforcement notice, appeal to the High Court against a decision arising out of the enforcement of the notice.</t>
        </is>
      </c>
    </row>
    <row r="298">
      <c r="A298" t="inlineStr">
        <is>
          <t>Kenya</t>
        </is>
      </c>
      <c r="B298" t="inlineStr">
        <is>
          <t>THE-DATA-PROTECTION-COMPLAINTS-HANDLING-AND-ENFORCEMENT (Kenya - Row 15)</t>
        </is>
      </c>
      <c r="C298" t="inlineStr">
        <is>
          <t>14</t>
        </is>
      </c>
      <c r="D298" s="8" t="inlineStr">
        <is>
          <t>(1) The Data Commissioner shall, upon the conclusion of the</t>
        </is>
      </c>
      <c r="E298" t="inlineStr">
        <is>
          <t>7–8</t>
        </is>
      </c>
      <c r="F298" t="inlineStr">
        <is>
          <t>Other</t>
        </is>
      </c>
      <c r="G298" t="inlineStr">
        <is>
          <t>None</t>
        </is>
      </c>
      <c r="H298" t="inlineStr">
        <is>
          <t>High (explicit)</t>
        </is>
      </c>
      <c r="I298" s="8" t="inlineStr"/>
      <c r="J298" s="8" t="inlineStr"/>
      <c r="K298" t="inlineStr"/>
      <c r="L298" s="8" t="inlineStr">
        <is>
          <t>Data Commissioner issues penalty notices for breaches identified in enforcement notices.</t>
        </is>
      </c>
      <c r="M298" s="8" t="inlineStr">
        <is>
          <t>Data Commissioner issues penalty notices for breaches identified in enforcement notices.</t>
        </is>
      </c>
      <c r="N298" s="8" t="inlineStr">
        <is>
          <t>[Must] The Data Commissioner shall, where any of the circumstances specified under section 62 of the Act and these Regulations arises, issue a penalty notice for each breach identified in the enforcement notice
[Must] A penalty notice shall contain (a) the name and address of the concerned person, to whom it is addressed; (b) the reasons why the Data Commissioner proposes to impose the penalty and the amount thereof; (c) an administrative fine imposed as contemplated under section 63 of the Act; (d) details of how the penalty is to be paid; and (e) details of the rights of appeal under section 64 of the Act
[Must] The administrative fine levied under sub-regulation (2)(c) shall consider each individual case and have due regard to factors or reasons outlined under section 62 (2) of the Act
[May] A penalty notice may impose a daily fine of not more than ten thousand shillings for each breach identified until the breach is rectified</t>
        </is>
      </c>
      <c r="O298" s="8" t="inlineStr">
        <is>
          <t>(1) The Data Commissioner shall, where any of the circumstances specified under section 62 of the Act and these Regulations arises, issue a penalty notice for each breach identified in the enforcement notice. (2) A penalty notice shall contain (a) the name and address of the concerned person, to whom it is addressed; (b) the reasons why the Data Commissioner proposes to impose the penalty and the amount thereof; (c) an administrative fine imposed as contemplated under section 63 of the Act; (d) details of how the penalty is to be paid; and (e) details of the rights of appeal under section 64 of the Act. (3) The administrative fine levied under sub-regulation (2)(c) shall consider each individual case and have due regard to factors or reasons outlined under section 62 (2) of the Act. (4) A penalty notice may impose a daily fine of not more than ten thousand shillings for each breach identified until the breach is rectified.</t>
        </is>
      </c>
    </row>
    <row r="299">
      <c r="A299" t="inlineStr">
        <is>
          <t>Kenya</t>
        </is>
      </c>
      <c r="B299" t="inlineStr">
        <is>
          <t>THE-DATA-PROTECTION-COMPLAINTS-HANDLING-AND-ENFORCEMENT (Kenya - Row 15)</t>
        </is>
      </c>
      <c r="C299" t="inlineStr">
        <is>
          <t>15</t>
        </is>
      </c>
      <c r="D299" s="8" t="inlineStr">
        <is>
          <t>(1) Where the complaint is to be determined through</t>
        </is>
      </c>
      <c r="E299" t="inlineStr">
        <is>
          <t>8</t>
        </is>
      </c>
      <c r="F299" t="inlineStr">
        <is>
          <t>Other</t>
        </is>
      </c>
      <c r="G299" t="inlineStr">
        <is>
          <t>Unknown</t>
        </is>
      </c>
      <c r="H299" t="inlineStr">
        <is>
          <t>Low</t>
        </is>
      </c>
      <c r="I299" s="8" t="inlineStr"/>
      <c r="J299" s="8" t="inlineStr"/>
      <c r="K299" t="inlineStr"/>
      <c r="L299" s="8" t="inlineStr"/>
      <c r="M299" s="8" t="inlineStr"/>
      <c r="N299" s="8" t="inlineStr"/>
      <c r="O299" s="8" t="inlineStr"/>
    </row>
    <row r="300">
      <c r="A300" t="inlineStr">
        <is>
          <t>Kenya</t>
        </is>
      </c>
      <c r="B300" t="inlineStr">
        <is>
          <t>THE-DATA-PROTECTION-COMPLAINTS-HANDLING-AND-ENFORCEMENT (Kenya - Row 15)</t>
        </is>
      </c>
      <c r="C300" t="inlineStr">
        <is>
          <t>16</t>
        </is>
      </c>
      <c r="D300" s="8" t="inlineStr">
        <is>
          <t>(1) The Data Commissioner may pursuant these Regulations</t>
        </is>
      </c>
      <c r="E300" t="inlineStr">
        <is>
          <t>8–9</t>
        </is>
      </c>
      <c r="F300" t="inlineStr">
        <is>
          <t>Other</t>
        </is>
      </c>
      <c r="G300" t="inlineStr">
        <is>
          <t>Unknown</t>
        </is>
      </c>
      <c r="H300" t="inlineStr">
        <is>
          <t>Low</t>
        </is>
      </c>
      <c r="I300" s="8" t="inlineStr"/>
      <c r="J300" s="8" t="inlineStr"/>
      <c r="K300" t="inlineStr"/>
      <c r="L300" s="8" t="inlineStr"/>
      <c r="M300" s="8" t="inlineStr"/>
      <c r="N300" s="8" t="inlineStr"/>
      <c r="O300" s="8" t="inlineStr"/>
    </row>
    <row r="301">
      <c r="A301" t="inlineStr">
        <is>
          <t>Kenya</t>
        </is>
      </c>
      <c r="B301" t="inlineStr">
        <is>
          <t>THE-DATA-PROTECTION-COMPLAINTS-HANDLING-AND-ENFORCEMENT (Kenya - Row 15)</t>
        </is>
      </c>
      <c r="C301" t="inlineStr">
        <is>
          <t>17</t>
        </is>
      </c>
      <c r="D301" s="8" t="inlineStr">
        <is>
          <t>(1) An enforcement notice shall be deemed to have been</t>
        </is>
      </c>
      <c r="E301" t="inlineStr">
        <is>
          <t>9</t>
        </is>
      </c>
      <c r="F301" t="inlineStr">
        <is>
          <t>Other</t>
        </is>
      </c>
      <c r="G301" t="inlineStr">
        <is>
          <t>Unknown</t>
        </is>
      </c>
      <c r="H301" t="inlineStr">
        <is>
          <t>Low</t>
        </is>
      </c>
      <c r="I301" s="8" t="inlineStr"/>
      <c r="J301" s="8" t="inlineStr"/>
      <c r="K301" t="inlineStr"/>
      <c r="L301" s="8" t="inlineStr"/>
      <c r="M301" s="8" t="inlineStr"/>
      <c r="N301" s="8" t="inlineStr"/>
      <c r="O301" s="8" t="inlineStr"/>
    </row>
    <row r="302">
      <c r="A302" t="inlineStr">
        <is>
          <t>Kenya</t>
        </is>
      </c>
      <c r="B302" t="inlineStr">
        <is>
          <t>THE-DATA-PROTECTION-COMPLAINTS-HANDLING-AND-ENFORCEMENT (Kenya - Row 15)</t>
        </is>
      </c>
      <c r="C302" t="inlineStr">
        <is>
          <t>18</t>
        </is>
      </c>
      <c r="D302" s="8" t="inlineStr">
        <is>
          <t>(1) A person to whom an enforcement notice is given may</t>
        </is>
      </c>
      <c r="E302" t="inlineStr">
        <is>
          <t>9</t>
        </is>
      </c>
      <c r="F302" t="inlineStr">
        <is>
          <t>Other</t>
        </is>
      </c>
      <c r="G302" t="inlineStr">
        <is>
          <t>Unknown</t>
        </is>
      </c>
      <c r="H302" t="inlineStr">
        <is>
          <t>Low</t>
        </is>
      </c>
      <c r="I302" s="8" t="inlineStr"/>
      <c r="J302" s="8" t="inlineStr"/>
      <c r="K302" t="inlineStr"/>
      <c r="L302" s="8" t="inlineStr"/>
      <c r="M302" s="8" t="inlineStr"/>
      <c r="N302" s="8" t="inlineStr"/>
      <c r="O302" s="8" t="inlineStr"/>
    </row>
    <row r="303">
      <c r="A303" t="inlineStr">
        <is>
          <t>Kenya</t>
        </is>
      </c>
      <c r="B303" t="inlineStr">
        <is>
          <t>THE-DATA-PROTECTION-COMPLAINTS-HANDLING-AND-ENFORCEMENT (Kenya - Row 15)</t>
        </is>
      </c>
      <c r="C303" t="inlineStr">
        <is>
          <t>19</t>
        </is>
      </c>
      <c r="D303" s="8" t="inlineStr">
        <is>
          <t>Subject to sections 58 (2) (d) and 64 of the Act, a person</t>
        </is>
      </c>
      <c r="E303" t="inlineStr">
        <is>
          <t>9</t>
        </is>
      </c>
      <c r="F303" t="inlineStr">
        <is>
          <t>Other</t>
        </is>
      </c>
      <c r="G303" t="inlineStr">
        <is>
          <t>Unknown</t>
        </is>
      </c>
      <c r="H303" t="inlineStr">
        <is>
          <t>Low</t>
        </is>
      </c>
      <c r="I303" s="8" t="inlineStr"/>
      <c r="J303" s="8" t="inlineStr"/>
      <c r="K303" t="inlineStr"/>
      <c r="L303" s="8" t="inlineStr"/>
      <c r="M303" s="8" t="inlineStr"/>
      <c r="N303" s="8" t="inlineStr"/>
      <c r="O303" s="8" t="inlineStr"/>
    </row>
    <row r="304">
      <c r="A304" t="inlineStr">
        <is>
          <t>Kenya</t>
        </is>
      </c>
      <c r="B304" t="inlineStr">
        <is>
          <t>THE-DATA-PROTECTION-COMPLAINTS-HANDLING-AND-ENFORCEMENT (Kenya - Row 15)</t>
        </is>
      </c>
      <c r="C304" t="inlineStr">
        <is>
          <t>20</t>
        </is>
      </c>
      <c r="D304" s="8" t="inlineStr">
        <is>
          <t>(1) The Data Commissioner shall, where any of the</t>
        </is>
      </c>
      <c r="E304" t="inlineStr">
        <is>
          <t>9–10</t>
        </is>
      </c>
      <c r="F304" t="inlineStr">
        <is>
          <t>Other</t>
        </is>
      </c>
      <c r="G304" t="inlineStr">
        <is>
          <t>Unknown</t>
        </is>
      </c>
      <c r="H304" t="inlineStr">
        <is>
          <t>Low</t>
        </is>
      </c>
      <c r="I304" s="8" t="inlineStr"/>
      <c r="J304" s="8" t="inlineStr"/>
      <c r="K304" t="inlineStr"/>
      <c r="L304" s="8" t="inlineStr"/>
      <c r="M304" s="8" t="inlineStr"/>
      <c r="N304" s="8" t="inlineStr"/>
      <c r="O304" s="8" t="inlineStr"/>
    </row>
    <row r="305">
      <c r="A305" t="inlineStr">
        <is>
          <t>Kenya</t>
        </is>
      </c>
      <c r="B305" t="inlineStr">
        <is>
          <t>THE-DATA-PROTECTION-COMPLAINTS-HANDLING-AND-ENFORCEMENT (Kenya - Row 15)</t>
        </is>
      </c>
      <c r="C305" t="inlineStr">
        <is>
          <t>21</t>
        </is>
      </c>
      <c r="D305" s="8" t="inlineStr">
        <is>
          <t>The Data Commissioner shall enforce or take action to</t>
        </is>
      </c>
      <c r="E305" t="inlineStr">
        <is>
          <t>10–16</t>
        </is>
      </c>
      <c r="F305" t="inlineStr">
        <is>
          <t>Enforcement</t>
        </is>
      </c>
      <c r="G305" t="inlineStr">
        <is>
          <t>High</t>
        </is>
      </c>
      <c r="H305" t="inlineStr">
        <is>
          <t>High (explicit)</t>
        </is>
      </c>
      <c r="I305" s="8" t="inlineStr"/>
      <c r="J305" s="8" t="inlineStr">
        <is>
          <t>Financial Data</t>
        </is>
      </c>
      <c r="K305" t="inlineStr">
        <is>
          <t>Data Commissioner</t>
        </is>
      </c>
      <c r="L305" s="8" t="inlineStr">
        <is>
          <t>The Data Commissioner may enforce penalties by recovering penalties after specified periods or upon final appeal determination.</t>
        </is>
      </c>
      <c r="M305" s="8" t="inlineStr">
        <is>
          <t>Penalty enforcement timelines and appeal mechanisms are critical for DTIA compliance.</t>
        </is>
      </c>
      <c r="N305" s="8" t="inlineStr">
        <is>
          <t>[Must] recover a penalty upon the lapse of the period specified in the penalty notice for payment of the penalty
[Must] recover a penalty on the final determination of any appeal against the penalty notice
[Must] recover a penalty on the lapse of the period given to appeal against the penalty</t>
        </is>
      </c>
      <c r="O305" s="8" t="inlineStr">
        <is>
          <t>21. The Data Commissioner shall enforce or take action to recover a penalty (a) upon the lapse of the period specified in the penalty notice for payment of the penalty; (b) on the final determination of any appeal against the penalty notice; or (c) on the lapse of the period given to appeal against the penalty.</t>
        </is>
      </c>
    </row>
    <row r="306">
      <c r="A306" t="inlineStr">
        <is>
          <t>Kenya</t>
        </is>
      </c>
      <c r="B306" t="inlineStr">
        <is>
          <t>THE-DATA-PROTECTION-REGISTRATION-OF-DATA-CONTROLLERS-AND-DATA-PROCESSORS-REGULATIONS-2021 (Kenya = row17)</t>
        </is>
      </c>
      <c r="C306" t="inlineStr">
        <is>
          <t>1</t>
        </is>
      </c>
      <c r="D306" s="8" t="inlineStr">
        <is>
          <t>(1) These Regulations may be cited as the Data Protection</t>
        </is>
      </c>
      <c r="E306" t="inlineStr">
        <is>
          <t>2</t>
        </is>
      </c>
      <c r="F306" t="inlineStr">
        <is>
          <t>Definitions</t>
        </is>
      </c>
      <c r="G306" t="inlineStr">
        <is>
          <t>None</t>
        </is>
      </c>
      <c r="H306" t="inlineStr">
        <is>
          <t>High (explicit)</t>
        </is>
      </c>
      <c r="I306" s="8" t="inlineStr"/>
      <c r="J306" s="8" t="inlineStr"/>
      <c r="K306" t="inlineStr"/>
      <c r="L306" s="8" t="inlineStr">
        <is>
          <t>These Regulations may be cited as the Data Protection (Registration of Data Controllers and Data Processors) Regulations.</t>
        </is>
      </c>
      <c r="M306" s="8" t="inlineStr"/>
      <c r="N306" s="8" t="inlineStr"/>
      <c r="O306" s="8" t="inlineStr">
        <is>
          <t>These Regulations may be cited as the Data Protection (Registration of Data Controllers and Data Processors) Regulations,</t>
        </is>
      </c>
    </row>
    <row r="307">
      <c r="A307" t="inlineStr">
        <is>
          <t>Kenya</t>
        </is>
      </c>
      <c r="B307" t="inlineStr">
        <is>
          <t>THE-DATA-PROTECTION-REGISTRATION-OF-DATA-CONTROLLERS-AND-DATA-PROCESSORS-REGULATIONS-2021 (Kenya = row17)</t>
        </is>
      </c>
      <c r="C307" t="inlineStr">
        <is>
          <t>2</t>
        </is>
      </c>
      <c r="D307" s="8" t="inlineStr">
        <is>
          <t>In these Regulations, unless the context otherwise requires</t>
        </is>
      </c>
      <c r="E307" t="inlineStr">
        <is>
          <t>2</t>
        </is>
      </c>
      <c r="F307" t="inlineStr">
        <is>
          <t>Definitions</t>
        </is>
      </c>
      <c r="G307" t="inlineStr">
        <is>
          <t>None</t>
        </is>
      </c>
      <c r="H307" t="inlineStr">
        <is>
          <t>High (explicit)</t>
        </is>
      </c>
      <c r="I307" s="8" t="inlineStr"/>
      <c r="J307" s="8" t="inlineStr"/>
      <c r="K307" t="inlineStr"/>
      <c r="L307" s="8" t="inlineStr">
        <is>
          <t>Defines 'establishment' as statutory instruments, registration certificates, trust deeds, and other instruments establishing a body.</t>
        </is>
      </c>
      <c r="M307" s="8" t="inlineStr"/>
      <c r="N307" s="8" t="inlineStr">
        <is>
          <t>[Definition] establishment</t>
        </is>
      </c>
      <c r="O307" s="8" t="inlineStr">
        <is>
          <t>means the person appointed under section 6 of the Act; ... (a) a Statute, Charter or statutory instrument in which a body is established; (b) registration certificate; (c) trust deeds in which a trust has been established; and (d) other instruments by which a body is established including its governing and administrative structure.</t>
        </is>
      </c>
    </row>
    <row r="308">
      <c r="A308" t="inlineStr">
        <is>
          <t>Kenya</t>
        </is>
      </c>
      <c r="B308" t="inlineStr">
        <is>
          <t>THE-DATA-PROTECTION-REGISTRATION-OF-DATA-CONTROLLERS-AND-DATA-PROCESSORS-REGULATIONS-2021 (Kenya = row17)</t>
        </is>
      </c>
      <c r="C308" t="inlineStr">
        <is>
          <t>3</t>
        </is>
      </c>
      <c r="D308" s="8" t="inlineStr">
        <is>
          <t>(1) These Regulations provide for the procedure for</t>
        </is>
      </c>
      <c r="E308" t="inlineStr">
        <is>
          <t>2</t>
        </is>
      </c>
      <c r="F308" t="inlineStr">
        <is>
          <t>Other</t>
        </is>
      </c>
      <c r="G308" t="inlineStr">
        <is>
          <t>None</t>
        </is>
      </c>
      <c r="H308" t="inlineStr">
        <is>
          <t>High (explicit)</t>
        </is>
      </c>
      <c r="I308" s="8" t="inlineStr"/>
      <c r="J308" s="8" t="inlineStr"/>
      <c r="K308" t="inlineStr"/>
      <c r="L308" s="8" t="inlineStr">
        <is>
          <t>Regulations provide registration procedure for data controllers and processors under Act section 18, excluding civil registration entities.</t>
        </is>
      </c>
      <c r="M308" s="8" t="inlineStr">
        <is>
          <t>Regulations provide registration procedure for data controllers and processors under Act section 18, excluding civil registration entities.</t>
        </is>
      </c>
      <c r="N308" s="8" t="inlineStr">
        <is>
          <t>[Must] These Regulations provide for the procedure for registration of data controllers and data processors as provided under section 18 of the Act.
[Must Not] These Regulations shall not apply to civil registration entities specified under the Data Protection (Civil Registration) Regulations</t>
        </is>
      </c>
      <c r="O308" s="8" t="inlineStr">
        <is>
          <t>These Regulations provide for the procedure for registration of data controllers and data processors as provided under section 18 of the Act. These Regulations shall not apply to civil registration entities specified under the Data Protection (Civil Registration) Regulations,</t>
        </is>
      </c>
    </row>
    <row r="309">
      <c r="A309" t="inlineStr">
        <is>
          <t>Kenya</t>
        </is>
      </c>
      <c r="B309" t="inlineStr">
        <is>
          <t>THE-DATA-PROTECTION-REGISTRATION-OF-DATA-CONTROLLERS-AND-DATA-PROCESSORS-REGULATIONS-2021 (Kenya = row17)</t>
        </is>
      </c>
      <c r="C309" t="inlineStr">
        <is>
          <t>4</t>
        </is>
      </c>
      <c r="D309" s="8" t="inlineStr">
        <is>
          <t>(1) Subject to regulation 13 (1), every data controller and data</t>
        </is>
      </c>
      <c r="E309" t="inlineStr">
        <is>
          <t>2–3</t>
        </is>
      </c>
      <c r="F309" t="inlineStr">
        <is>
          <t>Other</t>
        </is>
      </c>
      <c r="G309" t="inlineStr">
        <is>
          <t>None</t>
        </is>
      </c>
      <c r="H309" t="inlineStr">
        <is>
          <t>High (explicit)</t>
        </is>
      </c>
      <c r="I309" s="8" t="inlineStr"/>
      <c r="J309" s="8" t="inlineStr"/>
      <c r="K309" t="inlineStr"/>
      <c r="L309" s="8" t="inlineStr">
        <is>
          <t>Data controllers and processors must register with the Data Commissioner; data controllers may register as both; data processors acting outside instructions become controllers.</t>
        </is>
      </c>
      <c r="M309" s="8" t="inlineStr">
        <is>
          <t>Data controllers and processors must register with the Data Commissioner; data controllers may register as both; data processors acting outside instructions become controllers.</t>
        </is>
      </c>
      <c r="N309" s="8" t="inlineStr">
        <is>
          <t>[Must] Subject to regulation 13 (1), every data controller and data processor shall be required to register in accordance with the provisions of the Act and these Regulations.
[Must]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
[Must] Despite sub-regulation (2) (a), a data controller may apply for registration as both a data controller and a data processor with regards to any processing operations and shall be required to pay the requisite fees applicable for both a data controller and a data processor thereto.
[Must] Despite sub-regulation (2) (b), where a data processor processes personal data other than as instructed by the data controller, the data processor shall be considered to be a data controller in respect of that processing activity, for purposes of assessing liability.</t>
        </is>
      </c>
      <c r="O309" s="8" t="inlineStr">
        <is>
          <t>Subject to regulation 13 (1), every data controller and data processor shall be required to register in accordance with the provisions of the Act and these Regulations.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is>
      </c>
    </row>
    <row r="310">
      <c r="A310" t="inlineStr">
        <is>
          <t>Kenya</t>
        </is>
      </c>
      <c r="B310" t="inlineStr">
        <is>
          <t>THE-DATA-PROTECTION-REGISTRATION-OF-DATA-CONTROLLERS-AND-DATA-PROCESSORS-REGULATIONS-2021 (Kenya = row17)</t>
        </is>
      </c>
      <c r="C310" t="inlineStr">
        <is>
          <t>5</t>
        </is>
      </c>
      <c r="D310" s="8" t="inlineStr">
        <is>
          <t>(1) An application for registration of a data controller or data</t>
        </is>
      </c>
      <c r="E310" t="inlineStr">
        <is>
          <t>3</t>
        </is>
      </c>
      <c r="F310" t="inlineStr">
        <is>
          <t>Other</t>
        </is>
      </c>
      <c r="G310" t="inlineStr">
        <is>
          <t>None</t>
        </is>
      </c>
      <c r="H310" t="inlineStr">
        <is>
          <t>High (explicit)</t>
        </is>
      </c>
      <c r="I310" s="8" t="inlineStr"/>
      <c r="J310" s="8" t="inlineStr"/>
      <c r="K310" t="inlineStr"/>
      <c r="L310" s="8" t="inlineStr">
        <is>
          <t>Applications for registration must be in Form DPR1 and include registration fees, establishment documents, and details of data processing.</t>
        </is>
      </c>
      <c r="M310" s="8" t="inlineStr">
        <is>
          <t>Applications for registration must be in Form DPR1 and include registration fees, establishment documents, and details of data processing.</t>
        </is>
      </c>
      <c r="N310" s="8" t="inlineStr">
        <is>
          <t>[Must] An application for registration of a data controller or data processor shall be in Form DPR1 set out in the First Schedule; and be accompanied by the registration fees specified in the Second Schedule.
[Must] An application for registration under sub-regulation (1) shall be accompanied by a copy of the establishment documents; particulars of the data controllers or data processors including name and contact details; a description of the purpose for which personal data is processed; and a description of categories of personal data being processed.</t>
        </is>
      </c>
      <c r="O310" s="8" t="inlineStr">
        <is>
          <t>An application for registration of a data controller or data processor shall (a) be in Form DPR1 set out in the First Schedule; and (b) be accompanied by the registration fees specified in the Second Schedule.</t>
        </is>
      </c>
    </row>
    <row r="311">
      <c r="A311" t="inlineStr">
        <is>
          <t>Kenya</t>
        </is>
      </c>
      <c r="B311" t="inlineStr">
        <is>
          <t>THE-DATA-PROTECTION-REGISTRATION-OF-DATA-CONTROLLERS-AND-DATA-PROCESSORS-REGULATIONS-2021 (Kenya = row17)</t>
        </is>
      </c>
      <c r="C311" t="inlineStr">
        <is>
          <t>6</t>
        </is>
      </c>
      <c r="D311" s="8" t="inlineStr">
        <is>
          <t>(1) A state department or county department shall register and</t>
        </is>
      </c>
      <c r="E311" t="inlineStr">
        <is>
          <t>3–4</t>
        </is>
      </c>
      <c r="F311" t="inlineStr">
        <is>
          <t>Other</t>
        </is>
      </c>
      <c r="G311" t="inlineStr">
        <is>
          <t>None</t>
        </is>
      </c>
      <c r="H311" t="inlineStr">
        <is>
          <t>High (explicit)</t>
        </is>
      </c>
      <c r="I311" s="8" t="inlineStr"/>
      <c r="J311" s="8" t="inlineStr"/>
      <c r="K311" t="inlineStr"/>
      <c r="L311" s="8" t="inlineStr">
        <is>
          <t>State and county departments register public entities on behalf of their entities; public entities must register as data controllers or processors.</t>
        </is>
      </c>
      <c r="M311" s="8" t="inlineStr">
        <is>
          <t>State and county departments register public entities on behalf of their entities; public entities must register as data controllers or processors.</t>
        </is>
      </c>
      <c r="N311" s="8" t="inlineStr">
        <is>
          <t>[Must] A state department or county department shall register and pay the fees on behalf of their respective entities.
[Must] The entities referred to under sub-regulation (1) shall be the public entities at national or county government which (a) operates within a state department or county department; (b) is wholly funded from the Consolidated Fund; and (c) provides a public service.
[Must] The fees paid by the state department or county department under sub-regulation (1) shall cater for the specified entities registered under the concerned state department or county department.
[Must] Despite this regulation, a State Corporation or a County Corporation shall be required to register as a data controller or a data processor in respect of their processing activity, in the manner specified under these Regulations.</t>
        </is>
      </c>
      <c r="O311" s="8" t="inlineStr">
        <is>
          <t>A state department or county department shall register and pay the fees on behalf of their respective entities.</t>
        </is>
      </c>
    </row>
    <row r="312">
      <c r="A312" t="inlineStr">
        <is>
          <t>Kenya</t>
        </is>
      </c>
      <c r="B312" t="inlineStr">
        <is>
          <t>THE-DATA-PROTECTION-REGISTRATION-OF-DATA-CONTROLLERS-AND-DATA-PROCESSORS-REGULATIONS-2021 (Kenya = row17)</t>
        </is>
      </c>
      <c r="C312" t="inlineStr">
        <is>
          <t>8</t>
        </is>
      </c>
      <c r="D312" s="8" t="inlineStr">
        <is>
          <t>Where the Data Commissioner is satisfied that the applicant</t>
        </is>
      </c>
      <c r="E312" t="inlineStr">
        <is>
          <t>4</t>
        </is>
      </c>
      <c r="F312" t="inlineStr">
        <is>
          <t>Other</t>
        </is>
      </c>
      <c r="G312" t="inlineStr">
        <is>
          <t>None</t>
        </is>
      </c>
      <c r="H312" t="inlineStr">
        <is>
          <t>High (explicit)</t>
        </is>
      </c>
      <c r="I312" s="8" t="inlineStr"/>
      <c r="J312" s="8" t="inlineStr"/>
      <c r="K312" t="inlineStr"/>
      <c r="L312" s="8" t="inlineStr">
        <is>
          <t>Data Commissioner issues certificate of registration within 14 days if applicant meets requirements.</t>
        </is>
      </c>
      <c r="M312" s="8" t="inlineStr">
        <is>
          <t>Data Commissioner issues certificate of registration within 14 days if applicant meets requirements.</t>
        </is>
      </c>
      <c r="N312" s="8" t="inlineStr">
        <is>
          <t>[Must] 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t>
        </is>
      </c>
      <c r="O312" s="8" t="inlineStr">
        <is>
          <t>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t>
        </is>
      </c>
    </row>
    <row r="313">
      <c r="A313" t="inlineStr">
        <is>
          <t>Kenya</t>
        </is>
      </c>
      <c r="B313" t="inlineStr">
        <is>
          <t>THE-DATA-PROTECTION-REGISTRATION-OF-DATA-CONTROLLERS-AND-DATA-PROCESSORS-REGULATIONS-2021 (Kenya = row17)</t>
        </is>
      </c>
      <c r="C313" t="inlineStr">
        <is>
          <t>9</t>
        </is>
      </c>
      <c r="D313" s="8" t="inlineStr">
        <is>
          <t>A certificate of registration issued under regulation 8 (a) shall</t>
        </is>
      </c>
      <c r="E313" t="inlineStr">
        <is>
          <t>4</t>
        </is>
      </c>
      <c r="F313" t="inlineStr">
        <is>
          <t>Other</t>
        </is>
      </c>
      <c r="G313" t="inlineStr">
        <is>
          <t>None</t>
        </is>
      </c>
      <c r="H313" t="inlineStr">
        <is>
          <t>High (explicit)</t>
        </is>
      </c>
      <c r="I313" s="8" t="inlineStr"/>
      <c r="J313" s="8" t="inlineStr"/>
      <c r="K313" t="inlineStr"/>
      <c r="L313" s="8" t="inlineStr">
        <is>
          <t>Certificate of registration is valid for 24 months from issuance date.</t>
        </is>
      </c>
      <c r="M313" s="8" t="inlineStr">
        <is>
          <t>Certificate of registration is valid for 24 months from issuance date.</t>
        </is>
      </c>
      <c r="N313" s="8" t="inlineStr">
        <is>
          <t>[Must] A certificate of registration issued under regulation 8 (a) shall be valid for a period of twenty-four months from the date of issuance.</t>
        </is>
      </c>
      <c r="O313" s="8" t="inlineStr">
        <is>
          <t>A certificate of registration issued under regulation 8 (a) shall be valid for a period of twenty-four months from the date of issuance.</t>
        </is>
      </c>
    </row>
    <row r="314">
      <c r="A314" t="inlineStr">
        <is>
          <t>Kenya</t>
        </is>
      </c>
      <c r="B314" t="inlineStr">
        <is>
          <t>THE-DATA-PROTECTION-REGISTRATION-OF-DATA-CONTROLLERS-AND-DATA-PROCESSORS-REGULATIONS-2021 (Kenya = row17)</t>
        </is>
      </c>
      <c r="C314" t="inlineStr">
        <is>
          <t>10</t>
        </is>
      </c>
      <c r="D314" s="8" t="inlineStr">
        <is>
          <t>(1) Where the Data Commissioner declines to approve an</t>
        </is>
      </c>
      <c r="E314" t="inlineStr">
        <is>
          <t>4</t>
        </is>
      </c>
      <c r="F314" t="inlineStr">
        <is>
          <t>Other</t>
        </is>
      </c>
      <c r="G314" t="inlineStr">
        <is>
          <t>None</t>
        </is>
      </c>
      <c r="H314" t="inlineStr">
        <is>
          <t>High (explicit)</t>
        </is>
      </c>
      <c r="I314" s="8" t="inlineStr"/>
      <c r="J314" s="8" t="inlineStr"/>
      <c r="K314" t="inlineStr"/>
      <c r="L314" s="8" t="inlineStr">
        <is>
          <t>Data Commissioner notifies applicants of refusal within 21 days with reasons; applicants may reapply after compliance.</t>
        </is>
      </c>
      <c r="M314" s="8" t="inlineStr">
        <is>
          <t>Data Commissioner notifies applicants of refusal within 21 days with reasons; applicants may reapply after compliance.</t>
        </is>
      </c>
      <c r="N314" s="8" t="inlineStr">
        <is>
          <t>[Must] Where the Data Commissioner declines to approve an application for registration, the Data Commissioner shall within twenty-one days from the date of such decision (a) notify, in writing, the applicant of the refusal; and (b) provide reasons for such refusal.
[Must] The Data Commissioner may decline to grant an application for registration, where the (a) particulars provided for inclusion in an entry in the register are insufficient; (b) appropriate safeguards for the protection of the privacy of the data subject have not been provided by the data controller or a data processor; or (c) the data controller or data processor is in violation of any provisions of the Act and these Regulations.
[Must] A data controller or data processor whose application for registration has been declined under these Regulations may make a fresh application upon complying with the requirements specified in the refusal notice.</t>
        </is>
      </c>
      <c r="O314" s="8" t="inlineStr">
        <is>
          <t>Where the Data Commissioner declines to approve an application for registration, the Data Commissioner shall within twenty-one days from the date of such decision (a) notify, in writing, the applicant of the refusal; and (b) provide reasons for such refusal.</t>
        </is>
      </c>
    </row>
    <row r="315">
      <c r="A315" t="inlineStr">
        <is>
          <t>Kenya</t>
        </is>
      </c>
      <c r="B315" t="inlineStr">
        <is>
          <t>THE-DATA-PROTECTION-REGISTRATION-OF-DATA-CONTROLLERS-AND-DATA-PROCESSORS-REGULATIONS-2021 (Kenya = row17)</t>
        </is>
      </c>
      <c r="C315" t="inlineStr">
        <is>
          <t>11</t>
        </is>
      </c>
      <c r="D315" s="8" t="inlineStr">
        <is>
          <t>(1) Pursuant to section 20 of the Act, a registered data</t>
        </is>
      </c>
      <c r="E315" t="inlineStr">
        <is>
          <t>4–5</t>
        </is>
      </c>
      <c r="F315" t="inlineStr">
        <is>
          <t>Other</t>
        </is>
      </c>
      <c r="G315" t="inlineStr">
        <is>
          <t>None</t>
        </is>
      </c>
      <c r="H315" t="inlineStr">
        <is>
          <t>High (explicit)</t>
        </is>
      </c>
      <c r="I315" s="8" t="inlineStr"/>
      <c r="J315" s="8" t="inlineStr"/>
      <c r="K315" t="inlineStr"/>
      <c r="L315" s="8" t="inlineStr">
        <is>
          <t>Registered data controllers/processors must renew registration after certificate expiry; renewal requires form PR2 and renewal fees.</t>
        </is>
      </c>
      <c r="M315" s="8" t="inlineStr">
        <is>
          <t>Registered data controllers/processors must renew registration after certificate expiry; renewal requires form PR2 and renewal fees.</t>
        </is>
      </c>
      <c r="N315" s="8" t="inlineStr">
        <is>
          <t>[Must] Pursuant to section 20 of the Act, a registered data controller or data processor shall apply for a renewal of registration as a data controller or data processor, after the expiry of the certificate of registration.
[Must] An application for renewal of a certificate of registration shall be (a) made in Form PR 2 set out in the First Schedule; and (b) accompanied by the appropriate renewal fee specified in the Second Schedule.</t>
        </is>
      </c>
      <c r="O315" s="8" t="inlineStr">
        <is>
          <t>Pursuant to section 20 of the Act, a registered data controller or data processor shall apply for a renewal of registration as a data controller or data processor, after the expiry of the certificate of registration.</t>
        </is>
      </c>
    </row>
    <row r="316">
      <c r="A316" t="inlineStr">
        <is>
          <t>Kenya</t>
        </is>
      </c>
      <c r="B316" t="inlineStr">
        <is>
          <t>THE-DATA-PROTECTION-REGISTRATION-OF-DATA-CONTROLLERS-AND-DATA-PROCESSORS-REGULATIONS-2021 (Kenya = row17)</t>
        </is>
      </c>
      <c r="C316" t="inlineStr">
        <is>
          <t>12</t>
        </is>
      </c>
      <c r="D316" s="8" t="inlineStr">
        <is>
          <t>(1) Where the Data Commissioner declines to renew an</t>
        </is>
      </c>
      <c r="E316" t="inlineStr">
        <is>
          <t>5</t>
        </is>
      </c>
      <c r="F316" t="inlineStr">
        <is>
          <t>Other</t>
        </is>
      </c>
      <c r="G316" t="inlineStr">
        <is>
          <t>None</t>
        </is>
      </c>
      <c r="H316" t="inlineStr">
        <is>
          <t>High (explicit)</t>
        </is>
      </c>
      <c r="I316" s="8" t="inlineStr"/>
      <c r="J316" s="8" t="inlineStr"/>
      <c r="K316" t="inlineStr"/>
      <c r="L316" s="8" t="inlineStr">
        <is>
          <t>Data Commissioner notifies applicants of refusal to renew within 21 days with reasons; regulation 10 applies to renewals.</t>
        </is>
      </c>
      <c r="M316" s="8" t="inlineStr">
        <is>
          <t>Data Commissioner notifies applicants of refusal to renew within 21 days with reasons; regulation 10 applies to renewals.</t>
        </is>
      </c>
      <c r="N316" s="8" t="inlineStr">
        <is>
          <t>[Must] Where the Data Commissioner declines to renew an application, the Data Commissioner shall within twenty-one days from the date of such decision (a) notify, in writing, the applicant of the refusal; and (b) provide reasons for such refusal.
[Must] Regulation 10 applies to renewals.</t>
        </is>
      </c>
      <c r="O316" s="8" t="inlineStr">
        <is>
          <t>Where the Data Commissioner declines to renew an application, the Data Commissioner shall within twenty-one days from the date of such decision (a) notify, in writing, the applicant of the refusal; and (b) provide reasons for such refusal.</t>
        </is>
      </c>
    </row>
    <row r="317">
      <c r="A317" t="inlineStr">
        <is>
          <t>Kenya</t>
        </is>
      </c>
      <c r="B317" t="inlineStr">
        <is>
          <t>THE-DATA-PROTECTION-REGISTRATION-OF-DATA-CONTROLLERS-AND-DATA-PROCESSORS-REGULATIONS-2021 (Kenya = row17)</t>
        </is>
      </c>
      <c r="C317" t="inlineStr">
        <is>
          <t>12</t>
        </is>
      </c>
      <c r="D317" s="8" t="inlineStr">
        <is>
          <t>Businesses that process genetic data.</t>
        </is>
      </c>
      <c r="E317" t="inlineStr">
        <is>
          <t>13</t>
        </is>
      </c>
      <c r="F317" t="inlineStr">
        <is>
          <t>Other</t>
        </is>
      </c>
      <c r="G317" t="inlineStr">
        <is>
          <t>None</t>
        </is>
      </c>
      <c r="H317" t="inlineStr">
        <is>
          <t>High (explicit)</t>
        </is>
      </c>
      <c r="I317" s="8" t="inlineStr"/>
      <c r="J317" s="8" t="inlineStr"/>
      <c r="K317" t="inlineStr"/>
      <c r="L317" s="8" t="inlineStr">
        <is>
          <t>Data Commissioner notifies applicants of refusal to renew within 21 days with reasons; regulation 10 applies to renewals.</t>
        </is>
      </c>
      <c r="M317" s="8" t="inlineStr">
        <is>
          <t>Data Commissioner notifies applicants of refusal to renew within 21 days with reasons; regulation 10 applies to renewals.</t>
        </is>
      </c>
      <c r="N317" s="8" t="inlineStr">
        <is>
          <t>[Must] Where the Data Commissioner declines to renew an application, the Data Commissioner shall within twenty-one days from the date of such decision (a) notify, in writing, the applicant of the refusal; and (b) provide reasons for such refusal.
[Must] Regulation 10 applies to renewals.</t>
        </is>
      </c>
      <c r="O317" s="8" t="inlineStr">
        <is>
          <t>Where the Data Commissioner declines to renew an application, the Data Commissioner shall within twenty-one days from the date of such decision (a) notify, in writing, the applicant of the refusal; and (b) provide reasons for such refusal.</t>
        </is>
      </c>
    </row>
    <row r="318">
      <c r="A318" t="inlineStr">
        <is>
          <t>Kenya</t>
        </is>
      </c>
      <c r="B318" t="inlineStr">
        <is>
          <t>THE-DATA-PROTECTION-REGISTRATION-OF-DATA-CONTROLLERS-AND-DATA-PROCESSORS-REGULATIONS-2021 (Kenya = row17)</t>
        </is>
      </c>
      <c r="C318" t="inlineStr">
        <is>
          <t>13</t>
        </is>
      </c>
      <c r="D318" s="8" t="inlineStr">
        <is>
          <t>(1) For purposes of this regulation</t>
        </is>
      </c>
      <c r="E318" t="inlineStr">
        <is>
          <t>5–6</t>
        </is>
      </c>
      <c r="F318" t="inlineStr">
        <is>
          <t>Definitions</t>
        </is>
      </c>
      <c r="G318" t="inlineStr">
        <is>
          <t>None</t>
        </is>
      </c>
      <c r="H318" t="inlineStr">
        <is>
          <t>High (explicit)</t>
        </is>
      </c>
      <c r="I318" s="8" t="inlineStr"/>
      <c r="J318" s="8" t="inlineStr"/>
      <c r="K318" t="inlineStr"/>
      <c r="L318" s="8" t="inlineStr">
        <is>
          <t>Defines thresholds for mandatory registration based on number of employees and annual turnover.</t>
        </is>
      </c>
      <c r="M318" s="8" t="inlineStr"/>
      <c r="N318" s="8" t="inlineStr">
        <is>
          <t>[Definition] A data controller or data processor processing personal data for the following purposes shall register as a data controller or a data processor as provided for under these Regulations.</t>
        </is>
      </c>
      <c r="O318" s="8" t="inlineStr">
        <is>
          <t>A data controller or data processor processing personal data for the following purposes shall register as a data controller or a data processor as provided for under these Regulations</t>
        </is>
      </c>
    </row>
    <row r="319">
      <c r="A319" t="inlineStr">
        <is>
          <t>Kenya</t>
        </is>
      </c>
      <c r="B319" t="inlineStr">
        <is>
          <t>THE-DATA-PROTECTION-REGISTRATION-OF-DATA-CONTROLLERS-AND-DATA-PROCESSORS-REGULATIONS-2021 (Kenya = row17)</t>
        </is>
      </c>
      <c r="C319" t="inlineStr">
        <is>
          <t>14</t>
        </is>
      </c>
      <c r="D319" s="8" t="inlineStr">
        <is>
          <t>(1) Subject to section 21 of the Act, the Data Commissioner</t>
        </is>
      </c>
      <c r="E319" t="inlineStr">
        <is>
          <t>6</t>
        </is>
      </c>
      <c r="F319" t="inlineStr">
        <is>
          <t>Other</t>
        </is>
      </c>
      <c r="G319" t="inlineStr">
        <is>
          <t>Unknown</t>
        </is>
      </c>
      <c r="H319" t="inlineStr">
        <is>
          <t>Low</t>
        </is>
      </c>
      <c r="I319" s="8" t="inlineStr"/>
      <c r="J319" s="8" t="inlineStr"/>
      <c r="K319" t="inlineStr"/>
      <c r="L319" s="8" t="inlineStr"/>
      <c r="M319" s="8" t="inlineStr"/>
      <c r="N319" s="8" t="inlineStr"/>
      <c r="O319" s="8" t="inlineStr"/>
    </row>
    <row r="320">
      <c r="A320" t="inlineStr">
        <is>
          <t>Kenya</t>
        </is>
      </c>
      <c r="B320" t="inlineStr">
        <is>
          <t>THE-DATA-PROTECTION-REGISTRATION-OF-DATA-CONTROLLERS-AND-DATA-PROCESSORS-REGULATIONS-2021 (Kenya = row17)</t>
        </is>
      </c>
      <c r="C320" t="inlineStr">
        <is>
          <t>15</t>
        </is>
      </c>
      <c r="D320" s="8" t="inlineStr">
        <is>
          <t>(1) Subject to section 19(2) of the Act, a data controller or</t>
        </is>
      </c>
      <c r="E320" t="inlineStr">
        <is>
          <t>6</t>
        </is>
      </c>
      <c r="F320" t="inlineStr">
        <is>
          <t>Other</t>
        </is>
      </c>
      <c r="G320" t="inlineStr">
        <is>
          <t>Unknown</t>
        </is>
      </c>
      <c r="H320" t="inlineStr">
        <is>
          <t>Low</t>
        </is>
      </c>
      <c r="I320" s="8" t="inlineStr"/>
      <c r="J320" s="8" t="inlineStr"/>
      <c r="K320" t="inlineStr"/>
      <c r="L320" s="8" t="inlineStr"/>
      <c r="M320" s="8" t="inlineStr"/>
      <c r="N320" s="8" t="inlineStr"/>
      <c r="O320" s="8" t="inlineStr"/>
    </row>
    <row r="321">
      <c r="A321" t="inlineStr">
        <is>
          <t>Kenya</t>
        </is>
      </c>
      <c r="B321" t="inlineStr">
        <is>
          <t>THE-DATA-PROTECTION-REGISTRATION-OF-DATA-CONTROLLERS-AND-DATA-PROCESSORS-REGULATIONS-2021 (Kenya = row17)</t>
        </is>
      </c>
      <c r="C321" t="inlineStr">
        <is>
          <t>16</t>
        </is>
      </c>
      <c r="D321" s="8" t="inlineStr">
        <is>
          <t>(1) Subject to section 22 of the Act, the Data Commissioner</t>
        </is>
      </c>
      <c r="E321" t="inlineStr">
        <is>
          <t>6</t>
        </is>
      </c>
      <c r="F321" t="inlineStr">
        <is>
          <t>Other</t>
        </is>
      </c>
      <c r="G321" t="inlineStr">
        <is>
          <t>Unknown</t>
        </is>
      </c>
      <c r="H321" t="inlineStr">
        <is>
          <t>Low</t>
        </is>
      </c>
      <c r="I321" s="8" t="inlineStr"/>
      <c r="J321" s="8" t="inlineStr"/>
      <c r="K321" t="inlineStr"/>
      <c r="L321" s="8" t="inlineStr"/>
      <c r="M321" s="8" t="inlineStr"/>
      <c r="N321" s="8" t="inlineStr"/>
      <c r="O321" s="8" t="inlineStr"/>
    </row>
    <row r="322">
      <c r="A322" t="inlineStr">
        <is>
          <t>Kenya</t>
        </is>
      </c>
      <c r="B322" t="inlineStr">
        <is>
          <t>THE-DATA-PROTECTION-REGISTRATION-OF-DATA-CONTROLLERS-AND-DATA-PROCESSORS-REGULATIONS-2021 (Kenya = row17)</t>
        </is>
      </c>
      <c r="C322" t="inlineStr">
        <is>
          <t>18</t>
        </is>
      </c>
      <c r="D322" s="8" t="inlineStr">
        <is>
          <t>A data controller or a data processor who</t>
        </is>
      </c>
      <c r="E322" t="inlineStr">
        <is>
          <t>6–13</t>
        </is>
      </c>
      <c r="F322" t="inlineStr">
        <is>
          <t>Other</t>
        </is>
      </c>
      <c r="G322" t="inlineStr">
        <is>
          <t>Unknown</t>
        </is>
      </c>
      <c r="H322" t="inlineStr">
        <is>
          <t>Low</t>
        </is>
      </c>
      <c r="I322" s="8" t="inlineStr"/>
      <c r="J322" s="8" t="inlineStr"/>
      <c r="K322" t="inlineStr"/>
      <c r="L322" s="8" t="inlineStr"/>
      <c r="M322" s="8" t="inlineStr"/>
      <c r="N322" s="8" t="inlineStr"/>
      <c r="O322" s="8" t="inlineStr"/>
    </row>
    <row r="323">
      <c r="A323" t="inlineStr">
        <is>
          <t>Mauritius</t>
        </is>
      </c>
      <c r="B323" t="inlineStr">
        <is>
          <t>Mauritius_Emerging_Technologies_Council_Act_2021 (Mauritius - Row 24)</t>
        </is>
      </c>
      <c r="C323" t="inlineStr">
        <is>
          <t>2</t>
        </is>
      </c>
      <c r="D323" s="8" t="inlineStr">
        <is>
          <t>Interpretation</t>
        </is>
      </c>
      <c r="E323" t="inlineStr">
        <is>
          <t>2–3</t>
        </is>
      </c>
      <c r="F323" t="inlineStr">
        <is>
          <t>Definitions</t>
        </is>
      </c>
      <c r="G323" t="inlineStr">
        <is>
          <t>Low</t>
        </is>
      </c>
      <c r="H323" t="inlineStr">
        <is>
          <t>High (explicit)</t>
        </is>
      </c>
      <c r="I323" s="8" t="inlineStr"/>
      <c r="J323" s="8" t="inlineStr"/>
      <c r="K323" t="inlineStr"/>
      <c r="L323" s="8" t="inlineStr">
        <is>
          <t>Defines key terms including Council, Chairperson, Executive Director, Intellectual property, member, Minister, Ministry, research and development.</t>
        </is>
      </c>
      <c r="M323" s="8" t="inlineStr"/>
      <c r="N323" s="8" t="inlineStr"/>
      <c r="O323" s="8" t="inlineStr">
        <is>
          <t>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undertaken;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t>
        </is>
      </c>
    </row>
    <row r="324">
      <c r="A324" t="inlineStr">
        <is>
          <t>Mauritius</t>
        </is>
      </c>
      <c r="B324" t="inlineStr">
        <is>
          <t>Mauritius_Emerging_Technologies_Council_Act_2021 (Mauritius - Row 24)</t>
        </is>
      </c>
      <c r="C324" t="inlineStr">
        <is>
          <t>7</t>
        </is>
      </c>
      <c r="D324" s="8" t="inlineStr">
        <is>
          <t>The Council</t>
        </is>
      </c>
      <c r="E324" t="inlineStr">
        <is>
          <t>5–6</t>
        </is>
      </c>
      <c r="F324" t="inlineStr">
        <is>
          <t>Governance</t>
        </is>
      </c>
      <c r="G324" t="inlineStr">
        <is>
          <t>Low</t>
        </is>
      </c>
      <c r="H324" t="inlineStr">
        <is>
          <t>High (explicit)</t>
        </is>
      </c>
      <c r="I324" s="8" t="inlineStr">
        <is>
          <t>Governance, Record Keeping</t>
        </is>
      </c>
      <c r="J324" s="8" t="inlineStr"/>
      <c r="K324" t="inlineStr"/>
      <c r="L324" s="8" t="inlineStr">
        <is>
          <t>Specifies Council composition, qualifications, term of office, resignation, and co-option procedures for members.</t>
        </is>
      </c>
      <c r="M324" s="8" t="inlineStr"/>
      <c r="N324" s="8" t="inlineStr">
        <is>
          <t>[Must] 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[Must Not] No person shall be qualified to be a member where he is – (a) a member of the Assembly; (b) a member of a local authority; or (c) otherwise actively engaged in politics.
[Must] Subject to subsection (4), a member, other than an ex officio member, shall hold office for a period of 3 years and may be eligible for reappointment.
[Must]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[Must] Every member shall be paid such fees or allowances as the Minister may determine.
[Must] The names of the members of the Council shall be published in the Gazette.
[May] The Council may co-opt any person who may be of assistance in relation to any matter before it and the co-opted member shall – (a) not have the right to vote at any meeting of the Council; and (b) be paid such fees or allowances as the Council may determine.
[Must Not] A member shall not engage in any activity which may undermine the reputation or the integrity of the Council.</t>
        </is>
      </c>
      <c r="O324" s="8" t="inlineStr">
        <is>
          <t>(1) 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(2) No person shall be qualified to be a member where he is – (a) a member of the Assembly; (b) a member of a local authority; or (c) otherwise actively engaged in politics.</t>
        </is>
      </c>
    </row>
    <row r="325">
      <c r="A325" t="inlineStr">
        <is>
          <t>Mauritius</t>
        </is>
      </c>
      <c r="B325" t="inlineStr">
        <is>
          <t>Mauritius_Emerging_Technologies_Council_Act_2021 (Mauritius - Row 24)</t>
        </is>
      </c>
      <c r="C325" t="inlineStr">
        <is>
          <t>13</t>
        </is>
      </c>
      <c r="D325" s="8" t="inlineStr">
        <is>
          <t>Disclosure of interest</t>
        </is>
      </c>
      <c r="E325" t="inlineStr">
        <is>
          <t>9</t>
        </is>
      </c>
      <c r="F325" t="inlineStr">
        <is>
          <t>Governance</t>
        </is>
      </c>
      <c r="G325" t="inlineStr">
        <is>
          <t>Low</t>
        </is>
      </c>
      <c r="H325" t="inlineStr">
        <is>
          <t>High (explicit)</t>
        </is>
      </c>
      <c r="I325" s="8" t="inlineStr">
        <is>
          <t>Governance, Record Keeping</t>
        </is>
      </c>
      <c r="J325" s="8" t="inlineStr"/>
      <c r="K325" t="inlineStr"/>
      <c r="L325" s="8" t="inlineStr">
        <is>
          <t>Requires members to disclose conflicts of interest and recuse from deliberations on matters involving their interests.</t>
        </is>
      </c>
      <c r="M325" s="8" t="inlineStr"/>
      <c r="N325" s="8" t="inlineStr">
        <is>
          <t>[Must] 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[Must] A disclosure of interest made under subsection (1) shall be recorded in the minutes of proceedings of the meeting of the Council or committee, as the case may be.</t>
        </is>
      </c>
      <c r="O325" s="8" t="inlineStr">
        <is>
          <t>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A disclosure of interest made under subsection (1) shall be recorded in the minutes of proceedings of the meeting of the Council or committee, as the case may be.</t>
        </is>
      </c>
    </row>
    <row r="326">
      <c r="A326" t="inlineStr">
        <is>
          <t>Mauritius</t>
        </is>
      </c>
      <c r="B326" t="inlineStr">
        <is>
          <t>Mauritius_Emerging_Technologies_Council_Act_2021 (Mauritius - Row 24)</t>
        </is>
      </c>
      <c r="C326" t="inlineStr">
        <is>
          <t>16</t>
        </is>
      </c>
      <c r="D326" s="8" t="inlineStr">
        <is>
          <t>General Fund</t>
        </is>
      </c>
      <c r="E326" t="inlineStr">
        <is>
          <t>9–10</t>
        </is>
      </c>
      <c r="F326" t="inlineStr">
        <is>
          <t>Governance</t>
        </is>
      </c>
      <c r="G326" t="inlineStr">
        <is>
          <t>Low</t>
        </is>
      </c>
      <c r="H326" t="inlineStr">
        <is>
          <t>High (explicit)</t>
        </is>
      </c>
      <c r="I326" s="8" t="inlineStr">
        <is>
          <t>Governance, Record Keeping</t>
        </is>
      </c>
      <c r="J326" s="8" t="inlineStr"/>
      <c r="K326" t="inlineStr"/>
      <c r="L326" s="8" t="inlineStr">
        <is>
          <t>Establishes a General Fund for the Council to manage financial resources and payments.</t>
        </is>
      </c>
      <c r="M326" s="8" t="inlineStr"/>
      <c r="N326" s="8" t="inlineStr">
        <is>
          <t>[Must] 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c r="O326" s="8" t="inlineStr">
        <is>
          <t>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row>
    <row r="327">
      <c r="A327" t="inlineStr">
        <is>
          <t>Mauritius</t>
        </is>
      </c>
      <c r="B327" t="inlineStr">
        <is>
          <t>Mauritius_Emerging_Technologies_Council_Act_2021 (Mauritius - Row 24)</t>
        </is>
      </c>
      <c r="C327" t="inlineStr">
        <is>
          <t>21</t>
        </is>
      </c>
      <c r="D327" s="8" t="inlineStr">
        <is>
          <t>Annual report</t>
        </is>
      </c>
      <c r="E327" t="inlineStr">
        <is>
          <t>10–11</t>
        </is>
      </c>
      <c r="F327" t="inlineStr">
        <is>
          <t>Governance</t>
        </is>
      </c>
      <c r="G327" t="inlineStr">
        <is>
          <t>Low</t>
        </is>
      </c>
      <c r="H327" t="inlineStr">
        <is>
          <t>High (explicit)</t>
        </is>
      </c>
      <c r="I327" s="8" t="inlineStr">
        <is>
          <t>Governance, Record Keeping</t>
        </is>
      </c>
      <c r="J327" s="8" t="inlineStr"/>
      <c r="K327" t="inlineStr"/>
      <c r="L327" s="8" t="inlineStr">
        <is>
          <t>Mandates the Council to publish annual reports and audited accounts within six months of the financial year end.</t>
        </is>
      </c>
      <c r="M327" s="8" t="inlineStr"/>
      <c r="N327" s="8" t="inlineStr">
        <is>
          <t>[Must] The Council shall, not later than 6 months after the close of every financial year, cause to be published a report on the activities of the Council, including its audited accounts, in respect of that financial year.
[Must] For the purposes of the Statutory Bodies (Accounts and Audit) Act, the period extending from the commencement of this Act to 30 June of the following year shall be deemed to be the first financial year of the Council.
[Must] Section 7 (1) of the Statutory Bodies (Accounts and Audit) Act shall not apply to the first financial year of the Council.
[Must] The auditor to be appointed under section 5 (1) of the Statutory Bodies (Accounts and Audit) Act shall be the Director of Audit.
[Must] The Council shall forward a copy of the report referred to in subsection (1) to the Minister.
[Must] The Council shall furnish to the Minister such information with respect to its activities, in such manner and at such time, as he may specify.
[Must] The Minister shall, at the earliest available opportunity, lay a copy of the annual report and audited accounts of the Council before the Assembly.</t>
        </is>
      </c>
      <c r="O327" s="8" t="inlineStr">
        <is>
          <t>The Council shall, not later than 6 months after the close of every financial year, cause to be published a report on the activities of the Council, including its audited accounts, in respect of that financial year.</t>
        </is>
      </c>
    </row>
    <row r="328">
      <c r="A328" t="inlineStr">
        <is>
          <t>Mauritius</t>
        </is>
      </c>
      <c r="B328" t="inlineStr">
        <is>
          <t>National-Identity-Card-Act-Consolidated- (Mauritius - Row 23)</t>
        </is>
      </c>
      <c r="C328" t="inlineStr">
        <is>
          <t>2</t>
        </is>
      </c>
      <c r="D328" s="8" t="inlineStr">
        <is>
          <t>Interpretation</t>
        </is>
      </c>
      <c r="E328" t="inlineStr">
        <is>
          <t>1</t>
        </is>
      </c>
      <c r="F328" t="inlineStr">
        <is>
          <t>Definitions</t>
        </is>
      </c>
      <c r="G328" t="inlineStr">
        <is>
          <t>Low</t>
        </is>
      </c>
      <c r="H328" t="inlineStr">
        <is>
          <t>High (explicit)</t>
        </is>
      </c>
      <c r="I328" s="8" t="inlineStr"/>
      <c r="J328" s="8" t="inlineStr">
        <is>
          <t>Biometric Data, Special Personal Information</t>
        </is>
      </c>
      <c r="K328" t="inlineStr">
        <is>
          <t>Prime Minister's Office</t>
        </is>
      </c>
      <c r="L328" s="8" t="inlineStr">
        <is>
          <t>Defines key terms including biometric information, digital wallet, identity card, Minister, Mobile ID, MNIC System, NIC number, register, Registrar, and Unit.</t>
        </is>
      </c>
      <c r="M328" s="8" t="inlineStr">
        <is>
          <t>Defines critical terms for data processing and security, including biometric information and MNIC System.</t>
        </is>
      </c>
      <c r="N328" s="8" t="inlineStr">
        <is>
          <t>[Must] There shall be, under the purview of the Prime Minister's Office, a National Identity Card Unit.
[Must] There shall be a Head of the National Identity Card Unit who shall be responsible for the operational management of the Unit.
[Must] The Head of the Unit shall, in the discharge of his functions and exercise of his powers, consult the Registrar as and when required in matters relating to the civil status of a person.
[Must] The Unit shall ensure the formulation and implementation of adequate security measures for all aspects of and related to the MNIC System.
[Must] The Unit shall keep under periodic review the organisational and security measures implemented in relation to all aspects of and related to the MNIC System.
[Must] The Unit shall cause independent security audits of the MNIC System to be carried out by an independent body.
[Must] The Unit shall implement the recommendations made by the independent body having carried out the independent security audit of the MNIC System.</t>
        </is>
      </c>
      <c r="O328" s="8" t="inlineStr">
        <is>
          <t>2. Interpretation In this Act— "biometric information", in relation to an individual, means data about his external characteristics, including his fingerprints; ...</t>
        </is>
      </c>
    </row>
    <row r="329">
      <c r="A329" t="inlineStr">
        <is>
          <t>Mauritius</t>
        </is>
      </c>
      <c r="B329" t="inlineStr">
        <is>
          <t>National-Identity-Card-Act-Consolidated- (Mauritius - Row 23)</t>
        </is>
      </c>
      <c r="C329" t="inlineStr">
        <is>
          <t>2</t>
        </is>
      </c>
      <c r="D329" s="8" t="inlineStr">
        <is>
          <t>Interpretation</t>
        </is>
      </c>
      <c r="E329" t="inlineStr">
        <is>
          <t>1–3</t>
        </is>
      </c>
      <c r="F329" t="inlineStr">
        <is>
          <t>Definitions</t>
        </is>
      </c>
      <c r="G329" t="inlineStr">
        <is>
          <t>Low</t>
        </is>
      </c>
      <c r="H329" t="inlineStr">
        <is>
          <t>High (explicit)</t>
        </is>
      </c>
      <c r="I329" s="8" t="inlineStr"/>
      <c r="J329" s="8" t="inlineStr">
        <is>
          <t>Biometric Data, Special Personal Information</t>
        </is>
      </c>
      <c r="K329" t="inlineStr">
        <is>
          <t>Prime Minister's Office</t>
        </is>
      </c>
      <c r="L329" s="8" t="inlineStr">
        <is>
          <t>Defines key terms including biometric information, digital wallet, identity card, Minister, Mobile ID, MNIC System, NIC number, register, Registrar, and Unit.</t>
        </is>
      </c>
      <c r="M329" s="8" t="inlineStr">
        <is>
          <t>Defines critical terms for data processing and security, including biometric information and MNIC System.</t>
        </is>
      </c>
      <c r="N329" s="8" t="inlineStr">
        <is>
          <t>[Must] There shall be, under the purview of the Prime Minister's Office, a National Identity Card Unit.
[Must] There shall be a Head of the National Identity Card Unit who shall be responsible for the operational management of the Unit.
[Must] The Head of the Unit shall, in the discharge of his functions and exercise of his powers, consult the Registrar as and when required in matters relating to the civil status of a person.
[Must] The Unit shall ensure the formulation and implementation of adequate security measures for all aspects of and related to the MNIC System.
[Must] The Unit shall keep under periodic review the organisational and security measures implemented in relation to all aspects of and related to the MNIC System.
[Must] The Unit shall cause independent security audits of the MNIC System to be carried out by an independent body.
[Must] The Unit shall implement the recommendations made by the independent body having carried out the independent security audit of the MNIC System.</t>
        </is>
      </c>
      <c r="O329" s="8" t="inlineStr">
        <is>
          <t>2. Interpretation In this Act— "biometric information", in relation to an individual, means data about his external characteristics, including his fingerprints; ...</t>
        </is>
      </c>
    </row>
    <row r="330">
      <c r="A330" t="inlineStr">
        <is>
          <t>Mauritius</t>
        </is>
      </c>
      <c r="B330" t="inlineStr">
        <is>
          <t>National-Identity-Card-Act-Consolidated- (Mauritius - Row 23)</t>
        </is>
      </c>
      <c r="C330" t="inlineStr">
        <is>
          <t>4</t>
        </is>
      </c>
      <c r="D330" s="8" t="inlineStr">
        <is>
          <t>Duty to be registered</t>
        </is>
      </c>
      <c r="E330" t="inlineStr">
        <is>
          <t>3–4</t>
        </is>
      </c>
      <c r="F330" t="inlineStr">
        <is>
          <t>Data Collection</t>
        </is>
      </c>
      <c r="G330" t="inlineStr">
        <is>
          <t>Low</t>
        </is>
      </c>
      <c r="H330" t="inlineStr">
        <is>
          <t>High (explicit)</t>
        </is>
      </c>
      <c r="I330" s="8" t="inlineStr">
        <is>
          <t>Data Storage</t>
        </is>
      </c>
      <c r="J330" s="8" t="inlineStr">
        <is>
          <t>Biometric Data, Personal Information</t>
        </is>
      </c>
      <c r="K330" t="inlineStr">
        <is>
          <t>Head of the Unit</t>
        </is>
      </c>
      <c r="L330" s="8" t="inlineStr">
        <is>
          <t>Citizens must apply for an identity card within 6 months of turning 18, with exceptions for non-residents or those with serious illness.</t>
        </is>
      </c>
      <c r="M330" s="8" t="inlineStr">
        <is>
          <t>Mandates identity card application within 6 months of 18, with biometric data collection.</t>
        </is>
      </c>
      <c r="N330" s="8" t="inlineStr">
        <is>
          <t>[Must] Every person who is a citizen of Mauritius shall, within 6 months of attaining the age of 18 and on such form as may be prescribed, apply for an identity card at any office designated by the Head of the Unit.
[Must] Where a person is not a resident of Mauritius or is unable to comply with paragraph (a) on account of serious illness, he may apply for an identity card in such manner and within such period as the Head of the Unit may determine.
[Must] Every person who applies for an identity card shall produce his birth certificate or certificate of registration or naturalisation as a citizen of Mauritius.
[Must] Every person who applies for an identity card shall allow his fingerprints and other biometric information to be taken and recorded.</t>
        </is>
      </c>
      <c r="O330" s="8" t="inlineStr">
        <is>
          <t>4. Duty to be registered (1) (a) Subject to paragraph (b), every person who is a citizen of Mauritius shall, within 6 months of attaining the age of 18 and on such form as may be prescribed, apply for an identity card at any office designated by the Head of the Unit.</t>
        </is>
      </c>
    </row>
    <row r="331">
      <c r="A331" t="inlineStr">
        <is>
          <t>Mauritius</t>
        </is>
      </c>
      <c r="B331" t="inlineStr">
        <is>
          <t>National-Identity-Card-Act-Consolidated- (Mauritius - Row 23)</t>
        </is>
      </c>
      <c r="C331" t="inlineStr">
        <is>
          <t>6</t>
        </is>
      </c>
      <c r="D331" s="8" t="inlineStr">
        <is>
          <t>Change of residence</t>
        </is>
      </c>
      <c r="E331" t="inlineStr">
        <is>
          <t>5–6</t>
        </is>
      </c>
      <c r="F331" t="inlineStr">
        <is>
          <t>Data Storage</t>
        </is>
      </c>
      <c r="G331" t="inlineStr">
        <is>
          <t>Low</t>
        </is>
      </c>
      <c r="H331" t="inlineStr">
        <is>
          <t>High (explicit)</t>
        </is>
      </c>
      <c r="I331" s="8" t="inlineStr">
        <is>
          <t>Data Storage</t>
        </is>
      </c>
      <c r="J331" s="8" t="inlineStr">
        <is>
          <t>Personal Information</t>
        </is>
      </c>
      <c r="K331" t="inlineStr">
        <is>
          <t>Head of the Unit</t>
        </is>
      </c>
      <c r="L331" s="8" t="inlineStr">
        <is>
          <t>Individuals must notify the Head of the Unit within 28 days of changing residence.</t>
        </is>
      </c>
      <c r="M331" s="8" t="inlineStr">
        <is>
          <t>Requires residence change notification within 28 days to maintain data accuracy.</t>
        </is>
      </c>
      <c r="N331" s="8" t="inlineStr">
        <is>
          <t>[Must] Where any person issued with an identity card changes his residence, he shall, within 28 days of the occurrence, notify the change at any office designated by the Head of the Unit or in such manner as may be prescribed.</t>
        </is>
      </c>
      <c r="O331" s="8" t="inlineStr">
        <is>
          <t>6. Change of residence (1) Where any person issued with an identity card changes his residence, he shall, within 28 days of the occurrence, notify the change at any office designated by the Head of the Unit or in such manner as may be prescribed.</t>
        </is>
      </c>
    </row>
    <row r="332">
      <c r="A332" t="inlineStr">
        <is>
          <t>Mauritius</t>
        </is>
      </c>
      <c r="B332" t="inlineStr">
        <is>
          <t>National-Identity-Card-Act-Consolidated- (Mauritius - Row 23)</t>
        </is>
      </c>
      <c r="C332" t="inlineStr">
        <is>
          <t>11</t>
        </is>
      </c>
      <c r="D332" s="8" t="inlineStr">
        <is>
          <t>Designation of office</t>
        </is>
      </c>
      <c r="E332" t="inlineStr">
        <is>
          <t>1</t>
        </is>
      </c>
      <c r="F332" t="inlineStr">
        <is>
          <t>Definitions</t>
        </is>
      </c>
      <c r="G332" t="inlineStr">
        <is>
          <t>Low</t>
        </is>
      </c>
      <c r="H332" t="inlineStr">
        <is>
          <t>High (explicit)</t>
        </is>
      </c>
      <c r="I332" s="8" t="inlineStr"/>
      <c r="J332" s="8" t="inlineStr">
        <is>
          <t>Personal Information</t>
        </is>
      </c>
      <c r="K332" t="inlineStr"/>
      <c r="L332" s="8" t="inlineStr">
        <is>
          <t>States that data collection and processing under this Act are subject to the Data Protection Act.</t>
        </is>
      </c>
      <c r="M332" s="8" t="inlineStr">
        <is>
          <t>Data collection and processing under this Act must comply with the Data Protection Act.</t>
        </is>
      </c>
      <c r="N332" s="8" t="inlineStr">
        <is>
          <t>[Must] Collection and processing of data to be subject to Data Protection Act</t>
        </is>
      </c>
      <c r="O332" s="8" t="inlineStr">
        <is>
          <t>11. Designation of office 12 Collection and processing of data to be subject to Data Protection Act</t>
        </is>
      </c>
    </row>
    <row r="333">
      <c r="A333" t="inlineStr">
        <is>
          <t>Mauritius</t>
        </is>
      </c>
      <c r="B333" t="inlineStr">
        <is>
          <t>National-Identity-Card-Act-Consolidated- (Mauritius - Row 23)</t>
        </is>
      </c>
      <c r="C333" t="inlineStr">
        <is>
          <t>12</t>
        </is>
      </c>
      <c r="D333" s="8" t="inlineStr">
        <is>
          <t>Collection and processing of data to be subject to Data Protection Act</t>
        </is>
      </c>
      <c r="E333" t="inlineStr">
        <is>
          <t>9</t>
        </is>
      </c>
      <c r="F333" t="inlineStr">
        <is>
          <t>Data Collection</t>
        </is>
      </c>
      <c r="G333" t="inlineStr">
        <is>
          <t>Low</t>
        </is>
      </c>
      <c r="H333" t="inlineStr">
        <is>
          <t>High (explicit)</t>
        </is>
      </c>
      <c r="I333" s="8" t="inlineStr"/>
      <c r="J333" s="8" t="inlineStr">
        <is>
          <t>Personal Information</t>
        </is>
      </c>
      <c r="K333" t="inlineStr"/>
      <c r="L333" s="8" t="inlineStr">
        <is>
          <t>Data collection and processing under this Act must comply with the Data Protection Act.</t>
        </is>
      </c>
      <c r="M333" s="8" t="inlineStr">
        <is>
          <t>All data collected under this Act is subject to the Data Protection Act.</t>
        </is>
      </c>
      <c r="N333" s="8" t="inlineStr">
        <is>
          <t>[Must] The collection and processing of personal data, including biometric information, under this Act shall be subject to the provisions of the Data Protection Act.</t>
        </is>
      </c>
      <c r="O333" s="8" t="inlineStr">
        <is>
          <t>12. Collection and processing of data to be subject to Data Protection Act The collection and processing of personal data, including biometric information, under this Act shall be subject to the provisions of the Data Protection Act.</t>
        </is>
      </c>
    </row>
    <row r="334">
      <c r="A334" t="inlineStr">
        <is>
          <t>Mauritius</t>
        </is>
      </c>
      <c r="B334" t="inlineStr">
        <is>
          <t>code-of-business-conduct_final (Mauritius - Row 14)</t>
        </is>
      </c>
      <c r="C334" t="inlineStr">
        <is>
          <t>1</t>
        </is>
      </c>
      <c r="D334" s="8" t="inlineStr">
        <is>
          <t>SCOPE OF THE CODE</t>
        </is>
      </c>
      <c r="E334" t="inlineStr">
        <is>
          <t>2</t>
        </is>
      </c>
      <c r="F334" t="inlineStr">
        <is>
          <t>Other</t>
        </is>
      </c>
      <c r="G334" t="inlineStr">
        <is>
          <t>High</t>
        </is>
      </c>
      <c r="H334" t="inlineStr">
        <is>
          <t>High (explicit)</t>
        </is>
      </c>
      <c r="I334" s="8" t="inlineStr"/>
      <c r="J334" s="8" t="inlineStr"/>
      <c r="K334" t="inlineStr">
        <is>
          <t>Financial Services Commission</t>
        </is>
      </c>
      <c r="L334" s="8" t="inlineStr">
        <is>
          <t>The Code of Business Conduct is part of the Fair Market Conduct Programme implemented by the Financial Services Commission (Commission) and sets 9 Guiding Principles for financial services licensees.</t>
        </is>
      </c>
      <c r="M334" s="8" t="inlineStr"/>
      <c r="N334" s="8" t="inlineStr">
        <is>
          <t>[Must] The Code of Business Conduct (the "Code") is part of the Fair Market Conduct Programme which the Financial Services Commission (the "Commission") is implementing.</t>
        </is>
      </c>
      <c r="O334" s="8" t="inlineStr">
        <is>
          <t>The Code of Business Conduct (the "Code") is part of the Fair Market Conduct Programme which the Financial Services Commission (the "Commission") is implementing.</t>
        </is>
      </c>
    </row>
    <row r="335">
      <c r="A335" t="inlineStr">
        <is>
          <t>Mauritius</t>
        </is>
      </c>
      <c r="B335" t="inlineStr">
        <is>
          <t>code-of-business-conduct_final (Mauritius - Row 14)</t>
        </is>
      </c>
      <c r="C335" t="inlineStr">
        <is>
          <t>3</t>
        </is>
      </c>
      <c r="D335" s="8" t="inlineStr">
        <is>
          <t>EFFECTIVE DATE</t>
        </is>
      </c>
      <c r="E335" t="inlineStr">
        <is>
          <t>2–3</t>
        </is>
      </c>
      <c r="F335" t="inlineStr">
        <is>
          <t>Other</t>
        </is>
      </c>
      <c r="G335" t="inlineStr">
        <is>
          <t>High</t>
        </is>
      </c>
      <c r="H335" t="inlineStr">
        <is>
          <t>High (explicit)</t>
        </is>
      </c>
      <c r="I335" s="8" t="inlineStr"/>
      <c r="J335" s="8" t="inlineStr"/>
      <c r="K335" t="inlineStr"/>
      <c r="L335" s="8" t="inlineStr">
        <is>
          <t>The Code comes into effect on 01 January 2016.</t>
        </is>
      </c>
      <c r="M335" s="8" t="inlineStr"/>
      <c r="N335" s="8" t="inlineStr">
        <is>
          <t>[Must] The Code shall come into effect on 01 January 2016.</t>
        </is>
      </c>
      <c r="O335" s="8" t="inlineStr">
        <is>
          <t>The Code shall come into effect on 01 January 2016.</t>
        </is>
      </c>
    </row>
    <row r="336">
      <c r="A336" t="inlineStr">
        <is>
          <t>Mauritius</t>
        </is>
      </c>
      <c r="B336" t="inlineStr">
        <is>
          <t>code-of-business-conduct_final (Mauritius - Row 14)</t>
        </is>
      </c>
      <c r="C336" t="inlineStr">
        <is>
          <t>4</t>
        </is>
      </c>
      <c r="D336" s="8" t="inlineStr">
        <is>
          <t>explanatory notes have been included.</t>
        </is>
      </c>
      <c r="E336" t="inlineStr">
        <is>
          <t>3–5</t>
        </is>
      </c>
      <c r="F336" t="inlineStr">
        <is>
          <t>Other</t>
        </is>
      </c>
      <c r="G336" t="inlineStr">
        <is>
          <t>High</t>
        </is>
      </c>
      <c r="H336" t="inlineStr">
        <is>
          <t>High (explicit)</t>
        </is>
      </c>
      <c r="I336" s="8" t="inlineStr"/>
      <c r="J336" s="8" t="inlineStr"/>
      <c r="K336" t="inlineStr">
        <is>
          <t>Financial Services Commission</t>
        </is>
      </c>
      <c r="L336" s="8" t="inlineStr">
        <is>
          <t>Licensees must act with due skill, care and diligence; observe business integrity; avoid conflicts of interest; communicate with customers; protect customer assets; comply with regulations; maintain financial resources; manage internal affairs responsibly; and cooperate with the Commission.</t>
        </is>
      </c>
      <c r="M336" s="8" t="inlineStr"/>
      <c r="N336" s="8" t="inlineStr">
        <is>
          <t>[Must] Licensees must act with due skill, care and diligence towards their customers and other stakeholders.
[Must] Licensees must observe high standards of honesty, integrity and fairness and ensure that all business transactions are carried out and recorded fairly and accurately.
[Must] Licensees must avoid situations of conflict of interests, and in case a conflict arises, licensees are required to ensure the fair treatment of all their customers.
[Must] Licensees must seek the necessary information about their customers' individual circumstances and financial objectives.
[Must] Licensees must ensure that, in cases where they have control over their clients' assets, these are, at all times, properly segregated and identifiable.
[Must] Licensees must observe high standards of market conduct and must comply with all regulatory requirements applicable to the conduct of its business activities so as to promote the best interests of customers and the integrity of the market.
[Must] Licensees must ensure that they maintain, at all times, adequate financial resources to meet their financial obligations and that they implement appropriate risk management policies in their business.
[Must] Licensees must manage their business in a responsible and sustainable manner while ensuring that adequate controls are maintained.
[Must] Licensees must deal with the Commission in a co-operative manner and must comply with their disclosure obligations in a prompt manner.</t>
        </is>
      </c>
      <c r="O336" s="8" t="inlineStr">
        <is>
          <t>Licensees must act with due skill, care and diligence towards their customers and other stakeholders.</t>
        </is>
      </c>
    </row>
    <row r="337">
      <c r="A337" t="inlineStr">
        <is>
          <t>Mauritius</t>
        </is>
      </c>
      <c r="B337" t="inlineStr">
        <is>
          <t>code-of-business-conduct_final (Mauritius - Row 14)</t>
        </is>
      </c>
      <c r="C337" t="inlineStr">
        <is>
          <t>5</t>
        </is>
      </c>
      <c r="D337" s="8" t="inlineStr">
        <is>
          <t>COMPLIANCE WITH THE CODE</t>
        </is>
      </c>
      <c r="E337" t="inlineStr">
        <is>
          <t>5–6</t>
        </is>
      </c>
      <c r="F337" t="inlineStr">
        <is>
          <t>Other</t>
        </is>
      </c>
      <c r="G337" t="inlineStr">
        <is>
          <t>High</t>
        </is>
      </c>
      <c r="H337" t="inlineStr">
        <is>
          <t>High (explicit)</t>
        </is>
      </c>
      <c r="I337" s="8" t="inlineStr"/>
      <c r="J337" s="8" t="inlineStr"/>
      <c r="K337" t="inlineStr">
        <is>
          <t>Financial Services Commission</t>
        </is>
      </c>
      <c r="L337" s="8" t="inlineStr">
        <is>
          <t>All licensees must comply with the Code; the Board and officers must set the tone for business practices; licensees must keep records of compliance arrangements; non-compliance may lead to regulatory actions.</t>
        </is>
      </c>
      <c r="M337" s="8" t="inlineStr"/>
      <c r="N337" s="8" t="inlineStr">
        <is>
          <t>[Must] All licensees must comply with the Code.
[Must] The Board and other officers of licensees are responsible for setting the tone and guiding business practices in the organisation so that all employees of the licensees and other persons acting on the behalf of the licensees can contribute to sound business conduct.
[Must] Licensees must keep appropriate records of any arrangements made to comply with the Code. These records must be available for inspection by the Commission, at any time, upon request.
[Must] Non-compliance with the Code will expose the licensee to regulatory actions in accordance with the relevant Acts.</t>
        </is>
      </c>
      <c r="O337" s="8" t="inlineStr">
        <is>
          <t>All licensees must comply with the Code.</t>
        </is>
      </c>
    </row>
    <row r="338">
      <c r="A338" t="inlineStr">
        <is>
          <t>Mauritius</t>
        </is>
      </c>
      <c r="B338" t="inlineStr">
        <is>
          <t>code-of-business-conduct_final (Mauritius - Row 18)</t>
        </is>
      </c>
      <c r="C338" t="inlineStr">
        <is>
          <t>1</t>
        </is>
      </c>
      <c r="D338" s="8" t="inlineStr">
        <is>
          <t>SCOPE OF THE CODE</t>
        </is>
      </c>
      <c r="E338" t="inlineStr">
        <is>
          <t>2</t>
        </is>
      </c>
      <c r="F338" t="inlineStr">
        <is>
          <t>Other</t>
        </is>
      </c>
      <c r="G338" t="inlineStr">
        <is>
          <t>High</t>
        </is>
      </c>
      <c r="H338" t="inlineStr">
        <is>
          <t>High (explicit)</t>
        </is>
      </c>
      <c r="I338" s="8" t="inlineStr"/>
      <c r="J338" s="8" t="inlineStr"/>
      <c r="K338" t="inlineStr">
        <is>
          <t>Financial Services Commission</t>
        </is>
      </c>
      <c r="L338" s="8" t="inlineStr">
        <is>
          <t>The Code of Business Conduct is part of the Fair Market Conduct Programme implemented by the Financial Services Commission (Commission) and sets 9 Guiding Principles for financial services licensees.</t>
        </is>
      </c>
      <c r="M338" s="8" t="inlineStr"/>
      <c r="N338" s="8" t="inlineStr">
        <is>
          <t>[Must] The Code of Business Conduct (the "Code") is part of the Fair Market Conduct Programme which the Financial Services Commission (the "Commission") is implementing.</t>
        </is>
      </c>
      <c r="O338" s="8" t="inlineStr">
        <is>
          <t>The Code of Business Conduct (the "Code") is part of the Fair Market Conduct Programme which the Financial Services Commission (the "Commission") is implementing.</t>
        </is>
      </c>
    </row>
    <row r="339">
      <c r="A339" t="inlineStr">
        <is>
          <t>Mauritius</t>
        </is>
      </c>
      <c r="B339" t="inlineStr">
        <is>
          <t>code-of-business-conduct_final (Mauritius - Row 18)</t>
        </is>
      </c>
      <c r="C339" t="inlineStr">
        <is>
          <t>3</t>
        </is>
      </c>
      <c r="D339" s="8" t="inlineStr">
        <is>
          <t>EFFECTIVE DATE</t>
        </is>
      </c>
      <c r="E339" t="inlineStr">
        <is>
          <t>2–3</t>
        </is>
      </c>
      <c r="F339" t="inlineStr">
        <is>
          <t>Other</t>
        </is>
      </c>
      <c r="G339" t="inlineStr">
        <is>
          <t>High</t>
        </is>
      </c>
      <c r="H339" t="inlineStr">
        <is>
          <t>High (explicit)</t>
        </is>
      </c>
      <c r="I339" s="8" t="inlineStr"/>
      <c r="J339" s="8" t="inlineStr"/>
      <c r="K339" t="inlineStr"/>
      <c r="L339" s="8" t="inlineStr">
        <is>
          <t>The Code comes into effect on 01 January 2016.</t>
        </is>
      </c>
      <c r="M339" s="8" t="inlineStr"/>
      <c r="N339" s="8" t="inlineStr">
        <is>
          <t>[Must] The Code shall come into effect on 01 January 2016.</t>
        </is>
      </c>
      <c r="O339" s="8" t="inlineStr">
        <is>
          <t>The Code shall come into effect on 01 January 2016.</t>
        </is>
      </c>
    </row>
    <row r="340">
      <c r="A340" t="inlineStr">
        <is>
          <t>Mauritius</t>
        </is>
      </c>
      <c r="B340" t="inlineStr">
        <is>
          <t>code-of-business-conduct_final (Mauritius - Row 18)</t>
        </is>
      </c>
      <c r="C340" t="inlineStr">
        <is>
          <t>4</t>
        </is>
      </c>
      <c r="D340" s="8" t="inlineStr">
        <is>
          <t>explanatory notes have been included.</t>
        </is>
      </c>
      <c r="E340" t="inlineStr">
        <is>
          <t>3–5</t>
        </is>
      </c>
      <c r="F340" t="inlineStr">
        <is>
          <t>Other</t>
        </is>
      </c>
      <c r="G340" t="inlineStr">
        <is>
          <t>High</t>
        </is>
      </c>
      <c r="H340" t="inlineStr">
        <is>
          <t>High (explicit)</t>
        </is>
      </c>
      <c r="I340" s="8" t="inlineStr"/>
      <c r="J340" s="8" t="inlineStr"/>
      <c r="K340" t="inlineStr">
        <is>
          <t>Financial Services Commission</t>
        </is>
      </c>
      <c r="L340" s="8" t="inlineStr">
        <is>
          <t>Licensees must act with due skill, care and diligence; observe business integrity; avoid conflicts of interest; communicate with customers; protect customer assets; comply with regulations; maintain financial resources; manage internal affairs responsibly; and cooperate with the Commission.</t>
        </is>
      </c>
      <c r="M340" s="8" t="inlineStr"/>
      <c r="N340" s="8" t="inlineStr">
        <is>
          <t>[Must] Licensees must act with due skill, care and diligence towards their customers and other stakeholders.
[Must] Licensees must observe high standards of honesty, integrity and fairness and ensure that all business transactions are carried out and recorded fairly and accurately.
[Must] Licensees must avoid situations of conflict of interests, and in case a conflict arises, licensees are required to ensure the fair treatment of all their customers.
[Must] Licensees must seek the necessary information about their customers' individual circumstances and financial objectives.
[Must] Licensees must ensure that, in cases where they have control over their clients' assets, these are, at all times, properly segregated and identifiable.
[Must] Licensees must observe high standards of market conduct and must comply with all regulatory requirements applicable to the conduct of its business activities.
[Must] Licensees must ensure that they maintain, at all times, adequate financial resources to meet their financial obligations and that they implement appropriate risk management policies in their business.
[Must] Licensees must manage their business in a responsible and sustainable manner while ensuring that adequate controls are maintained.
[Must] Licensees must deal with the Commission in a co-operative manner and must comply with their disclosure obligations in a prompt manner.</t>
        </is>
      </c>
      <c r="O340" s="8" t="inlineStr">
        <is>
          <t>Licensees must act with due skill, care and diligence towards their customers and other stakeholders.</t>
        </is>
      </c>
    </row>
    <row r="341">
      <c r="A341" t="inlineStr">
        <is>
          <t>Mauritius</t>
        </is>
      </c>
      <c r="B341" t="inlineStr">
        <is>
          <t>code-of-business-conduct_final (Mauritius - Row 18)</t>
        </is>
      </c>
      <c r="C341" t="inlineStr">
        <is>
          <t>5</t>
        </is>
      </c>
      <c r="D341" s="8" t="inlineStr">
        <is>
          <t>COMPLIANCE WITH THE CODE</t>
        </is>
      </c>
      <c r="E341" t="inlineStr">
        <is>
          <t>5–6</t>
        </is>
      </c>
      <c r="F341" t="inlineStr">
        <is>
          <t>Other</t>
        </is>
      </c>
      <c r="G341" t="inlineStr">
        <is>
          <t>High</t>
        </is>
      </c>
      <c r="H341" t="inlineStr">
        <is>
          <t>High (explicit)</t>
        </is>
      </c>
      <c r="I341" s="8" t="inlineStr"/>
      <c r="J341" s="8" t="inlineStr"/>
      <c r="K341" t="inlineStr">
        <is>
          <t>Financial Services Commission</t>
        </is>
      </c>
      <c r="L341" s="8" t="inlineStr">
        <is>
          <t>All licensees must comply with the Code; the Board and officers must set the tone for business practices; licensees must keep records of compliance arrangements; non-compliance may lead to regulatory actions.</t>
        </is>
      </c>
      <c r="M341" s="8" t="inlineStr"/>
      <c r="N341" s="8" t="inlineStr">
        <is>
          <t>[Must] All licensees must comply with the Code.
[Must] The Board and other officers of licensees are responsible for setting the tone and guiding business practices in the organisation so that all employees of the licensees and other persons acting on the behalf of the licensees can contribute to sound business conduct.
[Must] Licensees must keep appropriate records of any arrangements made to comply with the Code. These records must be available for inspection by the Commission, at any time, upon request.
[Must] Non-compliance with the Code will expose the licensee to regulatory actions in accordance with the relevant Acts.</t>
        </is>
      </c>
      <c r="O341" s="8" t="inlineStr">
        <is>
          <t>All licensees must comply with the Code.</t>
        </is>
      </c>
    </row>
    <row r="342">
      <c r="A342" t="inlineStr">
        <is>
          <t>Mauritius</t>
        </is>
      </c>
      <c r="B342" t="inlineStr">
        <is>
          <t>guidelines_on_outsourcing_by_financial_institutions (Mauritius - Row 3)</t>
        </is>
      </c>
      <c r="C342" t="inlineStr">
        <is>
          <t>4</t>
        </is>
      </c>
      <c r="D342" s="8" t="inlineStr"/>
      <c r="E342" t="inlineStr">
        <is>
          <t>2–11</t>
        </is>
      </c>
      <c r="F342" t="inlineStr">
        <is>
          <t>Other</t>
        </is>
      </c>
      <c r="G342" t="inlineStr">
        <is>
          <t>High</t>
        </is>
      </c>
      <c r="H342" t="inlineStr">
        <is>
          <t>High (explicit)</t>
        </is>
      </c>
      <c r="I342" s="8" t="inlineStr">
        <is>
          <t>Outsourcing</t>
        </is>
      </c>
      <c r="J342" s="8" t="inlineStr">
        <is>
          <t>Financial Data</t>
        </is>
      </c>
      <c r="K342" t="inlineStr">
        <is>
          <t>Bank of Mauritius</t>
        </is>
      </c>
      <c r="L342" s="8" t="inlineStr">
        <is>
          <t>Financial institutions must establish a risk management framework for outsourcing activities to mitigate risks such as regulatory non-compliance and financial instability.</t>
        </is>
      </c>
      <c r="M342" s="8" t="inlineStr">
        <is>
          <t>Requires financial institutions to implement risk management frameworks for outsourcing to ensure regulatory compliance and financial stability.</t>
        </is>
      </c>
      <c r="N342" s="8" t="inlineStr">
        <is>
          <t>[Must] Financial institutions must establish a comprehensive policy on outsourcing prior to outsourcing any activity
[Must] Board of directors must approve outsourcing policies and material outsourcing arrangements
[Must] Senior management must implement and monitor outsourcing risk management procedures
[Must] Financial institutions must conduct due diligence on service providers including financial soundness and internal controls
[Must] Outsourcing contracts must include clauses for on-site inspections by the Bank and service provider
[Must] Financial institutions must have contingency plans for service provider failures
[Must] Material outsourcing requires prior authorization from the Bank</t>
        </is>
      </c>
      <c r="O342" s="8" t="inlineStr">
        <is>
          <t>This Guideline is issued under the authority of section 50 of the Bank of Mauritius Act 2004 and section 100 of the Banking Act 2004.</t>
        </is>
      </c>
    </row>
    <row r="343">
      <c r="A343" t="inlineStr">
        <is>
          <t>Mauritius</t>
        </is>
      </c>
      <c r="B343" t="inlineStr">
        <is>
          <t>guidelines_on_outsourcing_by_financial_institutions (Mauritius - Row 3)</t>
        </is>
      </c>
      <c r="C343" t="inlineStr">
        <is>
          <t>5</t>
        </is>
      </c>
      <c r="D343" s="8" t="inlineStr"/>
      <c r="E343" t="inlineStr">
        <is>
          <t>11</t>
        </is>
      </c>
      <c r="F343" t="inlineStr">
        <is>
          <t>Governance</t>
        </is>
      </c>
      <c r="G343" t="inlineStr">
        <is>
          <t>High</t>
        </is>
      </c>
      <c r="H343" t="inlineStr">
        <is>
          <t>High (explicit)</t>
        </is>
      </c>
      <c r="I343" s="8" t="inlineStr">
        <is>
          <t>Governance</t>
        </is>
      </c>
      <c r="J343" s="8" t="inlineStr">
        <is>
          <t>Financial Data</t>
        </is>
      </c>
      <c r="K343" t="inlineStr">
        <is>
          <t>Bank of Mauritius</t>
        </is>
      </c>
      <c r="L343" s="8" t="inlineStr">
        <is>
          <t>External auditors must review and attest financial institutions' outsourcing policies and processes, and report material weaknesses to the Bank of Mauritius.</t>
        </is>
      </c>
      <c r="M343" s="8" t="inlineStr">
        <is>
          <t>External auditors must review outsourcing policies and report material weaknesses to Bank of Mauritius for DTIA compliance.</t>
        </is>
      </c>
      <c r="N343" s="8" t="inlineStr">
        <is>
          <t>[Must] External auditor should review and attest adequacy of policies and processes for outsourcing activities
[Must] External auditor should inform Bank of material weaknesses or irregularities affecting financial institution or operational risk</t>
        </is>
      </c>
      <c r="O343" s="8" t="inlineStr">
        <is>
          <t>5.1 The external auditor should review and attest the adequacy of the policies and processes put in place by financial institutions for outsourcing activities. They should immediately inform the Bank of any material weaknesses or irregularities that, in their opinion, might affect the well-being of the financial institution or have additional operational risk implications.</t>
        </is>
      </c>
    </row>
    <row r="344">
      <c r="A344" t="inlineStr">
        <is>
          <t>Mauritius</t>
        </is>
      </c>
      <c r="B344" t="inlineStr">
        <is>
          <t>guidelines_on_outsourcing_by_financial_institutions (Mauritius - Row 3)</t>
        </is>
      </c>
      <c r="C344" t="inlineStr">
        <is>
          <t>6</t>
        </is>
      </c>
      <c r="D344" s="8" t="inlineStr"/>
      <c r="E344" t="inlineStr">
        <is>
          <t>11</t>
        </is>
      </c>
      <c r="F344" t="inlineStr">
        <is>
          <t>Other</t>
        </is>
      </c>
      <c r="G344" t="inlineStr">
        <is>
          <t>High</t>
        </is>
      </c>
      <c r="H344" t="inlineStr">
        <is>
          <t>High (explicit)</t>
        </is>
      </c>
      <c r="I344" s="8" t="inlineStr"/>
      <c r="J344" s="8" t="inlineStr"/>
      <c r="K344" t="inlineStr"/>
      <c r="L344" s="8" t="inlineStr">
        <is>
          <t>Section 6 supersedes the Guideline on Internet Banking's section 12 regarding outsourcing, but does not contain new obligations.</t>
        </is>
      </c>
      <c r="M344" s="8" t="inlineStr"/>
      <c r="N344" s="8" t="inlineStr"/>
      <c r="O344" s="8" t="inlineStr">
        <is>
          <t>6.1 In February 2001, the Bank issued to all banks a guideline entitled ‘Guideline on Internet Banking'. The guideline deals with issues relating to Internet banking and section 12 thereof deals exclusively with outsourcing of banks' Internet banking activity. This Guideline on Outsourcing by Financial Institutions covers broadly the outsourcing-related issues. As such, it supersedes section 12 of the Guideline on Internet Banking.</t>
        </is>
      </c>
    </row>
    <row r="345">
      <c r="A345" t="inlineStr">
        <is>
          <t>Mauritius</t>
        </is>
      </c>
      <c r="B345" t="inlineStr">
        <is>
          <t>guidelines_on_outsourcing_by_financial_institutions (Mauritius - Row 3)</t>
        </is>
      </c>
      <c r="C345" t="inlineStr">
        <is>
          <t>7</t>
        </is>
      </c>
      <c r="D345" s="8" t="inlineStr"/>
      <c r="E345" t="inlineStr">
        <is>
          <t>11–14</t>
        </is>
      </c>
      <c r="F345" t="inlineStr">
        <is>
          <t>Governance</t>
        </is>
      </c>
      <c r="G345" t="inlineStr">
        <is>
          <t>High</t>
        </is>
      </c>
      <c r="H345" t="inlineStr">
        <is>
          <t>High (explicit)</t>
        </is>
      </c>
      <c r="I345" s="8" t="inlineStr">
        <is>
          <t>Governance</t>
        </is>
      </c>
      <c r="J345" s="8" t="inlineStr">
        <is>
          <t>Financial Data</t>
        </is>
      </c>
      <c r="K345" t="inlineStr">
        <is>
          <t>Bank of Mauritius</t>
        </is>
      </c>
      <c r="L345" s="8" t="inlineStr">
        <is>
          <t>Financial institutions must seek Bank of Mauritius authorization before material outsourcing and report compliance status within 4 months.</t>
        </is>
      </c>
      <c r="M345" s="8" t="inlineStr">
        <is>
          <t>Financial institutions must seek Bank authorization for material outsourcing and report compliance within 4 months for DTIA.</t>
        </is>
      </c>
      <c r="N345" s="8" t="inlineStr">
        <is>
          <t>[Must] Financial institutions should seek prior authorization of the Bank before entering into material outsourcing
[Must] Financial institutions should assess existing outsourcing arrangements against this Guideline
[Must] Financial institutions should inform Bank in writing of compliance level and weaknesses within 4 months
[Must] Financial institutions should submit rectification plan and timeframe for weaknesses within 4 months
[Must] Financial institutions should inform Bank immediately of adverse developments affecting businesses</t>
        </is>
      </c>
      <c r="O345" s="8" t="inlineStr">
        <is>
          <t>7.1 This Guideline is applicable to all financial institutions falling under the regulatory purview of the Bank. It needs to be emphasized, as mentioned in section 4.1.3, that financial institutions should seek prior authorization of the Bank before entering into material outsourcing. 7.2 Financial institutions should conduct an assessment of all their existing outsourcing arrangements against this Guideline. Where the outsourcing is considered material, financial institutions should inform the Bank in writing as to the level of compliance with the Guideline and report weaknesses, if any. They should also submit a plan and timeframe on how such weaknesses would be rectified. This should be done within 4 months from the effective date of this Guideline. 7.3 Financial institutions should inform the Bank immediately, of any adverse development arising from any outsourcing arrangement that could significantly affect their businesses.</t>
        </is>
      </c>
    </row>
    <row r="346">
      <c r="A346" t="inlineStr">
        <is>
          <t>Nigeria</t>
        </is>
      </c>
      <c r="B346" t="inlineStr">
        <is>
          <t>NCCPolicy_New1 (Nigeria - Row 21)</t>
        </is>
      </c>
      <c r="C346" t="inlineStr">
        <is>
          <t>23</t>
        </is>
      </c>
      <c r="D346" s="8" t="inlineStr">
        <is>
          <t>KEY REGULATORY INSTRUMENTS FOR THE ACTUALIZATION OF CLOUD</t>
        </is>
      </c>
      <c r="E346" t="inlineStr">
        <is>
          <t>2</t>
        </is>
      </c>
      <c r="F346" t="inlineStr">
        <is>
          <t>Cloud Services</t>
        </is>
      </c>
      <c r="G346" t="inlineStr">
        <is>
          <t>Low</t>
        </is>
      </c>
      <c r="H346" t="inlineStr">
        <is>
          <t>Low</t>
        </is>
      </c>
      <c r="I346" s="8" t="inlineStr">
        <is>
          <t>Cloud Services</t>
        </is>
      </c>
      <c r="J346" s="8" t="inlineStr"/>
      <c r="K346" t="inlineStr"/>
      <c r="L346" s="8" t="inlineStr">
        <is>
          <t>Identifies regulatory instruments for cloud actualization.</t>
        </is>
      </c>
      <c r="M346" s="8" t="inlineStr"/>
      <c r="N346" s="8" t="inlineStr"/>
      <c r="O346" s="8" t="inlineStr">
        <is>
          <t>KEY REGULATORY INSTRUMENTS FOR THE ACTUAL: 23.0</t>
        </is>
      </c>
    </row>
    <row r="347">
      <c r="A347" t="inlineStr">
        <is>
          <t>Nigeria</t>
        </is>
      </c>
      <c r="B347" t="inlineStr">
        <is>
          <t>NCCPolicy_New1 (Nigeria - Row 21)</t>
        </is>
      </c>
      <c r="C347" t="inlineStr">
        <is>
          <t>24</t>
        </is>
      </c>
      <c r="D347" s="8" t="inlineStr"/>
      <c r="E347" t="inlineStr">
        <is>
          <t>2–33</t>
        </is>
      </c>
      <c r="F347" t="inlineStr">
        <is>
          <t>Cloud Services</t>
        </is>
      </c>
      <c r="G347" t="inlineStr">
        <is>
          <t>High</t>
        </is>
      </c>
      <c r="H347" t="inlineStr">
        <is>
          <t>High (explicit)</t>
        </is>
      </c>
      <c r="I347" s="8" t="inlineStr">
        <is>
          <t>Cloud Services, Data Storage, Security</t>
        </is>
      </c>
      <c r="J347" s="8" t="inlineStr">
        <is>
          <t>Customer Data</t>
        </is>
      </c>
      <c r="K347" t="inlineStr">
        <is>
          <t>NITDA</t>
        </is>
      </c>
      <c r="L347" s="8" t="inlineStr">
        <is>
          <t>This policy promotes cloud computing adoption for Nigerian public institutions and SMEs through a 'cloud-first' approach, aiming to reduce costs, improve service delivery, and foster digital transformation.</t>
        </is>
      </c>
      <c r="M347" s="8" t="inlineStr">
        <is>
          <t>Requires public institutions and SMEs to prioritize cloud services for procurement, with specific data classification and security requirements for cloud migration.</t>
        </is>
      </c>
      <c r="N347" s="8" t="inlineStr">
        <is>
          <t>[Must] Public institutions and SMEs shall prioritize procurement of cloud-based ICT solutions
[Must] Data classification framework must be implemented for cloud migration
[Must] Cloud service providers must comply with security certifications</t>
        </is>
      </c>
      <c r="O347" s="8" t="inlineStr">
        <is>
          <t>Public institutions and SMEs shall prioritize procurement of cloud-based information and communication technologies (ICTs), whenever possible.</t>
        </is>
      </c>
    </row>
    <row r="348">
      <c r="A348" t="inlineStr">
        <is>
          <t>Nigeria</t>
        </is>
      </c>
      <c r="B348" t="inlineStr">
        <is>
          <t>NCCPolicy_New1 (Nigeria - Row 23)</t>
        </is>
      </c>
      <c r="C348" t="inlineStr">
        <is>
          <t>23</t>
        </is>
      </c>
      <c r="D348" s="8" t="inlineStr">
        <is>
          <t>KEY REGULATORY INSTRUMENTS FOR THE ACTUALIZATION OF CLOUD</t>
        </is>
      </c>
      <c r="E348" t="inlineStr">
        <is>
          <t>2</t>
        </is>
      </c>
      <c r="F348" t="inlineStr">
        <is>
          <t>Cloud Services</t>
        </is>
      </c>
      <c r="G348" t="inlineStr">
        <is>
          <t>Low</t>
        </is>
      </c>
      <c r="H348" t="inlineStr">
        <is>
          <t>High (explicit)</t>
        </is>
      </c>
      <c r="I348" s="8" t="inlineStr">
        <is>
          <t>Cloud Services</t>
        </is>
      </c>
      <c r="J348" s="8" t="inlineStr">
        <is>
          <t>Personal Information</t>
        </is>
      </c>
      <c r="K348" t="inlineStr"/>
      <c r="L348" s="8" t="inlineStr">
        <is>
          <t>Section : 23.0 defines key regulatory instruments for cloud actualization.</t>
        </is>
      </c>
      <c r="M348" s="8" t="inlineStr"/>
      <c r="N348" s="8" t="inlineStr">
        <is>
          <t>[Must] KEY REGULATORY INSTRUMENTS FOR THE ACTUALIZATION OF CLOUD</t>
        </is>
      </c>
      <c r="O348" s="8" t="inlineStr">
        <is>
          <t>KEY REGULATORY INSTRUMENTS FOR THE ACTUALIZATION OF CLOUD 23.0</t>
        </is>
      </c>
    </row>
    <row r="349">
      <c r="A349" t="inlineStr">
        <is>
          <t>Nigeria</t>
        </is>
      </c>
      <c r="B349" t="inlineStr">
        <is>
          <t>NCCPolicy_New1 (Nigeria - Row 23)</t>
        </is>
      </c>
      <c r="C349" t="inlineStr">
        <is>
          <t>24</t>
        </is>
      </c>
      <c r="D349" s="8" t="inlineStr"/>
      <c r="E349" t="inlineStr">
        <is>
          <t>2–33</t>
        </is>
      </c>
      <c r="F349" t="inlineStr">
        <is>
          <t>Cloud Services</t>
        </is>
      </c>
      <c r="G349" t="inlineStr">
        <is>
          <t>High</t>
        </is>
      </c>
      <c r="H349" t="inlineStr">
        <is>
          <t>High (explicit)</t>
        </is>
      </c>
      <c r="I349" s="8" t="inlineStr">
        <is>
          <t>Cloud Services, Data Storage, Security</t>
        </is>
      </c>
      <c r="J349" s="8" t="inlineStr">
        <is>
          <t>Customer Data</t>
        </is>
      </c>
      <c r="K349" t="inlineStr">
        <is>
          <t>NITDA</t>
        </is>
      </c>
      <c r="L349" s="8" t="inlineStr">
        <is>
          <t>This policy promotes cloud computing adoption for Nigerian public institutions and SMEs through a 'cloud-first' approach, aiming to reduce costs, improve service delivery, and foster local cloud service provider growth.</t>
        </is>
      </c>
      <c r="M349" s="8" t="inlineStr">
        <is>
          <t>Requires public institutions and SMEs to prioritize cloud services for procurement, with specific data classification and security requirements for cloud migration.</t>
        </is>
      </c>
      <c r="N349" s="8" t="inlineStr">
        <is>
          <t>[Must] Public Institutions shall prioritize procurement of cloud-based ICT solutions
[Must] Data classification framework must be implemented for cloud migration
[Must] Cloud service providers must comply with security certifications</t>
        </is>
      </c>
      <c r="O349" s="8" t="inlineStr">
        <is>
          <t>Public Institutions shall prioritize procurement of cloud-based information and communication technologies (ICTs), whenever possible.</t>
        </is>
      </c>
    </row>
    <row r="350">
      <c r="A350" t="inlineStr">
        <is>
          <t>Nigeria</t>
        </is>
      </c>
      <c r="B350" t="inlineStr">
        <is>
          <t>Operational Guidelines for Open Banking in Nigeria (Nigeria - Row 9)</t>
        </is>
      </c>
      <c r="C350" t="inlineStr">
        <is>
          <t>9</t>
        </is>
      </c>
      <c r="D350" s="8" t="inlineStr"/>
      <c r="E350" t="inlineStr">
        <is>
          <t>3</t>
        </is>
      </c>
      <c r="F350" t="inlineStr">
        <is>
          <t>AML</t>
        </is>
      </c>
      <c r="G350" t="inlineStr">
        <is>
          <t>High</t>
        </is>
      </c>
      <c r="H350" t="inlineStr">
        <is>
          <t>High (explicit)</t>
        </is>
      </c>
      <c r="I350" s="8" t="inlineStr">
        <is>
          <t>AML, Cross-border Transfer</t>
        </is>
      </c>
      <c r="J350" s="8" t="inlineStr">
        <is>
          <t>Financial Data</t>
        </is>
      </c>
      <c r="K350" t="inlineStr"/>
      <c r="L350" s="8" t="inlineStr">
        <is>
          <t>Specifies anti-money laundering and counter-terrorism financing requirements for open banking in Nigeria.</t>
        </is>
      </c>
      <c r="M350" s="8" t="inlineStr">
        <is>
          <t>Requires AML/CFT compliance for open banking operations to prevent financial crime.</t>
        </is>
      </c>
      <c r="N350" s="8" t="inlineStr">
        <is>
          <t>[Must] ANTI-MONEY LAUNDERING (AML) AND COMBATING THE FINANCING OF TERRORISM (CFT)</t>
        </is>
      </c>
      <c r="O350" s="8" t="inlineStr">
        <is>
          <t>ANTI-MONEY LAUNDERING (AML) AND COMB: 23</t>
        </is>
      </c>
    </row>
    <row r="351">
      <c r="A351" t="inlineStr">
        <is>
          <t>Nigeria</t>
        </is>
      </c>
      <c r="B351" t="inlineStr">
        <is>
          <t>Operational Guidelines for Open Banking in Nigeria (Nigeria - Row 9)</t>
        </is>
      </c>
      <c r="C351" t="inlineStr">
        <is>
          <t>12</t>
        </is>
      </c>
      <c r="D351" s="8" t="inlineStr"/>
      <c r="E351" t="inlineStr">
        <is>
          <t>4–68</t>
        </is>
      </c>
      <c r="F351" t="inlineStr">
        <is>
          <t>Other</t>
        </is>
      </c>
      <c r="G351" t="inlineStr">
        <is>
          <t>Unknown</t>
        </is>
      </c>
      <c r="H351" t="inlineStr">
        <is>
          <t>Low</t>
        </is>
      </c>
      <c r="I351" s="8" t="inlineStr"/>
      <c r="J351" s="8" t="inlineStr"/>
      <c r="K351" t="inlineStr"/>
      <c r="L351" s="8" t="inlineStr"/>
      <c r="M351" s="8" t="inlineStr"/>
      <c r="N351" s="8" t="inlineStr"/>
      <c r="O351" s="8" t="inlineStr"/>
    </row>
    <row r="352">
      <c r="A352" t="inlineStr">
        <is>
          <t>Nigeria</t>
        </is>
      </c>
      <c r="B352" t="inlineStr">
        <is>
          <t>REVISED REGULATORY FRAMEWORK FOR BANK VERIFICATION NUMBER (BVN) OPERATIONS AND WATCH-LIST FOR THE NIGERIAN BANKING INDUSTRY 121021 FINAL (Nigeria - Row 11)</t>
        </is>
      </c>
      <c r="C352" t="inlineStr">
        <is>
          <t>3</t>
        </is>
      </c>
      <c r="D352" s="8" t="inlineStr"/>
      <c r="E352" t="inlineStr">
        <is>
          <t>4–23</t>
        </is>
      </c>
      <c r="F352" t="inlineStr">
        <is>
          <t>Other</t>
        </is>
      </c>
      <c r="G352" t="inlineStr">
        <is>
          <t>High</t>
        </is>
      </c>
      <c r="H352" t="inlineStr">
        <is>
          <t>High (explicit)</t>
        </is>
      </c>
      <c r="I352" s="8" t="inlineStr"/>
      <c r="J352" s="8" t="inlineStr">
        <is>
          <t>Personal Information, Financial Data</t>
        </is>
      </c>
      <c r="K352" t="inlineStr">
        <is>
          <t>Central Bank of Nigeria (CBN)</t>
        </is>
      </c>
      <c r="L352" s="8" t="inlineStr">
        <is>
          <t>Defines roles and responsibilities of participants in BVN system and Watch-list for Nigerian banking industry to combat fraud and enhance public confidence.</t>
        </is>
      </c>
      <c r="M352" s="8" t="inlineStr">
        <is>
          <t>Requires banks to link customer BVNs to accounts within 24 hours, report breaches to Watch-list within 1 business day, and enforce sanctions for non-compliance with BVN operations.</t>
        </is>
      </c>
      <c r="N352" s="8" t="inlineStr">
        <is>
          <t>[Must] Banks must link customer BVNs to accounts within 24 hours of NIBSS making BVN available
[Must] Report BVNs of individuals in breach to NIBSS for Watch-list update within 1 business day
[Must] Enforce sanctions on customers with Watch-listed BVNs including restricting electronic channels</t>
        </is>
      </c>
      <c r="O352" s="8" t="inlineStr">
        <is>
          <t>Banks shall ensure all operated accounts/wallets (except Tier 1) ... are linked with the signatories' BVNs within 24 hours of NIBSS making BVN available.</t>
        </is>
      </c>
    </row>
    <row r="353">
      <c r="A353" t="inlineStr">
        <is>
          <t>Nigeria</t>
        </is>
      </c>
      <c r="B353" t="inlineStr">
        <is>
          <t>circular on the regulatory framework on open banking in nigeria (Nigeria - Row 8)</t>
        </is>
      </c>
      <c r="C353" t="inlineStr">
        <is>
          <t>10</t>
        </is>
      </c>
      <c r="D353" s="8" t="inlineStr">
        <is>
          <t>Risk Management……………………………………………….14</t>
        </is>
      </c>
      <c r="E353" t="inlineStr">
        <is>
          <t>3–19</t>
        </is>
      </c>
      <c r="F353" t="inlineStr">
        <is>
          <t>Customer Information</t>
        </is>
      </c>
      <c r="G353" t="inlineStr">
        <is>
          <t>High</t>
        </is>
      </c>
      <c r="H353" t="inlineStr">
        <is>
          <t>High (explicit)</t>
        </is>
      </c>
      <c r="I353" s="8" t="inlineStr">
        <is>
          <t>Customer Information, Consent, Data Sharing</t>
        </is>
      </c>
      <c r="J353" s="8" t="inlineStr">
        <is>
          <t>Customer Data</t>
        </is>
      </c>
      <c r="K353" t="inlineStr">
        <is>
          <t>Central Bank of Nigeria</t>
        </is>
      </c>
      <c r="L353" s="8" t="inlineStr">
        <is>
          <t>Defines customer consent requirements for data sharing in open banking, including explicit consent, annual revalidation, and customer responsibilities.</t>
        </is>
      </c>
      <c r="M353" s="8" t="inlineStr">
        <is>
          <t>Requires explicit customer consent for data sharing, annual revalidation, and clear communication of rights and implications for open banking data transfers.</t>
        </is>
      </c>
      <c r="N353" s="8" t="inlineStr">
        <is>
          <t>[Must] Agreements presented to customer must be simple, explicit, and in customer's preferred language
[Must] Consent must be obtained in the same form as agreement presentation and preserved by participant
[Must] Specific rights granted to customer must be listed separately for consent
[Must] Customer consent revalidated annually; if 180 days inactive, consent automatically revalidated
[Must] Participant and partner jointly liable for customer losses except proven wilful negligence or fraud</t>
        </is>
      </c>
      <c r="O353" s="8" t="inlineStr">
        <is>
          <t>The customer is critical to the successful implementation of open banking. Therefore, the protection of the customer shall be the responsibility of all participants.</t>
        </is>
      </c>
    </row>
    <row r="354">
      <c r="A354" t="inlineStr">
        <is>
          <t>Singapore</t>
        </is>
      </c>
      <c r="B354" t="inlineStr">
        <is>
          <t>A Comprehensive Guide to the Law of Confidence and Breach of Confidence in Singapore_ Insights from [2024] SGCA 16 - IRB Law Singapore (Singapore - Row 33)</t>
        </is>
      </c>
      <c r="C354" t="inlineStr">
        <is>
          <t>2</t>
        </is>
      </c>
      <c r="D354" s="8" t="inlineStr">
        <is>
          <t>Whether these claims could be made in respect of the same set of confidential</t>
        </is>
      </c>
      <c r="E354" t="inlineStr">
        <is>
          <t>2</t>
        </is>
      </c>
      <c r="F354" t="inlineStr">
        <is>
          <t>Other</t>
        </is>
      </c>
      <c r="G354" t="inlineStr">
        <is>
          <t>None</t>
        </is>
      </c>
      <c r="H354" t="inlineStr">
        <is>
          <t>High (explicit)</t>
        </is>
      </c>
      <c r="I354"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354" s="8" t="inlineStr">
        <is>
          <t>Personal Information, Financial Data, Customer Data, Employee Data, Health Data, Children's Data, Biometric Data, Special Personal Information</t>
        </is>
      </c>
      <c r="K354" t="inlineStr"/>
      <c r="L354" s="8" t="inlineStr">
        <is>
          <t>The court found claims for wrongful gain and wrongful loss regarding the same confidential information are mutually exclusive under the Coco test, preventing double recovery.</t>
        </is>
      </c>
      <c r="M354" s="8" t="inlineStr"/>
      <c r="N354" s="8" t="inlineStr">
        <is>
          <t>[Condition] Claims for wrongful gain and wrongful loss in respect of the same set of documents are mutually exclusive</t>
        </is>
      </c>
      <c r="O354" s="8" t="inlineStr">
        <is>
          <t>2. Broad Issue: The court found that claims for wrongful gain and wrongful loss in respect of the same set of documents are mutually exclusive. The application of the Coco test precludes the concurrent application of the I-Admin test for the same information.</t>
        </is>
      </c>
    </row>
    <row r="355">
      <c r="A355" t="inlineStr">
        <is>
          <t>Singapore</t>
        </is>
      </c>
      <c r="B355" t="inlineStr">
        <is>
          <t>A Comprehensive Guide to the Law of Confidence and Breach of Confidence in Singapore_ Insights from [2024] SGCA 16 - IRB Law Singapore (Singapore - Row 33)</t>
        </is>
      </c>
      <c r="C355" t="inlineStr">
        <is>
          <t>2</t>
        </is>
      </c>
      <c r="D355" s="8" t="inlineStr">
        <is>
          <t>Broad Issue: The court found that claims for wrongful gain and wrongful loss in</t>
        </is>
      </c>
      <c r="E355" t="inlineStr">
        <is>
          <t>3–5</t>
        </is>
      </c>
      <c r="F355" t="inlineStr">
        <is>
          <t>Other</t>
        </is>
      </c>
      <c r="G355" t="inlineStr">
        <is>
          <t>None</t>
        </is>
      </c>
      <c r="H355" t="inlineStr">
        <is>
          <t>High (explicit)</t>
        </is>
      </c>
      <c r="I355"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355" s="8" t="inlineStr">
        <is>
          <t>Personal Information, Financial Data, Customer Data, Employee Data, Health Data, Children's Data, Biometric Data, Special Personal Information</t>
        </is>
      </c>
      <c r="K355" t="inlineStr"/>
      <c r="L355" s="8" t="inlineStr">
        <is>
          <t>The court found claims for wrongful gain and wrongful loss regarding the same confidential information are mutually exclusive under the Coco test, preventing double recovery.</t>
        </is>
      </c>
      <c r="M355" s="8" t="inlineStr"/>
      <c r="N355" s="8" t="inlineStr">
        <is>
          <t>[Condition] Claims for wrongful gain and wrongful loss in respect of the same set of documents are mutually exclusive</t>
        </is>
      </c>
      <c r="O355" s="8" t="inlineStr">
        <is>
          <t>2. Broad Issue: The court found that claims for wrongful gain and wrongful loss in respect of the same set of documents are mutually exclusive. The application of the Coco test precludes the concurrent application of the I-Admin test for the same information.</t>
        </is>
      </c>
    </row>
    <row r="356">
      <c r="A356" t="inlineStr">
        <is>
          <t>Singapore</t>
        </is>
      </c>
      <c r="B356" t="inlineStr">
        <is>
          <t>Cybersecurity (Provider-Owned Critical Information (Singapore - Row 5 &amp; 6)</t>
        </is>
      </c>
      <c r="C356" t="inlineStr">
        <is>
          <t>1</t>
        </is>
      </c>
      <c r="D356" s="8" t="inlineStr">
        <is>
          <t>These Regulations are the Cybersecurity (Provider-Owned Critical Information</t>
        </is>
      </c>
      <c r="E356" t="inlineStr">
        <is>
          <t>2</t>
        </is>
      </c>
      <c r="F356" t="inlineStr">
        <is>
          <t>Definitions</t>
        </is>
      </c>
      <c r="G356" t="inlineStr">
        <is>
          <t>Low</t>
        </is>
      </c>
      <c r="H356" t="inlineStr">
        <is>
          <t>High (explicit)</t>
        </is>
      </c>
      <c r="I356" s="8" t="inlineStr"/>
      <c r="J356" s="8" t="inlineStr"/>
      <c r="K356" t="inlineStr"/>
      <c r="L356" s="8" t="inlineStr">
        <is>
          <t>These Regulations define the Cybersecurity (Provider-Owned Critical Information Infrastructure) Regulations 2018 and their effective date.</t>
        </is>
      </c>
      <c r="M356" s="8" t="inlineStr"/>
      <c r="N356" s="8" t="inlineStr"/>
      <c r="O356" s="8" t="inlineStr">
        <is>
          <t>These Regulations are the Cybersecurity (Provider-Owned Critical Information Infrastructure) Regulations 2018 and come into operation on 31 August 2018.</t>
        </is>
      </c>
    </row>
    <row r="357">
      <c r="A357" t="inlineStr">
        <is>
          <t>Singapore</t>
        </is>
      </c>
      <c r="B357" t="inlineStr">
        <is>
          <t>Cybersecurity (Provider-Owned Critical Information (Singapore - Row 5 &amp; 6)</t>
        </is>
      </c>
      <c r="C357" t="inlineStr">
        <is>
          <t>2</t>
        </is>
      </c>
      <c r="D357" s="8" t="inlineStr">
        <is>
          <t>In these Regulations, unless the context otherwise requires —</t>
        </is>
      </c>
      <c r="E357" t="inlineStr">
        <is>
          <t>2–14</t>
        </is>
      </c>
      <c r="F357" t="inlineStr">
        <is>
          <t>Definitions</t>
        </is>
      </c>
      <c r="G357" t="inlineStr">
        <is>
          <t>Low</t>
        </is>
      </c>
      <c r="H357" t="inlineStr">
        <is>
          <t>High (explicit)</t>
        </is>
      </c>
      <c r="I357" s="8" t="inlineStr">
        <is>
          <t>Data Storage, Security, Cloud Services</t>
        </is>
      </c>
      <c r="J357" s="8" t="inlineStr">
        <is>
          <t>Personal Information</t>
        </is>
      </c>
      <c r="K357" t="inlineStr">
        <is>
          <t>Commissioner</t>
        </is>
      </c>
      <c r="L357" s="8" t="inlineStr">
        <is>
          <t>Defines terms related to provider-owned critical information infrastructure, including owner-controlled and supplier-controlled systems, and working days.</t>
        </is>
      </c>
      <c r="M357" s="8" t="inlineStr">
        <is>
          <t>Defines critical infrastructure terms for DTIA compliance; specifies system types and working days for reporting.</t>
        </is>
      </c>
      <c r="N357" s="8" t="inlineStr">
        <is>
          <t>[Must] owner-controlled interconnected computer or computer system
[Must] owner-controlled non-interconnected computer or computer system
[Must] relevant computer or computer system
[Must] supplier-controlled interconnected computer or computer system
[Must] working day</t>
        </is>
      </c>
      <c r="O357" s="8" t="inlineStr">
        <is>
          <t>In these Regulations, unless the context otherwise requires —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t>
        </is>
      </c>
    </row>
    <row r="358">
      <c r="A358" t="inlineStr">
        <is>
          <t>Singapore</t>
        </is>
      </c>
      <c r="B358" t="inlineStr">
        <is>
          <t>MAS Notices 644 655 644A 655A 1114 1118 Cancellation 2024 (Singapore - Row 18)</t>
        </is>
      </c>
      <c r="C358" t="inlineStr">
        <is>
          <t>1</t>
        </is>
      </c>
      <c r="D358" s="8" t="inlineStr">
        <is>
          <t>This Notice is issued under sections 55(1), 57D(1)(a) and (3) and 55(1) as applied by</t>
        </is>
      </c>
      <c r="E358" t="inlineStr">
        <is>
          <t>1</t>
        </is>
      </c>
      <c r="F358" t="inlineStr">
        <is>
          <t>Other</t>
        </is>
      </c>
      <c r="G358" t="inlineStr">
        <is>
          <t>None</t>
        </is>
      </c>
      <c r="H358" t="inlineStr">
        <is>
          <t>High (explicit)</t>
        </is>
      </c>
      <c r="I358" s="8" t="inlineStr"/>
      <c r="J358" s="8" t="inlineStr"/>
      <c r="K358" t="inlineStr"/>
      <c r="L358" s="8" t="inlineStr">
        <is>
          <t>This Notice is issued under specified sections of the Banking Act 1970.</t>
        </is>
      </c>
      <c r="M358" s="8" t="inlineStr"/>
      <c r="N358" s="8" t="inlineStr"/>
      <c r="O358" s="8" t="inlineStr">
        <is>
          <t>This Notice is issued under sections 55(1), 57D(1)(a) and (3) and 55(1) as applied by section 55ZJ(1) of the Banking Act 1970.</t>
        </is>
      </c>
    </row>
    <row r="359">
      <c r="A359" t="inlineStr">
        <is>
          <t>Singapore</t>
        </is>
      </c>
      <c r="B359" t="inlineStr">
        <is>
          <t>MAS Notices 644 655 644A 655A 1114 1118 Cancellation 2024 (Singapore - Row 18)</t>
        </is>
      </c>
      <c r="C359" t="inlineStr">
        <is>
          <t>2</t>
        </is>
      </c>
      <c r="D359" s="8" t="inlineStr">
        <is>
          <t>The following Notices are cancelled with effect from 10 May 2024:</t>
        </is>
      </c>
      <c r="E359" t="inlineStr">
        <is>
          <t>1</t>
        </is>
      </c>
      <c r="F359" t="inlineStr">
        <is>
          <t>Exemptions</t>
        </is>
      </c>
      <c r="G359" t="inlineStr">
        <is>
          <t>None</t>
        </is>
      </c>
      <c r="H359" t="inlineStr">
        <is>
          <t>High (explicit)</t>
        </is>
      </c>
      <c r="I359" s="8" t="inlineStr"/>
      <c r="J359" s="8" t="inlineStr"/>
      <c r="K359" t="inlineStr">
        <is>
          <t>MAS</t>
        </is>
      </c>
      <c r="L359" s="8" t="inlineStr">
        <is>
          <t>MAS Notices 644, 655, 644A, 655A, 1114, and 1118 are cancelled with effect from 10 May 2024.</t>
        </is>
      </c>
      <c r="M359" s="8" t="inlineStr"/>
      <c r="N359" s="8" t="inlineStr"/>
      <c r="O359" s="8" t="inlineStr">
        <is>
          <t>The following Notices are cancelled with effect from 10 May 2024: (a) MAS Notice 644 ... (b) MAS Notice 655 ... (c) MAS Notice 644A ... (d) MAS Notice 655A ... (e) MAS Notice 1114 ... (f) MAS Notice 1118.</t>
        </is>
      </c>
    </row>
    <row r="360">
      <c r="A360" t="inlineStr">
        <is>
          <t>South Africa</t>
        </is>
      </c>
      <c r="B360" t="inlineStr">
        <is>
          <t>1. FSCA Conduct Standard 1 of 2025 - Requirements for FIs providing FE initiatives</t>
        </is>
      </c>
      <c r="C360" t="inlineStr">
        <is>
          <t>1</t>
        </is>
      </c>
      <c r="D360" s="8" t="inlineStr">
        <is>
          <t>Definitions</t>
        </is>
      </c>
      <c r="E360" t="inlineStr">
        <is>
          <t>2–3</t>
        </is>
      </c>
      <c r="F360" t="inlineStr">
        <is>
          <t>Definitions</t>
        </is>
      </c>
      <c r="G360" t="inlineStr">
        <is>
          <t>Low</t>
        </is>
      </c>
      <c r="H360" t="inlineStr">
        <is>
          <t>High (explicit)</t>
        </is>
      </c>
      <c r="I360" s="8" t="inlineStr">
        <is>
          <t>Definitions</t>
        </is>
      </c>
      <c r="J360" s="8" t="inlineStr">
        <is>
          <t>Personal Information</t>
        </is>
      </c>
      <c r="K360" t="inlineStr"/>
      <c r="L360" s="8" t="inlineStr">
        <is>
          <t>Defines key terms including 'financial customer', 'financial education', 'financial education initiative', 'Financial Sector Code', 'GN500', 'monitoring', and 'service provider' as per the Act.</t>
        </is>
      </c>
      <c r="M360" s="8" t="inlineStr"/>
      <c r="N360" s="8" t="inlineStr"/>
      <c r="O360" s="8" t="inlineStr">
        <is>
          <t>In this Schedule, "the Act" means the Financial Sector Regulation Act, 2017 () and any word or expression to which a meaning has been assigned in the Act bears the meaning so assigned to it, and unless the context otherwise indicates –</t>
        </is>
      </c>
    </row>
    <row r="361">
      <c r="A361" t="inlineStr">
        <is>
          <t>South Africa</t>
        </is>
      </c>
      <c r="B361" t="inlineStr">
        <is>
          <t>1. FSCA Conduct Standard 1 of 2025 - Requirements for FIs providing FE initiatives</t>
        </is>
      </c>
      <c r="C361" t="inlineStr">
        <is>
          <t>2</t>
        </is>
      </c>
      <c r="D361" s="8" t="inlineStr">
        <is>
          <t>Application, purpose and proportional application</t>
        </is>
      </c>
      <c r="E361" t="inlineStr">
        <is>
          <t>3</t>
        </is>
      </c>
      <c r="F361" t="inlineStr">
        <is>
          <t>Processing</t>
        </is>
      </c>
      <c r="G361" t="inlineStr">
        <is>
          <t>Low</t>
        </is>
      </c>
      <c r="H361" t="inlineStr">
        <is>
          <t>High (explicit)</t>
        </is>
      </c>
      <c r="I361" s="8" t="inlineStr">
        <is>
          <t>Processing</t>
        </is>
      </c>
      <c r="J361" s="8" t="inlineStr">
        <is>
          <t>Personal Information</t>
        </is>
      </c>
      <c r="K361" t="inlineStr"/>
      <c r="L361" s="8" t="inlineStr">
        <is>
          <t>Specifies that the Conduct Standard applies to financial institutions providing financial education initiatives and outlines its purpose to protect financial customers and ensure appropriate standards of behaviour, governance and oversight.</t>
        </is>
      </c>
      <c r="M361" s="8" t="inlineStr"/>
      <c r="N361" s="8" t="inlineStr">
        <is>
          <t>[Must] This Conduct Standard is only applicable where a financial institution provides or offers a financial education initiative, including the provision of a financial education initiative by a service provider.
[Must] The purpose of this Conduct Standard is aimed at ensuring – (a) the protection of financial customers by ensuring that financial education initiatives provided by financial institutions are appropriate and support the ability of financial customers to make more informed and/or sound financial decisions about their personal finances or others that fall under their responsibility, as well as the financial health of their small, medium and micro-enterprises; and (b) that a financial institution providing financial education initiatives takes reasonable steps to ensure appropriate standards of behaviour, governance and oversight when, (i) developing content, implementing, monitoring and evaluating a financial education initiative; and (ii) reporting on the effectiveness, efficiency and appropriateness of a financial education initiative, including reporting to the Authority.
[Must] The requirements in this Conduct Standard, where appropriate, may be applied in a manner that is proportional to the nature, size, complexity and risk profile of the financial institution concerned as well as the nature and target group of the relevant financial education initiative.</t>
        </is>
      </c>
      <c r="O361" s="8" t="inlineStr">
        <is>
          <t>This Conduct Standard is only applicable where a financial institution provides or offers a financial education initiative, including the provision of a financial education initiative by a service provider.</t>
        </is>
      </c>
    </row>
    <row r="362">
      <c r="A362" t="inlineStr">
        <is>
          <t>South Africa</t>
        </is>
      </c>
      <c r="B362" t="inlineStr">
        <is>
          <t>1. FSCA Conduct Standard 1 of 2025 - Requirements for FIs providing FE initiatives</t>
        </is>
      </c>
      <c r="C362" t="inlineStr">
        <is>
          <t>3</t>
        </is>
      </c>
      <c r="D362" s="8" t="inlineStr">
        <is>
          <t>Governance arrangements</t>
        </is>
      </c>
      <c r="E362" t="inlineStr">
        <is>
          <t>3–4</t>
        </is>
      </c>
      <c r="F362" t="inlineStr">
        <is>
          <t>Governance</t>
        </is>
      </c>
      <c r="G362" t="inlineStr">
        <is>
          <t>Low</t>
        </is>
      </c>
      <c r="H362" t="inlineStr">
        <is>
          <t>High (explicit)</t>
        </is>
      </c>
      <c r="I362" s="8" t="inlineStr">
        <is>
          <t>Governance</t>
        </is>
      </c>
      <c r="J362" s="8" t="inlineStr">
        <is>
          <t>Personal Information</t>
        </is>
      </c>
      <c r="K362" t="inlineStr"/>
      <c r="L362" s="8" t="inlineStr">
        <is>
          <t>Financial institutions must have governance arrangements to oversee financial education initiatives, including monitoring and reviewing design, suitability, and effectiveness, and ensuring appropriate reporting to the Authority.</t>
        </is>
      </c>
      <c r="M362" s="8" t="inlineStr"/>
      <c r="N362" s="8" t="inlineStr">
        <is>
          <t>[Must] A financial institution must have appropriate governance arrangements in place to oversee the design and implementation of financial education initiatives.
[Must] The governance arrangements referred to in subparagraph (1) must include establishing and implementing appropriate oversight arrangements to monitor and review the design, suitability and effectiveness of its financial education initiatives on an ongoing basis.
[Must] A financial institution must have appropriate systems, processes, policies and controls in place to ensure appropriate reporting on financial education initiatives, pre- and post-implementation, to the Authority.
[Must] A financial institution must take reasonable steps to ensure that the relevant employee and service provider responsible for the design and implementation of a financial education initiative possesses the necessary skills, knowledge and expertise to fulfil their functions.
[Must] A financial institution must take reasonable steps to ensure that the governance arrangements referred to in this paragraph also apply to a service provider, including that it obtains sufficient information from that service provider, to ensure that these financial education initiatives are, and remain, effective in achieving the intended outcomes.
[Must] A financial institution retains responsibility and accountability for all regulatory obligations pertaining to the provision of financial education initiatives as set out in this Conduct Standard, regardless of whether such financial education initiative is performed by the financial institution itself or by a service provider.</t>
        </is>
      </c>
      <c r="O362" s="8" t="inlineStr">
        <is>
          <t>A financial institution must have appropriate governance arrangements in place to oversee the design and implementation of financial education initiatives.</t>
        </is>
      </c>
    </row>
    <row r="363">
      <c r="A363" t="inlineStr">
        <is>
          <t>South Africa</t>
        </is>
      </c>
      <c r="B363" t="inlineStr">
        <is>
          <t>1. FSCA Conduct Standard 1 of 2025 - Requirements for FIs providing FE initiatives</t>
        </is>
      </c>
      <c r="C363" t="inlineStr">
        <is>
          <t>4</t>
        </is>
      </c>
      <c r="D363" s="8" t="inlineStr">
        <is>
          <t>Design and development requirements for financial education initiatives</t>
        </is>
      </c>
      <c r="E363" t="inlineStr">
        <is>
          <t>4</t>
        </is>
      </c>
      <c r="F363" t="inlineStr">
        <is>
          <t>Data Collection</t>
        </is>
      </c>
      <c r="G363" t="inlineStr">
        <is>
          <t>Low</t>
        </is>
      </c>
      <c r="H363" t="inlineStr">
        <is>
          <t>High (explicit)</t>
        </is>
      </c>
      <c r="I363" s="8" t="inlineStr">
        <is>
          <t>Data Collection</t>
        </is>
      </c>
      <c r="J363" s="8" t="inlineStr">
        <is>
          <t>Personal Information</t>
        </is>
      </c>
      <c r="K363" t="inlineStr"/>
      <c r="L363" s="8" t="inlineStr">
        <is>
          <t>Financial education initiatives must aim to enable natural persons and SMEs to make informed financial decisions and encourage positive customer behaviour, with content based on objective information and distinct from marketing campaigns.</t>
        </is>
      </c>
      <c r="M363" s="8" t="inlineStr"/>
      <c r="N363" s="8" t="inlineStr">
        <is>
          <t>[Must] 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 and in respect of financial decision making, encourage positive customer behaviour, influence behavioural change and contribute to long-term skills development.
[May] A financial institution may use any delivery platform for a financial education initiative, provided that the delivery platform is appropriate for the type of financial education initiative and the identified target group, to ensure appropriate and effective reach.
[Must] The content of a financial education initiative provided by a financial institution must be based on objective and impartial information, generally accepted methodologies, research and trends.
[Must] The content of a financial education initiative provided by a financial institution must be targeted suitably at the appropriate target group, taking into account the identified needs of the target group and financial inclusion objectives.
[Must] The content of a financial education initiative provided by a financial institution must be distinct from any brand specific financial product or financial service sales process or marketing campaign.
[Must] The content of a financial education initiative provided by a financial institution must be brand agnostic, but may unpack the meaning of different types of financial concepts and terms related to a particular financial product or financial service, or categories of financial products or financial services.</t>
        </is>
      </c>
      <c r="O363" s="8" t="inlineStr">
        <is>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is>
      </c>
    </row>
    <row r="364">
      <c r="A364" t="inlineStr">
        <is>
          <t>South Africa</t>
        </is>
      </c>
      <c r="B364" t="inlineStr">
        <is>
          <t>1. FSCA Conduct Standard 1 of 2025 - Requirements for FIs providing FE initiatives</t>
        </is>
      </c>
      <c r="C364" t="inlineStr">
        <is>
          <t>5</t>
        </is>
      </c>
      <c r="D364" s="8" t="inlineStr">
        <is>
          <t>Location and logistics</t>
        </is>
      </c>
      <c r="E364" t="inlineStr">
        <is>
          <t>4–5</t>
        </is>
      </c>
      <c r="F364" t="inlineStr">
        <is>
          <t>Data Sharing</t>
        </is>
      </c>
      <c r="G364" t="inlineStr">
        <is>
          <t>Low</t>
        </is>
      </c>
      <c r="H364" t="inlineStr">
        <is>
          <t>High (explicit)</t>
        </is>
      </c>
      <c r="I364" s="8" t="inlineStr">
        <is>
          <t>Data Sharing</t>
        </is>
      </c>
      <c r="J364" s="8" t="inlineStr">
        <is>
          <t>Personal Information</t>
        </is>
      </c>
      <c r="K364" t="inlineStr">
        <is>
          <t>Financial Sector Conduct Authority</t>
        </is>
      </c>
      <c r="L364" s="8" t="inlineStr">
        <is>
          <t>Financial institutions must ensure effective location and logistics for face-to-face and virtual initiatives, consider contingency plans, measure outcomes, and report to the Authority without excessive marketing.</t>
        </is>
      </c>
      <c r="M364" s="8" t="inlineStr"/>
      <c r="N364" s="8" t="inlineStr">
        <is>
          <t>[Must] A financial institution providing face-to-face financial education initiatives must utilise a location that is appropriate for this purpose to ensure that the financial education initiative is effective.
[Must] A financial institution providing virtual financial education initiatives must ensure that the virtual platform is appropriate for this purpose to ensure that the financial education initiative is effective.
[Should] A financial institution should consider contingency plans for unforeseen circumstances regarding implementation of financial education initiatives.
[Must] The outcomes of financial education initiatives must be measurable in order to, amongst other things and to the extent possible, demonstrate effectiveness; and measure impact.
[Must] The manner used by a financial institution to measure the outcomes of each financial education initiative provided must be appropriate for the specific initiative and relate directly to the outcome.
[Must] A financial institution must monitor and evaluate each financial education initiative that is provided, to amongst other things assess its effectiveness; identify areas for improvement; and collect data, which can and should (where relevant) be used to improve the effectiveness of future programmes.
[Must Not] A financial institution may not use a financial education initiative for excessive marketing of a specific brand or financial institution; or marketing and sales of a specific financial product or financial service.
[Must] Subject to a determination made in accordance with subparagraph (2), a financial institution must report information relating to the provision of financial education initiatives in accordance with this Conduct Standard to the Authority.</t>
        </is>
      </c>
      <c r="O364" s="8" t="inlineStr">
        <is>
          <t>A financial institution must monitor and evaluate each financial education initiative that is provided, to amongst other things – assess its effectiveness; identify areas for improvement; and collect data, which can and should (where relevant) be used to improve the effectiveness of future programmes.</t>
        </is>
      </c>
    </row>
    <row r="365">
      <c r="A365" t="inlineStr">
        <is>
          <t>South Africa</t>
        </is>
      </c>
      <c r="B365" t="inlineStr">
        <is>
          <t>2002-070</t>
        </is>
      </c>
      <c r="C365" t="inlineStr">
        <is>
          <t>3</t>
        </is>
      </c>
      <c r="D365" s="8" t="inlineStr">
        <is>
          <t>General Intelligence Laws</t>
        </is>
      </c>
      <c r="E365" t="inlineStr">
        <is>
          <t>1–19</t>
        </is>
      </c>
      <c r="F365" t="inlineStr">
        <is>
          <t>Other</t>
        </is>
      </c>
      <c r="G365" t="inlineStr">
        <is>
          <t>Unknown</t>
        </is>
      </c>
      <c r="H365" t="inlineStr">
        <is>
          <t>Low</t>
        </is>
      </c>
      <c r="I365" s="8" t="inlineStr"/>
      <c r="J365" s="8" t="inlineStr"/>
      <c r="K365" t="inlineStr"/>
      <c r="L365" s="8" t="inlineStr"/>
      <c r="M365" s="8" t="inlineStr"/>
      <c r="N365" s="8" t="inlineStr"/>
      <c r="O365" s="8" t="inlineStr"/>
    </row>
    <row r="366">
      <c r="A366" t="inlineStr">
        <is>
          <t>South Africa</t>
        </is>
      </c>
      <c r="B366" t="inlineStr">
        <is>
          <t>2002-070</t>
        </is>
      </c>
      <c r="C366" t="inlineStr">
        <is>
          <t>5</t>
        </is>
      </c>
      <c r="D366" s="8" t="inlineStr">
        <is>
          <t>evidence in any criminal proceedings or civil proceedings as contemplated in Chapter 5 or 6 of the Prevention of</t>
        </is>
      </c>
      <c r="E366" t="inlineStr">
        <is>
          <t>19–20</t>
        </is>
      </c>
      <c r="F366" t="inlineStr">
        <is>
          <t>Other</t>
        </is>
      </c>
      <c r="G366" t="inlineStr">
        <is>
          <t>Low</t>
        </is>
      </c>
      <c r="H366" t="inlineStr">
        <is>
          <t>High (explicit)</t>
        </is>
      </c>
      <c r="I366" s="8" t="inlineStr">
        <is>
          <t>Cross-border Transfer</t>
        </is>
      </c>
      <c r="J366" s="8" t="inlineStr">
        <is>
          <t>Personal Information</t>
        </is>
      </c>
      <c r="K366" t="inlineStr"/>
      <c r="L366" s="8" t="inlineStr">
        <is>
          <t>Allows evidence in criminal or civil proceedings under Prevention of Organised Crime Act to be admitted if trial remains fair and justice is not harmed.</t>
        </is>
      </c>
      <c r="M366" s="8" t="inlineStr"/>
      <c r="N366" s="8" t="inlineStr">
        <is>
          <t>[Must] evidence in any criminal proceedings or civil proceedings as contemplated in Chapter 5 or 6 of the Prevention of Organised Crime Act, unless the court is of the opinion that the admission of such evidence would not render the trial unfair or otherwise be detrimental to the administration of justice</t>
        </is>
      </c>
      <c r="O366" s="8" t="inlineStr">
        <is>
          <t>evidence in any criminal proceedings or civil proceedings as contemplated in Chapter 5 or 6 of the Prevention of Organised Crime Act, unless the court is of the opinion that the admission of such evidence would not render the trial unfair or otherwise be detrimental to the administration of justice</t>
        </is>
      </c>
    </row>
    <row r="367">
      <c r="A367" t="inlineStr">
        <is>
          <t>South Africa</t>
        </is>
      </c>
      <c r="B367" t="inlineStr">
        <is>
          <t>2002-070</t>
        </is>
      </c>
      <c r="C367" t="inlineStr">
        <is>
          <t>6</t>
        </is>
      </c>
      <c r="D367" s="8" t="inlineStr">
        <is>
          <t>hand it to the authorised person concerned; or</t>
        </is>
      </c>
      <c r="E367" t="inlineStr">
        <is>
          <t>20–34</t>
        </is>
      </c>
      <c r="F367" t="inlineStr">
        <is>
          <t>Other</t>
        </is>
      </c>
      <c r="G367" t="inlineStr">
        <is>
          <t>Unknown</t>
        </is>
      </c>
      <c r="H367" t="inlineStr">
        <is>
          <t>Low</t>
        </is>
      </c>
      <c r="I367" s="8" t="inlineStr"/>
      <c r="J367" s="8" t="inlineStr"/>
      <c r="K367" t="inlineStr"/>
      <c r="L367" s="8" t="inlineStr"/>
      <c r="M367" s="8" t="inlineStr"/>
      <c r="N367" s="8" t="inlineStr"/>
      <c r="O367" s="8" t="inlineStr"/>
    </row>
    <row r="368">
      <c r="A368" t="inlineStr">
        <is>
          <t>South Africa</t>
        </is>
      </c>
      <c r="B368" t="inlineStr">
        <is>
          <t>2002-070</t>
        </is>
      </c>
      <c r="C368" t="inlineStr">
        <is>
          <t>7</t>
        </is>
      </c>
      <c r="D368" s="8" t="inlineStr">
        <is>
          <t>[S. 63 substituted by s. 6 of Act 48 of 2008 (wef 1 July 2009).]</t>
        </is>
      </c>
      <c r="E368" t="inlineStr">
        <is>
          <t>34–35</t>
        </is>
      </c>
      <c r="F368" t="inlineStr">
        <is>
          <t>Definitions</t>
        </is>
      </c>
      <c r="G368" t="inlineStr">
        <is>
          <t>Low</t>
        </is>
      </c>
      <c r="H368" t="inlineStr">
        <is>
          <t>High (explicit)</t>
        </is>
      </c>
      <c r="I368"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368" s="8" t="inlineStr">
        <is>
          <t>Personal Information, Financial Data, Customer Data, Employee Data, Health Data, Children's Data, Biometric Data, Special Personal Information</t>
        </is>
      </c>
      <c r="K368" t="inlineStr"/>
      <c r="L368" s="8" t="inlineStr">
        <is>
          <t>Defines specific offences for interception purposes including high treason, sedition, serious offences, and cybercrimes.</t>
        </is>
      </c>
      <c r="M368" s="8" t="inlineStr"/>
      <c r="N368" s="8" t="inlineStr">
        <is>
          <t>[Must] High treason
[Must] any offence referred to in paragraph (a) of the definition of 'specified offence' of the Protection of Constitutional Democracy against Terrorist and Related Activities Act, 2004
[Must] sedition
[Must] any offence which could result in the loss of a person's life or serious risk of loss of a person's life
[Must] any offence referred to in Schedule 1 to the Implementation of the Rome Statute of the International Criminal Court Act, 2002 (Act 27 of 2002)
[Must] any specified offence as defined in section 1 of the National Prosecuting Authority Act
[Must] any offence referred to in Chapters 2, 3 and 4 of the Prevention of Organised Crime Act
[Must] any offence referred to in section 13 (f) of the Drugs and Drug Trafficking Act, 1992 (Act 140 of 1992)
[Must] any offence relating to the dealing in or smuggling of ammunition, firearms, explosives or armament and the unlawful possession of such firearms, explosives or armament
[Must] any offence under any law relating to the illicit dealing in or possession of precious metals or precious stones
[Must] any offence contemplated in Part 1 to 4, or section 17, 20 or 21 (in so far as it relates to the aforementioned offences) of Chapter 2 of the Prevention and Combating of Corrupt Activities Act, 2004
[Must] dealing in, being in possession of or conveying endangered, scarce and protected game or plants or parts or remains thereof in contravention of any legislation
[Must] any offence the punishment wherefor may be imprisonment for life or a period of imprisonment prescribed by section 51 of the Criminal Law Amendment Act, 1997 (Act 105 of 1997), or a period of imprisonment exceeding five years without the option of a fine
[Must] Any offence contemplated in section 17, 18, 19A or 20 of the Criminal Law (Sexual Offences and Related Matters) Amendment Act, 2007 (Act 32 of 2007)
[Must] Any offence contemplated in section 8, 9 (1) or (2) or 10, which involves an amount of R200 000, 00 or more; or section 11 (1) or (2) or 17 (in so far as the section relates to the offences referred to in section 11 (1) or (2)), of the Cybercrimes Act, 2020
[Must] Any offence referred to in section 3 (1), 5, 6, 7 (1), 8, 9 (1) or (2), or 10; or section 17 (in so far as the section relates to the offences referred to in paragraph (a)), of the Cybercrimes Act, 2020, which involves an amount of R50 000,00 or more
[Must] Any offence which is substantially similar to an offence referred to in item 1 which is or was committed in a foreign State, which involves an amount of R50 000,00 or more</t>
        </is>
      </c>
      <c r="O368" s="8" t="inlineStr">
        <is>
          <t>Schedule I (Section 1) defines specific offences for interception purposes including high treason, sedition, serious offences, and cybercrimes.</t>
        </is>
      </c>
    </row>
    <row r="369">
      <c r="A369" t="inlineStr">
        <is>
          <t>South Africa</t>
        </is>
      </c>
      <c r="B369" t="inlineStr">
        <is>
          <t>2024 Open Finance_FSCA Position Paper</t>
        </is>
      </c>
      <c r="C369" t="inlineStr">
        <is>
          <t>1</t>
        </is>
      </c>
      <c r="D369" s="8" t="inlineStr">
        <is>
          <t>EXECUTIVE SUMMARY</t>
        </is>
      </c>
      <c r="E369" t="inlineStr">
        <is>
          <t>3–4</t>
        </is>
      </c>
      <c r="F369" t="inlineStr">
        <is>
          <t>Other</t>
        </is>
      </c>
      <c r="G369" t="inlineStr">
        <is>
          <t>High</t>
        </is>
      </c>
      <c r="H369" t="inlineStr">
        <is>
          <t>High (explicit)</t>
        </is>
      </c>
      <c r="I369" s="8" t="inlineStr"/>
      <c r="J369" s="8" t="inlineStr"/>
      <c r="K369" t="inlineStr">
        <is>
          <t>FSCA</t>
        </is>
      </c>
      <c r="L369" s="8" t="inlineStr">
        <is>
          <t>FSCA outlines policy recommendations for Open Finance, including mandatory regulation, licensing, data protection frameworks, risk management, and consumer recourse mechanisms.</t>
        </is>
      </c>
      <c r="M369" s="8" t="inlineStr"/>
      <c r="N369" s="8" t="inlineStr"/>
      <c r="O369"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370">
      <c r="A370" t="inlineStr">
        <is>
          <t>South Africa</t>
        </is>
      </c>
      <c r="B370" t="inlineStr">
        <is>
          <t>2024 Open Finance_FSCA Position Paper</t>
        </is>
      </c>
      <c r="C370" t="inlineStr">
        <is>
          <t>1</t>
        </is>
      </c>
      <c r="D370" s="8" t="inlineStr">
        <is>
          <t>The data subject (customer) requests a financial service from a fintech (data user), for</t>
        </is>
      </c>
      <c r="E370" t="inlineStr">
        <is>
          <t>8</t>
        </is>
      </c>
      <c r="F370" t="inlineStr">
        <is>
          <t>Other</t>
        </is>
      </c>
      <c r="G370" t="inlineStr">
        <is>
          <t>High</t>
        </is>
      </c>
      <c r="H370" t="inlineStr">
        <is>
          <t>High (explicit)</t>
        </is>
      </c>
      <c r="I370" s="8" t="inlineStr"/>
      <c r="J370" s="8" t="inlineStr"/>
      <c r="K370" t="inlineStr">
        <is>
          <t>FSCA</t>
        </is>
      </c>
      <c r="L370" s="8" t="inlineStr">
        <is>
          <t>FSCA outlines policy recommendations for Open Finance, including mandatory regulation, licensing, data protection frameworks, risk management, and consumer recourse mechanisms.</t>
        </is>
      </c>
      <c r="M370" s="8" t="inlineStr"/>
      <c r="N370" s="8" t="inlineStr"/>
      <c r="O370"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371">
      <c r="A371" t="inlineStr">
        <is>
          <t>South Africa</t>
        </is>
      </c>
      <c r="B371" t="inlineStr">
        <is>
          <t>2024 Open Finance_FSCA Position Paper</t>
        </is>
      </c>
      <c r="C371" t="inlineStr">
        <is>
          <t>2</t>
        </is>
      </c>
      <c r="D371" s="8" t="inlineStr">
        <is>
          <t>BACKGROUND AND INTRODUCTION</t>
        </is>
      </c>
      <c r="E371" t="inlineStr">
        <is>
          <t>4–5</t>
        </is>
      </c>
      <c r="F371" t="inlineStr">
        <is>
          <t>Other</t>
        </is>
      </c>
      <c r="G371" t="inlineStr">
        <is>
          <t>High</t>
        </is>
      </c>
      <c r="H371" t="inlineStr">
        <is>
          <t>High (explicit)</t>
        </is>
      </c>
      <c r="I371" s="8" t="inlineStr"/>
      <c r="J371" s="8" t="inlineStr"/>
      <c r="K371" t="inlineStr">
        <is>
          <t>FSCA</t>
        </is>
      </c>
      <c r="L371" s="8" t="inlineStr">
        <is>
          <t>Background on FSCA's process for developing Open Finance policy, including consultations and risks associated with data sharing in the absence of tailored regulatory frameworks.</t>
        </is>
      </c>
      <c r="M371" s="8" t="inlineStr"/>
      <c r="N371" s="8" t="inlineStr"/>
      <c r="O371"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372">
      <c r="A372" t="inlineStr">
        <is>
          <t>South Africa</t>
        </is>
      </c>
      <c r="B372" t="inlineStr">
        <is>
          <t>2024 Open Finance_FSCA Position Paper</t>
        </is>
      </c>
      <c r="C372" t="inlineStr">
        <is>
          <t>2</t>
        </is>
      </c>
      <c r="D372" s="8" t="inlineStr">
        <is>
          <t>The fintech processes the request and, within its flow, it requires access to data holders</t>
        </is>
      </c>
      <c r="E372" t="inlineStr">
        <is>
          <t>8</t>
        </is>
      </c>
      <c r="F372" t="inlineStr">
        <is>
          <t>Other</t>
        </is>
      </c>
      <c r="G372" t="inlineStr">
        <is>
          <t>High</t>
        </is>
      </c>
      <c r="H372" t="inlineStr">
        <is>
          <t>High (explicit)</t>
        </is>
      </c>
      <c r="I372" s="8" t="inlineStr"/>
      <c r="J372" s="8" t="inlineStr"/>
      <c r="K372" t="inlineStr">
        <is>
          <t>FSCA</t>
        </is>
      </c>
      <c r="L372" s="8" t="inlineStr">
        <is>
          <t>Background on FSCA's process for developing Open Finance policy, including consultations and risks associated with data sharing in the absence of tailored regulatory frameworks.</t>
        </is>
      </c>
      <c r="M372" s="8" t="inlineStr"/>
      <c r="N372" s="8" t="inlineStr"/>
      <c r="O372"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373">
      <c r="A373" t="inlineStr">
        <is>
          <t>South Africa</t>
        </is>
      </c>
      <c r="B373" t="inlineStr">
        <is>
          <t>2024 Open Finance_FSCA Position Paper</t>
        </is>
      </c>
      <c r="C373" t="inlineStr">
        <is>
          <t>3</t>
        </is>
      </c>
      <c r="D373" s="8" t="inlineStr">
        <is>
          <t>UNDERSTANDING OPEN FINANCE, OPEN BANKING AND THE DATA</t>
        </is>
      </c>
      <c r="E373" t="inlineStr">
        <is>
          <t>5–8</t>
        </is>
      </c>
      <c r="F373" t="inlineStr">
        <is>
          <t>Other</t>
        </is>
      </c>
      <c r="G373" t="inlineStr">
        <is>
          <t>High</t>
        </is>
      </c>
      <c r="H373" t="inlineStr">
        <is>
          <t>High (explicit)</t>
        </is>
      </c>
      <c r="I373" s="8" t="inlineStr"/>
      <c r="J373" s="8" t="inlineStr"/>
      <c r="K373" t="inlineStr">
        <is>
          <t>FSCA</t>
        </is>
      </c>
      <c r="L373" s="8" t="inlineStr">
        <is>
          <t>Proposed definitions of Open Finance and Open Banking, emphasizing consent-based data sharing with third parties and the data-sharing ecosystem structure.</t>
        </is>
      </c>
      <c r="M373" s="8" t="inlineStr"/>
      <c r="N373" s="8" t="inlineStr"/>
      <c r="O373"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374">
      <c r="A374" t="inlineStr">
        <is>
          <t>South Africa</t>
        </is>
      </c>
      <c r="B374" t="inlineStr">
        <is>
          <t>2024 Open Finance_FSCA Position Paper</t>
        </is>
      </c>
      <c r="C374" t="inlineStr">
        <is>
          <t>3</t>
        </is>
      </c>
      <c r="D374" s="8" t="inlineStr">
        <is>
          <t>The data subject consents (providing an authentication factor) to access the data from</t>
        </is>
      </c>
      <c r="E374" t="inlineStr">
        <is>
          <t>8</t>
        </is>
      </c>
      <c r="F374" t="inlineStr">
        <is>
          <t>Other</t>
        </is>
      </c>
      <c r="G374" t="inlineStr">
        <is>
          <t>High</t>
        </is>
      </c>
      <c r="H374" t="inlineStr">
        <is>
          <t>High (explicit)</t>
        </is>
      </c>
      <c r="I374" s="8" t="inlineStr"/>
      <c r="J374" s="8" t="inlineStr"/>
      <c r="K374" t="inlineStr">
        <is>
          <t>FSCA</t>
        </is>
      </c>
      <c r="L374" s="8" t="inlineStr">
        <is>
          <t>Proposed definitions of Open Finance and Open Banking, emphasizing consent-based data sharing with third parties and the data-sharing ecosystem structure.</t>
        </is>
      </c>
      <c r="M374" s="8" t="inlineStr"/>
      <c r="N374" s="8" t="inlineStr"/>
      <c r="O374"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375">
      <c r="A375" t="inlineStr">
        <is>
          <t>South Africa</t>
        </is>
      </c>
      <c r="B375" t="inlineStr">
        <is>
          <t>2024 Open Finance_FSCA Position Paper</t>
        </is>
      </c>
      <c r="C375" t="inlineStr">
        <is>
          <t>4</t>
        </is>
      </c>
      <c r="D375" s="8" t="inlineStr">
        <is>
          <t>The fintech app connects to its back-end server, which has a secure, private, and</t>
        </is>
      </c>
      <c r="E375" t="inlineStr">
        <is>
          <t>8</t>
        </is>
      </c>
      <c r="F375" t="inlineStr">
        <is>
          <t>Other</t>
        </is>
      </c>
      <c r="G375" t="inlineStr">
        <is>
          <t>Unknown</t>
        </is>
      </c>
      <c r="H375" t="inlineStr">
        <is>
          <t>Low</t>
        </is>
      </c>
      <c r="I375" s="8" t="inlineStr"/>
      <c r="J375" s="8" t="inlineStr"/>
      <c r="K375" t="inlineStr"/>
      <c r="L375" s="8" t="inlineStr"/>
      <c r="M375" s="8" t="inlineStr"/>
      <c r="N375" s="8" t="inlineStr"/>
      <c r="O375" s="8" t="inlineStr"/>
    </row>
    <row r="376">
      <c r="A376" t="inlineStr">
        <is>
          <t>South Africa</t>
        </is>
      </c>
      <c r="B376" t="inlineStr">
        <is>
          <t>2024 Open Finance_FSCA Position Paper</t>
        </is>
      </c>
      <c r="C376" t="inlineStr">
        <is>
          <t>4</t>
        </is>
      </c>
      <c r="D376" s="8" t="inlineStr">
        <is>
          <t>POLICY CONSIDERATIONS AND RISKS</t>
        </is>
      </c>
      <c r="E376" t="inlineStr">
        <is>
          <t>9–13</t>
        </is>
      </c>
      <c r="F376" t="inlineStr">
        <is>
          <t>Other</t>
        </is>
      </c>
      <c r="G376" t="inlineStr">
        <is>
          <t>Low</t>
        </is>
      </c>
      <c r="H376" t="inlineStr">
        <is>
          <t>Medium</t>
        </is>
      </c>
      <c r="I376" s="8" t="inlineStr"/>
      <c r="J376" s="8" t="inlineStr"/>
      <c r="K376" t="inlineStr"/>
      <c r="L376" s="8" t="inlineStr">
        <is>
          <t>Policy considerations and risks related to Open Finance are discussed, including global approaches, potential benefits for financial resilience, inclusion, and competition, and identified risks such as financial exclusion and cybersecurity threats.</t>
        </is>
      </c>
      <c r="M376" s="8" t="inlineStr"/>
      <c r="N376" s="8" t="inlineStr"/>
      <c r="O376" s="8" t="inlineStr">
        <is>
          <t>Policy considerations and risks related to Open Finance have been thoroughly interrogated in past IFWG9, FSCA10 and National Payment System Department (NPSD) publications11.</t>
        </is>
      </c>
    </row>
    <row r="377">
      <c r="A377" t="inlineStr">
        <is>
          <t>South Africa</t>
        </is>
      </c>
      <c r="B377" t="inlineStr">
        <is>
          <t>2024 Open Finance_FSCA Position Paper</t>
        </is>
      </c>
      <c r="C377" t="inlineStr">
        <is>
          <t>5</t>
        </is>
      </c>
      <c r="D377" s="8" t="inlineStr">
        <is>
          <t>COMMENTS RECEIVED ON DRAFT POSITION PAPER</t>
        </is>
      </c>
      <c r="E377" t="inlineStr">
        <is>
          <t>13–16</t>
        </is>
      </c>
      <c r="F377" t="inlineStr">
        <is>
          <t>Other</t>
        </is>
      </c>
      <c r="G377" t="inlineStr">
        <is>
          <t>Low</t>
        </is>
      </c>
      <c r="H377" t="inlineStr">
        <is>
          <t>Medium</t>
        </is>
      </c>
      <c r="I377" s="8" t="inlineStr"/>
      <c r="J377" s="8" t="inlineStr"/>
      <c r="K377" t="inlineStr"/>
      <c r="L377" s="8" t="inlineStr">
        <is>
          <t>Stakeholders provided feedback on the FSCA's Draft Position Paper, preferring voluntary Open Finance approaches, emphasizing customer experience, competition, alignment with POPIA, liability frameworks, financial literacy, and international case studies.</t>
        </is>
      </c>
      <c r="M377" s="8" t="inlineStr"/>
      <c r="N377" s="8" t="inlineStr"/>
      <c r="O377" s="8" t="inlineStr">
        <is>
          <t>The FSCA received 16 submissions from stakeholders across different industry segments (see Annexure B).</t>
        </is>
      </c>
    </row>
    <row r="378">
      <c r="A378" t="inlineStr">
        <is>
          <t>South Africa</t>
        </is>
      </c>
      <c r="B378" t="inlineStr">
        <is>
          <t>2024 Open Finance_FSCA Position Paper</t>
        </is>
      </c>
      <c r="C378" t="inlineStr">
        <is>
          <t>6</t>
        </is>
      </c>
      <c r="D378" s="8" t="inlineStr">
        <is>
          <t>INFORMATION REQUEST No 2 of 2023</t>
        </is>
      </c>
      <c r="E378" t="inlineStr">
        <is>
          <t>16–17</t>
        </is>
      </c>
      <c r="F378" t="inlineStr">
        <is>
          <t>Other</t>
        </is>
      </c>
      <c r="G378" t="inlineStr">
        <is>
          <t>Low</t>
        </is>
      </c>
      <c r="H378" t="inlineStr">
        <is>
          <t>Medium</t>
        </is>
      </c>
      <c r="I378" s="8" t="inlineStr"/>
      <c r="J378" s="8" t="inlineStr"/>
      <c r="K378" t="inlineStr"/>
      <c r="L378" s="8" t="inlineStr">
        <is>
          <t>Survey results indicate early-stage Open Finance adoption in South Africa, with financial institutions generating revenue from Open Finance activities, varying service offerings, and a willingness to employ risk management frameworks.</t>
        </is>
      </c>
      <c r="M378" s="8" t="inlineStr"/>
      <c r="N378" s="8" t="inlineStr"/>
      <c r="O378" s="8" t="inlineStr">
        <is>
          <t>More than 400 submissions were received in response to the FSCA's Information Request No 2 of 2023.</t>
        </is>
      </c>
    </row>
    <row r="379">
      <c r="A379" t="inlineStr">
        <is>
          <t>South Africa</t>
        </is>
      </c>
      <c r="B379" t="inlineStr">
        <is>
          <t>2024 Open Finance_FSCA Position Paper</t>
        </is>
      </c>
      <c r="C379" t="inlineStr">
        <is>
          <t>7</t>
        </is>
      </c>
      <c r="D379" s="8" t="inlineStr">
        <is>
          <t>FSCA OPEN FINANCE POLICY RECOMMENDATIONS</t>
        </is>
      </c>
      <c r="E379" t="inlineStr">
        <is>
          <t>17–20</t>
        </is>
      </c>
      <c r="F379" t="inlineStr">
        <is>
          <t>Other</t>
        </is>
      </c>
      <c r="G379" t="inlineStr">
        <is>
          <t>High</t>
        </is>
      </c>
      <c r="H379" t="inlineStr">
        <is>
          <t>High (explicit)</t>
        </is>
      </c>
      <c r="I379" s="8" t="inlineStr">
        <is>
          <t>Cross-border Transfer, Data Sharing, Consent</t>
        </is>
      </c>
      <c r="J379" s="8" t="inlineStr">
        <is>
          <t>Financial Data</t>
        </is>
      </c>
      <c r="K379" t="inlineStr">
        <is>
          <t>FSCA</t>
        </is>
      </c>
      <c r="L379" s="8" t="inlineStr">
        <is>
          <t>FSCA recommends voluntary adoption of Open Finance with phased mandatory implementation, focusing on data sharing, consent, risk management, and standards for financial institutions and TPPs.</t>
        </is>
      </c>
      <c r="M379" s="8" t="inlineStr">
        <is>
          <t>Proposes voluntary adoption of Open Finance with phased mandatory implementation, requiring consent frameworks, risk management, and API standards for financial data sharing.</t>
        </is>
      </c>
      <c r="N379" s="8" t="inlineStr">
        <is>
          <t>[Must]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t>
        </is>
      </c>
      <c r="O379" s="8" t="inlineStr">
        <is>
          <t>The FSCA aims to promote responsible Open Finance and recommends the following: Persons participating in Open Finance should be regulated for the safe and ethical sharing of user consent-based financial data to TPPs.</t>
        </is>
      </c>
    </row>
    <row r="380">
      <c r="A380" t="inlineStr">
        <is>
          <t>South Africa</t>
        </is>
      </c>
      <c r="B380" t="inlineStr">
        <is>
          <t>2024 Open Finance_FSCA Position Paper</t>
        </is>
      </c>
      <c r="C380" t="inlineStr">
        <is>
          <t>8</t>
        </is>
      </c>
      <c r="D380" s="8" t="inlineStr">
        <is>
          <t>PROGRAMME OF WORK GOING FORWARD</t>
        </is>
      </c>
      <c r="E380" t="inlineStr">
        <is>
          <t>20–21</t>
        </is>
      </c>
      <c r="F380" t="inlineStr">
        <is>
          <t>Other</t>
        </is>
      </c>
      <c r="G380" t="inlineStr">
        <is>
          <t>High</t>
        </is>
      </c>
      <c r="H380" t="inlineStr">
        <is>
          <t>High (explicit)</t>
        </is>
      </c>
      <c r="I380" s="8" t="inlineStr">
        <is>
          <t>Data Sharing, Consent</t>
        </is>
      </c>
      <c r="J380" s="8" t="inlineStr">
        <is>
          <t>Financial Data</t>
        </is>
      </c>
      <c r="K380" t="inlineStr">
        <is>
          <t>FSCA</t>
        </is>
      </c>
      <c r="L380" s="8" t="inlineStr">
        <is>
          <t>FSCA outlines Programme of Work for Open Finance, including developing API standards, consent frameworks, and consumer awareness mechanisms.</t>
        </is>
      </c>
      <c r="M380" s="8" t="inlineStr">
        <is>
          <t>FSCA plans to develop API standards, consent frameworks, and consumer awareness mechanisms through workshops and advisory group engagement.</t>
        </is>
      </c>
      <c r="N380" s="8" t="inlineStr">
        <is>
          <t>[Must] Developing open API standards for data sharing
[Must] Developing suitable consent, risk management and disclosure frameworks</t>
        </is>
      </c>
      <c r="O380" s="8" t="inlineStr">
        <is>
          <t>The FSCA will hold a series of engagements and workshops with stakeholders to further unpack submissions made to date, in support of the following Programme of Work: Developing open APIs standards, developing suitable consent, risk management and disclosure frameworks.</t>
        </is>
      </c>
    </row>
    <row r="381">
      <c r="A381" t="inlineStr">
        <is>
          <t>South Africa</t>
        </is>
      </c>
      <c r="B381" t="inlineStr">
        <is>
          <t>2024 Open Finance_FSCA Position Paper</t>
        </is>
      </c>
      <c r="C381" t="inlineStr">
        <is>
          <t>9</t>
        </is>
      </c>
      <c r="D381" s="8" t="inlineStr">
        <is>
          <t>ANNEXURE A: OPEN FINANCE APPROACH ACROSS VARIOUS JURISDICTIONS</t>
        </is>
      </c>
      <c r="E381" t="inlineStr">
        <is>
          <t>21–23</t>
        </is>
      </c>
      <c r="F381" t="inlineStr">
        <is>
          <t>Other</t>
        </is>
      </c>
      <c r="G381" t="inlineStr">
        <is>
          <t>Low</t>
        </is>
      </c>
      <c r="H381" t="inlineStr">
        <is>
          <t>High (explicit)</t>
        </is>
      </c>
      <c r="I381" s="8" t="inlineStr">
        <is>
          <t>Cross-border Transfer, Data Sharing</t>
        </is>
      </c>
      <c r="J381" s="8" t="inlineStr">
        <is>
          <t>Financial Data</t>
        </is>
      </c>
      <c r="K381" t="inlineStr"/>
      <c r="L381" s="8" t="inlineStr">
        <is>
          <t>Compares Open Finance approaches across jurisdictions, highlighting voluntary (Singapore, US, Nigeria) and mandated (Brazil, UK, EU) models with varying regulatory frameworks.</t>
        </is>
      </c>
      <c r="M381" s="8" t="inlineStr">
        <is>
          <t>Describes jurisdictional approaches to Open Finance, including voluntary and mandated models with different regulatory frameworks and implementation requirements.</t>
        </is>
      </c>
      <c r="N381" s="8" t="inlineStr"/>
      <c r="O381" s="8" t="inlineStr">
        <is>
          <t>Voluntary approach – Open Finance/ Open Banking in Singapore, the US, and Nigeria; Mandated approach – Open Finance/ Open Banking in Brazil, the United Kingdom, and European Union.</t>
        </is>
      </c>
    </row>
    <row r="382">
      <c r="A382" t="inlineStr">
        <is>
          <t>South Africa</t>
        </is>
      </c>
      <c r="B382" t="inlineStr">
        <is>
          <t>2024 Open Finance_FSCA Position Paper</t>
        </is>
      </c>
      <c r="C382" t="inlineStr">
        <is>
          <t>11</t>
        </is>
      </c>
      <c r="D382" s="8" t="inlineStr">
        <is>
          <t>ANNEXURE C: PROPOSED OPEN FINANCE ROAD MAP</t>
        </is>
      </c>
      <c r="E382" t="inlineStr">
        <is>
          <t>24</t>
        </is>
      </c>
      <c r="F382" t="inlineStr">
        <is>
          <t>Other</t>
        </is>
      </c>
      <c r="G382" t="inlineStr">
        <is>
          <t>High</t>
        </is>
      </c>
      <c r="H382" t="inlineStr">
        <is>
          <t>High (explicit)</t>
        </is>
      </c>
      <c r="I382" s="8" t="inlineStr">
        <is>
          <t>Data Sharing, Consent</t>
        </is>
      </c>
      <c r="J382" s="8" t="inlineStr">
        <is>
          <t>Financial Data</t>
        </is>
      </c>
      <c r="K382" t="inlineStr">
        <is>
          <t>FSCA</t>
        </is>
      </c>
      <c r="L382" s="8" t="inlineStr">
        <is>
          <t>Details proposed Open Finance roadmap with timelines for developing API standards, consent frameworks, and consumer awareness mechanisms.</t>
        </is>
      </c>
      <c r="M382" s="8" t="inlineStr">
        <is>
          <t>Outlines phased implementation timeline for Open Finance, including API standards, consent frameworks, and consumer empowerment by 2026.</t>
        </is>
      </c>
      <c r="N382" s="8" t="inlineStr">
        <is>
          <t>[Must] Developing API standards by 31 March 2026
[Must] Developing consent, risk management and disclosure frameworks by 30 September 2026</t>
        </is>
      </c>
      <c r="O382" s="8" t="inlineStr">
        <is>
          <t>Developing API standards – Advisory Group, 31 March 2026; Developing suitable consent, risk management and disclosure frameworks – FSCA, 30 September 2026.</t>
        </is>
      </c>
    </row>
    <row r="383">
      <c r="A383" t="inlineStr">
        <is>
          <t>South Africa</t>
        </is>
      </c>
      <c r="B383" t="inlineStr">
        <is>
          <t>Conduct-Standard-3-of-2020-BANKS-Annexure-A</t>
        </is>
      </c>
      <c r="C383" t="inlineStr">
        <is>
          <t>2</t>
        </is>
      </c>
      <c r="D383" s="8" t="inlineStr">
        <is>
          <t>Application and general obligations</t>
        </is>
      </c>
      <c r="E383" t="inlineStr">
        <is>
          <t>5–7</t>
        </is>
      </c>
      <c r="F383" t="inlineStr">
        <is>
          <t>Other</t>
        </is>
      </c>
      <c r="G383" t="inlineStr">
        <is>
          <t>High</t>
        </is>
      </c>
      <c r="H383" t="inlineStr">
        <is>
          <t>Medium</t>
        </is>
      </c>
      <c r="I383" s="8" t="inlineStr">
        <is>
          <t>Fair treatment of financial customers</t>
        </is>
      </c>
      <c r="J383" s="8" t="inlineStr">
        <is>
          <t>Financial Data</t>
        </is>
      </c>
      <c r="K383" t="inlineStr">
        <is>
          <t>Financial Sector Conduct Authority</t>
        </is>
      </c>
      <c r="L383" s="8" t="inlineStr"/>
      <c r="M383" s="8" t="inlineStr"/>
      <c r="N383" s="8" t="inlineStr">
        <is>
          <t>[Must] A bank must conduct Its business in a manner that prioritises the fair treatment of financial customers.</t>
        </is>
      </c>
      <c r="O383" s="8" t="inlineStr">
        <is>
          <t>A bank must conduct Its business in a manner that prioritises the fair treatment of financial customers.</t>
        </is>
      </c>
    </row>
    <row r="384">
      <c r="A384" t="inlineStr">
        <is>
          <t>South Africa</t>
        </is>
      </c>
      <c r="B384" t="inlineStr">
        <is>
          <t>Conduct-Standard-3-of-2020-BANKS-Annexure-A</t>
        </is>
      </c>
      <c r="C384" t="inlineStr">
        <is>
          <t>3</t>
        </is>
      </c>
      <c r="D384" s="8" t="inlineStr">
        <is>
          <t>Culture and governance</t>
        </is>
      </c>
      <c r="E384" t="inlineStr">
        <is>
          <t>7–22</t>
        </is>
      </c>
      <c r="F384" t="inlineStr">
        <is>
          <t>Governance</t>
        </is>
      </c>
      <c r="G384" t="inlineStr">
        <is>
          <t>High</t>
        </is>
      </c>
      <c r="H384" t="inlineStr">
        <is>
          <t>High (explicit)</t>
        </is>
      </c>
      <c r="I384" s="8" t="inlineStr">
        <is>
          <t>Governance, Risk Management, Compliance, Internal Controls</t>
        </is>
      </c>
      <c r="J384" s="8" t="inlineStr">
        <is>
          <t>Financial Data, Customer Information</t>
        </is>
      </c>
      <c r="K384" t="inlineStr">
        <is>
          <t>Financial Sector Conduct Authority (FSCA)</t>
        </is>
      </c>
      <c r="L384" s="8" t="inlineStr">
        <is>
          <t>Banks must maintain integrity, honesty, and transparency in business practices and ensure fair treatment of financial customers through governance arrangements.</t>
        </is>
      </c>
      <c r="M384" s="8" t="inlineStr">
        <is>
          <t>Banks must implement governance structures to ensure fair customer treatment and compliance with conduct standards through oversight mechanisms.</t>
        </is>
      </c>
      <c r="N384" s="8" t="inlineStr">
        <is>
          <t>[Must]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t>
        </is>
      </c>
      <c r="O384" s="8" t="inlineStr">
        <is>
          <t>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t>
        </is>
      </c>
    </row>
    <row r="385">
      <c r="A385" t="inlineStr">
        <is>
          <t>South Africa</t>
        </is>
      </c>
      <c r="B385" t="inlineStr">
        <is>
          <t>Conduct-Standard-3-of-2020-BANKS-Annexure-A</t>
        </is>
      </c>
      <c r="C385" t="inlineStr">
        <is>
          <t>4</t>
        </is>
      </c>
      <c r="D385" s="8" t="inlineStr">
        <is>
          <t>Design, suitability and performance requirements for financial products and financial</t>
        </is>
      </c>
      <c r="E385" t="inlineStr">
        <is>
          <t>2</t>
        </is>
      </c>
      <c r="F385" t="inlineStr">
        <is>
          <t>Other</t>
        </is>
      </c>
      <c r="G385" t="inlineStr">
        <is>
          <t>High</t>
        </is>
      </c>
      <c r="H385" t="inlineStr">
        <is>
          <t>Low</t>
        </is>
      </c>
      <c r="I385" s="8" t="inlineStr"/>
      <c r="J385" s="8" t="inlineStr"/>
      <c r="K385" t="inlineStr"/>
      <c r="L385" s="8" t="inlineStr"/>
      <c r="M385" s="8" t="inlineStr"/>
      <c r="N385" s="8" t="inlineStr"/>
      <c r="O385" s="8" t="inlineStr">
        <is>
          <t>Design, suitability and performance requirements for financial products and financial</t>
        </is>
      </c>
    </row>
    <row r="386">
      <c r="A386" t="inlineStr">
        <is>
          <t>South Africa</t>
        </is>
      </c>
      <c r="B386" t="inlineStr">
        <is>
          <t>Conduct-Standard-3-of-2020-BANKS-Annexure-A</t>
        </is>
      </c>
      <c r="C386" t="inlineStr">
        <is>
          <t>5</t>
        </is>
      </c>
      <c r="D386" s="8" t="inlineStr">
        <is>
          <t>Additlonal requirements in respect of retail financial CUStOMETS ........::ssccsessssereareees 10</t>
        </is>
      </c>
      <c r="E386" t="inlineStr">
        <is>
          <t>2</t>
        </is>
      </c>
      <c r="F386" t="inlineStr">
        <is>
          <t>Other</t>
        </is>
      </c>
      <c r="G386" t="inlineStr">
        <is>
          <t>High</t>
        </is>
      </c>
      <c r="H386" t="inlineStr">
        <is>
          <t>Low</t>
        </is>
      </c>
      <c r="I386" s="8" t="inlineStr"/>
      <c r="J386" s="8" t="inlineStr"/>
      <c r="K386" t="inlineStr"/>
      <c r="L386" s="8" t="inlineStr"/>
      <c r="M386" s="8" t="inlineStr"/>
      <c r="N386" s="8" t="inlineStr"/>
      <c r="O386" s="8" t="inlineStr">
        <is>
          <t>Additlonal requirements in respect of retail financial CUStOMETS ........::ssccsessssereareees</t>
        </is>
      </c>
    </row>
    <row r="387">
      <c r="A387" t="inlineStr">
        <is>
          <t>South Africa</t>
        </is>
      </c>
      <c r="B387" t="inlineStr">
        <is>
          <t>Conduct-Standard-3-of-2020-BANKS-Annexure-A</t>
        </is>
      </c>
      <c r="C387" t="inlineStr">
        <is>
          <t>10</t>
        </is>
      </c>
      <c r="D387" s="8" t="inlineStr">
        <is>
          <t>Termination, closure or switching of financlal products or financlal services by the</t>
        </is>
      </c>
      <c r="E387" t="inlineStr">
        <is>
          <t>2</t>
        </is>
      </c>
      <c r="F387" t="inlineStr">
        <is>
          <t>Other</t>
        </is>
      </c>
      <c r="G387" t="inlineStr">
        <is>
          <t>High</t>
        </is>
      </c>
      <c r="H387" t="inlineStr">
        <is>
          <t>Low</t>
        </is>
      </c>
      <c r="I387" s="8" t="inlineStr"/>
      <c r="J387" s="8" t="inlineStr"/>
      <c r="K387" t="inlineStr"/>
      <c r="L387" s="8" t="inlineStr"/>
      <c r="M387" s="8" t="inlineStr"/>
      <c r="N387" s="8" t="inlineStr"/>
      <c r="O387" s="8" t="inlineStr">
        <is>
          <t>Termination, closure or switching of financlal products or financlal services by the</t>
        </is>
      </c>
    </row>
    <row r="388">
      <c r="A388" t="inlineStr">
        <is>
          <t>South Africa</t>
        </is>
      </c>
      <c r="B388" t="inlineStr">
        <is>
          <t>Conduct-Standard-3-of-2020-BANKS-Annexure-A</t>
        </is>
      </c>
      <c r="C388" t="inlineStr">
        <is>
          <t>10</t>
        </is>
      </c>
      <c r="D388" s="8" t="inlineStr">
        <is>
          <t>(3)</t>
        </is>
      </c>
      <c r="E388" t="inlineStr">
        <is>
          <t>22–23</t>
        </is>
      </c>
      <c r="F388" t="inlineStr">
        <is>
          <t>Customer Information</t>
        </is>
      </c>
      <c r="G388" t="inlineStr">
        <is>
          <t>High</t>
        </is>
      </c>
      <c r="H388" t="inlineStr">
        <is>
          <t>High (explicit)</t>
        </is>
      </c>
      <c r="I388" s="8" t="inlineStr">
        <is>
          <t>Customer Information, Termination</t>
        </is>
      </c>
      <c r="J388" s="8" t="inlineStr">
        <is>
          <t>Customer Information</t>
        </is>
      </c>
      <c r="K388" t="inlineStr"/>
      <c r="L388" s="8" t="inlineStr">
        <is>
          <t>Banks must disclose reasons for refusal, withdrawal, termination or closure of financial products/services to customers.</t>
        </is>
      </c>
      <c r="M388" s="8" t="inlineStr">
        <is>
          <t>Banks must disclose reasons for refusal, withdrawal, termination or closure of financial products/services to customers.</t>
        </is>
      </c>
      <c r="N388" s="8" t="inlineStr">
        <is>
          <t>[Must]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t>
        </is>
      </c>
      <c r="O388" s="8" t="inlineStr">
        <is>
          <t>Subject to subsection (4), a bank must, when it takes any of the actions referred to in subsection (1), disclose to the financial customer the reasons for the refusal, withdrawal, termination or closure.</t>
        </is>
      </c>
    </row>
    <row r="389">
      <c r="A389" t="inlineStr">
        <is>
          <t>South Africa</t>
        </is>
      </c>
      <c r="B389" t="inlineStr">
        <is>
          <t>Conduct-Standard-3-of-2020-BANKS-Annexure-A</t>
        </is>
      </c>
      <c r="C389" t="inlineStr">
        <is>
          <t>11</t>
        </is>
      </c>
      <c r="D389" s="8" t="inlineStr">
        <is>
          <t>Short title ANG COMMENCOMEONE.......:::ssescccccsccssssssscccnsssesseuserenecsenenscessnssasseoooserssessessensss 23</t>
        </is>
      </c>
      <c r="E389" t="inlineStr">
        <is>
          <t>2–5</t>
        </is>
      </c>
      <c r="F389" t="inlineStr">
        <is>
          <t>Definitions</t>
        </is>
      </c>
      <c r="G389" t="inlineStr">
        <is>
          <t>None</t>
        </is>
      </c>
      <c r="H389" t="inlineStr">
        <is>
          <t>High</t>
        </is>
      </c>
      <c r="I389" s="8" t="inlineStr"/>
      <c r="J389" s="8" t="inlineStr"/>
      <c r="K389" t="inlineStr">
        <is>
          <t>Financial Sector Conduct Authority</t>
        </is>
      </c>
      <c r="L389" s="8" t="inlineStr"/>
      <c r="M389" s="8" t="inlineStr"/>
      <c r="N389" s="8" t="inlineStr"/>
      <c r="O389" s="8" t="inlineStr">
        <is>
          <t>In this Conduct Standard, "the Act" means the Financial Sector Regulation Act, 2017 ()</t>
        </is>
      </c>
    </row>
    <row r="390">
      <c r="A390" t="inlineStr">
        <is>
          <t>South Africa</t>
        </is>
      </c>
      <c r="B390" t="inlineStr">
        <is>
          <t>Directive in respect of cybersecurity and cyber-resilisnce within the national payment system</t>
        </is>
      </c>
      <c r="C390" t="inlineStr">
        <is>
          <t>1</t>
        </is>
      </c>
      <c r="D390" s="8" t="inlineStr">
        <is>
          <t>Definitions</t>
        </is>
      </c>
      <c r="E390" t="inlineStr">
        <is>
          <t>3–5</t>
        </is>
      </c>
      <c r="F390" t="inlineStr">
        <is>
          <t>Definitions</t>
        </is>
      </c>
      <c r="G390" t="inlineStr">
        <is>
          <t>Low</t>
        </is>
      </c>
      <c r="H390" t="inlineStr">
        <is>
          <t>High (explicit)</t>
        </is>
      </c>
      <c r="I390" s="8" t="inlineStr">
        <is>
          <t>Definitions</t>
        </is>
      </c>
      <c r="J390" s="8" t="inlineStr">
        <is>
          <t>Personal Information, Financial Data, Customer Data, Employee Data</t>
        </is>
      </c>
      <c r="K390" t="inlineStr"/>
      <c r="L390" s="8" t="inlineStr">
        <is>
          <t>Defines critical service provider, compromise, cyber-attack, cyber-event, cyber-incident, cyber-resilience, cyber-risk, cybersecurity, cyber-threat, information asset, information system, information technology system, multi-factor authentication, payment institution, payment system Financial Market Infrastructure, operator, senior management, sensitive information, vulnerability assessment.</t>
        </is>
      </c>
      <c r="M390" s="8" t="inlineStr"/>
      <c r="N390" s="8" t="inlineStr"/>
      <c r="O390" s="8" t="inlineStr">
        <is>
          <t>Definitions 1.1 to 1.19</t>
        </is>
      </c>
    </row>
    <row r="391">
      <c r="A391" t="inlineStr">
        <is>
          <t>South Africa</t>
        </is>
      </c>
      <c r="B391" t="inlineStr">
        <is>
          <t>Directive in respect of cybersecurity and cyber-resilisnce within the national payment system</t>
        </is>
      </c>
      <c r="C391" t="inlineStr">
        <is>
          <t>2</t>
        </is>
      </c>
      <c r="D391" s="8" t="inlineStr">
        <is>
          <t>Background</t>
        </is>
      </c>
      <c r="E391" t="inlineStr">
        <is>
          <t>5–7</t>
        </is>
      </c>
      <c r="F391" t="inlineStr">
        <is>
          <t>Background</t>
        </is>
      </c>
      <c r="G391" t="inlineStr">
        <is>
          <t>Low</t>
        </is>
      </c>
      <c r="H391" t="inlineStr">
        <is>
          <t>High (explicit)</t>
        </is>
      </c>
      <c r="I391"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391" s="8" t="inlineStr">
        <is>
          <t>Financial Data</t>
        </is>
      </c>
      <c r="K391" t="inlineStr"/>
      <c r="L391" s="8" t="inlineStr">
        <is>
          <t>Explains the role of SARB in payment systems, NPS structure, and evolving cyber risks in digitized payment environments.</t>
        </is>
      </c>
      <c r="M391" s="8" t="inlineStr"/>
      <c r="N391" s="8" t="inlineStr"/>
      <c r="O391" s="8" t="inlineStr">
        <is>
          <t>Background 2.1 to 2.6</t>
        </is>
      </c>
    </row>
    <row r="392">
      <c r="A392" t="inlineStr">
        <is>
          <t>South Africa</t>
        </is>
      </c>
      <c r="B392" t="inlineStr">
        <is>
          <t>Directive in respect of cybersecurity and cyber-resilisnce within the national payment system</t>
        </is>
      </c>
      <c r="C392" t="inlineStr">
        <is>
          <t>3</t>
        </is>
      </c>
      <c r="D392" s="8" t="inlineStr">
        <is>
          <t>Purpose</t>
        </is>
      </c>
      <c r="E392" t="inlineStr">
        <is>
          <t>7</t>
        </is>
      </c>
      <c r="F392" t="inlineStr">
        <is>
          <t>Purpose</t>
        </is>
      </c>
      <c r="G392" t="inlineStr">
        <is>
          <t>Low</t>
        </is>
      </c>
      <c r="H392" t="inlineStr">
        <is>
          <t>High (explicit)</t>
        </is>
      </c>
      <c r="I392" s="8" t="inlineStr">
        <is>
          <t>Security, Governance, Record Keeping</t>
        </is>
      </c>
      <c r="J392" s="8" t="inlineStr">
        <is>
          <t>Financial Data</t>
        </is>
      </c>
      <c r="K392" t="inlineStr"/>
      <c r="L392" s="8" t="inlineStr">
        <is>
          <t>SARB issues directive to impose cybersecurity and cyber-resilience requirements on payment institutions and systems.</t>
        </is>
      </c>
      <c r="M392" s="8" t="inlineStr"/>
      <c r="N392" s="8" t="inlineStr"/>
      <c r="O392" s="8" t="inlineStr">
        <is>
          <t>Purpose 3.1</t>
        </is>
      </c>
    </row>
    <row r="393">
      <c r="A393" t="inlineStr">
        <is>
          <t>South Africa</t>
        </is>
      </c>
      <c r="B393" t="inlineStr">
        <is>
          <t>Directive in respect of cybersecurity and cyber-resilisnce within the national payment system</t>
        </is>
      </c>
      <c r="C393" t="inlineStr">
        <is>
          <t>5</t>
        </is>
      </c>
      <c r="D393" s="8" t="inlineStr">
        <is>
          <t>Directive</t>
        </is>
      </c>
      <c r="E393" t="inlineStr">
        <is>
          <t>7–16</t>
        </is>
      </c>
      <c r="F393" t="inlineStr">
        <is>
          <t>Security</t>
        </is>
      </c>
      <c r="G393" t="inlineStr">
        <is>
          <t>High</t>
        </is>
      </c>
      <c r="H393" t="inlineStr">
        <is>
          <t>High (explicit)</t>
        </is>
      </c>
      <c r="I393" s="8" t="inlineStr">
        <is>
          <t>Cybersecurity, Incident Reporting, Response and recovery, Testing, Information sharing, Situational awareness, Learning and evolving</t>
        </is>
      </c>
      <c r="J393" s="8" t="inlineStr">
        <is>
          <t>Financial Data</t>
        </is>
      </c>
      <c r="K393" t="inlineStr">
        <is>
          <t>SARB</t>
        </is>
      </c>
      <c r="L393" s="8" t="inlineStr">
        <is>
          <t>Payment institutions and operators must develop and maintain cybersecurity and cyber-resilience frameworks with specific governance, critical asset identification, security measures, detection, response, recovery, testing, information sharing, situational awareness, and learning capabilities.</t>
        </is>
      </c>
      <c r="M393" s="8" t="inlineStr">
        <is>
          <t>Requires payment institutions to implement comprehensive cybersecurity frameworks including governance, critical asset identification, security controls, incident response, and regular testing to ensure resilience against cyber threats.</t>
        </is>
      </c>
      <c r="N393" s="8" t="inlineStr">
        <is>
          <t>[Must] 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
[Must] Payment institutions and operators must have written effective cyber-governance arrangements that define cybersecurity objectives, outline people/processes/technology requirements, require board/senior management to determine cyber-risk tolerance, approve policies, oversee implementation, review annually, align with operational risk management, comply with standards, articulate cyber-risk controls, appoint senior executives, and ensure information sharing with SARB.
[Must] Payment institutions and operators must identify critical technology, operations, processes, information assets requiring protection against cyber-compromise, and internal/external dependencies to strengthen security and resilience.
[Must] Payment institutions and operators must ensure cybersecurity frameworks include security controls to protect confidentiality, integrity, and availability of services and information, with measures such as protective controls, access control, multi-factor authentication, encryption, and mitigation of interconnected risks.
[Must] Payment institutions and operators must ensure cyber-attack trigger points and detection measures to continuously detect and monitor anomalous events and activities, including multi-layered trigger indicators and detection controls.
[Must] Payment institutions or operators must have arrangements to enable safe and swift resumption of critical operations within two hours (or extended timelines with SARB approval) after cyber-attack detection.
[Must] Payment institutions or operators must develop and implement cyber-resilience testing programmes including test scenarios, penetration testing, system change testing, and regular vulnerability assessments.
[Must] Payment institutions or operators must share cyber threat and risk information with regulators, cybersecurity agencies, and trusted parties while ensuring compliance with data protection laws and the Cybercrimes Act.
[Must] Payment institutions or operators must understand the cyber-threat landscape, develop cyber-threat intelligence processes, and ensure collection of information about cyber-threats from other payment institutions to identify threats and develop detection, protection, and recovery measures.
[Must] Payment institutions or operators must ensure cybersecurity frameworks are adaptive, learn from previous incidents, monitor technological developments, and include predictive capabilities to proactively counter cyber-events.
[Must] Payment institutions or operators must report material cyber-incidents to SARB within 24 hours and provide a detailed report within 48 hours, including incident details, impact, recovery period, and systemic effects.
[Must] Payment institutions or operators must provide regular updates to SARB once incidents are remediated and operations have resumed.</t>
        </is>
      </c>
      <c r="O393" s="8" t="inlineStr">
        <is>
          <t>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t>
        </is>
      </c>
    </row>
    <row r="394">
      <c r="A394" t="inlineStr">
        <is>
          <t>South Africa</t>
        </is>
      </c>
      <c r="B394" t="inlineStr">
        <is>
          <t>Directive in respect of cybersecurity and cyber-resilisnce within the national payment system</t>
        </is>
      </c>
      <c r="C394" t="inlineStr">
        <is>
          <t>6</t>
        </is>
      </c>
      <c r="D394" s="8" t="inlineStr">
        <is>
          <t>Supervision and compliance monitoring</t>
        </is>
      </c>
      <c r="E394" t="inlineStr">
        <is>
          <t>16–19</t>
        </is>
      </c>
      <c r="F394" t="inlineStr">
        <is>
          <t>Supervision and compliance monitoring</t>
        </is>
      </c>
      <c r="G394" t="inlineStr">
        <is>
          <t>High</t>
        </is>
      </c>
      <c r="H394" t="inlineStr">
        <is>
          <t>High (explicit)</t>
        </is>
      </c>
      <c r="I394" s="8" t="inlineStr">
        <is>
          <t>Supervision and compliance monitoring, Inspection authority, Document access, Premises entry</t>
        </is>
      </c>
      <c r="J394" s="8" t="inlineStr">
        <is>
          <t>Financial Data</t>
        </is>
      </c>
      <c r="K394" t="inlineStr">
        <is>
          <t>SARB</t>
        </is>
      </c>
      <c r="L394" s="8" t="inlineStr">
        <is>
          <t>SARB may conduct supervisory inspections on payment institutions or operators with prior written notification, access to premises, and authority to inspect documents and systems without consent in specific circumstances.</t>
        </is>
      </c>
      <c r="M394" s="8" t="inlineStr">
        <is>
          <t>SARB has authority to conduct inspections with written notice, access to premises, and inspection of documents/systems without consent if certain conditions are met, ensuring compliance with cybersecurity directives.</t>
        </is>
      </c>
      <c r="N394" s="8" t="inlineStr">
        <is>
          <t>[May] SARB may conduct supervisory onsite or offsite inspections on payment institutions or operators to promote compliance with this directive.
[Must] SARB must provide written notification to payment institutions or operators prior to onsite inspection, specifying dates, SARB representatives, review period, and required documentation.
[Must] SARB representatives must produce a letter of authority and identity document upon entry to premises for verification.
[May] SARB representatives may enter premises without prior consent for business operations or with prior consent for private residences where business is conducted.
[May] SARB representatives may enter premises without prior notice if authorized by a warrant from a judge or magistrate.
[May] SARB representatives may enter premises without prior notice if a senior SARB staff member believes a warrant will be issued, delay in obtaining the warrant is likely to defeat the purpose, and entry is necessary for the inspection.
[Must] SARB representatives have the right to access any part of premises, documents, and systems during inspections, including opening strongrooms, examining documents, questioning persons, and taking copies of relevant items.
[Must] SARB representatives must provide written and signed receipts for documents or items taken during inspections.
[May] Payment institutions or operators may examine, copy, and make extracts from documents taken by SARB during normal office hours under supervision.
[Must] SARB representatives may require answers or documents from persons questioned during inspections, even if the person objects on grounds of incrimination.</t>
        </is>
      </c>
      <c r="O394" s="8" t="inlineStr">
        <is>
          <t>The SARB may at any time conduct a supervisory onsite or offsite inspection on payment institutions or operators, in a form and manner that the SARB may determine, to promote compliance with this directive.</t>
        </is>
      </c>
    </row>
    <row r="395">
      <c r="A395" t="inlineStr">
        <is>
          <t>South Africa</t>
        </is>
      </c>
      <c r="B395" t="inlineStr">
        <is>
          <t>Directive in respect of cybersecurity and cyber-resilisnce within the national payment system</t>
        </is>
      </c>
      <c r="C395" t="inlineStr">
        <is>
          <t>7</t>
        </is>
      </c>
      <c r="D395" s="8" t="inlineStr">
        <is>
          <t>Effective date and non-compliance</t>
        </is>
      </c>
      <c r="E395" t="inlineStr">
        <is>
          <t>19–20</t>
        </is>
      </c>
      <c r="F395" t="inlineStr">
        <is>
          <t>Other</t>
        </is>
      </c>
      <c r="G395" t="inlineStr">
        <is>
          <t>High</t>
        </is>
      </c>
      <c r="H395" t="inlineStr">
        <is>
          <t>High (explicit)</t>
        </is>
      </c>
      <c r="I395" s="8" t="inlineStr">
        <is>
          <t>Effective date, Compliance</t>
        </is>
      </c>
      <c r="J395" s="8" t="inlineStr">
        <is>
          <t>Customer Information</t>
        </is>
      </c>
      <c r="K395" t="inlineStr">
        <is>
          <t>SARB</t>
        </is>
      </c>
      <c r="L395" s="8" t="inlineStr">
        <is>
          <t>Directive effective three months after publication; SARB may amend requirements; payment institutions must comply.</t>
        </is>
      </c>
      <c r="M395" s="8" t="inlineStr">
        <is>
          <t>Specifies effective date and compliance obligation for payment institutions under the directive.</t>
        </is>
      </c>
      <c r="N395" s="8" t="inlineStr">
        <is>
          <t>[Condition] This directive will be effective three months after its publication
[Must] Payment institutions or operators must comply with the requirements or conditions as stipulated in this directive
[Authority] SARB reserves the right to amend any requirements in this directive</t>
        </is>
      </c>
      <c r="O395" s="8" t="inlineStr">
        <is>
          <t>Effective date and non-compliance
7.1. This directive will be effective three months after its publication. The SARB reserves the right to amend any requirements in this directive.</t>
        </is>
      </c>
    </row>
    <row r="396">
      <c r="A396" t="inlineStr">
        <is>
          <t>South Africa</t>
        </is>
      </c>
      <c r="B396" t="inlineStr">
        <is>
          <t>FICA (Financial Intelligence Centre Act, 38 of 2001</t>
        </is>
      </c>
      <c r="C396" t="inlineStr">
        <is>
          <t>1</t>
        </is>
      </c>
      <c r="D396" s="8" t="inlineStr">
        <is>
          <t>2.</t>
        </is>
      </c>
      <c r="E396" t="inlineStr">
        <is>
          <t>24</t>
        </is>
      </c>
      <c r="F396" t="inlineStr">
        <is>
          <t>Definitions</t>
        </is>
      </c>
      <c r="G396" t="inlineStr">
        <is>
          <t>High</t>
        </is>
      </c>
      <c r="H396" t="inlineStr">
        <is>
          <t>High (explicit)</t>
        </is>
      </c>
      <c r="I396" s="8" t="inlineStr"/>
      <c r="J396" s="8" t="inlineStr"/>
      <c r="K396" t="inlineStr"/>
      <c r="L396" s="8" t="inlineStr">
        <is>
          <t>Defines supervisory bodies under FICA, including financial regulators and authorities.</t>
        </is>
      </c>
      <c r="M396" s="8" t="inlineStr"/>
      <c r="N396" s="8" t="inlineStr">
        <is>
          <t>[Must] Supervisory bodies include Financial Services Board, South African Reserve Bank, etc.</t>
        </is>
      </c>
      <c r="O396" s="8" t="inlineStr">
        <is>
          <t>1. The Financial Services Board established by the Financial Services Board Act, 1990 (Act 97 of 1990).</t>
        </is>
      </c>
    </row>
    <row r="397">
      <c r="A397" t="inlineStr">
        <is>
          <t>South Africa</t>
        </is>
      </c>
      <c r="B397" t="inlineStr">
        <is>
          <t>FICA (Financial Intelligence Centre Act, 38 of 2001</t>
        </is>
      </c>
      <c r="C397" t="inlineStr">
        <is>
          <t>2</t>
        </is>
      </c>
      <c r="D397" s="8" t="inlineStr">
        <is>
          <t>(1) A Financial Intelligence Centre is hereby  established as an institution outside</t>
        </is>
      </c>
      <c r="E397" t="inlineStr">
        <is>
          <t>1</t>
        </is>
      </c>
      <c r="F397" t="inlineStr">
        <is>
          <t>Definitions</t>
        </is>
      </c>
      <c r="G397" t="inlineStr">
        <is>
          <t>High</t>
        </is>
      </c>
      <c r="H397" t="inlineStr">
        <is>
          <t>High (explicit)</t>
        </is>
      </c>
      <c r="I397" s="8" t="inlineStr"/>
      <c r="J397" s="8" t="inlineStr"/>
      <c r="K397" t="inlineStr"/>
      <c r="L397" s="8" t="inlineStr">
        <is>
          <t>Defines 'property' as any property or service derived from unlawful activities.</t>
        </is>
      </c>
      <c r="M397" s="8" t="inlineStr"/>
      <c r="N397"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397"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398">
      <c r="A398" t="inlineStr">
        <is>
          <t>South Africa</t>
        </is>
      </c>
      <c r="B398" t="inlineStr">
        <is>
          <t>FICA (Financial Intelligence Centre Act, 38 of 2001</t>
        </is>
      </c>
      <c r="C398" t="inlineStr">
        <is>
          <t>2</t>
        </is>
      </c>
      <c r="D398" s="8" t="inlineStr">
        <is>
          <t>In terms  of  section 1 of the  Prevention  Act,  this  term  means  "any  property</t>
        </is>
      </c>
      <c r="E398" t="inlineStr">
        <is>
          <t>2</t>
        </is>
      </c>
      <c r="F398" t="inlineStr">
        <is>
          <t>Definitions</t>
        </is>
      </c>
      <c r="G398" t="inlineStr">
        <is>
          <t>High</t>
        </is>
      </c>
      <c r="H398" t="inlineStr">
        <is>
          <t>High (explicit)</t>
        </is>
      </c>
      <c r="I398" s="8" t="inlineStr"/>
      <c r="J398" s="8" t="inlineStr"/>
      <c r="K398" t="inlineStr"/>
      <c r="L398" s="8" t="inlineStr">
        <is>
          <t>Defines 'property' as any property or service derived from unlawful activities.</t>
        </is>
      </c>
      <c r="M398" s="8" t="inlineStr"/>
      <c r="N398"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398"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399">
      <c r="A399" t="inlineStr">
        <is>
          <t>South Africa</t>
        </is>
      </c>
      <c r="B399" t="inlineStr">
        <is>
          <t>FICA (Financial Intelligence Centre Act, 38 of 2001</t>
        </is>
      </c>
      <c r="C399" t="inlineStr">
        <is>
          <t>2</t>
        </is>
      </c>
      <c r="D399" s="8" t="inlineStr">
        <is>
          <t>The substitution for section 7A of the following section:</t>
        </is>
      </c>
      <c r="E399" t="inlineStr">
        <is>
          <t>24</t>
        </is>
      </c>
      <c r="F399" t="inlineStr">
        <is>
          <t>Other</t>
        </is>
      </c>
      <c r="G399" t="inlineStr">
        <is>
          <t>High</t>
        </is>
      </c>
      <c r="H399" t="inlineStr">
        <is>
          <t>High (explicit)</t>
        </is>
      </c>
      <c r="I399" s="8" t="inlineStr"/>
      <c r="J399" s="8" t="inlineStr"/>
      <c r="K399" t="inlineStr"/>
      <c r="L399" s="8" t="inlineStr">
        <is>
          <t>Amends section 7A of Prevention of Organised Crime Act with additional defences for reporting obligations.</t>
        </is>
      </c>
      <c r="M399" s="8" t="inlineStr"/>
      <c r="N399" s="8" t="inlineStr">
        <is>
          <t>[May] Defence may be raised if person reported knowledge/suspicion under FICA
[May] Defence may be raised if person complied with internal reporting rules
[May] Defence may be raised if person reported to responsible person</t>
        </is>
      </c>
      <c r="O399" s="8" t="inlineStr">
        <is>
          <t>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t>
        </is>
      </c>
    </row>
    <row r="400">
      <c r="A400" t="inlineStr">
        <is>
          <t>South Africa</t>
        </is>
      </c>
      <c r="B400" t="inlineStr">
        <is>
          <t>FICA (Financial Intelligence Centre Act, 38 of 2001</t>
        </is>
      </c>
      <c r="C400" t="inlineStr">
        <is>
          <t>3</t>
        </is>
      </c>
      <c r="D400" s="8" t="inlineStr">
        <is>
          <t>(1) The principal objective of the  Centre  is  to assist in the identification of the</t>
        </is>
      </c>
      <c r="E400" t="inlineStr">
        <is>
          <t>1–2</t>
        </is>
      </c>
      <c r="F400" t="inlineStr">
        <is>
          <t>Definitions</t>
        </is>
      </c>
      <c r="G400" t="inlineStr">
        <is>
          <t>High</t>
        </is>
      </c>
      <c r="H400" t="inlineStr">
        <is>
          <t>High (explicit)</t>
        </is>
      </c>
      <c r="I400" s="8" t="inlineStr"/>
      <c r="J400" s="8" t="inlineStr"/>
      <c r="K400" t="inlineStr"/>
      <c r="L400" s="8" t="inlineStr">
        <is>
          <t>Defines 'money' as any movable, immovable, corporeal or incorporeal thing.</t>
        </is>
      </c>
      <c r="M400" s="8" t="inlineStr"/>
      <c r="N400" s="8" t="inlineStr">
        <is>
          <t>[Must] In terms of section 1 of the Prevention Act, this term means 'money or any other movable, immovable, corporeal or incorporeal thing, and includes any rights, privileges, claims and securities and any interest therein and all proceeds thereof'.</t>
        </is>
      </c>
      <c r="O400" s="8" t="inlineStr">
        <is>
          <t>3. In terms of section 1 of the Prevention Act, this term means 'money or any other movable, immovable, corporeal or incorporeal thing, and includes any rights, privileges, claims and securities and any interest therein and all proceeds thereof'.</t>
        </is>
      </c>
    </row>
    <row r="401">
      <c r="A401" t="inlineStr">
        <is>
          <t>South Africa</t>
        </is>
      </c>
      <c r="B401" t="inlineStr">
        <is>
          <t>FICA (Financial Intelligence Centre Act, 38 of 2001</t>
        </is>
      </c>
      <c r="C401" t="inlineStr">
        <is>
          <t>3</t>
        </is>
      </c>
      <c r="D401" s="8" t="inlineStr">
        <is>
          <t>In terms of section 1 of the  Prevention  Act,  this t m n means  "money or any  other  movable,  immovable,</t>
        </is>
      </c>
      <c r="E401" t="inlineStr">
        <is>
          <t>2</t>
        </is>
      </c>
      <c r="F401" t="inlineStr">
        <is>
          <t>Definitions</t>
        </is>
      </c>
      <c r="G401" t="inlineStr">
        <is>
          <t>High</t>
        </is>
      </c>
      <c r="H401" t="inlineStr">
        <is>
          <t>High (explicit)</t>
        </is>
      </c>
      <c r="I401" s="8" t="inlineStr"/>
      <c r="J401" s="8" t="inlineStr"/>
      <c r="K401" t="inlineStr"/>
      <c r="L401" s="8" t="inlineStr">
        <is>
          <t>Defines 'money' as any movable, immovable, corporeal or incorporeal thing.</t>
        </is>
      </c>
      <c r="M401" s="8" t="inlineStr"/>
      <c r="N401" s="8" t="inlineStr">
        <is>
          <t>[Must] In terms of section 1 of the Prevention Act, this term means 'money or any other movable, immovable, corporeal or incorporeal thing, and includes any rights, privileges, claims and securities and any interest therein and all proceeds thereof'.</t>
        </is>
      </c>
      <c r="O401" s="8" t="inlineStr">
        <is>
          <t>3. In terms of section 1 of the Prevention Act, this term means 'money or any other movable, immovable, corporeal or incorporeal thing, and includes any rights, privileges, claims and securities and any interest therein and all proceeds thereof'.</t>
        </is>
      </c>
    </row>
    <row r="402">
      <c r="A402" t="inlineStr">
        <is>
          <t>South Africa</t>
        </is>
      </c>
      <c r="B402" t="inlineStr">
        <is>
          <t>FICA (Financial Intelligence Centre Act, 38 of 2001</t>
        </is>
      </c>
      <c r="C402" t="inlineStr">
        <is>
          <t>4</t>
        </is>
      </c>
      <c r="D402" s="8" t="inlineStr">
        <is>
          <t>Ir terms  of  section I of the  Prevention  Act,  this  term  means  "conduct  which  constitutes  a  crime</t>
        </is>
      </c>
      <c r="E402" t="inlineStr">
        <is>
          <t>2</t>
        </is>
      </c>
      <c r="F402" t="inlineStr">
        <is>
          <t>Other</t>
        </is>
      </c>
      <c r="G402" t="inlineStr">
        <is>
          <t>High</t>
        </is>
      </c>
      <c r="H402" t="inlineStr">
        <is>
          <t>High (explicit)</t>
        </is>
      </c>
      <c r="I402" s="8" t="inlineStr">
        <is>
          <t>Processing, Data Sharing, Data Storage, Retention</t>
        </is>
      </c>
      <c r="J402" s="8" t="inlineStr">
        <is>
          <t>Financial Data</t>
        </is>
      </c>
      <c r="K402" t="inlineStr"/>
      <c r="L402" s="8" t="inlineStr">
        <is>
          <t>Centre must process, analyse information, inform authorities, monitor compliance, and retain information.</t>
        </is>
      </c>
      <c r="M402" s="8" t="inlineStr">
        <is>
          <t>Centre must process, analyse information disclosed to it, inform authorities, monitor compliance, and retain information.</t>
        </is>
      </c>
      <c r="N402"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402"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403">
      <c r="A403" t="inlineStr">
        <is>
          <t>South Africa</t>
        </is>
      </c>
      <c r="B403" t="inlineStr">
        <is>
          <t>FICA (Financial Intelligence Centre Act, 38 of 2001</t>
        </is>
      </c>
      <c r="C403" t="inlineStr">
        <is>
          <t>4</t>
        </is>
      </c>
      <c r="D403" s="8" t="inlineStr">
        <is>
          <t>To achieve its objectives the Centre  must-</t>
        </is>
      </c>
      <c r="E403" t="inlineStr">
        <is>
          <t>2</t>
        </is>
      </c>
      <c r="F403" t="inlineStr">
        <is>
          <t>Other</t>
        </is>
      </c>
      <c r="G403" t="inlineStr">
        <is>
          <t>High</t>
        </is>
      </c>
      <c r="H403" t="inlineStr">
        <is>
          <t>High (explicit)</t>
        </is>
      </c>
      <c r="I403" s="8" t="inlineStr">
        <is>
          <t>Processing, Data Sharing, Data Storage, Retention</t>
        </is>
      </c>
      <c r="J403" s="8" t="inlineStr">
        <is>
          <t>Financial Data</t>
        </is>
      </c>
      <c r="K403" t="inlineStr"/>
      <c r="L403" s="8" t="inlineStr">
        <is>
          <t>Centre must process, analyse information, inform authorities, monitor compliance, and retain information.</t>
        </is>
      </c>
      <c r="M403" s="8" t="inlineStr">
        <is>
          <t>Centre must process, analyse information disclosed to it, inform authorities, monitor compliance, and retain information.</t>
        </is>
      </c>
      <c r="N403"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403"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404">
      <c r="A404" t="inlineStr">
        <is>
          <t>South Africa</t>
        </is>
      </c>
      <c r="B404" t="inlineStr">
        <is>
          <t>FICA (Financial Intelligence Centre Act, 38 of 2001</t>
        </is>
      </c>
      <c r="C404" t="inlineStr">
        <is>
          <t>4</t>
        </is>
      </c>
      <c r="D404" s="8" t="inlineStr">
        <is>
          <t>The amendment of section 77-</t>
        </is>
      </c>
      <c r="E404" t="inlineStr">
        <is>
          <t>25</t>
        </is>
      </c>
      <c r="F404" t="inlineStr">
        <is>
          <t>Other</t>
        </is>
      </c>
      <c r="G404" t="inlineStr">
        <is>
          <t>High</t>
        </is>
      </c>
      <c r="H404" t="inlineStr">
        <is>
          <t>High (explicit)</t>
        </is>
      </c>
      <c r="I404" s="8" t="inlineStr"/>
      <c r="J404" s="8" t="inlineStr"/>
      <c r="K404" t="inlineStr"/>
      <c r="L404" s="8" t="inlineStr">
        <is>
          <t>Amends section 77 of FICA by deleting specific regulatory provisions.</t>
        </is>
      </c>
      <c r="M404" s="8" t="inlineStr"/>
      <c r="N404" s="8" t="inlineStr">
        <is>
          <t>[Must] Deletion from subsection (1) of paragraph (b) of section 77
[Must] Deletion from subsection (1) of paragraph (c) of section 77</t>
        </is>
      </c>
      <c r="O404" s="8" t="inlineStr">
        <is>
          <t>4. The amendment of section 77- 3.1 by the deletion from subsection (1) of paragraph (b); and 3.2 by the deletion from subsection (1) of paragraph (c).</t>
        </is>
      </c>
    </row>
    <row r="405">
      <c r="A405" t="inlineStr">
        <is>
          <t>South Africa</t>
        </is>
      </c>
      <c r="B405" t="inlineStr">
        <is>
          <t>FICA (Financial Intelligence Centre Act, 38 of 2001</t>
        </is>
      </c>
      <c r="C405" t="inlineStr">
        <is>
          <t>5</t>
        </is>
      </c>
      <c r="D405" s="8" t="inlineStr">
        <is>
          <t>(1) The  Centre may do all that  is necessary  or  expedient to  perform  its functions</t>
        </is>
      </c>
      <c r="E405" t="inlineStr">
        <is>
          <t>2–3</t>
        </is>
      </c>
      <c r="F405" t="inlineStr">
        <is>
          <t>Other</t>
        </is>
      </c>
      <c r="G405" t="inlineStr">
        <is>
          <t>High</t>
        </is>
      </c>
      <c r="H405" t="inlineStr">
        <is>
          <t>High (explicit)</t>
        </is>
      </c>
      <c r="I405" s="8" t="inlineStr">
        <is>
          <t>Cloud Services, Financial Data</t>
        </is>
      </c>
      <c r="J405" s="8" t="inlineStr">
        <is>
          <t>Financial Data</t>
        </is>
      </c>
      <c r="K405" t="inlineStr"/>
      <c r="L405" s="8" t="inlineStr">
        <is>
          <t>Centre may do all necessary actions to perform functions, including staff management and banking.</t>
        </is>
      </c>
      <c r="M405" s="8" t="inlineStr">
        <is>
          <t>Centre may determine staff establishment, appoint employees, obtain services, acquire property, open bank accounts, insure itself, perform legal acts, engage in lawful activities, and do incidental acts.</t>
        </is>
      </c>
      <c r="N405" s="8" t="inlineStr">
        <is>
          <t>[Must]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t>
        </is>
      </c>
      <c r="O405" s="8" t="inlineStr">
        <is>
          <t>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t>
        </is>
      </c>
    </row>
    <row r="406">
      <c r="A406" t="inlineStr">
        <is>
          <t>South Africa</t>
        </is>
      </c>
      <c r="B406" t="inlineStr">
        <is>
          <t>FICA (Financial Intelligence Centre Act, 38 of 2001</t>
        </is>
      </c>
      <c r="C406" t="inlineStr">
        <is>
          <t>7</t>
        </is>
      </c>
      <c r="D406" s="8" t="inlineStr">
        <is>
          <t>(1) The  Minister may remove  the  Director  from</t>
        </is>
      </c>
      <c r="E406" t="inlineStr">
        <is>
          <t>3</t>
        </is>
      </c>
      <c r="F406" t="inlineStr">
        <is>
          <t>Other</t>
        </is>
      </c>
      <c r="G406" t="inlineStr">
        <is>
          <t>High</t>
        </is>
      </c>
      <c r="H406" t="inlineStr">
        <is>
          <t>High (explicit)</t>
        </is>
      </c>
      <c r="I406" s="8" t="inlineStr"/>
      <c r="J406" s="8" t="inlineStr"/>
      <c r="K406" t="inlineStr"/>
      <c r="L406" s="8" t="inlineStr">
        <is>
          <t>Minister may remove Director from office on grounds of misconduct, incapacity or incompetence.</t>
        </is>
      </c>
      <c r="M406" s="8" t="inlineStr">
        <is>
          <t>Minister may remove Director from office on grounds of misconduct, incapacity or incompetence.</t>
        </is>
      </c>
      <c r="N406" s="8" t="inlineStr">
        <is>
          <t>[Must] The Minister may remove the Director from office only on the grounds referred to in section 13 or on the grounds of misconduct, incapacity or incompetence</t>
        </is>
      </c>
      <c r="O406" s="8" t="inlineStr">
        <is>
          <t>7. (1) The Minister may remove the Director from office only on the grounds referred to in section 13 or on the grounds of misconduct, incapacity or incompetence.</t>
        </is>
      </c>
    </row>
    <row r="407">
      <c r="A407" t="inlineStr">
        <is>
          <t>South Africa</t>
        </is>
      </c>
      <c r="B407" t="inlineStr">
        <is>
          <t>FICA (Financial Intelligence Centre Act, 38 of 2001</t>
        </is>
      </c>
      <c r="C407" t="inlineStr">
        <is>
          <t>9</t>
        </is>
      </c>
      <c r="D407" s="8" t="inlineStr">
        <is>
          <t>If the Minister has given notice in the Gazette of any  appointment of a person as the</t>
        </is>
      </c>
      <c r="E407" t="inlineStr">
        <is>
          <t>3</t>
        </is>
      </c>
      <c r="F407" t="inlineStr">
        <is>
          <t>Other</t>
        </is>
      </c>
      <c r="G407" t="inlineStr">
        <is>
          <t>High</t>
        </is>
      </c>
      <c r="H407" t="inlineStr">
        <is>
          <t>High (explicit)</t>
        </is>
      </c>
      <c r="I407" s="8" t="inlineStr"/>
      <c r="J407" s="8" t="inlineStr"/>
      <c r="K407" t="inlineStr"/>
      <c r="L407" s="8" t="inlineStr">
        <is>
          <t>Gazette notice of appointment serves as proof of appointment.</t>
        </is>
      </c>
      <c r="M407" s="8" t="inlineStr">
        <is>
          <t>Gazette notice of appointment may be presented in court as proof of appointment.</t>
        </is>
      </c>
      <c r="N407" s="8" t="inlineStr">
        <is>
          <t>[Must] If the Minister has given notice in the Gazette of any appointment of a person as the Director or as acting director, this notice may be presented in a Court as proof of the appointment</t>
        </is>
      </c>
      <c r="O407" s="8" t="inlineStr">
        <is>
          <t>9. If the Minister has given notice in the Gazette of any appointment of a person as the Director or as acting director, this notice may be presented in a Court as proof of the appointment.</t>
        </is>
      </c>
    </row>
    <row r="408">
      <c r="A408" t="inlineStr">
        <is>
          <t>South Africa</t>
        </is>
      </c>
      <c r="B408" t="inlineStr">
        <is>
          <t>FICA (Financial Intelligence Centre Act, 38 of 2001</t>
        </is>
      </c>
      <c r="C408" t="inlineStr">
        <is>
          <t>10</t>
        </is>
      </c>
      <c r="D408" s="8" t="inlineStr">
        <is>
          <t>(1) The Director-</t>
        </is>
      </c>
      <c r="E408" t="inlineStr">
        <is>
          <t>3–4</t>
        </is>
      </c>
      <c r="F408" t="inlineStr">
        <is>
          <t>Other</t>
        </is>
      </c>
      <c r="G408" t="inlineStr">
        <is>
          <t>Unknown</t>
        </is>
      </c>
      <c r="H408" t="inlineStr">
        <is>
          <t>Low</t>
        </is>
      </c>
      <c r="I408" s="8" t="inlineStr"/>
      <c r="J408" s="8" t="inlineStr"/>
      <c r="K408" t="inlineStr"/>
      <c r="L408" s="8" t="inlineStr"/>
      <c r="M408" s="8" t="inlineStr"/>
      <c r="N408" s="8" t="inlineStr"/>
      <c r="O408" s="8" t="inlineStr"/>
    </row>
    <row r="409">
      <c r="A409" t="inlineStr">
        <is>
          <t>South Africa</t>
        </is>
      </c>
      <c r="B409" t="inlineStr">
        <is>
          <t>FICA (Financial Intelligence Centre Act, 38 of 2001</t>
        </is>
      </c>
      <c r="C409" t="inlineStr">
        <is>
          <t>11</t>
        </is>
      </c>
      <c r="D409" s="8" t="inlineStr">
        <is>
          <t>(1) The staff of the  Centre consists (of-</t>
        </is>
      </c>
      <c r="E409" t="inlineStr">
        <is>
          <t>4</t>
        </is>
      </c>
      <c r="F409" t="inlineStr">
        <is>
          <t>Other</t>
        </is>
      </c>
      <c r="G409" t="inlineStr">
        <is>
          <t>Unknown</t>
        </is>
      </c>
      <c r="H409" t="inlineStr">
        <is>
          <t>Low</t>
        </is>
      </c>
      <c r="I409" s="8" t="inlineStr"/>
      <c r="J409" s="8" t="inlineStr"/>
      <c r="K409" t="inlineStr"/>
      <c r="L409" s="8" t="inlineStr"/>
      <c r="M409" s="8" t="inlineStr"/>
      <c r="N409" s="8" t="inlineStr"/>
      <c r="O409" s="8" t="inlineStr"/>
    </row>
    <row r="410">
      <c r="A410" t="inlineStr">
        <is>
          <t>South Africa</t>
        </is>
      </c>
      <c r="B410" t="inlineStr">
        <is>
          <t>FICA (Financial Intelligence Centre Act, 38 of 2001</t>
        </is>
      </c>
      <c r="C410" t="inlineStr">
        <is>
          <t>12</t>
        </is>
      </c>
      <c r="D410" s="8" t="inlineStr">
        <is>
          <t>(1) No person  other than the Director  may be  appointed or  seconded  to  perform</t>
        </is>
      </c>
      <c r="E410" t="inlineStr">
        <is>
          <t>4</t>
        </is>
      </c>
      <c r="F410" t="inlineStr">
        <is>
          <t>Other</t>
        </is>
      </c>
      <c r="G410" t="inlineStr">
        <is>
          <t>Unknown</t>
        </is>
      </c>
      <c r="H410" t="inlineStr">
        <is>
          <t>Low</t>
        </is>
      </c>
      <c r="I410" s="8" t="inlineStr"/>
      <c r="J410" s="8" t="inlineStr"/>
      <c r="K410" t="inlineStr"/>
      <c r="L410" s="8" t="inlineStr"/>
      <c r="M410" s="8" t="inlineStr"/>
      <c r="N410" s="8" t="inlineStr"/>
      <c r="O410" s="8" t="inlineStr"/>
    </row>
    <row r="411">
      <c r="A411" t="inlineStr">
        <is>
          <t>South Africa</t>
        </is>
      </c>
      <c r="B411" t="inlineStr">
        <is>
          <t>FICA (Financial Intelligence Centre Act, 38 of 2001</t>
        </is>
      </c>
      <c r="C411" t="inlineStr">
        <is>
          <t>13</t>
        </is>
      </c>
      <c r="D411" s="8" t="inlineStr">
        <is>
          <t>(1) No person  may be appointed a:$ the Director  of the Centre unless-</t>
        </is>
      </c>
      <c r="E411" t="inlineStr">
        <is>
          <t>4–5</t>
        </is>
      </c>
      <c r="F411" t="inlineStr">
        <is>
          <t>Other</t>
        </is>
      </c>
      <c r="G411" t="inlineStr">
        <is>
          <t>Unknown</t>
        </is>
      </c>
      <c r="H411" t="inlineStr">
        <is>
          <t>Low</t>
        </is>
      </c>
      <c r="I411" s="8" t="inlineStr"/>
      <c r="J411" s="8" t="inlineStr"/>
      <c r="K411" t="inlineStr"/>
      <c r="L411" s="8" t="inlineStr"/>
      <c r="M411" s="8" t="inlineStr"/>
      <c r="N411" s="8" t="inlineStr"/>
      <c r="O411" s="8" t="inlineStr"/>
    </row>
    <row r="412">
      <c r="A412" t="inlineStr">
        <is>
          <t>South Africa</t>
        </is>
      </c>
      <c r="B412" t="inlineStr">
        <is>
          <t>FICA (Financial Intelligence Centre Act, 38 of 2001</t>
        </is>
      </c>
      <c r="C412" t="inlineStr">
        <is>
          <t>14</t>
        </is>
      </c>
      <c r="D412" s="8" t="inlineStr">
        <is>
          <t>(1) The  funds of the  Centre consist of-</t>
        </is>
      </c>
      <c r="E412" t="inlineStr">
        <is>
          <t>5</t>
        </is>
      </c>
      <c r="F412" t="inlineStr">
        <is>
          <t>Other</t>
        </is>
      </c>
      <c r="G412" t="inlineStr">
        <is>
          <t>High</t>
        </is>
      </c>
      <c r="H412" t="inlineStr">
        <is>
          <t>High (explicit)</t>
        </is>
      </c>
      <c r="I412" s="8" t="inlineStr"/>
      <c r="J412" s="8" t="inlineStr">
        <is>
          <t>Financial Data</t>
        </is>
      </c>
      <c r="K412" t="inlineStr"/>
      <c r="L412" s="8" t="inlineStr">
        <is>
          <t>Centre's funds consist of parliamentary appropriations, government grants, and legally acquired money.</t>
        </is>
      </c>
      <c r="M412" s="8" t="inlineStr">
        <is>
          <t>Centre's funds consist of money appropriated annually by Parliament, government grants, and other money legally acquired with Minister's approval.</t>
        </is>
      </c>
      <c r="N412" s="8" t="inlineStr">
        <is>
          <t>[Must] money appropriated annually by Parliament for the purposes of the Centre
[Must] any government grants made to it
[Must] any other money legally acquired by it, provided that the Centre may accept donations only with the prior written approval of the Minister</t>
        </is>
      </c>
      <c r="O412" s="8" t="inlineStr">
        <is>
          <t>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t>
        </is>
      </c>
    </row>
    <row r="413">
      <c r="A413" t="inlineStr">
        <is>
          <t>South Africa</t>
        </is>
      </c>
      <c r="B413" t="inlineStr">
        <is>
          <t>FICA (Financial Intelligence Centre Act, 38 of 2001</t>
        </is>
      </c>
      <c r="C413" t="inlineStr">
        <is>
          <t>15</t>
        </is>
      </c>
      <c r="D413" s="8" t="inlineStr">
        <is>
          <t>The Auditor-General  must audit and report on the  accounts and financial records</t>
        </is>
      </c>
      <c r="E413" t="inlineStr">
        <is>
          <t>5</t>
        </is>
      </c>
      <c r="F413" t="inlineStr">
        <is>
          <t>Other</t>
        </is>
      </c>
      <c r="G413" t="inlineStr">
        <is>
          <t>High</t>
        </is>
      </c>
      <c r="H413" t="inlineStr">
        <is>
          <t>High (explicit)</t>
        </is>
      </c>
      <c r="I413" s="8" t="inlineStr"/>
      <c r="J413" s="8" t="inlineStr">
        <is>
          <t>Financial Data</t>
        </is>
      </c>
      <c r="K413" t="inlineStr"/>
      <c r="L413" s="8" t="inlineStr">
        <is>
          <t>Auditor-General must audit and report on Centre's accounts and financial records.</t>
        </is>
      </c>
      <c r="M413" s="8" t="inlineStr">
        <is>
          <t>Auditor-General must audit and report on Centre's accounts and financial records.</t>
        </is>
      </c>
      <c r="N413" s="8" t="inlineStr">
        <is>
          <t>[Must] The Auditor-General must audit and report on the accounts and financial records of the Centre</t>
        </is>
      </c>
      <c r="O413" s="8" t="inlineStr">
        <is>
          <t>15. The Auditor-General must audit and report on the accounts and financial records of the Centre.</t>
        </is>
      </c>
    </row>
    <row r="414">
      <c r="A414" t="inlineStr">
        <is>
          <t>South Africa</t>
        </is>
      </c>
      <c r="B414" t="inlineStr">
        <is>
          <t>FICA (Financial Intelligence Centre Act, 38 of 2001</t>
        </is>
      </c>
      <c r="C414" t="inlineStr">
        <is>
          <t>16</t>
        </is>
      </c>
      <c r="D414" s="8" t="inlineStr">
        <is>
          <t>(1) The Director may-</t>
        </is>
      </c>
      <c r="E414" t="inlineStr">
        <is>
          <t>5</t>
        </is>
      </c>
      <c r="F414" t="inlineStr">
        <is>
          <t>Other</t>
        </is>
      </c>
      <c r="G414" t="inlineStr">
        <is>
          <t>High</t>
        </is>
      </c>
      <c r="H414" t="inlineStr">
        <is>
          <t>High (explicit)</t>
        </is>
      </c>
      <c r="I414" s="8" t="inlineStr"/>
      <c r="J414" s="8" t="inlineStr">
        <is>
          <t>Financial Data</t>
        </is>
      </c>
      <c r="K414" t="inlineStr"/>
      <c r="L414" s="8" t="inlineStr">
        <is>
          <t>Director may delegate powers to staff or instruct staff to perform functions.</t>
        </is>
      </c>
      <c r="M414" s="8" t="inlineStr">
        <is>
          <t>Director may delegate powers to staff or instruct staff to perform functions, with conditions.</t>
        </is>
      </c>
      <c r="N414" s="8" t="inlineStr">
        <is>
          <t>[Must] delegate, in writing, any of the powers entrusted to the Centre in terms of this Act to a member of the staff of the Centre
[Must] instruct a member of the staff to perform any of the functions assigned to the Centre in terms of this Act</t>
        </is>
      </c>
      <c r="O414" s="8" t="inlineStr">
        <is>
          <t>16. (1) The Director may- (a) delegate, in writing, any of the powers entrusted to the Centre in terms of this Act to a member of the staff of the Centre; or (b) instruct a member of the staff to perform any of the functions assigned to the Centre in terms of this Act.</t>
        </is>
      </c>
    </row>
    <row r="415">
      <c r="A415" t="inlineStr">
        <is>
          <t>South Africa</t>
        </is>
      </c>
      <c r="B415" t="inlineStr">
        <is>
          <t>FICA (Financial Intelligence Centre Act, 38 of 2001</t>
        </is>
      </c>
      <c r="C415" t="inlineStr">
        <is>
          <t>18</t>
        </is>
      </c>
      <c r="D415" s="8" t="inlineStr">
        <is>
          <t>(1) The  Council  must-</t>
        </is>
      </c>
      <c r="E415" t="inlineStr">
        <is>
          <t>5–6</t>
        </is>
      </c>
      <c r="F415" t="inlineStr">
        <is>
          <t>Other</t>
        </is>
      </c>
      <c r="G415" t="inlineStr">
        <is>
          <t>High</t>
        </is>
      </c>
      <c r="H415" t="inlineStr">
        <is>
          <t>High (explicit)</t>
        </is>
      </c>
      <c r="I415" s="8" t="inlineStr">
        <is>
          <t>Data Sharing</t>
        </is>
      </c>
      <c r="J415" s="8" t="inlineStr">
        <is>
          <t>Financial Data</t>
        </is>
      </c>
      <c r="K415" t="inlineStr"/>
      <c r="L415" s="8" t="inlineStr">
        <is>
          <t>Council must advise Minister on policies, best practices, and Centre's performance.</t>
        </is>
      </c>
      <c r="M415" s="8" t="inlineStr">
        <is>
          <t>Council must advise Minister on policies and best practices to identify proceeds of unlawful activities, exercise powers of Minister, and Centre's performance.</t>
        </is>
      </c>
      <c r="N415" s="8" t="inlineStr">
        <is>
          <t>[Must]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t>
        </is>
      </c>
      <c r="O415" s="8" t="inlineStr">
        <is>
          <t>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t>
        </is>
      </c>
    </row>
    <row r="416">
      <c r="A416" t="inlineStr">
        <is>
          <t>South Africa</t>
        </is>
      </c>
      <c r="B416" t="inlineStr">
        <is>
          <t>FICA (Financial Intelligence Centre Act, 38 of 2001</t>
        </is>
      </c>
      <c r="C416" t="inlineStr">
        <is>
          <t>19</t>
        </is>
      </c>
      <c r="D416" s="8" t="inlineStr">
        <is>
          <t>(1) The Council consists of the Director  and each of the  following, namely-</t>
        </is>
      </c>
      <c r="E416" t="inlineStr">
        <is>
          <t>6</t>
        </is>
      </c>
      <c r="F416" t="inlineStr">
        <is>
          <t>Other</t>
        </is>
      </c>
      <c r="G416" t="inlineStr">
        <is>
          <t>High</t>
        </is>
      </c>
      <c r="H416" t="inlineStr">
        <is>
          <t>High (explicit)</t>
        </is>
      </c>
      <c r="I416" s="8" t="inlineStr"/>
      <c r="J416" s="8" t="inlineStr"/>
      <c r="K416" t="inlineStr"/>
      <c r="L416" s="8" t="inlineStr">
        <is>
          <t>Council consists of Director and specified representatives from government bodies and institutions.</t>
        </is>
      </c>
      <c r="M416" s="8" t="inlineStr">
        <is>
          <t>Council consists of Director and representatives from National Treasury, Police Service, Justice Department, Public Prosecutions, Intelligence Agency, Secret Service, Reserve Bank, Revenue Service, accountable institutions, and supervisory bodies.</t>
        </is>
      </c>
      <c r="N416" s="8" t="inlineStr">
        <is>
          <t>[Must]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t>
        </is>
      </c>
      <c r="O416" s="8" t="inlineStr">
        <is>
          <t>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t>
        </is>
      </c>
    </row>
    <row r="417">
      <c r="A417" t="inlineStr">
        <is>
          <t>South Africa</t>
        </is>
      </c>
      <c r="B417" t="inlineStr">
        <is>
          <t>FICA (Financial Intelligence Centre Act, 38 of 2001</t>
        </is>
      </c>
      <c r="C417" t="inlineStr">
        <is>
          <t>19</t>
        </is>
      </c>
      <c r="D417" s="8" t="inlineStr">
        <is>
          <t>An  attorney  as  defined in the Attorneys Act, 1979 (Act 53 of 1979).</t>
        </is>
      </c>
      <c r="E417" t="inlineStr">
        <is>
          <t>23–24</t>
        </is>
      </c>
      <c r="F417" t="inlineStr">
        <is>
          <t>Definitions</t>
        </is>
      </c>
      <c r="G417" t="inlineStr">
        <is>
          <t>High</t>
        </is>
      </c>
      <c r="H417" t="inlineStr">
        <is>
          <t>High (explicit)</t>
        </is>
      </c>
      <c r="I417" s="8" t="inlineStr"/>
      <c r="J417" s="8" t="inlineStr"/>
      <c r="K417" t="inlineStr"/>
      <c r="L417" s="8" t="inlineStr">
        <is>
          <t>Defines accountable institutions under FICA, including banks, insurance companies, and other financial entities.</t>
        </is>
      </c>
      <c r="M417" s="8" t="inlineStr"/>
      <c r="N417" s="8" t="inlineStr">
        <is>
          <t>[Must] Accountable institutions include banks, insurance companies, and other financial entities</t>
        </is>
      </c>
      <c r="O417" s="8" t="inlineStr">
        <is>
          <t>19. An attorney as defined in the Attorneys Act, 1979 (Act 53 of 1979). A person who carries on the business of a bank as defined in the Banks Act, 1990 (Act 94 of 1990).</t>
        </is>
      </c>
    </row>
    <row r="418">
      <c r="A418" t="inlineStr">
        <is>
          <t>South Africa</t>
        </is>
      </c>
      <c r="B418" t="inlineStr">
        <is>
          <t>FICA (Financial Intelligence Centre Act, 38 of 2001</t>
        </is>
      </c>
      <c r="C418" t="inlineStr">
        <is>
          <t>20</t>
        </is>
      </c>
      <c r="D418" s="8" t="inlineStr">
        <is>
          <t>(1) The chairperson of the  Council may call  a  meeting of the Council, but  must</t>
        </is>
      </c>
      <c r="E418" t="inlineStr">
        <is>
          <t>6–7</t>
        </is>
      </c>
      <c r="F418" t="inlineStr">
        <is>
          <t>Other</t>
        </is>
      </c>
      <c r="G418" t="inlineStr">
        <is>
          <t>Low</t>
        </is>
      </c>
      <c r="H418" t="inlineStr">
        <is>
          <t>High (explicit)</t>
        </is>
      </c>
      <c r="I418" s="8" t="inlineStr"/>
      <c r="J418" s="8" t="inlineStr"/>
      <c r="K418" t="inlineStr">
        <is>
          <t>Minister</t>
        </is>
      </c>
      <c r="L418" s="8" t="inlineStr">
        <is>
          <t>Chairperson may call Council meetings but must call a meeting if Minister requests.</t>
        </is>
      </c>
      <c r="M418" s="8" t="inlineStr"/>
      <c r="N418" s="8" t="inlineStr">
        <is>
          <t>[Must] The chairperson of the Council may call a meeting of the Council, but must call a meeting if the Minister so requests.</t>
        </is>
      </c>
      <c r="O418" s="8" t="inlineStr">
        <is>
          <t>20. (1) The chairperson of the Council may call a meeting of the Council, but must call a meeting if the Minister so requests.</t>
        </is>
      </c>
    </row>
    <row r="419">
      <c r="A419" t="inlineStr">
        <is>
          <t>South Africa</t>
        </is>
      </c>
      <c r="B419" t="inlineStr">
        <is>
          <t>FICA (Financial Intelligence Centre Act, 38 of 2001</t>
        </is>
      </c>
      <c r="C419" t="inlineStr">
        <is>
          <t>22</t>
        </is>
      </c>
      <c r="D419" s="8" t="inlineStr">
        <is>
          <t>(1) Whenever an accountable institution establishes a business relationship or</t>
        </is>
      </c>
      <c r="E419" t="inlineStr">
        <is>
          <t>7–8</t>
        </is>
      </c>
      <c r="F419" t="inlineStr">
        <is>
          <t>KYC</t>
        </is>
      </c>
      <c r="G419" t="inlineStr">
        <is>
          <t>High</t>
        </is>
      </c>
      <c r="H419" t="inlineStr">
        <is>
          <t>High (explicit)</t>
        </is>
      </c>
      <c r="I419" s="8" t="inlineStr">
        <is>
          <t>Record Keeping</t>
        </is>
      </c>
      <c r="J419" s="8" t="inlineStr">
        <is>
          <t>Personal Information</t>
        </is>
      </c>
      <c r="K419" t="inlineStr">
        <is>
          <t>Accountable institutions</t>
        </is>
      </c>
      <c r="L419" s="8" t="inlineStr">
        <is>
          <t>Accountable institutions must keep records of client identity, business relationships, transactions, and related details.</t>
        </is>
      </c>
      <c r="M419" s="8" t="inlineStr">
        <is>
          <t>Mandatory record-keeping of client identity and transaction details for financial institutions.</t>
        </is>
      </c>
      <c r="N419" s="8" t="inlineStr">
        <is>
          <t>[Must]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t>
        </is>
      </c>
      <c r="O419" s="8" t="inlineStr">
        <is>
          <t>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t>
        </is>
      </c>
    </row>
    <row r="420">
      <c r="A420" t="inlineStr">
        <is>
          <t>South Africa</t>
        </is>
      </c>
      <c r="B420" t="inlineStr">
        <is>
          <t>FICA (Financial Intelligence Centre Act, 38 of 2001</t>
        </is>
      </c>
      <c r="C420" t="inlineStr">
        <is>
          <t>23</t>
        </is>
      </c>
      <c r="D420" s="8" t="inlineStr">
        <is>
          <t>An  accountable institution must  keep the records referred to in section 22 which</t>
        </is>
      </c>
      <c r="E420" t="inlineStr">
        <is>
          <t>8</t>
        </is>
      </c>
      <c r="F420" t="inlineStr">
        <is>
          <t>Retention</t>
        </is>
      </c>
      <c r="G420" t="inlineStr">
        <is>
          <t>High</t>
        </is>
      </c>
      <c r="H420" t="inlineStr">
        <is>
          <t>High (explicit)</t>
        </is>
      </c>
      <c r="I420" s="8" t="inlineStr">
        <is>
          <t>Retention</t>
        </is>
      </c>
      <c r="J420" s="8" t="inlineStr">
        <is>
          <t>Personal Information</t>
        </is>
      </c>
      <c r="K420" t="inlineStr">
        <is>
          <t>Accountable institutions</t>
        </is>
      </c>
      <c r="L420" s="8" t="inlineStr">
        <is>
          <t>Records must be kept for at least five years from termination of business relationship or transaction date.</t>
        </is>
      </c>
      <c r="M420" s="8" t="inlineStr">
        <is>
          <t>Records retention period of five years for financial transactions.</t>
        </is>
      </c>
      <c r="N420" s="8" t="inlineStr">
        <is>
          <t>[Must]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t>
        </is>
      </c>
      <c r="O420" s="8" t="inlineStr">
        <is>
          <t>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t>
        </is>
      </c>
    </row>
    <row r="421">
      <c r="A421" t="inlineStr">
        <is>
          <t>South Africa</t>
        </is>
      </c>
      <c r="B421" t="inlineStr">
        <is>
          <t>FICA (Financial Intelligence Centre Act, 38 of 2001</t>
        </is>
      </c>
      <c r="C421" t="inlineStr">
        <is>
          <t>24</t>
        </is>
      </c>
      <c r="D421" s="8" t="inlineStr">
        <is>
          <t>(1) The  duties  imposed by section  22 on  an accountable  institution to keep record</t>
        </is>
      </c>
      <c r="E421" t="inlineStr">
        <is>
          <t>8</t>
        </is>
      </c>
      <c r="F421" t="inlineStr">
        <is>
          <t>Record Keeping</t>
        </is>
      </c>
      <c r="G421" t="inlineStr">
        <is>
          <t>High</t>
        </is>
      </c>
      <c r="H421" t="inlineStr">
        <is>
          <t>High (explicit)</t>
        </is>
      </c>
      <c r="I421" s="8" t="inlineStr">
        <is>
          <t>Record Keeping</t>
        </is>
      </c>
      <c r="J421" s="8" t="inlineStr">
        <is>
          <t>Personal Information</t>
        </is>
      </c>
      <c r="K421" t="inlineStr">
        <is>
          <t>Accountable institutions</t>
        </is>
      </c>
      <c r="L421" s="8" t="inlineStr">
        <is>
          <t>Third parties may perform record-keeping duties for accountable institutions with access to records.</t>
        </is>
      </c>
      <c r="M421" s="8" t="inlineStr">
        <is>
          <t>Third parties can handle records if accountable institution has access to them.</t>
        </is>
      </c>
      <c r="N421" s="8" t="inlineStr">
        <is>
          <t>[May]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t>
        </is>
      </c>
      <c r="O421" s="8" t="inlineStr">
        <is>
          <t>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t>
        </is>
      </c>
    </row>
    <row r="422">
      <c r="A422" t="inlineStr">
        <is>
          <t>South Africa</t>
        </is>
      </c>
      <c r="B422" t="inlineStr">
        <is>
          <t>FICA (Financial Intelligence Centre Act, 38 of 2001</t>
        </is>
      </c>
      <c r="C422" t="inlineStr">
        <is>
          <t>25</t>
        </is>
      </c>
      <c r="D422" s="8" t="inlineStr">
        <is>
          <t>A record kept in terms of section  22 (or section  24, or a certified extract of any such</t>
        </is>
      </c>
      <c r="E422" t="inlineStr">
        <is>
          <t>8</t>
        </is>
      </c>
      <c r="F422" t="inlineStr">
        <is>
          <t>Record Keeping</t>
        </is>
      </c>
      <c r="G422" t="inlineStr">
        <is>
          <t>Low</t>
        </is>
      </c>
      <c r="H422" t="inlineStr">
        <is>
          <t>High (explicit)</t>
        </is>
      </c>
      <c r="I422" s="8" t="inlineStr">
        <is>
          <t>Record Keeping</t>
        </is>
      </c>
      <c r="J422" s="8" t="inlineStr">
        <is>
          <t>Personal Information</t>
        </is>
      </c>
      <c r="K422" t="inlineStr"/>
      <c r="L422" s="8" t="inlineStr">
        <is>
          <t>Records produced in court are admissible as evidence of facts contained in them.</t>
        </is>
      </c>
      <c r="M422" s="8" t="inlineStr">
        <is>
          <t>Records from section 22 or 24 are admissible in court as evidence.</t>
        </is>
      </c>
      <c r="N422" s="8" t="inlineStr">
        <is>
          <t>[Must] A record kept in terms of section 22 (or section 24, or a certified extract of any such record, or a certified printout of any extract of an electronic record) is on its mere production in a matter before a court admissible as evidence of any fact contained in it.</t>
        </is>
      </c>
      <c r="O422" s="8" t="inlineStr">
        <is>
          <t>25. A record kept in terms of section 22 (or section 24, or a certified extract of any such record, or a certified printout of any extract of an electronic record) is on its mere production in a matter before a court admissible as evidence of any fact contained in it.</t>
        </is>
      </c>
    </row>
    <row r="423">
      <c r="A423" t="inlineStr">
        <is>
          <t>South Africa</t>
        </is>
      </c>
      <c r="B423" t="inlineStr">
        <is>
          <t>FICA (Financial Intelligence Centre Act, 38 of 2001</t>
        </is>
      </c>
      <c r="C423" t="inlineStr">
        <is>
          <t>26</t>
        </is>
      </c>
      <c r="D423" s="8" t="inlineStr">
        <is>
          <t>(1) An authorised representative of the  Centre has access during ordinary working</t>
        </is>
      </c>
      <c r="E423" t="inlineStr">
        <is>
          <t>8–9</t>
        </is>
      </c>
      <c r="F423" t="inlineStr">
        <is>
          <t>Other</t>
        </is>
      </c>
      <c r="G423" t="inlineStr">
        <is>
          <t>High</t>
        </is>
      </c>
      <c r="H423" t="inlineStr">
        <is>
          <t>High (explicit)</t>
        </is>
      </c>
      <c r="I423" s="8" t="inlineStr"/>
      <c r="J423" s="8" t="inlineStr">
        <is>
          <t>Personal Information</t>
        </is>
      </c>
      <c r="K423" t="inlineStr">
        <is>
          <t>Financial Intelligence Centre</t>
        </is>
      </c>
      <c r="L423" s="8" t="inlineStr">
        <is>
          <t>Centre's authorized representatives may access records with warrants for money laundering investigations.</t>
        </is>
      </c>
      <c r="M423" s="8" t="inlineStr">
        <is>
          <t>Centre can access records with warrants for investigations.</t>
        </is>
      </c>
      <c r="N423" s="8" t="inlineStr">
        <is>
          <t>[May]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t>
        </is>
      </c>
      <c r="O423" s="8" t="inlineStr">
        <is>
          <t>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t>
        </is>
      </c>
    </row>
    <row r="424">
      <c r="A424" t="inlineStr">
        <is>
          <t>South Africa</t>
        </is>
      </c>
      <c r="B424" t="inlineStr">
        <is>
          <t>FICA (Financial Intelligence Centre Act, 38 of 2001</t>
        </is>
      </c>
      <c r="C424" t="inlineStr">
        <is>
          <t>28</t>
        </is>
      </c>
      <c r="D424" s="8" t="inlineStr">
        <is>
          <t>An  accountable institution and a reporting institution must,  within the prescribed</t>
        </is>
      </c>
      <c r="E424" t="inlineStr">
        <is>
          <t>9</t>
        </is>
      </c>
      <c r="F424" t="inlineStr">
        <is>
          <t>Other</t>
        </is>
      </c>
      <c r="G424" t="inlineStr">
        <is>
          <t>High</t>
        </is>
      </c>
      <c r="H424" t="inlineStr">
        <is>
          <t>High (explicit)</t>
        </is>
      </c>
      <c r="I424" s="8" t="inlineStr"/>
      <c r="J424" s="8" t="inlineStr">
        <is>
          <t>Financial Data</t>
        </is>
      </c>
      <c r="K424" t="inlineStr">
        <is>
          <t>Accountable institutions</t>
        </is>
      </c>
      <c r="L424" s="8" t="inlineStr">
        <is>
          <t>Accountable institutions must report cash transactions exceeding prescribed amounts to Centre.</t>
        </is>
      </c>
      <c r="M424" s="8" t="inlineStr">
        <is>
          <t>Mandatory reporting of cash transactions above thresholds to Centre.</t>
        </is>
      </c>
      <c r="N424" s="8" t="inlineStr">
        <is>
          <t>[Must]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t>
        </is>
      </c>
      <c r="O424" s="8" t="inlineStr">
        <is>
          <t>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t>
        </is>
      </c>
    </row>
    <row r="425">
      <c r="A425" t="inlineStr">
        <is>
          <t>South Africa</t>
        </is>
      </c>
      <c r="B425" t="inlineStr">
        <is>
          <t>FICA (Financial Intelligence Centre Act, 38 of 2001</t>
        </is>
      </c>
      <c r="C425" t="inlineStr">
        <is>
          <t>29</t>
        </is>
      </c>
      <c r="D425" s="8" t="inlineStr">
        <is>
          <t>(1) A person who carries on a businl:ss or is in charge of or  manages a business  or</t>
        </is>
      </c>
      <c r="E425" t="inlineStr">
        <is>
          <t>9–10</t>
        </is>
      </c>
      <c r="F425" t="inlineStr">
        <is>
          <t>Other</t>
        </is>
      </c>
      <c r="G425" t="inlineStr">
        <is>
          <t>High</t>
        </is>
      </c>
      <c r="H425" t="inlineStr">
        <is>
          <t>High (explicit)</t>
        </is>
      </c>
      <c r="I425" s="8" t="inlineStr"/>
      <c r="J425" s="8" t="inlineStr">
        <is>
          <t>Personal Information</t>
        </is>
      </c>
      <c r="K425" t="inlineStr">
        <is>
          <t>Businesses and individuals</t>
        </is>
      </c>
      <c r="L425" s="8" t="inlineStr">
        <is>
          <t>Persons must report suspicious transactions or activities to Centre if they suspect money laundering.</t>
        </is>
      </c>
      <c r="M425" s="8" t="inlineStr">
        <is>
          <t>Mandatory reporting of suspicious transactions to Centre.</t>
        </is>
      </c>
      <c r="N425" s="8" t="inlineStr">
        <is>
          <t>[Must]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O425" s="8" t="inlineStr">
        <is>
          <t>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row>
    <row r="426">
      <c r="A426" t="inlineStr">
        <is>
          <t>South Africa</t>
        </is>
      </c>
      <c r="B426" t="inlineStr">
        <is>
          <t>FICA (Financial Intelligence Centre Act, 38 of 2001</t>
        </is>
      </c>
      <c r="C426" t="inlineStr">
        <is>
          <t>30</t>
        </is>
      </c>
      <c r="D426" s="8" t="inlineStr">
        <is>
          <t>(1)  A person intending to convey an amount of cash in  excess of the  prescribed</t>
        </is>
      </c>
      <c r="E426" t="inlineStr">
        <is>
          <t>10–11</t>
        </is>
      </c>
      <c r="F426" t="inlineStr">
        <is>
          <t>Other</t>
        </is>
      </c>
      <c r="G426" t="inlineStr">
        <is>
          <t>High</t>
        </is>
      </c>
      <c r="H426" t="inlineStr">
        <is>
          <t>High (explicit)</t>
        </is>
      </c>
      <c r="I426" s="8" t="inlineStr"/>
      <c r="J426" s="8" t="inlineStr">
        <is>
          <t>Financial Data</t>
        </is>
      </c>
      <c r="K426" t="inlineStr">
        <is>
          <t>Minister</t>
        </is>
      </c>
      <c r="L426" s="8" t="inlineStr">
        <is>
          <t>Persons must report cash conveyances exceeding prescribed amounts to Centre.</t>
        </is>
      </c>
      <c r="M426" s="8" t="inlineStr">
        <is>
          <t>Mandatory reporting of cash movements across borders to Centre.</t>
        </is>
      </c>
      <c r="N426" s="8" t="inlineStr">
        <is>
          <t>[Must]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t>
        </is>
      </c>
      <c r="O426" s="8" t="inlineStr">
        <is>
          <t>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t>
        </is>
      </c>
    </row>
    <row r="427">
      <c r="A427" t="inlineStr">
        <is>
          <t>South Africa</t>
        </is>
      </c>
      <c r="B427" t="inlineStr">
        <is>
          <t>FICA (Financial Intelligence Centre Act, 38 of 2001</t>
        </is>
      </c>
      <c r="C427" t="inlineStr">
        <is>
          <t>32</t>
        </is>
      </c>
      <c r="D427" s="8" t="inlineStr">
        <is>
          <t>(1) A report  in terns of section 28,29 or 31 to the  Centre and a  report in terms of  15</t>
        </is>
      </c>
      <c r="E427" t="inlineStr">
        <is>
          <t>11</t>
        </is>
      </c>
      <c r="F427" t="inlineStr">
        <is>
          <t>Other</t>
        </is>
      </c>
      <c r="G427" t="inlineStr">
        <is>
          <t>High</t>
        </is>
      </c>
      <c r="H427" t="inlineStr">
        <is>
          <t>High (explicit)</t>
        </is>
      </c>
      <c r="I427" s="8" t="inlineStr"/>
      <c r="J427" s="8" t="inlineStr">
        <is>
          <t>Financial Data</t>
        </is>
      </c>
      <c r="K427" t="inlineStr">
        <is>
          <t>Financial Intelligence Centre</t>
        </is>
      </c>
      <c r="L427" s="8" t="inlineStr">
        <is>
          <t>Reports must be made in prescribed manner and additional information may be requested.</t>
        </is>
      </c>
      <c r="M427" s="8" t="inlineStr">
        <is>
          <t>Reports must be submitted in prescribed format with additional information possible.</t>
        </is>
      </c>
      <c r="N427" s="8" t="inlineStr">
        <is>
          <t>[Must]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O427" s="8" t="inlineStr">
        <is>
          <t>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row>
    <row r="428">
      <c r="A428" t="inlineStr">
        <is>
          <t>South Africa</t>
        </is>
      </c>
      <c r="B428" t="inlineStr">
        <is>
          <t>FICA (Financial Intelligence Centre Act, 38 of 2001</t>
        </is>
      </c>
      <c r="C428" t="inlineStr">
        <is>
          <t>33</t>
        </is>
      </c>
      <c r="D428" s="8" t="inlineStr">
        <is>
          <t>An accountable institution, reporting institution or person required to make a</t>
        </is>
      </c>
      <c r="E428" t="inlineStr">
        <is>
          <t>11</t>
        </is>
      </c>
      <c r="F428" t="inlineStr">
        <is>
          <t>Other</t>
        </is>
      </c>
      <c r="G428" t="inlineStr">
        <is>
          <t>High</t>
        </is>
      </c>
      <c r="H428" t="inlineStr">
        <is>
          <t>High (explicit)</t>
        </is>
      </c>
      <c r="I428" s="8" t="inlineStr"/>
      <c r="J428" s="8" t="inlineStr">
        <is>
          <t>Financial Data</t>
        </is>
      </c>
      <c r="K428" t="inlineStr">
        <is>
          <t>Financial Intelligence Centre</t>
        </is>
      </c>
      <c r="L428" s="8" t="inlineStr">
        <is>
          <t>Transactions may continue after reporting unless Centre directs otherwise.</t>
        </is>
      </c>
      <c r="M428" s="8" t="inlineStr">
        <is>
          <t>Transactions can continue after reporting unless Centre intervenes.</t>
        </is>
      </c>
      <c r="N428" s="8" t="inlineStr">
        <is>
          <t>[May]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O428" s="8" t="inlineStr">
        <is>
          <t>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row>
    <row r="429">
      <c r="A429" t="inlineStr">
        <is>
          <t>South Africa</t>
        </is>
      </c>
      <c r="B429" t="inlineStr">
        <is>
          <t>FICA (Financial Intelligence Centre Act, 38 of 2001</t>
        </is>
      </c>
      <c r="C429" t="inlineStr">
        <is>
          <t>34</t>
        </is>
      </c>
      <c r="D429" s="8" t="inlineStr">
        <is>
          <t>(1) If the  Centre,  after  consulting</t>
        </is>
      </c>
      <c r="E429" t="inlineStr">
        <is>
          <t>11</t>
        </is>
      </c>
      <c r="F429" t="inlineStr">
        <is>
          <t>Other</t>
        </is>
      </c>
      <c r="G429" t="inlineStr">
        <is>
          <t>High</t>
        </is>
      </c>
      <c r="H429" t="inlineStr">
        <is>
          <t>High (explicit)</t>
        </is>
      </c>
      <c r="I429" s="8" t="inlineStr"/>
      <c r="J429" s="8" t="inlineStr">
        <is>
          <t>Financial Data</t>
        </is>
      </c>
      <c r="K429" t="inlineStr">
        <is>
          <t>Financial Intelligence Centre</t>
        </is>
      </c>
      <c r="L429" s="8" t="inlineStr">
        <is>
          <t>Centre may direct non-proceeding with transactions suspected of money laundering.</t>
        </is>
      </c>
      <c r="M429" s="8" t="inlineStr">
        <is>
          <t>Centre can halt transactions suspected of money laundering for up to five days.</t>
        </is>
      </c>
      <c r="N429" s="8" t="inlineStr">
        <is>
          <t>[May]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t>
        </is>
      </c>
      <c r="O429" s="8" t="inlineStr">
        <is>
          <t>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t>
        </is>
      </c>
    </row>
    <row r="430">
      <c r="A430" t="inlineStr">
        <is>
          <t>South Africa</t>
        </is>
      </c>
      <c r="B430" t="inlineStr">
        <is>
          <t>FICA (Financial Intelligence Centre Act, 38 of 2001</t>
        </is>
      </c>
      <c r="C430" t="inlineStr">
        <is>
          <t>35</t>
        </is>
      </c>
      <c r="D430" s="8" t="inlineStr">
        <is>
          <t>(1) A judge designated by</t>
        </is>
      </c>
      <c r="E430" t="inlineStr">
        <is>
          <t>11–12</t>
        </is>
      </c>
      <c r="F430" t="inlineStr">
        <is>
          <t>Other</t>
        </is>
      </c>
      <c r="G430" t="inlineStr">
        <is>
          <t>High</t>
        </is>
      </c>
      <c r="H430" t="inlineStr">
        <is>
          <t>High (explicit)</t>
        </is>
      </c>
      <c r="I430" s="8" t="inlineStr"/>
      <c r="J430" s="8" t="inlineStr">
        <is>
          <t>Financial Data</t>
        </is>
      </c>
      <c r="K430" t="inlineStr">
        <is>
          <t>Judge</t>
        </is>
      </c>
      <c r="L430" s="8" t="inlineStr">
        <is>
          <t>Judges may order institutions to report transactions suspected of money laundering.</t>
        </is>
      </c>
      <c r="M430" s="8" t="inlineStr">
        <is>
          <t>Judges can order institutions to report transactions for money laundering monitoring.</t>
        </is>
      </c>
      <c r="N430" s="8" t="inlineStr">
        <is>
          <t>[May]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O430" s="8" t="inlineStr">
        <is>
          <t>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row>
    <row r="431">
      <c r="A431" t="inlineStr">
        <is>
          <t>South Africa</t>
        </is>
      </c>
      <c r="B431" t="inlineStr">
        <is>
          <t>FICA (Financial Intelligence Centre Act, 38 of 2001</t>
        </is>
      </c>
      <c r="C431" t="inlineStr">
        <is>
          <t>36</t>
        </is>
      </c>
      <c r="D431" s="8" t="inlineStr">
        <is>
          <t>(1) If a supervisory  body or  the South African Revenue  Service knows  or  suspects</t>
        </is>
      </c>
      <c r="E431" t="inlineStr">
        <is>
          <t>12</t>
        </is>
      </c>
      <c r="F431" t="inlineStr">
        <is>
          <t>Incident Reporting</t>
        </is>
      </c>
      <c r="G431" t="inlineStr">
        <is>
          <t>High</t>
        </is>
      </c>
      <c r="H431" t="inlineStr">
        <is>
          <t>High (explicit)</t>
        </is>
      </c>
      <c r="I431" s="8" t="inlineStr">
        <is>
          <t>Incident Reporting, Breach Notification</t>
        </is>
      </c>
      <c r="J431" s="8" t="inlineStr">
        <is>
          <t>Financial Data</t>
        </is>
      </c>
      <c r="K431" t="inlineStr">
        <is>
          <t>Financial Intelligence Centre (Centre)</t>
        </is>
      </c>
      <c r="L431" s="8" t="inlineStr">
        <is>
          <t>Supervisory bodies or South African Revenue Service must report suspected money laundering activities to Centre with relevant information.</t>
        </is>
      </c>
      <c r="M431" s="8" t="inlineStr">
        <is>
          <t>Requires reporting of suspected money laundering to Centre with supporting records for investigation.</t>
        </is>
      </c>
      <c r="N431" s="8" t="inlineStr">
        <is>
          <t>[Must]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t>
        </is>
      </c>
      <c r="O431" s="8" t="inlineStr">
        <is>
          <t>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t>
        </is>
      </c>
    </row>
    <row r="432">
      <c r="A432" t="inlineStr">
        <is>
          <t>South Africa</t>
        </is>
      </c>
      <c r="B432" t="inlineStr">
        <is>
          <t>FICA (Financial Intelligence Centre Act, 38 of 2001</t>
        </is>
      </c>
      <c r="C432" t="inlineStr">
        <is>
          <t>37</t>
        </is>
      </c>
      <c r="D432" s="8" t="inlineStr">
        <is>
          <t>(1) Subject to subsection  (2),  no  duty of secrecy or confidentiality or any other</t>
        </is>
      </c>
      <c r="E432" t="inlineStr">
        <is>
          <t>12–13</t>
        </is>
      </c>
      <c r="F432" t="inlineStr">
        <is>
          <t>Incident Reporting</t>
        </is>
      </c>
      <c r="G432" t="inlineStr">
        <is>
          <t>High</t>
        </is>
      </c>
      <c r="H432" t="inlineStr">
        <is>
          <t>High (explicit)</t>
        </is>
      </c>
      <c r="I432" s="8" t="inlineStr">
        <is>
          <t>Incident Reporting, Breach Notification</t>
        </is>
      </c>
      <c r="J432" s="8" t="inlineStr">
        <is>
          <t>Financial Data</t>
        </is>
      </c>
      <c r="K432" t="inlineStr">
        <is>
          <t>Financial Intelligence Centre (Centre)</t>
        </is>
      </c>
      <c r="L432" s="8" t="inlineStr">
        <is>
          <t>No duty of secrecy affects compliance with reporting obligations to Centre for money laundering investigations.</t>
        </is>
      </c>
      <c r="M432" s="8" t="inlineStr">
        <is>
          <t>Compliance with reporting to Centre is not subject to confidentiality obligations.</t>
        </is>
      </c>
      <c r="N432" s="8" t="inlineStr">
        <is>
          <t>[Must] No duty of secrecy or confidentiality affects compliance by accountable institutions, supervisory bodies, reporting institutions, South African Revenue Service with reporting provisions of this Part</t>
        </is>
      </c>
      <c r="O432" s="8" t="inlineStr">
        <is>
          <t>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t>
        </is>
      </c>
    </row>
    <row r="433">
      <c r="A433" t="inlineStr">
        <is>
          <t>South Africa</t>
        </is>
      </c>
      <c r="B433" t="inlineStr">
        <is>
          <t>FICA (Financial Intelligence Centre Act, 38 of 2001</t>
        </is>
      </c>
      <c r="C433" t="inlineStr">
        <is>
          <t>38</t>
        </is>
      </c>
      <c r="D433" s="8" t="inlineStr">
        <is>
          <t>(1) No action, whether criminal  or  civil,  lies  against an accountable institution,</t>
        </is>
      </c>
      <c r="E433" t="inlineStr">
        <is>
          <t>13</t>
        </is>
      </c>
      <c r="F433" t="inlineStr">
        <is>
          <t>Incident Reporting</t>
        </is>
      </c>
      <c r="G433" t="inlineStr">
        <is>
          <t>High</t>
        </is>
      </c>
      <c r="H433" t="inlineStr">
        <is>
          <t>High (explicit)</t>
        </is>
      </c>
      <c r="I433" s="8" t="inlineStr">
        <is>
          <t>Incident Reporting, Breach Notification</t>
        </is>
      </c>
      <c r="J433" s="8" t="inlineStr">
        <is>
          <t>Financial Data</t>
        </is>
      </c>
      <c r="K433" t="inlineStr">
        <is>
          <t>Financial Intelligence Centre (Centre)</t>
        </is>
      </c>
      <c r="L433" s="8" t="inlineStr">
        <is>
          <t>No legal action lies against entities complying with reporting obligations to Centre for money laundering investigations.</t>
        </is>
      </c>
      <c r="M433" s="8" t="inlineStr">
        <is>
          <t>Reporting to Centre for money laundering investigations is protected from legal consequences.</t>
        </is>
      </c>
      <c r="N433" s="8" t="inlineStr">
        <is>
          <t>[Must] No action, whether criminal or civil, lies against an accountable institution, reporting institution, supervisory body, South African Revenue Service or any other person complying in good faith with a provision of this Part</t>
        </is>
      </c>
      <c r="O433" s="8" t="inlineStr">
        <is>
          <t>38. (1) No action, whether criminal or civil, lies against an accountable institution, reporting institution, supervisory body, South African Revenue Service or any other person complying in good faith with a provision of this Part...</t>
        </is>
      </c>
    </row>
    <row r="434">
      <c r="A434" t="inlineStr">
        <is>
          <t>South Africa</t>
        </is>
      </c>
      <c r="B434" t="inlineStr">
        <is>
          <t>FICA (Financial Intelligence Centre Act, 38 of 2001</t>
        </is>
      </c>
      <c r="C434" t="inlineStr">
        <is>
          <t>40</t>
        </is>
      </c>
      <c r="D434" s="8" t="inlineStr">
        <is>
          <t>(1) No person is entitled  to  information held by the  Centre, except-</t>
        </is>
      </c>
      <c r="E434" t="inlineStr">
        <is>
          <t>13–14</t>
        </is>
      </c>
      <c r="F434" t="inlineStr">
        <is>
          <t>Incident Reporting</t>
        </is>
      </c>
      <c r="G434" t="inlineStr">
        <is>
          <t>High</t>
        </is>
      </c>
      <c r="H434" t="inlineStr">
        <is>
          <t>High (explicit)</t>
        </is>
      </c>
      <c r="I434" s="8" t="inlineStr">
        <is>
          <t>Incident Reporting, Breach Notification</t>
        </is>
      </c>
      <c r="J434" s="8" t="inlineStr">
        <is>
          <t>Financial Data</t>
        </is>
      </c>
      <c r="K434" t="inlineStr">
        <is>
          <t>Financial Intelligence Centre (Centre)</t>
        </is>
      </c>
      <c r="L434" s="8" t="inlineStr">
        <is>
          <t>Centre may disclose information to specific entities for money laundering investigations with safeguards.</t>
        </is>
      </c>
      <c r="M434" s="8" t="inlineStr">
        <is>
          <t>Centre may share information with investigating authorities, intelligence services, accountable institutions, and supervisory bodies for money laundering investigations with confidentiality safeguards.</t>
        </is>
      </c>
      <c r="N434" s="8" t="inlineStr">
        <is>
          <t>[Must] No person entitled to information held by Centre except investigating authorities, intelligence services, accountable institutions, supervisory bodies, courts or entities with written agreements</t>
        </is>
      </c>
      <c r="O434" s="8" t="inlineStr">
        <is>
          <t>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t>
        </is>
      </c>
    </row>
    <row r="435">
      <c r="A435" t="inlineStr">
        <is>
          <t>South Africa</t>
        </is>
      </c>
      <c r="B435" t="inlineStr">
        <is>
          <t>FICA (Financial Intelligence Centre Act, 38 of 2001</t>
        </is>
      </c>
      <c r="C435" t="inlineStr">
        <is>
          <t>41</t>
        </is>
      </c>
      <c r="D435" s="8" t="inlineStr">
        <is>
          <t>No person may  disclose confidential information  held by or obtained from the</t>
        </is>
      </c>
      <c r="E435" t="inlineStr">
        <is>
          <t>14</t>
        </is>
      </c>
      <c r="F435" t="inlineStr">
        <is>
          <t>Incident Reporting</t>
        </is>
      </c>
      <c r="G435" t="inlineStr">
        <is>
          <t>High</t>
        </is>
      </c>
      <c r="H435" t="inlineStr">
        <is>
          <t>High (explicit)</t>
        </is>
      </c>
      <c r="I435" s="8" t="inlineStr">
        <is>
          <t>Incident Reporting, Breach Notification</t>
        </is>
      </c>
      <c r="J435" s="8" t="inlineStr">
        <is>
          <t>Financial Data</t>
        </is>
      </c>
      <c r="K435" t="inlineStr">
        <is>
          <t>Financial Intelligence Centre (Centre)</t>
        </is>
      </c>
      <c r="L435" s="8" t="inlineStr">
        <is>
          <t>Confidential information held by Centre may not be disclosed except for specific purposes.</t>
        </is>
      </c>
      <c r="M435" s="8" t="inlineStr">
        <is>
          <t>Centre's confidential information may only be disclosed for specific purposes like legal proceedings, compliance with legislation, or with Centre's permission.</t>
        </is>
      </c>
      <c r="N435" s="8" t="inlineStr">
        <is>
          <t>[Must] No person may disclose confidential information held by or obtained from Centre except within scope of powers, for carrying out provisions of Act, with Centre's permission, for legal proceedings, or in terms of court order</t>
        </is>
      </c>
      <c r="O435" s="8" t="inlineStr">
        <is>
          <t>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t>
        </is>
      </c>
    </row>
    <row r="436">
      <c r="A436" t="inlineStr">
        <is>
          <t>South Africa</t>
        </is>
      </c>
      <c r="B436" t="inlineStr">
        <is>
          <t>FICA (Financial Intelligence Centre Act, 38 of 2001</t>
        </is>
      </c>
      <c r="C436" t="inlineStr">
        <is>
          <t>42</t>
        </is>
      </c>
      <c r="D436" s="8" t="inlineStr">
        <is>
          <t>(1) An accountable institution must formulate and implement internal rules</t>
        </is>
      </c>
      <c r="E436" t="inlineStr">
        <is>
          <t>14–15</t>
        </is>
      </c>
      <c r="F436" t="inlineStr">
        <is>
          <t>Incident Reporting</t>
        </is>
      </c>
      <c r="G436" t="inlineStr">
        <is>
          <t>High</t>
        </is>
      </c>
      <c r="H436" t="inlineStr">
        <is>
          <t>High (explicit)</t>
        </is>
      </c>
      <c r="I436" s="8" t="inlineStr">
        <is>
          <t>Incident Reporting, Breach Notification</t>
        </is>
      </c>
      <c r="J436" s="8" t="inlineStr">
        <is>
          <t>Financial Data</t>
        </is>
      </c>
      <c r="K436" t="inlineStr">
        <is>
          <t>Financial Intelligence Centre (Centre)</t>
        </is>
      </c>
      <c r="L436" s="8" t="inlineStr">
        <is>
          <t>Accountable institutions must create internal rules for identifying persons, record-keeping, and transaction reporting.</t>
        </is>
      </c>
      <c r="M436" s="8" t="inlineStr">
        <is>
          <t>Accountable institutions must implement internal rules for identifying persons, record-keeping, and transaction reporting to comply with money laundering regulations.</t>
        </is>
      </c>
      <c r="N436" s="8" t="inlineStr">
        <is>
          <t>[Must] Accountable institution must formulate and implement internal rules concerning establishment and verification of identity of persons, information to be kept, manner of keeping records, steps to determine reportable transactions</t>
        </is>
      </c>
      <c r="O436" s="8" t="inlineStr">
        <is>
          <t>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t>
        </is>
      </c>
    </row>
    <row r="437">
      <c r="A437" t="inlineStr">
        <is>
          <t>South Africa</t>
        </is>
      </c>
      <c r="B437" t="inlineStr">
        <is>
          <t>FICA (Financial Intelligence Centre Act, 38 of 2001</t>
        </is>
      </c>
      <c r="C437" t="inlineStr">
        <is>
          <t>43</t>
        </is>
      </c>
      <c r="D437" s="8" t="inlineStr">
        <is>
          <t>An accountable institution must-</t>
        </is>
      </c>
      <c r="E437" t="inlineStr">
        <is>
          <t>15</t>
        </is>
      </c>
      <c r="F437" t="inlineStr">
        <is>
          <t>Incident Reporting</t>
        </is>
      </c>
      <c r="G437" t="inlineStr">
        <is>
          <t>High</t>
        </is>
      </c>
      <c r="H437" t="inlineStr">
        <is>
          <t>High (explicit)</t>
        </is>
      </c>
      <c r="I437" s="8" t="inlineStr">
        <is>
          <t>Incident Reporting, Breach Notification</t>
        </is>
      </c>
      <c r="J437" s="8" t="inlineStr">
        <is>
          <t>Financial Data</t>
        </is>
      </c>
      <c r="K437" t="inlineStr">
        <is>
          <t>Financial Intelligence Centre (Centre)</t>
        </is>
      </c>
      <c r="L437" s="8" t="inlineStr">
        <is>
          <t>Accountable institutions must provide training and appoint compliance officers.</t>
        </is>
      </c>
      <c r="M437" s="8" t="inlineStr">
        <is>
          <t>Accountable institutions must train employees and appoint compliance officers to ensure adherence to money laundering regulations.</t>
        </is>
      </c>
      <c r="N437" s="8" t="inlineStr">
        <is>
          <t>[Must] Accountable institution must provide training to employees to enable compliance with provisions of Act and internal rules
[Must] Accountable institution must appoint a person responsible for ensuring compliance with provisions of Act and internal rules</t>
        </is>
      </c>
      <c r="O437" s="8" t="inlineStr">
        <is>
          <t>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t>
        </is>
      </c>
    </row>
    <row r="438">
      <c r="A438" t="inlineStr">
        <is>
          <t>South Africa</t>
        </is>
      </c>
      <c r="B438" t="inlineStr">
        <is>
          <t>FICA (Financial Intelligence Centre Act, 38 of 2001</t>
        </is>
      </c>
      <c r="C438" t="inlineStr">
        <is>
          <t>44</t>
        </is>
      </c>
      <c r="D438" s="8" t="inlineStr">
        <is>
          <t>If the  Centre in the performance of  it,s functions  has  reasonable  grounds</t>
        </is>
      </c>
      <c r="E438" t="inlineStr">
        <is>
          <t>15</t>
        </is>
      </c>
      <c r="F438" t="inlineStr">
        <is>
          <t>Incident Reporting</t>
        </is>
      </c>
      <c r="G438" t="inlineStr">
        <is>
          <t>High</t>
        </is>
      </c>
      <c r="H438" t="inlineStr">
        <is>
          <t>High (explicit)</t>
        </is>
      </c>
      <c r="I438" s="8" t="inlineStr">
        <is>
          <t>Incident Reporting, Breach Notification</t>
        </is>
      </c>
      <c r="J438" s="8" t="inlineStr">
        <is>
          <t>Financial Data</t>
        </is>
      </c>
      <c r="K438" t="inlineStr">
        <is>
          <t>Financial Intelligence Centre (Centre)</t>
        </is>
      </c>
      <c r="L438" s="8" t="inlineStr">
        <is>
          <t>Centre may refer suspected non-compliance to supervisory bodies or investigating authorities.</t>
        </is>
      </c>
      <c r="M438" s="8" t="inlineStr">
        <is>
          <t>Centre may refer suspected money laundering non-compliance to supervisory bodies or investigating authorities for remedial action.</t>
        </is>
      </c>
      <c r="N438" s="8" t="inlineStr">
        <is>
          <t>[May] If Centre has reasonable grounds to suspect non-compliance, may refer matter to relevant investigating authority or supervisory body</t>
        </is>
      </c>
      <c r="O438" s="8" t="inlineStr">
        <is>
          <t>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t>
        </is>
      </c>
    </row>
    <row r="439">
      <c r="A439" t="inlineStr">
        <is>
          <t>South Africa</t>
        </is>
      </c>
      <c r="B439" t="inlineStr">
        <is>
          <t>FICA (Financial Intelligence Centre Act, 38 of 2001</t>
        </is>
      </c>
      <c r="C439" t="inlineStr">
        <is>
          <t>45</t>
        </is>
      </c>
      <c r="D439" s="8" t="inlineStr">
        <is>
          <t>(1) Each supervisory body is responsible for supervising compliance with the</t>
        </is>
      </c>
      <c r="E439" t="inlineStr">
        <is>
          <t>15</t>
        </is>
      </c>
      <c r="F439" t="inlineStr">
        <is>
          <t>Incident Reporting</t>
        </is>
      </c>
      <c r="G439" t="inlineStr">
        <is>
          <t>High</t>
        </is>
      </c>
      <c r="H439" t="inlineStr">
        <is>
          <t>High (explicit)</t>
        </is>
      </c>
      <c r="I439" s="8" t="inlineStr">
        <is>
          <t>Incident Reporting, Breach Notification</t>
        </is>
      </c>
      <c r="J439" s="8" t="inlineStr">
        <is>
          <t>Financial Data</t>
        </is>
      </c>
      <c r="K439" t="inlineStr">
        <is>
          <t>Financial Intelligence Centre (Centre)</t>
        </is>
      </c>
      <c r="L439" s="8" t="inlineStr">
        <is>
          <t>Supervisory bodies must investigate Centre referrals and remedy suspected non-compliance.</t>
        </is>
      </c>
      <c r="M439" s="8" t="inlineStr">
        <is>
          <t>Supervisory bodies must investigate Centre referrals and take steps to remedy suspected money laundering non-compliance.</t>
        </is>
      </c>
      <c r="N439" s="8" t="inlineStr">
        <is>
          <t>[Must] Each supervisory body is responsible for supervising compliance with provisions of this Chapter by accountable institutions regulated by it</t>
        </is>
      </c>
      <c r="O439" s="8" t="inlineStr">
        <is>
          <t>45. (1) Each supervisory body is responsible for supervising compliance with the provisions of this Chapter by each accountable institution regulated or supervised by it.</t>
        </is>
      </c>
    </row>
    <row r="440">
      <c r="A440" t="inlineStr">
        <is>
          <t>South Africa</t>
        </is>
      </c>
      <c r="B440" t="inlineStr">
        <is>
          <t>FICA (Financial Intelligence Centre Act, 38 of 2001</t>
        </is>
      </c>
      <c r="C440" t="inlineStr">
        <is>
          <t>46</t>
        </is>
      </c>
      <c r="D440" s="8" t="inlineStr">
        <is>
          <t>(1) An accountable institution  that  performs any act to give effect to a  business</t>
        </is>
      </c>
      <c r="E440" t="inlineStr">
        <is>
          <t>15</t>
        </is>
      </c>
      <c r="F440" t="inlineStr">
        <is>
          <t>Incident Reporting</t>
        </is>
      </c>
      <c r="G440" t="inlineStr">
        <is>
          <t>High</t>
        </is>
      </c>
      <c r="H440" t="inlineStr">
        <is>
          <t>High (explicit)</t>
        </is>
      </c>
      <c r="I440" s="8" t="inlineStr">
        <is>
          <t>Incident Reporting, Breach Notification</t>
        </is>
      </c>
      <c r="J440" s="8" t="inlineStr">
        <is>
          <t>Financial Data</t>
        </is>
      </c>
      <c r="K440" t="inlineStr">
        <is>
          <t>Financial Intelligence Centre (Centre)</t>
        </is>
      </c>
      <c r="L440" s="8" t="inlineStr">
        <is>
          <t>Accountable institutions that perform transactions in contravention of identification requirements are guilty of offences.</t>
        </is>
      </c>
      <c r="M440" s="8" t="inlineStr">
        <is>
          <t>Accountable institutions that fail to identify persons in transactions are subject to offences under this Act.</t>
        </is>
      </c>
      <c r="N440" s="8" t="inlineStr">
        <is>
          <t>[Must] Accountable institution that performs any act to give effect to a business relationship or single transaction in contravention of section 21(1) is guilty of an offence</t>
        </is>
      </c>
      <c r="O440" s="8" t="inlineStr">
        <is>
          <t>46. (1) An accountable institution that performs any act to give effect to a business relationship or single transaction in contravention of section  21(1) is guilty of an offence.</t>
        </is>
      </c>
    </row>
    <row r="441">
      <c r="A441" t="inlineStr">
        <is>
          <t>South Africa</t>
        </is>
      </c>
      <c r="B441" t="inlineStr">
        <is>
          <t>FICA (Financial Intelligence Centre Act, 38 of 2001</t>
        </is>
      </c>
      <c r="C441" t="inlineStr">
        <is>
          <t>47</t>
        </is>
      </c>
      <c r="D441" s="8" t="inlineStr">
        <is>
          <t>An accountable institution  that  fails  tc+-</t>
        </is>
      </c>
      <c r="E441" t="inlineStr">
        <is>
          <t>15</t>
        </is>
      </c>
      <c r="F441" t="inlineStr">
        <is>
          <t>Incident Reporting</t>
        </is>
      </c>
      <c r="G441" t="inlineStr">
        <is>
          <t>High</t>
        </is>
      </c>
      <c r="H441" t="inlineStr">
        <is>
          <t>High (explicit)</t>
        </is>
      </c>
      <c r="I441" s="8" t="inlineStr">
        <is>
          <t>Incident Reporting, Breach Notification</t>
        </is>
      </c>
      <c r="J441" s="8" t="inlineStr">
        <is>
          <t>Financial Data</t>
        </is>
      </c>
      <c r="K441" t="inlineStr">
        <is>
          <t>Financial Intelligence Centre (Centre)</t>
        </is>
      </c>
      <c r="L441" s="8" t="inlineStr">
        <is>
          <t>Accountable institutions that fail to keep records as required are guilty of offences.</t>
        </is>
      </c>
      <c r="M441" s="8" t="inlineStr">
        <is>
          <t>Accountable institutions that fail to maintain records as required by the Act are subject to offences.</t>
        </is>
      </c>
      <c r="N441" s="8" t="inlineStr">
        <is>
          <t>[Must] Accountable institution that fails to keep record of information in terms of section 22(1); or keep such records in accordance with section 23 or 24(1); or comply with section 24(3) is guilty of an offence</t>
        </is>
      </c>
      <c r="O441" s="8" t="inlineStr">
        <is>
          <t>47. An accountable institution that fails to- (a) keep record of information in terms of section 22(1); or (b) keep such records in accordance with section 23 or section 24(1); or (c) comply with the provisions of section 24(3), is guilty of an offence.</t>
        </is>
      </c>
    </row>
    <row r="442">
      <c r="A442" t="inlineStr">
        <is>
          <t>South Africa</t>
        </is>
      </c>
      <c r="B442" t="inlineStr">
        <is>
          <t>FICA (Financial Intelligence Centre Act, 38 of 2001</t>
        </is>
      </c>
      <c r="C442" t="inlineStr">
        <is>
          <t>48</t>
        </is>
      </c>
      <c r="D442" s="8" t="inlineStr">
        <is>
          <t>Any person who wilfully tampers with a  record  kept in terms of section  22 or</t>
        </is>
      </c>
      <c r="E442" t="inlineStr">
        <is>
          <t>15–16</t>
        </is>
      </c>
      <c r="F442" t="inlineStr">
        <is>
          <t>Incident Reporting</t>
        </is>
      </c>
      <c r="G442" t="inlineStr">
        <is>
          <t>High</t>
        </is>
      </c>
      <c r="H442" t="inlineStr">
        <is>
          <t>High (explicit)</t>
        </is>
      </c>
      <c r="I442" s="8" t="inlineStr">
        <is>
          <t>Incident Reporting, Breach Notification</t>
        </is>
      </c>
      <c r="J442" s="8" t="inlineStr">
        <is>
          <t>Financial Data</t>
        </is>
      </c>
      <c r="K442" t="inlineStr">
        <is>
          <t>Financial Intelligence Centre (Centre)</t>
        </is>
      </c>
      <c r="L442" s="8" t="inlineStr">
        <is>
          <t>Wilful tampering or destruction of records is an offence.</t>
        </is>
      </c>
      <c r="M442" s="8" t="inlineStr">
        <is>
          <t>Wilful tampering or destruction of records required by the Act is subject to criminal penalties.</t>
        </is>
      </c>
      <c r="N442" s="8" t="inlineStr">
        <is>
          <t>[Must] Any person who wilfully tampers with a record kept in terms of section 22 or section 24(1), or wilfully destroys such a record, otherwise than in accordance with section 23, is guilty of an offence</t>
        </is>
      </c>
      <c r="O442" s="8" t="inlineStr">
        <is>
          <t>48. Any person who wilfully tampers with a record kept in terms of section 22 or section 24(1), or wilfully destroys such a record, otherwise than in accordance with section 23, is guilty of an offence.</t>
        </is>
      </c>
    </row>
    <row r="443">
      <c r="A443" t="inlineStr">
        <is>
          <t>South Africa</t>
        </is>
      </c>
      <c r="B443" t="inlineStr">
        <is>
          <t>FICA (Financial Intelligence Centre Act, 38 of 2001</t>
        </is>
      </c>
      <c r="C443" t="inlineStr">
        <is>
          <t>49</t>
        </is>
      </c>
      <c r="D443" s="8" t="inlineStr">
        <is>
          <t>An accountable institution that  fails to give  assistance to a  representative of the</t>
        </is>
      </c>
      <c r="E443" t="inlineStr">
        <is>
          <t>16</t>
        </is>
      </c>
      <c r="F443" t="inlineStr">
        <is>
          <t>Incident Reporting</t>
        </is>
      </c>
      <c r="G443" t="inlineStr">
        <is>
          <t>High</t>
        </is>
      </c>
      <c r="H443" t="inlineStr">
        <is>
          <t>High (explicit)</t>
        </is>
      </c>
      <c r="I443" s="8" t="inlineStr">
        <is>
          <t>Incident Reporting, Breach Notification</t>
        </is>
      </c>
      <c r="J443" s="8" t="inlineStr">
        <is>
          <t>Financial Data</t>
        </is>
      </c>
      <c r="K443" t="inlineStr">
        <is>
          <t>Financial Intelligence Centre (Centre)</t>
        </is>
      </c>
      <c r="L443" s="8" t="inlineStr">
        <is>
          <t>Accountable institutions that fail to assist Centre representatives are guilty of offences.</t>
        </is>
      </c>
      <c r="M443" s="8" t="inlineStr">
        <is>
          <t>Accountable institutions that fail to assist Centre representatives with investigations are subject to offences.</t>
        </is>
      </c>
      <c r="N443" s="8" t="inlineStr">
        <is>
          <t>[Must] Accountable institution that fails to give assistance to a representative of the Centre in accordance with section 26(5) is guilty of an offence</t>
        </is>
      </c>
      <c r="O443" s="8" t="inlineStr">
        <is>
          <t>49. An accountable institution that fails to give assistance to a representative of the Centre in accordance with section 26(5), is guilty of an offence.</t>
        </is>
      </c>
    </row>
    <row r="444">
      <c r="A444" t="inlineStr">
        <is>
          <t>South Africa</t>
        </is>
      </c>
      <c r="B444" t="inlineStr">
        <is>
          <t>FICA (Financial Intelligence Centre Act, 38 of 2001</t>
        </is>
      </c>
      <c r="C444" t="inlineStr">
        <is>
          <t>51</t>
        </is>
      </c>
      <c r="D444" s="8" t="inlineStr">
        <is>
          <t>An accountable institution or reporting  institution that fails, within the  prescribed</t>
        </is>
      </c>
      <c r="E444" t="inlineStr">
        <is>
          <t>16</t>
        </is>
      </c>
      <c r="F444" t="inlineStr">
        <is>
          <t>Incident Reporting</t>
        </is>
      </c>
      <c r="G444" t="inlineStr">
        <is>
          <t>High</t>
        </is>
      </c>
      <c r="H444" t="inlineStr">
        <is>
          <t>High (explicit)</t>
        </is>
      </c>
      <c r="I444" s="8" t="inlineStr">
        <is>
          <t>Incident Reporting, Breach Notification</t>
        </is>
      </c>
      <c r="J444" s="8" t="inlineStr">
        <is>
          <t>Financial Data</t>
        </is>
      </c>
      <c r="K444" t="inlineStr">
        <is>
          <t>Financial Intelligence Centre (Centre)</t>
        </is>
      </c>
      <c r="L444" s="8" t="inlineStr">
        <is>
          <t>Accountable institutions that fail to report cash transactions are guilty of offences.</t>
        </is>
      </c>
      <c r="M444" s="8" t="inlineStr">
        <is>
          <t>Accountable institutions that fail to report cash transactions within prescribed periods are subject to offences.</t>
        </is>
      </c>
      <c r="N444" s="8" t="inlineStr">
        <is>
          <t>[Must] Accountable institution or reporting institution that fails, within the prescribed period, to report to the Centre the prescribed information in respect of a cash transaction in accordance with section 28 is guilty of an offence</t>
        </is>
      </c>
      <c r="O444" s="8" t="inlineStr">
        <is>
          <t>51. An accountable institution or reporting institution that fails, within the prescribed period, to report to the Centre the prescribed information in respect of a cash transaction in accordance with section 28, is guilty of an offence.</t>
        </is>
      </c>
    </row>
    <row r="445">
      <c r="A445" t="inlineStr">
        <is>
          <t>South Africa</t>
        </is>
      </c>
      <c r="B445" t="inlineStr">
        <is>
          <t>FICA (Financial Intelligence Centre Act, 38 of 2001</t>
        </is>
      </c>
      <c r="C445" t="inlineStr">
        <is>
          <t>52</t>
        </is>
      </c>
      <c r="D445" s="8" t="inlineStr">
        <is>
          <t>(1) Any  person who  fails, within the: prescribed period, to report to the Centre the</t>
        </is>
      </c>
      <c r="E445" t="inlineStr">
        <is>
          <t>16</t>
        </is>
      </c>
      <c r="F445" t="inlineStr">
        <is>
          <t>Incident Reporting</t>
        </is>
      </c>
      <c r="G445" t="inlineStr">
        <is>
          <t>High</t>
        </is>
      </c>
      <c r="H445" t="inlineStr">
        <is>
          <t>High (explicit)</t>
        </is>
      </c>
      <c r="I445" s="8" t="inlineStr">
        <is>
          <t>Incident Reporting, Breach Notification</t>
        </is>
      </c>
      <c r="J445" s="8" t="inlineStr">
        <is>
          <t>Financial Data</t>
        </is>
      </c>
      <c r="K445" t="inlineStr">
        <is>
          <t>Financial Intelligence Centre (Centre)</t>
        </is>
      </c>
      <c r="L445" s="8" t="inlineStr">
        <is>
          <t>Failure to report suspicious transactions is an offence.</t>
        </is>
      </c>
      <c r="M445" s="8" t="inlineStr">
        <is>
          <t>Failure to report suspicious transactions within prescribed periods is subject to criminal penalties.</t>
        </is>
      </c>
      <c r="N445" s="8" t="inlineStr">
        <is>
          <t>[Must] Any person who fails, within the prescribed period, to report to the Centre the prescribed information in respect of a suspicious or unusual transaction or series of transactions or enquiry in accordance with section 29(1) or (2) is guilty of an offence</t>
        </is>
      </c>
      <c r="O445" s="8" t="inlineStr">
        <is>
          <t>52. (1) Any person who fails, within the prescribed period, to report to the Centre the prescribed information in respect of a suspicious or unusual transaction or series of transactions or enquiry in accordance with section 29(1) or (2), is guilty of an offence.</t>
        </is>
      </c>
    </row>
    <row r="446">
      <c r="A446" t="inlineStr">
        <is>
          <t>South Africa</t>
        </is>
      </c>
      <c r="B446" t="inlineStr">
        <is>
          <t>FICA (Financial Intelligence Centre Act, 38 of 2001</t>
        </is>
      </c>
      <c r="C446" t="inlineStr">
        <is>
          <t>53</t>
        </is>
      </c>
      <c r="D446" s="8" t="inlineStr">
        <is>
          <t>(1) Any  person  referred to  in  section  29(3)  who discloses a  fact or information</t>
        </is>
      </c>
      <c r="E446" t="inlineStr">
        <is>
          <t>16</t>
        </is>
      </c>
      <c r="F446" t="inlineStr">
        <is>
          <t>Incident Reporting</t>
        </is>
      </c>
      <c r="G446" t="inlineStr">
        <is>
          <t>High</t>
        </is>
      </c>
      <c r="H446" t="inlineStr">
        <is>
          <t>High (explicit)</t>
        </is>
      </c>
      <c r="I446" s="8" t="inlineStr">
        <is>
          <t>Incident Reporting, Breach Notification</t>
        </is>
      </c>
      <c r="J446" s="8" t="inlineStr">
        <is>
          <t>Financial Data</t>
        </is>
      </c>
      <c r="K446" t="inlineStr">
        <is>
          <t>Financial Intelligence Centre (Centre)</t>
        </is>
      </c>
      <c r="L446" s="8" t="inlineStr">
        <is>
          <t>Unauthorized disclosure of information to Centre is an offence.</t>
        </is>
      </c>
      <c r="M446" s="8" t="inlineStr">
        <is>
          <t>Unauthorized disclosure of information to Centre is subject to criminal penalties.</t>
        </is>
      </c>
      <c r="N446" s="8" t="inlineStr">
        <is>
          <t>[Must] Any person who discloses a fact or information contemplated in section 29(3) otherwise than in the circumstances or for the purposes authorised in that section is guilty of an offence</t>
        </is>
      </c>
      <c r="O446" s="8" t="inlineStr">
        <is>
          <t>53. (1) Any person referred to in section 29(3) who discloses a fact or information contemplated in that section, otherwise than in the circumstances or for the purposes authorised in that section, is guilty of an offence.</t>
        </is>
      </c>
    </row>
    <row r="447">
      <c r="A447" t="inlineStr">
        <is>
          <t>South Africa</t>
        </is>
      </c>
      <c r="B447" t="inlineStr">
        <is>
          <t>FICA (Financial Intelligence Centre Act, 38 of 2001</t>
        </is>
      </c>
      <c r="C447" t="inlineStr">
        <is>
          <t>54</t>
        </is>
      </c>
      <c r="D447" s="8" t="inlineStr">
        <is>
          <t>Any  person who wilfully fails  to  report  the conveyance of cash  into  or out of the</t>
        </is>
      </c>
      <c r="E447" t="inlineStr">
        <is>
          <t>16</t>
        </is>
      </c>
      <c r="F447" t="inlineStr">
        <is>
          <t>Incident Reporting</t>
        </is>
      </c>
      <c r="G447" t="inlineStr">
        <is>
          <t>High</t>
        </is>
      </c>
      <c r="H447" t="inlineStr">
        <is>
          <t>High (explicit)</t>
        </is>
      </c>
      <c r="I447" s="8" t="inlineStr">
        <is>
          <t>Incident Reporting, Breach Notification</t>
        </is>
      </c>
      <c r="J447" s="8" t="inlineStr">
        <is>
          <t>Financial Data</t>
        </is>
      </c>
      <c r="K447" t="inlineStr">
        <is>
          <t>Financial Intelligence Centre (Centre)</t>
        </is>
      </c>
      <c r="L447" s="8" t="inlineStr">
        <is>
          <t>Wilful failure to report cash conveyance is an offence.</t>
        </is>
      </c>
      <c r="M447" s="8" t="inlineStr">
        <is>
          <t>Wilful failure to report cash conveyance into or out of Republic is subject to criminal penalties.</t>
        </is>
      </c>
      <c r="N447" s="8" t="inlineStr">
        <is>
          <t>[Must] Any person who wilfully fails to report the conveyance of cash into or out of the Republic in accordance with section 30(1) is guilty of an offence</t>
        </is>
      </c>
      <c r="O447" s="8" t="inlineStr">
        <is>
          <t>54. Any person who wilfully fails to report the conveyance of cash into or out of the Republic in accordance with section 30(1), is guilty of an offence.</t>
        </is>
      </c>
    </row>
    <row r="448">
      <c r="A448" t="inlineStr">
        <is>
          <t>South Africa</t>
        </is>
      </c>
      <c r="B448" t="inlineStr">
        <is>
          <t>FICA (Financial Intelligence Centre Act, 38 of 2001</t>
        </is>
      </c>
      <c r="C448" t="inlineStr">
        <is>
          <t>55</t>
        </is>
      </c>
      <c r="D448" s="8" t="inlineStr">
        <is>
          <t>A person referred to in rsection 30(2) who fails to send a report regarding the</t>
        </is>
      </c>
      <c r="E448" t="inlineStr">
        <is>
          <t>16</t>
        </is>
      </c>
      <c r="F448" t="inlineStr">
        <is>
          <t>Incident Reporting</t>
        </is>
      </c>
      <c r="G448" t="inlineStr">
        <is>
          <t>High</t>
        </is>
      </c>
      <c r="H448" t="inlineStr">
        <is>
          <t>High (explicit)</t>
        </is>
      </c>
      <c r="I448" s="8" t="inlineStr">
        <is>
          <t>Incident Reporting, Breach Notification</t>
        </is>
      </c>
      <c r="J448" s="8" t="inlineStr">
        <is>
          <t>Financial Data</t>
        </is>
      </c>
      <c r="K448" t="inlineStr">
        <is>
          <t>Financial Intelligence Centre (Centre)</t>
        </is>
      </c>
      <c r="L448" s="8" t="inlineStr">
        <is>
          <t>Failure to send cash conveyance reports is an offence.</t>
        </is>
      </c>
      <c r="M448" s="8" t="inlineStr">
        <is>
          <t>Failure to send cash conveyance reports to Centre is subject to criminal penalties.</t>
        </is>
      </c>
      <c r="N448" s="8" t="inlineStr">
        <is>
          <t>[Must] A person referred to in section 30(2) who fails to send a report regarding the conveyance of cash to the Centre in accordance with that section is guilty of an offence</t>
        </is>
      </c>
      <c r="O448" s="8" t="inlineStr">
        <is>
          <t>55. A person referred to in section 30(2) who fails to send a report regarding the conveyance of cash to the Centre in accordance with that section, is guilty of an offence.</t>
        </is>
      </c>
    </row>
    <row r="449">
      <c r="A449" t="inlineStr">
        <is>
          <t>South Africa</t>
        </is>
      </c>
      <c r="B449" t="inlineStr">
        <is>
          <t>FICA (Financial Intelligence Centre Act, 38 of 2001</t>
        </is>
      </c>
      <c r="C449" t="inlineStr">
        <is>
          <t>57</t>
        </is>
      </c>
      <c r="D449" s="8" t="inlineStr">
        <is>
          <t>An  accountable institution, reporting, institution or  any other person that fails to</t>
        </is>
      </c>
      <c r="E449" t="inlineStr">
        <is>
          <t>16</t>
        </is>
      </c>
      <c r="F449" t="inlineStr">
        <is>
          <t>Enforcement</t>
        </is>
      </c>
      <c r="G449" t="inlineStr">
        <is>
          <t>High</t>
        </is>
      </c>
      <c r="H449" t="inlineStr">
        <is>
          <t>High (explicit)</t>
        </is>
      </c>
      <c r="I449" s="8" t="inlineStr"/>
      <c r="J449" s="8" t="inlineStr">
        <is>
          <t>Financial Data</t>
        </is>
      </c>
      <c r="K449" t="inlineStr">
        <is>
          <t>Centre</t>
        </is>
      </c>
      <c r="L449" s="8" t="inlineStr">
        <is>
          <t>Accountable institutions failing to comply with Centre's requests are guilty of an offence.</t>
        </is>
      </c>
      <c r="M449" s="8" t="inlineStr">
        <is>
          <t>Offence for non-compliance with Centre's requests; requires adherence to Centre's directives.</t>
        </is>
      </c>
      <c r="N449" s="8" t="inlineStr">
        <is>
          <t>[Must] comply with a request made by Centre or investigating authority acting under authority of an authorised office in terms of section 32(2)</t>
        </is>
      </c>
      <c r="O449" s="8" t="inlineStr">
        <is>
          <t>An accountable institution, reporting, institution or any other person that fails to comply with a request made by Centre or an investigating authority acting under the authority of an authorised office in terms of section 32(2), is guilty of an offence.</t>
        </is>
      </c>
    </row>
    <row r="450">
      <c r="A450" t="inlineStr">
        <is>
          <t>South Africa</t>
        </is>
      </c>
      <c r="B450" t="inlineStr">
        <is>
          <t>FICA (Financial Intelligence Centre Act, 38 of 2001</t>
        </is>
      </c>
      <c r="C450" t="inlineStr">
        <is>
          <t>58</t>
        </is>
      </c>
      <c r="D450" s="8" t="inlineStr">
        <is>
          <t>An  accountable institution that fails 'to comply  with a  direction by the  Centre in</t>
        </is>
      </c>
      <c r="E450" t="inlineStr">
        <is>
          <t>16</t>
        </is>
      </c>
      <c r="F450" t="inlineStr">
        <is>
          <t>Enforcement</t>
        </is>
      </c>
      <c r="G450" t="inlineStr">
        <is>
          <t>High</t>
        </is>
      </c>
      <c r="H450" t="inlineStr">
        <is>
          <t>High (explicit)</t>
        </is>
      </c>
      <c r="I450" s="8" t="inlineStr"/>
      <c r="J450" s="8" t="inlineStr">
        <is>
          <t>Financial Data</t>
        </is>
      </c>
      <c r="K450" t="inlineStr">
        <is>
          <t>Centre</t>
        </is>
      </c>
      <c r="L450" s="8" t="inlineStr">
        <is>
          <t>Accountable institutions failing to comply with Centre's directions are guilty of an offence.</t>
        </is>
      </c>
      <c r="M450" s="8" t="inlineStr">
        <is>
          <t>Offence for non-compliance with Centre's directions; requires adherence to Centre's directives.</t>
        </is>
      </c>
      <c r="N450" s="8" t="inlineStr">
        <is>
          <t>[Must] comply with a direction by Centre in terms of section 34(1)</t>
        </is>
      </c>
      <c r="O450" s="8" t="inlineStr">
        <is>
          <t>An accountable institution that fails to comply with a direction by Centre in terms of section 34(1), is guilty of an offence.</t>
        </is>
      </c>
    </row>
    <row r="451">
      <c r="A451" t="inlineStr">
        <is>
          <t>South Africa</t>
        </is>
      </c>
      <c r="B451" t="inlineStr">
        <is>
          <t>FICA (Financial Intelligence Centre Act, 38 of 2001</t>
        </is>
      </c>
      <c r="C451" t="inlineStr">
        <is>
          <t>60</t>
        </is>
      </c>
      <c r="D451" s="8" t="inlineStr">
        <is>
          <t>(1) Any  person who-</t>
        </is>
      </c>
      <c r="E451" t="inlineStr">
        <is>
          <t>16–17</t>
        </is>
      </c>
      <c r="F451" t="inlineStr">
        <is>
          <t>Enforcement</t>
        </is>
      </c>
      <c r="G451" t="inlineStr">
        <is>
          <t>High</t>
        </is>
      </c>
      <c r="H451" t="inlineStr">
        <is>
          <t>High (explicit)</t>
        </is>
      </c>
      <c r="I451" s="8" t="inlineStr"/>
      <c r="J451" s="8" t="inlineStr">
        <is>
          <t>Financial Data</t>
        </is>
      </c>
      <c r="K451" t="inlineStr">
        <is>
          <t>Centre</t>
        </is>
      </c>
      <c r="L451" s="8" t="inlineStr">
        <is>
          <t>Offences for disclosing, tampering with, or misusing Centre's confidential information.</t>
        </is>
      </c>
      <c r="M451" s="8" t="inlineStr">
        <is>
          <t>Offence for disclosing, tampering with, or misusing Centre's confidential information; requires adherence to Centre's information handling rules.</t>
        </is>
      </c>
      <c r="N451" s="8" t="inlineStr">
        <is>
          <t>[Must Not] disclose confidential information held by or obtained from Centre
[Must Not] wilfully destroy or tamper with information kept by Centre
[Must Not] use information obtained from Centre otherwise than in accordance with section 40</t>
        </is>
      </c>
      <c r="O451" s="8" t="inlineStr">
        <is>
          <t>Any person who discloses confidential information held by or obtained from Centre; wilfully destroys or tampers with information kept by Centre; or uses information obtained from Centre otherwise than in accordance with section 40, is guilty of an offence.</t>
        </is>
      </c>
    </row>
    <row r="452">
      <c r="A452" t="inlineStr">
        <is>
          <t>South Africa</t>
        </is>
      </c>
      <c r="B452" t="inlineStr">
        <is>
          <t>FICA (Financial Intelligence Centre Act, 38 of 2001</t>
        </is>
      </c>
      <c r="C452" t="inlineStr">
        <is>
          <t>62</t>
        </is>
      </c>
      <c r="D452" s="8" t="inlineStr">
        <is>
          <t>An accountable institution that fails to-</t>
        </is>
      </c>
      <c r="E452" t="inlineStr">
        <is>
          <t>17</t>
        </is>
      </c>
      <c r="F452" t="inlineStr">
        <is>
          <t>Enforcement</t>
        </is>
      </c>
      <c r="G452" t="inlineStr">
        <is>
          <t>High</t>
        </is>
      </c>
      <c r="H452" t="inlineStr">
        <is>
          <t>High (explicit)</t>
        </is>
      </c>
      <c r="I452" s="8" t="inlineStr"/>
      <c r="J452" s="8" t="inlineStr">
        <is>
          <t>Financial Data</t>
        </is>
      </c>
      <c r="K452" t="inlineStr">
        <is>
          <t>Centre</t>
        </is>
      </c>
      <c r="L452" s="8" t="inlineStr">
        <is>
          <t>Accountable institutions failing to provide training or appoint compliance officers are guilty of an offence.</t>
        </is>
      </c>
      <c r="M452" s="8" t="inlineStr">
        <is>
          <t>Offence for failing to provide employee training or appoint compliance officers; requires adherence to training and compliance officer requirements.</t>
        </is>
      </c>
      <c r="N452" s="8" t="inlineStr">
        <is>
          <t>[Must] provide training to employees in accordance with section 43(a)
[Must] appoint the person referred to in section 43(b)</t>
        </is>
      </c>
      <c r="O452" s="8" t="inlineStr">
        <is>
          <t>An accountable institution that fails to provide training to its employees in accordance with section 43(a); or appoint the person referred to in section 43(b), is guilty of an offence.</t>
        </is>
      </c>
    </row>
    <row r="453">
      <c r="A453" t="inlineStr">
        <is>
          <t>South Africa</t>
        </is>
      </c>
      <c r="B453" t="inlineStr">
        <is>
          <t>FICA (Financial Intelligence Centre Act, 38 of 2001</t>
        </is>
      </c>
      <c r="C453" t="inlineStr">
        <is>
          <t>63</t>
        </is>
      </c>
      <c r="D453" s="8" t="inlineStr">
        <is>
          <t>Any  person who obstructs, hinders  or  threatens  an official or  representative of the</t>
        </is>
      </c>
      <c r="E453" t="inlineStr">
        <is>
          <t>17</t>
        </is>
      </c>
      <c r="F453" t="inlineStr">
        <is>
          <t>Enforcement</t>
        </is>
      </c>
      <c r="G453" t="inlineStr">
        <is>
          <t>High</t>
        </is>
      </c>
      <c r="H453" t="inlineStr">
        <is>
          <t>High (explicit)</t>
        </is>
      </c>
      <c r="I453" s="8" t="inlineStr"/>
      <c r="J453" s="8" t="inlineStr">
        <is>
          <t>Financial Data</t>
        </is>
      </c>
      <c r="K453" t="inlineStr">
        <is>
          <t>Centre</t>
        </is>
      </c>
      <c r="L453" s="8" t="inlineStr">
        <is>
          <t>Obstructing Centre officials in performing duties is an offence.</t>
        </is>
      </c>
      <c r="M453" s="8" t="inlineStr">
        <is>
          <t>Offence for obstructing Centre officials; requires non-obstruction of Centre officials' duties.</t>
        </is>
      </c>
      <c r="N453" s="8" t="inlineStr">
        <is>
          <t>[Must Not] obstruct, hinder or threaten Centre officials in performance of duties</t>
        </is>
      </c>
      <c r="O453" s="8" t="inlineStr">
        <is>
          <t>Any person who obstructs, hinders or threatens Centre officials in the performance of their duties or exercise of powers in terms of this Act, is guilty of an offence.</t>
        </is>
      </c>
    </row>
    <row r="454">
      <c r="A454" t="inlineStr">
        <is>
          <t>South Africa</t>
        </is>
      </c>
      <c r="B454" t="inlineStr">
        <is>
          <t>FICA (Financial Intelligence Centre Act, 38 of 2001</t>
        </is>
      </c>
      <c r="C454" t="inlineStr">
        <is>
          <t>64</t>
        </is>
      </c>
      <c r="D454" s="8" t="inlineStr">
        <is>
          <t>Any  person who  conducts, or causes  to  be  conducted,  two or more transactions</t>
        </is>
      </c>
      <c r="E454" t="inlineStr">
        <is>
          <t>17</t>
        </is>
      </c>
      <c r="F454" t="inlineStr">
        <is>
          <t>Enforcement</t>
        </is>
      </c>
      <c r="G454" t="inlineStr">
        <is>
          <t>High</t>
        </is>
      </c>
      <c r="H454" t="inlineStr">
        <is>
          <t>High (explicit)</t>
        </is>
      </c>
      <c r="I454" s="8" t="inlineStr"/>
      <c r="J454" s="8" t="inlineStr">
        <is>
          <t>Financial Data</t>
        </is>
      </c>
      <c r="K454" t="inlineStr">
        <is>
          <t>Centre</t>
        </is>
      </c>
      <c r="L454" s="8" t="inlineStr">
        <is>
          <t>Conducting transactions to avoid reporting duties is an offence.</t>
        </is>
      </c>
      <c r="M454" s="8" t="inlineStr">
        <is>
          <t>Offence for conducting transactions to avoid reporting duties; requires full reporting of transactions.</t>
        </is>
      </c>
      <c r="N454" s="8" t="inlineStr">
        <is>
          <t>[Must Not] conduct two or more transactions with purpose to avoid reporting duty under Act</t>
        </is>
      </c>
      <c r="O454" s="8" t="inlineStr">
        <is>
          <t>Any person who conducts, or causes to be conducted, two or more transactions with the purpose, in whole or in part, of avoiding giving rise to a reporting duty under this Act, is guilty of an offence.</t>
        </is>
      </c>
    </row>
    <row r="455">
      <c r="A455" t="inlineStr">
        <is>
          <t>South Africa</t>
        </is>
      </c>
      <c r="B455" t="inlineStr">
        <is>
          <t>FICA (Financial Intelligence Centre Act, 38 of 2001</t>
        </is>
      </c>
      <c r="C455" t="inlineStr">
        <is>
          <t>66</t>
        </is>
      </c>
      <c r="D455" s="8" t="inlineStr">
        <is>
          <t>Any  person who, without  authority ':o do so, wilfully causes  a computer  system</t>
        </is>
      </c>
      <c r="E455" t="inlineStr">
        <is>
          <t>18</t>
        </is>
      </c>
      <c r="F455" t="inlineStr">
        <is>
          <t>Enforcement</t>
        </is>
      </c>
      <c r="G455" t="inlineStr">
        <is>
          <t>High</t>
        </is>
      </c>
      <c r="H455" t="inlineStr">
        <is>
          <t>High (explicit)</t>
        </is>
      </c>
      <c r="I455" s="8" t="inlineStr"/>
      <c r="J455" s="8" t="inlineStr">
        <is>
          <t>Financial Data</t>
        </is>
      </c>
      <c r="K455" t="inlineStr">
        <is>
          <t>Centre</t>
        </is>
      </c>
      <c r="L455" s="8" t="inlineStr">
        <is>
          <t>Unauthorised modification of Centre's computer systems is an offence.</t>
        </is>
      </c>
      <c r="M455" s="8" t="inlineStr">
        <is>
          <t>Offence for unauthorised modification of Centre's computer systems; requires adherence to system integrity.</t>
        </is>
      </c>
      <c r="N455" s="8" t="inlineStr">
        <is>
          <t>[Must Not] without authority to do so, wilfully causes Centre's computer system to be modified, destroyed, erased or operation impaired</t>
        </is>
      </c>
      <c r="O455" s="8" t="inlineStr">
        <is>
          <t>Any person who, without authority to do so, wilfully causes Centre's computer system to be modified, destroyed, erased or operation impaired, is guilty of an offence.</t>
        </is>
      </c>
    </row>
    <row r="456">
      <c r="A456" t="inlineStr">
        <is>
          <t>South Africa</t>
        </is>
      </c>
      <c r="B456" t="inlineStr">
        <is>
          <t>FICA (Financial Intelligence Centre Act, 38 of 2001</t>
        </is>
      </c>
      <c r="C456" t="inlineStr">
        <is>
          <t>67</t>
        </is>
      </c>
      <c r="D456" s="8" t="inlineStr">
        <is>
          <t>For the purposes of sections 65 and 66-</t>
        </is>
      </c>
      <c r="E456" t="inlineStr">
        <is>
          <t>18</t>
        </is>
      </c>
      <c r="F456" t="inlineStr">
        <is>
          <t>Definitions</t>
        </is>
      </c>
      <c r="G456" t="inlineStr">
        <is>
          <t>Low</t>
        </is>
      </c>
      <c r="H456" t="inlineStr">
        <is>
          <t>High (explicit)</t>
        </is>
      </c>
      <c r="I456" s="8" t="inlineStr"/>
      <c r="J456" s="8" t="inlineStr">
        <is>
          <t>Financial Data</t>
        </is>
      </c>
      <c r="K456" t="inlineStr"/>
      <c r="L456" s="8" t="inlineStr">
        <is>
          <t>Defines key terms for computer systems and data handling.</t>
        </is>
      </c>
      <c r="M456" s="8" t="inlineStr">
        <is>
          <t>Defines terms like 'access', 'application', 'computer system', and 'data' for compliance purposes.</t>
        </is>
      </c>
      <c r="N456" s="8" t="inlineStr"/>
      <c r="O456" s="8" t="inlineStr">
        <is>
          <t>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t>
        </is>
      </c>
    </row>
    <row r="457">
      <c r="A457" t="inlineStr">
        <is>
          <t>South Africa</t>
        </is>
      </c>
      <c r="B457" t="inlineStr">
        <is>
          <t>FICA (Financial Intelligence Centre Act, 38 of 2001</t>
        </is>
      </c>
      <c r="C457" t="inlineStr">
        <is>
          <t>68</t>
        </is>
      </c>
      <c r="D457" s="8" t="inlineStr">
        <is>
          <t>(1) A person convicted of an offence mentioned in this Chapter, other than an</t>
        </is>
      </c>
      <c r="E457" t="inlineStr">
        <is>
          <t>18</t>
        </is>
      </c>
      <c r="F457" t="inlineStr">
        <is>
          <t>Enforcement</t>
        </is>
      </c>
      <c r="G457" t="inlineStr">
        <is>
          <t>High</t>
        </is>
      </c>
      <c r="H457" t="inlineStr">
        <is>
          <t>High (explicit)</t>
        </is>
      </c>
      <c r="I457" s="8" t="inlineStr"/>
      <c r="J457" s="8" t="inlineStr">
        <is>
          <t>Financial Data</t>
        </is>
      </c>
      <c r="K457" t="inlineStr">
        <is>
          <t>Centre</t>
        </is>
      </c>
      <c r="L457" s="8" t="inlineStr">
        <is>
          <t>Penalties for offences under this Act, including imprisonment and fines.</t>
        </is>
      </c>
      <c r="M457" s="8" t="inlineStr">
        <is>
          <t>Penalties for non-compliance: imprisonment up to 15 years or fine up to R10 million for most offences; specific penalties for certain offences.</t>
        </is>
      </c>
      <c r="N457" s="8" t="inlineStr">
        <is>
          <t>[Must] liable to imprisonment for a period not exceeding 15 years or fine not exceeding R10,000,000</t>
        </is>
      </c>
      <c r="O457" s="8" t="inlineStr">
        <is>
          <t>A person convicted of an offence mentioned in this Chapter, other than an offence mentioned in subsection (2), is liable to imprisonment for a period not exceeding 15 years or to a fine not exceeding R10,000,000.</t>
        </is>
      </c>
    </row>
    <row r="458">
      <c r="A458" t="inlineStr">
        <is>
          <t>South Africa</t>
        </is>
      </c>
      <c r="B458" t="inlineStr">
        <is>
          <t>FICA (Financial Intelligence Centre Act, 38 of 2001</t>
        </is>
      </c>
      <c r="C458" t="inlineStr">
        <is>
          <t>69</t>
        </is>
      </c>
      <c r="D458" s="8" t="inlineStr">
        <is>
          <t>If a person who is an employee, director or trustee</t>
        </is>
      </c>
      <c r="E458" t="inlineStr">
        <is>
          <t>18–19</t>
        </is>
      </c>
      <c r="F458" t="inlineStr">
        <is>
          <t>Other</t>
        </is>
      </c>
      <c r="G458" t="inlineStr">
        <is>
          <t>Low</t>
        </is>
      </c>
      <c r="H458" t="inlineStr">
        <is>
          <t>High (explicit)</t>
        </is>
      </c>
      <c r="I458" s="8" t="inlineStr"/>
      <c r="J458" s="8" t="inlineStr">
        <is>
          <t>Financial Data</t>
        </is>
      </c>
      <c r="K458" t="inlineStr">
        <is>
          <t>Centre</t>
        </is>
      </c>
      <c r="L458" s="8" t="inlineStr">
        <is>
          <t>Defences for employees, directors, or trustees of accountable institutions charged with offences.</t>
        </is>
      </c>
      <c r="M458" s="8" t="inlineStr">
        <is>
          <t>Defences for employees/directors/trustees: compliance with internal rules, reporting to responsible person, or reporting to superior.</t>
        </is>
      </c>
      <c r="N458" s="8" t="inlineStr">
        <is>
          <t>[Must] had complied with applicable obligations in internal rules relating to reporting of information
[Must] reported the matter to the person charged with responsibility for compliance
[Must] reported the matter to superior if applicable</t>
        </is>
      </c>
      <c r="O458" s="8" t="inlineStr">
        <is>
          <t>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t>
        </is>
      </c>
    </row>
    <row r="459">
      <c r="A459" t="inlineStr">
        <is>
          <t>South Africa</t>
        </is>
      </c>
      <c r="B459" t="inlineStr">
        <is>
          <t>FICA (Financial Intelligence Centre Act, 38 of 2001</t>
        </is>
      </c>
      <c r="C459" t="inlineStr">
        <is>
          <t>70</t>
        </is>
      </c>
      <c r="D459" s="8" t="inlineStr">
        <is>
          <t>t(1) A  police official or person authorised by the  Minister  to  receive  a  report  under</t>
        </is>
      </c>
      <c r="E459" t="inlineStr">
        <is>
          <t>19–20</t>
        </is>
      </c>
      <c r="F459" t="inlineStr">
        <is>
          <t>Enforcement</t>
        </is>
      </c>
      <c r="G459" t="inlineStr">
        <is>
          <t>High</t>
        </is>
      </c>
      <c r="H459" t="inlineStr">
        <is>
          <t>High (explicit)</t>
        </is>
      </c>
      <c r="I459" s="8" t="inlineStr"/>
      <c r="J459" s="8" t="inlineStr">
        <is>
          <t>Financial Data</t>
        </is>
      </c>
      <c r="K459" t="inlineStr">
        <is>
          <t>Police</t>
        </is>
      </c>
      <c r="L459" s="8" t="inlineStr">
        <is>
          <t>Search, seizure, and forfeiture of cash related to financial intelligence.</t>
        </is>
      </c>
      <c r="M459" s="8" t="inlineStr">
        <is>
          <t>Procedures for searching, seizing, and forfeiting cash suspected of being involved in money laundering.</t>
        </is>
      </c>
      <c r="N459" s="8" t="inlineStr">
        <is>
          <t>[Must] search any person, container or other thing in which cash is suspected to be found
[Must] seize any cash suspected to be involved in money laundering
[Must] return seized cash to person within 90 days unless specific conditions apply</t>
        </is>
      </c>
      <c r="O459" s="8" t="inlineStr">
        <is>
          <t>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t>
        </is>
      </c>
    </row>
    <row r="460">
      <c r="A460" t="inlineStr">
        <is>
          <t>South Africa</t>
        </is>
      </c>
      <c r="B460" t="inlineStr">
        <is>
          <t>FICA (Financial Intelligence Centre Act, 38 of 2001</t>
        </is>
      </c>
      <c r="C460" t="inlineStr">
        <is>
          <t>71</t>
        </is>
      </c>
      <c r="D460" s="8" t="inlineStr">
        <is>
          <t>(1) A  regional court has  penal jurisdiction  to  impose any  penalty  mentioned in</t>
        </is>
      </c>
      <c r="E460" t="inlineStr">
        <is>
          <t>20–21</t>
        </is>
      </c>
      <c r="F460" t="inlineStr">
        <is>
          <t>Enforcement</t>
        </is>
      </c>
      <c r="G460" t="inlineStr">
        <is>
          <t>High</t>
        </is>
      </c>
      <c r="H460" t="inlineStr">
        <is>
          <t>High (explicit)</t>
        </is>
      </c>
      <c r="I460" s="8" t="inlineStr"/>
      <c r="J460" s="8" t="inlineStr">
        <is>
          <t>Financial Data</t>
        </is>
      </c>
      <c r="K460" t="inlineStr">
        <is>
          <t>Courts</t>
        </is>
      </c>
      <c r="L460" s="8" t="inlineStr">
        <is>
          <t>Courts have jurisdiction to impose penalties and forfeiture orders.</t>
        </is>
      </c>
      <c r="M460" s="8" t="inlineStr">
        <is>
          <t>Courts have jurisdiction to impose penalties and forfeiture orders even if amounts exceed their jurisdictional limits.</t>
        </is>
      </c>
      <c r="N460"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460" s="8" t="inlineStr">
        <is>
          <t>A regional court has penal jurisdiction to impose any penalty mentioned in section 68(1), even though that penalty may exceed the penal jurisdiction of that court.</t>
        </is>
      </c>
    </row>
    <row r="461">
      <c r="A461" t="inlineStr">
        <is>
          <t>South Africa</t>
        </is>
      </c>
      <c r="B461" t="inlineStr">
        <is>
          <t>FICA (Financial Intelligence Centre Act, 38 of 2001</t>
        </is>
      </c>
      <c r="C461" t="inlineStr">
        <is>
          <t>71</t>
        </is>
      </c>
      <c r="D461" s="8" t="inlineStr">
        <is>
          <t>(1) The Minister may, after consulting the Council and the Centre, and on</t>
        </is>
      </c>
      <c r="E461" t="inlineStr">
        <is>
          <t>21</t>
        </is>
      </c>
      <c r="F461" t="inlineStr">
        <is>
          <t>Enforcement</t>
        </is>
      </c>
      <c r="G461" t="inlineStr">
        <is>
          <t>High</t>
        </is>
      </c>
      <c r="H461" t="inlineStr">
        <is>
          <t>High (explicit)</t>
        </is>
      </c>
      <c r="I461" s="8" t="inlineStr"/>
      <c r="J461" s="8" t="inlineStr">
        <is>
          <t>Financial Data</t>
        </is>
      </c>
      <c r="K461" t="inlineStr">
        <is>
          <t>Courts</t>
        </is>
      </c>
      <c r="L461" s="8" t="inlineStr">
        <is>
          <t>Courts have jurisdiction to impose penalties and forfeiture orders.</t>
        </is>
      </c>
      <c r="M461" s="8" t="inlineStr">
        <is>
          <t>Courts have jurisdiction to impose penalties and forfeiture orders even if amounts exceed their jurisdictional limits.</t>
        </is>
      </c>
      <c r="N461"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461" s="8" t="inlineStr">
        <is>
          <t>A regional court has penal jurisdiction to impose any penalty mentioned in section 68(1), even though that penalty may exceed the penal jurisdiction of that court.</t>
        </is>
      </c>
    </row>
    <row r="462">
      <c r="A462" t="inlineStr">
        <is>
          <t>South Africa</t>
        </is>
      </c>
      <c r="B462" t="inlineStr">
        <is>
          <t>FICA (Financial Intelligence Centre Act, 38 of 2001</t>
        </is>
      </c>
      <c r="C462" t="inlineStr">
        <is>
          <t>72</t>
        </is>
      </c>
      <c r="D462" s="8" t="inlineStr">
        <is>
          <t>This Act does not detract from-</t>
        </is>
      </c>
      <c r="E462" t="inlineStr">
        <is>
          <t>21</t>
        </is>
      </c>
      <c r="F462" t="inlineStr">
        <is>
          <t>Exemptions</t>
        </is>
      </c>
      <c r="G462" t="inlineStr">
        <is>
          <t>Low</t>
        </is>
      </c>
      <c r="H462" t="inlineStr">
        <is>
          <t>High (explicit)</t>
        </is>
      </c>
      <c r="I462" s="8" t="inlineStr"/>
      <c r="J462" s="8" t="inlineStr">
        <is>
          <t>Financial Data</t>
        </is>
      </c>
      <c r="K462" t="inlineStr">
        <is>
          <t>Minister</t>
        </is>
      </c>
      <c r="L462" s="8" t="inlineStr">
        <is>
          <t>Amendments to the list of accountable institutions by the Minister.</t>
        </is>
      </c>
      <c r="M462" s="8" t="inlineStr">
        <is>
          <t>Minister may amend list of accountable institutions by Gazette notice after consulting Council and Centre.</t>
        </is>
      </c>
      <c r="N462" s="8" t="inlineStr">
        <is>
          <t>[Must] amend list of accountable institutions in Schedule 1 by notice in Gazette</t>
        </is>
      </c>
      <c r="O462" s="8" t="inlineStr">
        <is>
          <t>The Minister may, by notice in the Gazette, amend the list of accountable institutions in Schedule 1 to add, delete, or make technical changes to the list after consulting Council and Centre.</t>
        </is>
      </c>
    </row>
    <row r="463">
      <c r="A463" t="inlineStr">
        <is>
          <t>South Africa</t>
        </is>
      </c>
      <c r="B463" t="inlineStr">
        <is>
          <t>FICA (Financial Intelligence Centre Act, 38 of 2001</t>
        </is>
      </c>
      <c r="C463" t="inlineStr">
        <is>
          <t>75</t>
        </is>
      </c>
      <c r="D463" s="8" t="inlineStr">
        <is>
          <t>(1) The Minister may, by notice in the Gazette, amend the list of supervisory</t>
        </is>
      </c>
      <c r="E463" t="inlineStr">
        <is>
          <t>21–22</t>
        </is>
      </c>
      <c r="F463" t="inlineStr">
        <is>
          <t>Other</t>
        </is>
      </c>
      <c r="G463" t="inlineStr">
        <is>
          <t>Unknown</t>
        </is>
      </c>
      <c r="H463" t="inlineStr">
        <is>
          <t>Low</t>
        </is>
      </c>
      <c r="I463" s="8" t="inlineStr"/>
      <c r="J463" s="8" t="inlineStr"/>
      <c r="K463" t="inlineStr"/>
      <c r="L463" s="8" t="inlineStr"/>
      <c r="M463" s="8" t="inlineStr"/>
      <c r="N463" s="8" t="inlineStr"/>
      <c r="O463" s="8" t="inlineStr"/>
    </row>
    <row r="464">
      <c r="A464" t="inlineStr">
        <is>
          <t>South Africa</t>
        </is>
      </c>
      <c r="B464" t="inlineStr">
        <is>
          <t>FICA (Financial Intelligence Centre Act, 38 of 2001</t>
        </is>
      </c>
      <c r="C464" t="inlineStr">
        <is>
          <t>76</t>
        </is>
      </c>
      <c r="D464" s="8" t="inlineStr">
        <is>
          <t>(1) The Minister may, by notice in the Gazette, amend the list of reporting</t>
        </is>
      </c>
      <c r="E464" t="inlineStr">
        <is>
          <t>22</t>
        </is>
      </c>
      <c r="F464" t="inlineStr">
        <is>
          <t>Other</t>
        </is>
      </c>
      <c r="G464" t="inlineStr">
        <is>
          <t>High</t>
        </is>
      </c>
      <c r="H464" t="inlineStr">
        <is>
          <t>High (explicit)</t>
        </is>
      </c>
      <c r="I464" s="8" t="inlineStr"/>
      <c r="J464" s="8" t="inlineStr"/>
      <c r="K464" t="inlineStr">
        <is>
          <t>Minister</t>
        </is>
      </c>
      <c r="L464" s="8" t="inlineStr">
        <is>
          <t>Minister may amend reporting institutions list via Gazette notice with conditions for additions/deletions and parliamentary approval.</t>
        </is>
      </c>
      <c r="M464" s="8" t="inlineStr"/>
      <c r="N464" s="8" t="inlineStr">
        <is>
          <t>[Must]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t>
        </is>
      </c>
      <c r="O464" s="8" t="inlineStr">
        <is>
          <t>76. (1) The Minister may, by notice in the Gazette, amend the list of reporting institutions in Schedule 3</t>
        </is>
      </c>
    </row>
    <row r="465">
      <c r="A465" t="inlineStr">
        <is>
          <t>South Africa</t>
        </is>
      </c>
      <c r="B465" t="inlineStr">
        <is>
          <t>FICA (Financial Intelligence Centre Act, 38 of 2001</t>
        </is>
      </c>
      <c r="C465" t="inlineStr">
        <is>
          <t>77</t>
        </is>
      </c>
      <c r="D465" s="8" t="inlineStr">
        <is>
          <t>(1) The Minister, after consulting  the  Council and the Centre,  may  make,  repeal</t>
        </is>
      </c>
      <c r="E465" t="inlineStr">
        <is>
          <t>22</t>
        </is>
      </c>
      <c r="F465" t="inlineStr">
        <is>
          <t>Other</t>
        </is>
      </c>
      <c r="G465" t="inlineStr">
        <is>
          <t>High</t>
        </is>
      </c>
      <c r="H465" t="inlineStr">
        <is>
          <t>High (explicit)</t>
        </is>
      </c>
      <c r="I465" s="8" t="inlineStr"/>
      <c r="J465" s="8" t="inlineStr"/>
      <c r="K465" t="inlineStr">
        <is>
          <t>Minister</t>
        </is>
      </c>
      <c r="L465" s="8" t="inlineStr">
        <is>
          <t>Minister may make/repeal/amend regulations after consulting Council and Centre, with specific provisions for different institutions and penalties.</t>
        </is>
      </c>
      <c r="M465" s="8" t="inlineStr"/>
      <c r="N465" s="8" t="inlineStr">
        <is>
          <t>[May]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t>
        </is>
      </c>
      <c r="O465" s="8" t="inlineStr">
        <is>
          <t>77. (1) The Minister, after consulting the Council and the Centre, may make, repeal and amend regulations concerning any matter</t>
        </is>
      </c>
    </row>
    <row r="466">
      <c r="A466" t="inlineStr">
        <is>
          <t>South Africa</t>
        </is>
      </c>
      <c r="B466" t="inlineStr">
        <is>
          <t>FICA (Financial Intelligence Centre Act, 38 of 2001</t>
        </is>
      </c>
      <c r="C466" t="inlineStr">
        <is>
          <t>78</t>
        </is>
      </c>
      <c r="D466" s="8" t="inlineStr">
        <is>
          <t>The  Minister, the  Centre or  an employee or representative of the Centre,  or  any</t>
        </is>
      </c>
      <c r="E466" t="inlineStr">
        <is>
          <t>22</t>
        </is>
      </c>
      <c r="F466" t="inlineStr">
        <is>
          <t>Other</t>
        </is>
      </c>
      <c r="G466" t="inlineStr">
        <is>
          <t>Low</t>
        </is>
      </c>
      <c r="H466" t="inlineStr">
        <is>
          <t>High (explicit)</t>
        </is>
      </c>
      <c r="I466" s="8" t="inlineStr"/>
      <c r="J466" s="8" t="inlineStr"/>
      <c r="K466" t="inlineStr"/>
      <c r="L466" s="8" t="inlineStr">
        <is>
          <t>Persons performing functions under the Act are not liable for actions taken in good faith.</t>
        </is>
      </c>
      <c r="M466" s="8" t="inlineStr"/>
      <c r="N466" s="8" t="inlineStr">
        <is>
          <t>[Must Not] Persons performing functions under Act are not liable for actions taken in good faith</t>
        </is>
      </c>
      <c r="O466" s="8" t="inlineStr">
        <is>
          <t>78. The Minister, the Centre or an employee or representative of the Centre, or any other person performing a function or exercising a power in terms of this Act, is not liable for anything done in good faith in terms of or in furthering the objectives of this Act.</t>
        </is>
      </c>
    </row>
    <row r="467">
      <c r="A467" t="inlineStr">
        <is>
          <t>South Africa</t>
        </is>
      </c>
      <c r="B467" t="inlineStr">
        <is>
          <t>FICA (Financial Intelligence Centre Act, 38 of 2001</t>
        </is>
      </c>
      <c r="C467" t="inlineStr">
        <is>
          <t>80</t>
        </is>
      </c>
      <c r="D467" s="8" t="inlineStr">
        <is>
          <t>The footnotes in this Act have been  inserted only  for  ease of reference to relevant  25</t>
        </is>
      </c>
      <c r="E467" t="inlineStr">
        <is>
          <t>22–23</t>
        </is>
      </c>
      <c r="F467" t="inlineStr">
        <is>
          <t>Other</t>
        </is>
      </c>
      <c r="G467" t="inlineStr">
        <is>
          <t>None</t>
        </is>
      </c>
      <c r="H467" t="inlineStr">
        <is>
          <t>High (explicit)</t>
        </is>
      </c>
      <c r="I467" s="8" t="inlineStr"/>
      <c r="J467" s="8" t="inlineStr"/>
      <c r="K467" t="inlineStr"/>
      <c r="L467" s="8" t="inlineStr">
        <is>
          <t>Footnotes in the Act are for reference only and do not have legal force.</t>
        </is>
      </c>
      <c r="M467" s="8" t="inlineStr"/>
      <c r="N467" s="8" t="inlineStr"/>
      <c r="O467" s="8" t="inlineStr">
        <is>
          <t>80. The footnotes in this Act have been inserted only for ease of reference to relevant provisions of the Prevention Act. They are not part of this Act. They do not have the force of law.</t>
        </is>
      </c>
    </row>
    <row r="468">
      <c r="A468" t="inlineStr">
        <is>
          <t>South Africa</t>
        </is>
      </c>
      <c r="B468" t="inlineStr">
        <is>
          <t>FICA (Financial Intelligence Centre Act, 38 of 2001</t>
        </is>
      </c>
      <c r="C468" t="inlineStr">
        <is>
          <t>81</t>
        </is>
      </c>
      <c r="D468" s="8" t="inlineStr">
        <is>
          <t>(1) Until the date refened to in section 82(2), the person designated for the</t>
        </is>
      </c>
      <c r="E468" t="inlineStr">
        <is>
          <t>23</t>
        </is>
      </c>
      <c r="F468" t="inlineStr">
        <is>
          <t>Other</t>
        </is>
      </c>
      <c r="G468" t="inlineStr">
        <is>
          <t>Low</t>
        </is>
      </c>
      <c r="H468" t="inlineStr">
        <is>
          <t>High (explicit)</t>
        </is>
      </c>
      <c r="I468" s="8" t="inlineStr"/>
      <c r="J468" s="8" t="inlineStr"/>
      <c r="K468" t="inlineStr"/>
      <c r="L468" s="8" t="inlineStr">
        <is>
          <t>Designated persons continue to hold office until section 82(2) date, with transitional provisions for pending cases.</t>
        </is>
      </c>
      <c r="M468" s="8" t="inlineStr"/>
      <c r="N468" s="8" t="inlineStr">
        <is>
          <t>[Must] Designated persons continue to hold office as if Act had not been passed
[Must] Pending proceedings under Prevention Act must be dealt with as if Act had not been passed</t>
        </is>
      </c>
      <c r="O468" s="8" t="inlineStr">
        <is>
          <t>81. (1) Until the date referred to in section 82(2), the person designated for the purposes of section 7 of the Prevention Act will be deemed to have been duly designated and will continue to hold office as if this Act had not been passed.</t>
        </is>
      </c>
    </row>
    <row r="469">
      <c r="A469" t="inlineStr">
        <is>
          <t>South Africa</t>
        </is>
      </c>
      <c r="B469" t="inlineStr">
        <is>
          <t>FICA (Financial Intelligence Centre Act, 38 of 2001</t>
        </is>
      </c>
      <c r="C469" t="inlineStr">
        <is>
          <t>82</t>
        </is>
      </c>
      <c r="D469" s="8" t="inlineStr">
        <is>
          <t>(1) This Act is called the Financial Intelligence  Centre  Act, 2001, and  takes effect</t>
        </is>
      </c>
      <c r="E469" t="inlineStr">
        <is>
          <t>23</t>
        </is>
      </c>
      <c r="F469" t="inlineStr">
        <is>
          <t>Other</t>
        </is>
      </c>
      <c r="G469" t="inlineStr">
        <is>
          <t>Low</t>
        </is>
      </c>
      <c r="H469" t="inlineStr">
        <is>
          <t>High (explicit)</t>
        </is>
      </c>
      <c r="I469" s="8" t="inlineStr"/>
      <c r="J469" s="8" t="inlineStr"/>
      <c r="K469" t="inlineStr">
        <is>
          <t>President</t>
        </is>
      </c>
      <c r="L469" s="8" t="inlineStr">
        <is>
          <t>Act takes effect on date fixed by President, with specific transitional provisions for sections.</t>
        </is>
      </c>
      <c r="M469" s="8" t="inlineStr"/>
      <c r="N469" s="8" t="inlineStr">
        <is>
          <t>[Must] Act takes effect on date fixed by President by proclamation
[Must] Section 79 does not take effect before section 29 takes effect
[Must] Section 21(2) takes effect one year after section 21(1) takes effect</t>
        </is>
      </c>
      <c r="O469" s="8" t="inlineStr">
        <is>
          <t>82. (1) This Act is called the Financial Intelligence Centre Act, 2001, and takes effect on a date fixed by the President by proclamation in the Gazette.</t>
        </is>
      </c>
    </row>
    <row r="470">
      <c r="A470" t="inlineStr">
        <is>
          <t>South Africa</t>
        </is>
      </c>
      <c r="B470" t="inlineStr">
        <is>
          <t>FICA (Financial Intelligence Centre Act, 38 of 2001</t>
        </is>
      </c>
      <c r="C470" t="inlineStr">
        <is>
          <t>161</t>
        </is>
      </c>
      <c r="D470" s="8" t="inlineStr">
        <is>
          <t>An  accountable institution that fails to-</t>
        </is>
      </c>
      <c r="E470" t="inlineStr">
        <is>
          <t>17</t>
        </is>
      </c>
      <c r="F470" t="inlineStr">
        <is>
          <t>Enforcement</t>
        </is>
      </c>
      <c r="G470" t="inlineStr">
        <is>
          <t>High</t>
        </is>
      </c>
      <c r="H470" t="inlineStr">
        <is>
          <t>High (explicit)</t>
        </is>
      </c>
      <c r="I470" s="8" t="inlineStr"/>
      <c r="J470" s="8" t="inlineStr">
        <is>
          <t>Financial Data</t>
        </is>
      </c>
      <c r="K470" t="inlineStr">
        <is>
          <t>Centre</t>
        </is>
      </c>
      <c r="L470" s="8" t="inlineStr">
        <is>
          <t>Accountable institutions failing to implement internal rules are guilty of an offence.</t>
        </is>
      </c>
      <c r="M470" s="8" t="inlineStr">
        <is>
          <t>Offence for failing to formulate and implement internal rules; requires adherence to internal rules for compliance.</t>
        </is>
      </c>
      <c r="N470" s="8" t="inlineStr">
        <is>
          <t>[Must] formulate and implement internal rules in accordance with section 42(1)
[Must] make internal rules available to employees in accordance with section 42(3)
[Must] make a copy of internal rules available to Centre or supervisory body in accordance with section 42(4)</t>
        </is>
      </c>
      <c r="O470" s="8" t="inlineStr">
        <is>
          <t>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t>
        </is>
      </c>
    </row>
    <row r="471">
      <c r="A471" t="inlineStr">
        <is>
          <t>South Africa</t>
        </is>
      </c>
      <c r="B471" t="inlineStr">
        <is>
          <t>FICA (Financial Intelligence Centre Act, 38 of 2001</t>
        </is>
      </c>
      <c r="C471" t="inlineStr">
        <is>
          <t>391</t>
        </is>
      </c>
      <c r="D471" s="8" t="inlineStr">
        <is>
          <t>A certificate issued by an official  of the  Centre that information specified in the</t>
        </is>
      </c>
      <c r="E471" t="inlineStr">
        <is>
          <t>13</t>
        </is>
      </c>
      <c r="F471" t="inlineStr">
        <is>
          <t>Incident Reporting</t>
        </is>
      </c>
      <c r="G471" t="inlineStr">
        <is>
          <t>High</t>
        </is>
      </c>
      <c r="H471" t="inlineStr">
        <is>
          <t>High (explicit)</t>
        </is>
      </c>
      <c r="I471" s="8" t="inlineStr">
        <is>
          <t>Incident Reporting, Breach Notification</t>
        </is>
      </c>
      <c r="J471" s="8" t="inlineStr">
        <is>
          <t>Financial Data</t>
        </is>
      </c>
      <c r="K471" t="inlineStr">
        <is>
          <t>Financial Intelligence Centre (Centre)</t>
        </is>
      </c>
      <c r="L471" s="8" t="inlineStr">
        <is>
          <t>Certificate from Centre is admissible as evidence in court for reported money laundering transactions.</t>
        </is>
      </c>
      <c r="M471" s="8" t="inlineStr">
        <is>
          <t>Centre's certificates for reported transactions are admissible evidence in legal proceedings.</t>
        </is>
      </c>
      <c r="N471" s="8" t="inlineStr">
        <is>
          <t>[Must] Certificate issued by Centre that information was reported or sent to Centre in terms of sections 28, 29, 30(2) or 31 is admissible as evidence in court</t>
        </is>
      </c>
      <c r="O471" s="8" t="inlineStr">
        <is>
          <t>391. A certificate issued by an official of the Centre that information specified in the certificate was reported or sent to the Centre in terms of section 28, 29, 30(2) or 31 is, subject to section 38(3), on its mere production in a matter before a court admissible as evidence...</t>
        </is>
      </c>
    </row>
    <row r="472">
      <c r="A472" t="inlineStr">
        <is>
          <t>South Africa</t>
        </is>
      </c>
      <c r="B472" t="inlineStr">
        <is>
          <t>FICA (Financial Intelligence Centre Act, 38 of 2001</t>
        </is>
      </c>
      <c r="C472" t="inlineStr">
        <is>
          <t>615</t>
        </is>
      </c>
      <c r="D472" s="8" t="inlineStr">
        <is>
          <t>(1) Any person  who,  without authority to do so, wilfully  accesses  or causes any 35</t>
        </is>
      </c>
      <c r="E472" t="inlineStr">
        <is>
          <t>17–18</t>
        </is>
      </c>
      <c r="F472" t="inlineStr">
        <is>
          <t>Enforcement</t>
        </is>
      </c>
      <c r="G472" t="inlineStr">
        <is>
          <t>High</t>
        </is>
      </c>
      <c r="H472" t="inlineStr">
        <is>
          <t>High (explicit)</t>
        </is>
      </c>
      <c r="I472" s="8" t="inlineStr"/>
      <c r="J472" s="8" t="inlineStr">
        <is>
          <t>Financial Data</t>
        </is>
      </c>
      <c r="K472" t="inlineStr">
        <is>
          <t>Centre</t>
        </is>
      </c>
      <c r="L472" s="8" t="inlineStr">
        <is>
          <t>Unauthorised access to Centre's computer systems is an offence.</t>
        </is>
      </c>
      <c r="M472" s="8" t="inlineStr">
        <is>
          <t>Offence for unauthorised access to Centre's computer systems; requires adherence to access controls.</t>
        </is>
      </c>
      <c r="N472" s="8" t="inlineStr">
        <is>
          <t>[Must Not] without authority to do so, wilfully accesses or causes any person to access Centre's computer system</t>
        </is>
      </c>
      <c r="O472" s="8" t="inlineStr">
        <is>
          <t>Any person who, without authority to do so, wilfully accesses or causes any other person to access Centre's computer system, is guilty of an offence.</t>
        </is>
      </c>
    </row>
    <row r="473">
      <c r="A473" t="inlineStr">
        <is>
          <t>South Africa</t>
        </is>
      </c>
      <c r="B473" t="inlineStr">
        <is>
          <t>Financial Advisory and Intermediary Services Act (FAIS) 37 of 2002</t>
        </is>
      </c>
      <c r="C473" t="inlineStr">
        <is>
          <t>1</t>
        </is>
      </c>
      <c r="D473" s="8" t="inlineStr">
        <is>
          <t>(1) In this  Act,  unless the context  indicates otherwise-</t>
        </is>
      </c>
      <c r="E473" t="inlineStr">
        <is>
          <t>4–7</t>
        </is>
      </c>
      <c r="F473" t="inlineStr">
        <is>
          <t>Definitions</t>
        </is>
      </c>
      <c r="G473" t="inlineStr">
        <is>
          <t>High</t>
        </is>
      </c>
      <c r="H473" t="inlineStr">
        <is>
          <t>High (explicit)</t>
        </is>
      </c>
      <c r="I473" s="8" t="inlineStr"/>
      <c r="J473" s="8" t="inlineStr">
        <is>
          <t>Financial Data</t>
        </is>
      </c>
      <c r="K473" t="inlineStr"/>
      <c r="L473" s="8" t="inlineStr">
        <is>
          <t>Defines key terms including 'advice', 'financial product', 'financial services provider', and related concepts for regulatory purposes.</t>
        </is>
      </c>
      <c r="M473" s="8" t="inlineStr"/>
      <c r="N473" s="8" t="inlineStr">
        <is>
          <t>[Must] In this Act, unless the context indicates otherwise</t>
        </is>
      </c>
      <c r="O473" s="8" t="inlineStr">
        <is>
          <t>1. (1) In this Act, unless the context indicates otherwise-</t>
        </is>
      </c>
    </row>
    <row r="474">
      <c r="A474" t="inlineStr">
        <is>
          <t>South Africa</t>
        </is>
      </c>
      <c r="B474" t="inlineStr">
        <is>
          <t>Financial Advisory and Intermediary Services Act (FAIS) 37 of 2002</t>
        </is>
      </c>
      <c r="C474" t="inlineStr">
        <is>
          <t>1</t>
        </is>
      </c>
      <c r="D474" s="8" t="inlineStr">
        <is>
          <t>The amendment of section 4</t>
        </is>
      </c>
      <c r="E474" t="inlineStr">
        <is>
          <t>30</t>
        </is>
      </c>
      <c r="F474" t="inlineStr">
        <is>
          <t>Other</t>
        </is>
      </c>
      <c r="G474" t="inlineStr">
        <is>
          <t>High</t>
        </is>
      </c>
      <c r="H474" t="inlineStr">
        <is>
          <t>High (explicit)</t>
        </is>
      </c>
      <c r="I474" s="8" t="inlineStr">
        <is>
          <t>Financial Data</t>
        </is>
      </c>
      <c r="J474" s="8" t="inlineStr">
        <is>
          <t>Financial Data</t>
        </is>
      </c>
      <c r="K474" t="inlineStr"/>
      <c r="L474" s="8" t="inlineStr">
        <is>
          <t>Amends section 10 by substituting paragraphs for stock-brokers and financial instrument traders.</t>
        </is>
      </c>
      <c r="M474" s="8" t="inlineStr"/>
      <c r="N474"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474"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475">
      <c r="A475" t="inlineStr">
        <is>
          <t>South Africa</t>
        </is>
      </c>
      <c r="B475" t="inlineStr">
        <is>
          <t>Financial Advisory and Intermediary Services Act (FAIS) 37 of 2002</t>
        </is>
      </c>
      <c r="C475" t="inlineStr">
        <is>
          <t>1</t>
        </is>
      </c>
      <c r="D475" s="8" t="inlineStr">
        <is>
          <t>The  amendment of section 5-</t>
        </is>
      </c>
      <c r="E475" t="inlineStr">
        <is>
          <t>33</t>
        </is>
      </c>
      <c r="F475" t="inlineStr">
        <is>
          <t>Other</t>
        </is>
      </c>
      <c r="G475" t="inlineStr">
        <is>
          <t>High</t>
        </is>
      </c>
      <c r="H475" t="inlineStr">
        <is>
          <t>High (explicit)</t>
        </is>
      </c>
      <c r="I475" s="8" t="inlineStr">
        <is>
          <t>Financial Data</t>
        </is>
      </c>
      <c r="J475" s="8" t="inlineStr">
        <is>
          <t>Financial Data</t>
        </is>
      </c>
      <c r="K475" t="inlineStr"/>
      <c r="L475" s="8" t="inlineStr">
        <is>
          <t>Amends section 10 by substituting paragraphs for stock-brokers and financial instrument traders.</t>
        </is>
      </c>
      <c r="M475" s="8" t="inlineStr"/>
      <c r="N475"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475"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476">
      <c r="A476" t="inlineStr">
        <is>
          <t>South Africa</t>
        </is>
      </c>
      <c r="B476" t="inlineStr">
        <is>
          <t>Financial Advisory and Intermediary Services Act (FAIS) 37 of 2002</t>
        </is>
      </c>
      <c r="C476" t="inlineStr">
        <is>
          <t>1</t>
        </is>
      </c>
      <c r="D476" s="8" t="inlineStr">
        <is>
          <t>The amendment of section 10</t>
        </is>
      </c>
      <c r="E476" t="inlineStr">
        <is>
          <t>37</t>
        </is>
      </c>
      <c r="F476" t="inlineStr">
        <is>
          <t>Other</t>
        </is>
      </c>
      <c r="G476" t="inlineStr">
        <is>
          <t>High</t>
        </is>
      </c>
      <c r="H476" t="inlineStr">
        <is>
          <t>High (explicit)</t>
        </is>
      </c>
      <c r="I476" s="8" t="inlineStr">
        <is>
          <t>Financial Data</t>
        </is>
      </c>
      <c r="J476" s="8" t="inlineStr">
        <is>
          <t>Financial Data</t>
        </is>
      </c>
      <c r="K476" t="inlineStr"/>
      <c r="L476" s="8" t="inlineStr">
        <is>
          <t>Amends section 10 by substituting paragraphs for stock-brokers and financial instrument traders.</t>
        </is>
      </c>
      <c r="M476" s="8" t="inlineStr"/>
      <c r="N476"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476"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477">
      <c r="A477" t="inlineStr">
        <is>
          <t>South Africa</t>
        </is>
      </c>
      <c r="B477" t="inlineStr">
        <is>
          <t>Financial Advisory and Intermediary Services Act (FAIS) 37 of 2002</t>
        </is>
      </c>
      <c r="C477" t="inlineStr">
        <is>
          <t>2</t>
        </is>
      </c>
      <c r="D477" s="8" t="inlineStr">
        <is>
          <t>The executive  officer  and  deputy executive officer of the  Board  are  respectively  the</t>
        </is>
      </c>
      <c r="E477" t="inlineStr">
        <is>
          <t>7–8</t>
        </is>
      </c>
      <c r="F477" t="inlineStr">
        <is>
          <t>Definitions</t>
        </is>
      </c>
      <c r="G477" t="inlineStr">
        <is>
          <t>High</t>
        </is>
      </c>
      <c r="H477" t="inlineStr">
        <is>
          <t>High (explicit)</t>
        </is>
      </c>
      <c r="I477" s="8" t="inlineStr"/>
      <c r="J477" s="8" t="inlineStr"/>
      <c r="K477" t="inlineStr"/>
      <c r="L477" s="8" t="inlineStr">
        <is>
          <t>Designates the registrar and deputy registrar as the executive and deputy executive officers of the Board.</t>
        </is>
      </c>
      <c r="M477" s="8" t="inlineStr"/>
      <c r="N477" s="8" t="inlineStr">
        <is>
          <t>[Must] The executive officer and deputy executive officer of the Board are respectively the registrar and deputy registrar of financial services providers</t>
        </is>
      </c>
      <c r="O477" s="8" t="inlineStr">
        <is>
          <t>2. The executive officer and deputy executive officer of the Board are respectively the registrar and deputy registrar of financial services providers</t>
        </is>
      </c>
    </row>
    <row r="478">
      <c r="A478" t="inlineStr">
        <is>
          <t>South Africa</t>
        </is>
      </c>
      <c r="B478" t="inlineStr">
        <is>
          <t>Financial Advisory and Intermediary Services Act (FAIS) 37 of 2002</t>
        </is>
      </c>
      <c r="C478" t="inlineStr">
        <is>
          <t>2</t>
        </is>
      </c>
      <c r="D478" s="8" t="inlineStr">
        <is>
          <t>The amendment of section 12</t>
        </is>
      </c>
      <c r="E478" t="inlineStr">
        <is>
          <t>30–31</t>
        </is>
      </c>
      <c r="F478" t="inlineStr">
        <is>
          <t>Other</t>
        </is>
      </c>
      <c r="G478" t="inlineStr">
        <is>
          <t>High</t>
        </is>
      </c>
      <c r="H478" t="inlineStr">
        <is>
          <t>High (explicit)</t>
        </is>
      </c>
      <c r="I478" s="8" t="inlineStr">
        <is>
          <t>Financial Data</t>
        </is>
      </c>
      <c r="J478" s="8" t="inlineStr">
        <is>
          <t>Financial Data</t>
        </is>
      </c>
      <c r="K478" t="inlineStr"/>
      <c r="L478" s="8" t="inlineStr">
        <is>
          <t>Amends section 12 by substituting a paragraph that members must carry on business in accordance with rules and may not effect transactions with persons requiring authorization without verification.</t>
        </is>
      </c>
      <c r="M478" s="8" t="inlineStr"/>
      <c r="N478"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478"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479">
      <c r="A479" t="inlineStr">
        <is>
          <t>South Africa</t>
        </is>
      </c>
      <c r="B479" t="inlineStr">
        <is>
          <t>Financial Advisory and Intermediary Services Act (FAIS) 37 of 2002</t>
        </is>
      </c>
      <c r="C479" t="inlineStr">
        <is>
          <t>2</t>
        </is>
      </c>
      <c r="D479" s="8" t="inlineStr">
        <is>
          <t>The amendment of sectior</t>
        </is>
      </c>
      <c r="E479" t="inlineStr">
        <is>
          <t>33</t>
        </is>
      </c>
      <c r="F479" t="inlineStr">
        <is>
          <t>Other</t>
        </is>
      </c>
      <c r="G479" t="inlineStr">
        <is>
          <t>High</t>
        </is>
      </c>
      <c r="H479" t="inlineStr">
        <is>
          <t>High (explicit)</t>
        </is>
      </c>
      <c r="I479" s="8" t="inlineStr">
        <is>
          <t>Financial Data</t>
        </is>
      </c>
      <c r="J479" s="8" t="inlineStr">
        <is>
          <t>Financial Data</t>
        </is>
      </c>
      <c r="K479" t="inlineStr"/>
      <c r="L479" s="8" t="inlineStr">
        <is>
          <t>Amends section 12 by substituting a paragraph that members must carry on business in accordance with rules and may not effect transactions with persons requiring authorization without verification.</t>
        </is>
      </c>
      <c r="M479" s="8" t="inlineStr"/>
      <c r="N479"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479"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480">
      <c r="A480" t="inlineStr">
        <is>
          <t>South Africa</t>
        </is>
      </c>
      <c r="B480" t="inlineStr">
        <is>
          <t>Financial Advisory and Intermediary Services Act (FAIS) 37 of 2002</t>
        </is>
      </c>
      <c r="C480" t="inlineStr">
        <is>
          <t>3</t>
        </is>
      </c>
      <c r="D480" s="8" t="inlineStr">
        <is>
          <t>The  amendment  of section 211</t>
        </is>
      </c>
      <c r="E480" t="inlineStr">
        <is>
          <t>33–34</t>
        </is>
      </c>
      <c r="F480" t="inlineStr">
        <is>
          <t>Other</t>
        </is>
      </c>
      <c r="G480" t="inlineStr">
        <is>
          <t>Unknown</t>
        </is>
      </c>
      <c r="H480" t="inlineStr">
        <is>
          <t>Low</t>
        </is>
      </c>
      <c r="I480" s="8" t="inlineStr"/>
      <c r="J480" s="8" t="inlineStr"/>
      <c r="K480" t="inlineStr"/>
      <c r="L480" s="8" t="inlineStr"/>
      <c r="M480" s="8" t="inlineStr"/>
      <c r="N480" s="8" t="inlineStr"/>
      <c r="O480" s="8" t="inlineStr"/>
    </row>
    <row r="481">
      <c r="A481" t="inlineStr">
        <is>
          <t>South Africa</t>
        </is>
      </c>
      <c r="B481" t="inlineStr">
        <is>
          <t>Financial Advisory and Intermediary Services Act (FAIS) 37 of 2002</t>
        </is>
      </c>
      <c r="C481" t="inlineStr">
        <is>
          <t>4</t>
        </is>
      </c>
      <c r="D481" s="8" t="inlineStr">
        <is>
          <t>(1) When anything is required or permitted to be done by the registrar in terms of</t>
        </is>
      </c>
      <c r="E481" t="inlineStr">
        <is>
          <t>8–9</t>
        </is>
      </c>
      <c r="F481" t="inlineStr">
        <is>
          <t>Cross-border Transfer</t>
        </is>
      </c>
      <c r="G481" t="inlineStr">
        <is>
          <t>High</t>
        </is>
      </c>
      <c r="H481" t="inlineStr">
        <is>
          <t>High (explicit)</t>
        </is>
      </c>
      <c r="I481" s="8" t="inlineStr"/>
      <c r="J481" s="8" t="inlineStr"/>
      <c r="K481" t="inlineStr">
        <is>
          <t>Registrar</t>
        </is>
      </c>
      <c r="L481" s="8" t="inlineStr">
        <is>
          <t>Regulates registrar's powers to extend periods, direct information furnishing, and handle misleading publications.</t>
        </is>
      </c>
      <c r="M481" s="8" t="inlineStr"/>
      <c r="N481" s="8" t="inlineStr">
        <is>
          <t>[Must]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t>
        </is>
      </c>
      <c r="O481" s="8" t="inlineStr">
        <is>
          <t>4. (1) When anything is required or permitted to be done by the registrar in terms of this Act within a particular period, the registrar may on application or on own initiative before the expiry of that period, extend it for any sufficient cause.</t>
        </is>
      </c>
    </row>
    <row r="482">
      <c r="A482" t="inlineStr">
        <is>
          <t>South Africa</t>
        </is>
      </c>
      <c r="B482" t="inlineStr">
        <is>
          <t>Financial Advisory and Intermediary Services Act (FAIS) 37 of 2002</t>
        </is>
      </c>
      <c r="C482" t="inlineStr">
        <is>
          <t>4</t>
        </is>
      </c>
      <c r="D482" s="8" t="inlineStr">
        <is>
          <t>The  amendment</t>
        </is>
      </c>
      <c r="E482" t="inlineStr">
        <is>
          <t>31</t>
        </is>
      </c>
      <c r="F482" t="inlineStr">
        <is>
          <t>Other</t>
        </is>
      </c>
      <c r="G482" t="inlineStr">
        <is>
          <t>High</t>
        </is>
      </c>
      <c r="H482" t="inlineStr">
        <is>
          <t>High (explicit)</t>
        </is>
      </c>
      <c r="I482" s="8" t="inlineStr">
        <is>
          <t>Financial Data</t>
        </is>
      </c>
      <c r="J482" s="8" t="inlineStr">
        <is>
          <t>Financial Data</t>
        </is>
      </c>
      <c r="K482" t="inlineStr"/>
      <c r="L482" s="8" t="inlineStr">
        <is>
          <t>Amends section 45 by deleting specific subparagraphs and substituting wording related to financial exchanges and members.</t>
        </is>
      </c>
      <c r="M482" s="8" t="inlineStr"/>
      <c r="N482" s="8" t="inlineStr">
        <is>
          <t>[Must] but who is carrying on the business of a stock exchange or of a member [or of a person requiring approval in terms of section 41 as the case may be]</t>
        </is>
      </c>
      <c r="O482"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483">
      <c r="A483" t="inlineStr">
        <is>
          <t>South Africa</t>
        </is>
      </c>
      <c r="B483" t="inlineStr">
        <is>
          <t>Financial Advisory and Intermediary Services Act (FAIS) 37 of 2002</t>
        </is>
      </c>
      <c r="C483" t="inlineStr">
        <is>
          <t>4</t>
        </is>
      </c>
      <c r="D483" s="8" t="inlineStr">
        <is>
          <t>The amendment of section</t>
        </is>
      </c>
      <c r="E483" t="inlineStr">
        <is>
          <t>34</t>
        </is>
      </c>
      <c r="F483" t="inlineStr">
        <is>
          <t>Other</t>
        </is>
      </c>
      <c r="G483" t="inlineStr">
        <is>
          <t>High</t>
        </is>
      </c>
      <c r="H483" t="inlineStr">
        <is>
          <t>High (explicit)</t>
        </is>
      </c>
      <c r="I483" s="8" t="inlineStr">
        <is>
          <t>Financial Data</t>
        </is>
      </c>
      <c r="J483" s="8" t="inlineStr">
        <is>
          <t>Financial Data</t>
        </is>
      </c>
      <c r="K483" t="inlineStr"/>
      <c r="L483" s="8" t="inlineStr">
        <is>
          <t>Amends section 45 by deleting specific subparagraphs and substituting wording related to financial exchanges and members.</t>
        </is>
      </c>
      <c r="M483" s="8" t="inlineStr"/>
      <c r="N483" s="8" t="inlineStr">
        <is>
          <t>[Must] but who is carrying on the business of a stock exchange or of a member [or of a person requiring approval in terms of section 41 as the case may be]</t>
        </is>
      </c>
      <c r="O483"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484">
      <c r="A484" t="inlineStr">
        <is>
          <t>South Africa</t>
        </is>
      </c>
      <c r="B484" t="inlineStr">
        <is>
          <t>Financial Advisory and Intermediary Services Act (FAIS) 37 of 2002</t>
        </is>
      </c>
      <c r="C484" t="inlineStr">
        <is>
          <t>5</t>
        </is>
      </c>
      <c r="D484" s="8" t="inlineStr">
        <is>
          <t>( 1 ) There is an Advisory Committee  on Financial  Services  Providers which may on</t>
        </is>
      </c>
      <c r="E484" t="inlineStr">
        <is>
          <t>9</t>
        </is>
      </c>
      <c r="F484" t="inlineStr">
        <is>
          <t>Other</t>
        </is>
      </c>
      <c r="G484" t="inlineStr">
        <is>
          <t>Low</t>
        </is>
      </c>
      <c r="H484" t="inlineStr">
        <is>
          <t>High (explicit)</t>
        </is>
      </c>
      <c r="I484" s="8" t="inlineStr"/>
      <c r="J484" s="8" t="inlineStr"/>
      <c r="K484" t="inlineStr">
        <is>
          <t>Minister</t>
        </is>
      </c>
      <c r="L484" s="8" t="inlineStr">
        <is>
          <t>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t>
        </is>
      </c>
      <c r="M484" s="8" t="inlineStr"/>
      <c r="N484" s="8" t="inlineStr">
        <is>
          <t>[Must]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t>
        </is>
      </c>
      <c r="O484" s="8" t="inlineStr">
        <is>
          <t>5. (1) There is an Advisory Committee on Financial Services Providers which may on its own initiative, or must at the request of the Minister or the registrar, investigate and report or advise on any matter relating to financial services providers.</t>
        </is>
      </c>
    </row>
    <row r="485">
      <c r="A485" t="inlineStr">
        <is>
          <t>South Africa</t>
        </is>
      </c>
      <c r="B485" t="inlineStr">
        <is>
          <t>Financial Advisory and Intermediary Services Act (FAIS) 37 of 2002</t>
        </is>
      </c>
      <c r="C485" t="inlineStr">
        <is>
          <t>6</t>
        </is>
      </c>
      <c r="D485" s="8" t="inlineStr">
        <is>
          <t>( 11 The  Minister may, on  such  conditions as  the Minister may determine (which the</t>
        </is>
      </c>
      <c r="E485" t="inlineStr">
        <is>
          <t>9–10</t>
        </is>
      </c>
      <c r="F485" t="inlineStr">
        <is>
          <t>Other</t>
        </is>
      </c>
      <c r="G485" t="inlineStr">
        <is>
          <t>Low</t>
        </is>
      </c>
      <c r="H485" t="inlineStr">
        <is>
          <t>High (explicit)</t>
        </is>
      </c>
      <c r="I485" s="8" t="inlineStr"/>
      <c r="J485" s="8" t="inlineStr"/>
      <c r="K485" t="inlineStr">
        <is>
          <t>Minister, Board, Registrar</t>
        </is>
      </c>
      <c r="L485" s="8" t="inlineStr">
        <is>
          <t>Minister, Board and registrar may delegate powers to others with conditions, including to National Treasury, other officials, or registrar. Delegations may be amended or withdrawn at any time.</t>
        </is>
      </c>
      <c r="M485" s="8" t="inlineStr"/>
      <c r="N485" s="8" t="inlineStr">
        <is>
          <t>[May]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t>
        </is>
      </c>
      <c r="O485" s="8" t="inlineStr">
        <is>
          <t>6. (11) The Minister may, on such conditions as the Minister may determine (which the Minister may at any time thereafter amend or withdraw). delegate any power conferred upon the Minister by this Act, excluding the power to make regulations under section 35.</t>
        </is>
      </c>
    </row>
    <row r="486">
      <c r="A486" t="inlineStr">
        <is>
          <t>South Africa</t>
        </is>
      </c>
      <c r="B486" t="inlineStr">
        <is>
          <t>Financial Advisory and Intermediary Services Act (FAIS) 37 of 2002</t>
        </is>
      </c>
      <c r="C486" t="inlineStr">
        <is>
          <t>6</t>
        </is>
      </c>
      <c r="D486" s="8" t="inlineStr">
        <is>
          <t>The amendment of section 48</t>
        </is>
      </c>
      <c r="E486" t="inlineStr">
        <is>
          <t>31–32</t>
        </is>
      </c>
      <c r="F486" t="inlineStr">
        <is>
          <t>Other</t>
        </is>
      </c>
      <c r="G486" t="inlineStr">
        <is>
          <t>High</t>
        </is>
      </c>
      <c r="H486" t="inlineStr">
        <is>
          <t>High (explicit)</t>
        </is>
      </c>
      <c r="I486" s="8" t="inlineStr">
        <is>
          <t>Financial Data</t>
        </is>
      </c>
      <c r="J486" s="8" t="inlineStr">
        <is>
          <t>Financial Data</t>
        </is>
      </c>
      <c r="K486" t="inlineStr"/>
      <c r="L486" s="8" t="inlineStr">
        <is>
          <t>Amends section 48 by substituting a paragraph that contravenes specific sections of the Act.</t>
        </is>
      </c>
      <c r="M486" s="8" t="inlineStr"/>
      <c r="N486" s="8" t="inlineStr">
        <is>
          <t>[Must Not] contravenes a provision of section 3(1) or (2), 4(1)[or (2)] or 14</t>
        </is>
      </c>
      <c r="O486" s="8" t="inlineStr">
        <is>
          <t>6. The amendment of section 48 by the substitution for paragraph (a) of subsection (1) of the following paragraph: "(a) contravenes a provision of section 3(1) or (2), 4(1)[or (2)] or 14;".</t>
        </is>
      </c>
    </row>
    <row r="487">
      <c r="A487" t="inlineStr">
        <is>
          <t>South Africa</t>
        </is>
      </c>
      <c r="B487" t="inlineStr">
        <is>
          <t>Financial Advisory and Intermediary Services Act (FAIS) 37 of 2002</t>
        </is>
      </c>
      <c r="C487" t="inlineStr">
        <is>
          <t>6</t>
        </is>
      </c>
      <c r="D487" s="8" t="inlineStr">
        <is>
          <t>The amendment of section</t>
        </is>
      </c>
      <c r="E487" t="inlineStr">
        <is>
          <t>34–35</t>
        </is>
      </c>
      <c r="F487" t="inlineStr">
        <is>
          <t>Other</t>
        </is>
      </c>
      <c r="G487" t="inlineStr">
        <is>
          <t>High</t>
        </is>
      </c>
      <c r="H487" t="inlineStr">
        <is>
          <t>High (explicit)</t>
        </is>
      </c>
      <c r="I487" s="8" t="inlineStr">
        <is>
          <t>Financial Data</t>
        </is>
      </c>
      <c r="J487" s="8" t="inlineStr">
        <is>
          <t>Financial Data</t>
        </is>
      </c>
      <c r="K487" t="inlineStr"/>
      <c r="L487" s="8" t="inlineStr">
        <is>
          <t>Amends section 48 by substituting a paragraph that contravenes specific sections of the Act.</t>
        </is>
      </c>
      <c r="M487" s="8" t="inlineStr"/>
      <c r="N487" s="8" t="inlineStr">
        <is>
          <t>[Must Not] contravenes a provision of section 3(1) or (2), 4(1)[or (2)] or 14</t>
        </is>
      </c>
      <c r="O487" s="8" t="inlineStr">
        <is>
          <t>6. The amendment of section 48 by the substitution for paragraph (a) of subsection (1) of the following paragraph: "(a) contravenes a provision of section 3(1) or (2), 4(1)[or (2)] or 14;".</t>
        </is>
      </c>
    </row>
    <row r="488">
      <c r="A488" t="inlineStr">
        <is>
          <t>South Africa</t>
        </is>
      </c>
      <c r="B488" t="inlineStr">
        <is>
          <t>Financial Advisory and Intermediary Services Act (FAIS) 37 of 2002</t>
        </is>
      </c>
      <c r="C488" t="inlineStr">
        <is>
          <t>7</t>
        </is>
      </c>
      <c r="D488" s="8" t="inlineStr">
        <is>
          <t>(1 ) With effect from  a date  determined by the  Minister by notice in the Guzerte. a</t>
        </is>
      </c>
      <c r="E488" t="inlineStr">
        <is>
          <t>10–11</t>
        </is>
      </c>
      <c r="F488" t="inlineStr">
        <is>
          <t>Other</t>
        </is>
      </c>
      <c r="G488" t="inlineStr">
        <is>
          <t>High</t>
        </is>
      </c>
      <c r="H488" t="inlineStr">
        <is>
          <t>High (explicit)</t>
        </is>
      </c>
      <c r="I488" s="8" t="inlineStr"/>
      <c r="J488" s="8" t="inlineStr"/>
      <c r="K488" t="inlineStr"/>
      <c r="L488" s="8" t="inlineStr">
        <is>
          <t>A person may not act as a financial services provider without being issued a licence under section 8. Transactions concluded after the effective date must be between authorized providers and clients.</t>
        </is>
      </c>
      <c r="M488" s="8" t="inlineStr"/>
      <c r="N488" s="8" t="inlineStr">
        <is>
          <t>[Must Not] Person may not act as financial services provider without licence under section 8</t>
        </is>
      </c>
      <c r="O488" s="8" t="inlineStr">
        <is>
          <t>7. (1) With effect from a date determined by the Minister by notice in the Gazette, a person may not act or offer to act as a financial services provider unless such person has been issued with a licence under section 8.</t>
        </is>
      </c>
    </row>
    <row r="489">
      <c r="A489" t="inlineStr">
        <is>
          <t>South Africa</t>
        </is>
      </c>
      <c r="B489" t="inlineStr">
        <is>
          <t>Financial Advisory and Intermediary Services Act (FAIS) 37 of 2002</t>
        </is>
      </c>
      <c r="C489" t="inlineStr">
        <is>
          <t>7</t>
        </is>
      </c>
      <c r="D489" s="8" t="inlineStr">
        <is>
          <t>The substitution of the follow-</t>
        </is>
      </c>
      <c r="E489" t="inlineStr">
        <is>
          <t>32</t>
        </is>
      </c>
      <c r="F489" t="inlineStr">
        <is>
          <t>Other</t>
        </is>
      </c>
      <c r="G489" t="inlineStr">
        <is>
          <t>High</t>
        </is>
      </c>
      <c r="H489" t="inlineStr">
        <is>
          <t>High (explicit)</t>
        </is>
      </c>
      <c r="I489" s="8" t="inlineStr">
        <is>
          <t>Financial Data</t>
        </is>
      </c>
      <c r="J489" s="8" t="inlineStr">
        <is>
          <t>Financial Data</t>
        </is>
      </c>
      <c r="K489" t="inlineStr"/>
      <c r="L489" s="8" t="inlineStr">
        <is>
          <t>Substitutes the heading and subsection for section 50 to define court powers to declare members, officers, or employees disqualified.</t>
        </is>
      </c>
      <c r="M489" s="8" t="inlineStr"/>
      <c r="N489" s="8" t="inlineStr"/>
      <c r="O489" s="8" t="inlineStr">
        <is>
          <t>7. The substitution of the following heading and subsection for the leading and subsection (1) of section 50: "Powers of court to declare member, officer or employee of member disqualified"</t>
        </is>
      </c>
    </row>
    <row r="490">
      <c r="A490" t="inlineStr">
        <is>
          <t>South Africa</t>
        </is>
      </c>
      <c r="B490" t="inlineStr">
        <is>
          <t>Financial Advisory and Intermediary Services Act (FAIS) 37 of 2002</t>
        </is>
      </c>
      <c r="C490" t="inlineStr">
        <is>
          <t>8</t>
        </is>
      </c>
      <c r="D490" s="8" t="inlineStr">
        <is>
          <t>(1) An application for an authorisation referred to in section 7( 1). including an</t>
        </is>
      </c>
      <c r="E490" t="inlineStr">
        <is>
          <t>11–13</t>
        </is>
      </c>
      <c r="F490" t="inlineStr">
        <is>
          <t>Other</t>
        </is>
      </c>
      <c r="G490" t="inlineStr">
        <is>
          <t>High</t>
        </is>
      </c>
      <c r="H490" t="inlineStr">
        <is>
          <t>High (explicit)</t>
        </is>
      </c>
      <c r="I490" s="8" t="inlineStr"/>
      <c r="J490" s="8" t="inlineStr"/>
      <c r="K490" t="inlineStr">
        <is>
          <t>Registrar</t>
        </is>
      </c>
      <c r="L490" s="8" t="inlineStr">
        <is>
          <t>Applications for authorization must be submitted to registrar with information to satisfy fit and proper requirements, including personal character, competence, financial soundness. Registrar may impose conditions on licenses.</t>
        </is>
      </c>
      <c r="M490" s="8" t="inlineStr"/>
      <c r="N490" s="8" t="inlineStr">
        <is>
          <t>[Must] Applications for authorization must be submitted to registrar with information to satisfy fit and proper requirements
[May] Registrar may impose conditions on licenses based on applicant facts, service category, and fit and proper requirements</t>
        </is>
      </c>
      <c r="O490" s="8" t="inlineStr">
        <is>
          <t>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t>
        </is>
      </c>
    </row>
    <row r="491">
      <c r="A491" t="inlineStr">
        <is>
          <t>South Africa</t>
        </is>
      </c>
      <c r="B491" t="inlineStr">
        <is>
          <t>Financial Advisory and Intermediary Services Act (FAIS) 37 of 2002</t>
        </is>
      </c>
      <c r="C491" t="inlineStr">
        <is>
          <t>8</t>
        </is>
      </c>
      <c r="D491" s="8" t="inlineStr">
        <is>
          <t>The substitution of the follow.</t>
        </is>
      </c>
      <c r="E491" t="inlineStr">
        <is>
          <t>35–36</t>
        </is>
      </c>
      <c r="F491" t="inlineStr">
        <is>
          <t>Other</t>
        </is>
      </c>
      <c r="G491" t="inlineStr">
        <is>
          <t>High</t>
        </is>
      </c>
      <c r="H491" t="inlineStr">
        <is>
          <t>High (explicit)</t>
        </is>
      </c>
      <c r="I491" s="8" t="inlineStr">
        <is>
          <t>Financial Data</t>
        </is>
      </c>
      <c r="J491" s="8" t="inlineStr">
        <is>
          <t>Financial Data</t>
        </is>
      </c>
      <c r="K491" t="inlineStr"/>
      <c r="L491" s="8" t="inlineStr">
        <is>
          <t>Substitutes the heading and subsection for section 31 to define court powers to declare members, officers, or employees disqualified.</t>
        </is>
      </c>
      <c r="M491" s="8" t="inlineStr"/>
      <c r="N491" s="8" t="inlineStr"/>
      <c r="O491" s="8" t="inlineStr">
        <is>
          <t>8. The substitution of the following heading and subsection for the heading and subsection (1) of section 31: "Power of court to declare member or officer or employee of member disqualified"</t>
        </is>
      </c>
    </row>
    <row r="492">
      <c r="A492" t="inlineStr">
        <is>
          <t>South Africa</t>
        </is>
      </c>
      <c r="B492" t="inlineStr">
        <is>
          <t>Financial Advisory and Intermediary Services Act (FAIS) 37 of 2002</t>
        </is>
      </c>
      <c r="C492" t="inlineStr">
        <is>
          <t>9</t>
        </is>
      </c>
      <c r="D492" s="8" t="inlineStr">
        <is>
          <t>(1 ) The registrar may, subject to subsection (2), at  any  time  suspend  any  licence if</t>
        </is>
      </c>
      <c r="E492" t="inlineStr">
        <is>
          <t>13</t>
        </is>
      </c>
      <c r="F492" t="inlineStr">
        <is>
          <t>Other</t>
        </is>
      </c>
      <c r="G492" t="inlineStr">
        <is>
          <t>High</t>
        </is>
      </c>
      <c r="H492" t="inlineStr">
        <is>
          <t>High (explicit)</t>
        </is>
      </c>
      <c r="I492" s="8" t="inlineStr"/>
      <c r="J492" s="8" t="inlineStr"/>
      <c r="K492" t="inlineStr">
        <is>
          <t>Registrar</t>
        </is>
      </c>
      <c r="L492" s="8" t="inlineStr">
        <is>
          <t>Registrar may suspend a license if licensee no longer meets requirements, after informing licensee and giving opportunity to respond. Suspension may be provisional or final.</t>
        </is>
      </c>
      <c r="M492" s="8" t="inlineStr"/>
      <c r="N492" s="8" t="inlineStr">
        <is>
          <t>[May] Registrar may suspend license if licensee no longer meets requirements
[Must] Registrar must inform licensee of intention to suspend and grounds
[Must] Registrar must give licensee reasonable opportunity to respond</t>
        </is>
      </c>
      <c r="O492" s="8" t="inlineStr">
        <is>
          <t>9. (1) The registrar may, subject to subsection (2), at any time suspend any licence if satisfied on the basis of available facts and information, that the licensee no longer meets the requirements contemplated in section 8</t>
        </is>
      </c>
    </row>
    <row r="493">
      <c r="A493" t="inlineStr">
        <is>
          <t>South Africa</t>
        </is>
      </c>
      <c r="B493" t="inlineStr">
        <is>
          <t>Financial Advisory and Intermediary Services Act (FAIS) 37 of 2002</t>
        </is>
      </c>
      <c r="C493" t="inlineStr">
        <is>
          <t>10</t>
        </is>
      </c>
      <c r="D493" s="8" t="inlineStr">
        <is>
          <t>(1 ) The registrar may at any  time  withdraw  any licence  (including the licence of</t>
        </is>
      </c>
      <c r="E493" t="inlineStr">
        <is>
          <t>13–14</t>
        </is>
      </c>
      <c r="F493" t="inlineStr">
        <is>
          <t>Other</t>
        </is>
      </c>
      <c r="G493" t="inlineStr">
        <is>
          <t>High</t>
        </is>
      </c>
      <c r="H493" t="inlineStr">
        <is>
          <t>High (explicit)</t>
        </is>
      </c>
      <c r="I493" s="8" t="inlineStr"/>
      <c r="J493" s="8" t="inlineStr"/>
      <c r="K493" t="inlineStr">
        <is>
          <t>Registrar</t>
        </is>
      </c>
      <c r="L493" s="8" t="inlineStr">
        <is>
          <t>Registrar may withdraw a license if licensee provided false information or failed to comply with the Act in a material manner. Withdrawn licenses are debarred from reapplying for a period specified by registrar.</t>
        </is>
      </c>
      <c r="M493" s="8" t="inlineStr"/>
      <c r="N493" s="8" t="inlineStr">
        <is>
          <t>[May] Registrar may withdraw license if licensee provided false information or failed to comply with Act in material manner
[Must] Person whose license has been withdrawn is debarred from applying for new license for period specified by registrar</t>
        </is>
      </c>
      <c r="O493" s="8" t="inlineStr">
        <is>
          <t>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t>
        </is>
      </c>
    </row>
    <row r="494">
      <c r="A494" t="inlineStr">
        <is>
          <t>South Africa</t>
        </is>
      </c>
      <c r="B494" t="inlineStr">
        <is>
          <t>Financial Advisory and Intermediary Services Act (FAIS) 37 of 2002</t>
        </is>
      </c>
      <c r="C494" t="inlineStr">
        <is>
          <t>11</t>
        </is>
      </c>
      <c r="D494" s="8" t="inlineStr">
        <is>
          <t>( I ) A  licence lapses--</t>
        </is>
      </c>
      <c r="E494" t="inlineStr">
        <is>
          <t>14</t>
        </is>
      </c>
      <c r="F494" t="inlineStr">
        <is>
          <t>Other</t>
        </is>
      </c>
      <c r="G494" t="inlineStr">
        <is>
          <t>Low</t>
        </is>
      </c>
      <c r="H494" t="inlineStr">
        <is>
          <t>High (explicit)</t>
        </is>
      </c>
      <c r="I494" s="8" t="inlineStr"/>
      <c r="J494" s="8" t="inlineStr"/>
      <c r="K494" t="inlineStr"/>
      <c r="L494" s="8" t="inlineStr">
        <is>
          <t>A license lapses if the licensee becomes permanently incapable of business due to physical/mental disease, serious injury, death, sequestration, dissolution, or voluntary surrender.</t>
        </is>
      </c>
      <c r="M494" s="8" t="inlineStr"/>
      <c r="N494" s="8" t="inlineStr">
        <is>
          <t>[Must]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t>
        </is>
      </c>
      <c r="O494" s="8" t="inlineStr">
        <is>
          <t>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t>
        </is>
      </c>
    </row>
    <row r="495">
      <c r="A495" t="inlineStr">
        <is>
          <t>South Africa</t>
        </is>
      </c>
      <c r="B495" t="inlineStr">
        <is>
          <t>Financial Advisory and Intermediary Services Act (FAIS) 37 of 2002</t>
        </is>
      </c>
      <c r="C495" t="inlineStr">
        <is>
          <t>12</t>
        </is>
      </c>
      <c r="D495" s="8" t="inlineStr">
        <is>
          <t>Definitions  and  application</t>
        </is>
      </c>
      <c r="E495" t="inlineStr">
        <is>
          <t>2</t>
        </is>
      </c>
      <c r="F495" t="inlineStr">
        <is>
          <t>Definitions</t>
        </is>
      </c>
      <c r="G495" t="inlineStr">
        <is>
          <t>Low</t>
        </is>
      </c>
      <c r="H495" t="inlineStr">
        <is>
          <t>High (explicit)</t>
        </is>
      </c>
      <c r="I495" s="8" t="inlineStr"/>
      <c r="J495" s="8" t="inlineStr"/>
      <c r="K495" t="inlineStr"/>
      <c r="L495" s="8" t="inlineStr">
        <is>
          <t>Defines terms and applies to the Act's administration and authorization of financial services providers.</t>
        </is>
      </c>
      <c r="M495" s="8" t="inlineStr"/>
      <c r="N495" s="8" t="inlineStr"/>
      <c r="O495" s="8" t="inlineStr">
        <is>
          <t>12. Definitions and application</t>
        </is>
      </c>
    </row>
    <row r="496">
      <c r="A496" t="inlineStr">
        <is>
          <t>South Africa</t>
        </is>
      </c>
      <c r="B496" t="inlineStr">
        <is>
          <t>Financial Advisory and Intermediary Services Act (FAIS) 37 of 2002</t>
        </is>
      </c>
      <c r="C496" t="inlineStr">
        <is>
          <t>12</t>
        </is>
      </c>
      <c r="D496" s="8" t="inlineStr">
        <is>
          <t>( 1) The registrar may exempt a  product  supplier  who is authorised or approved</t>
        </is>
      </c>
      <c r="E496" t="inlineStr">
        <is>
          <t>14–15</t>
        </is>
      </c>
      <c r="F496" t="inlineStr">
        <is>
          <t>Exemptions</t>
        </is>
      </c>
      <c r="G496" t="inlineStr">
        <is>
          <t>Medium</t>
        </is>
      </c>
      <c r="H496" t="inlineStr">
        <is>
          <t>High (explicit)</t>
        </is>
      </c>
      <c r="I496" s="8" t="inlineStr"/>
      <c r="J496" s="8" t="inlineStr"/>
      <c r="K496" t="inlineStr">
        <is>
          <t>registrar</t>
        </is>
      </c>
      <c r="L496" s="8" t="inlineStr">
        <is>
          <t>Regulator may exempt product suppliers from submitting some or all information required for authorization, provided they apply for exemption and comply with registrar's requirements.</t>
        </is>
      </c>
      <c r="M496" s="8" t="inlineStr"/>
      <c r="N496" s="8" t="inlineStr">
        <is>
          <t>[May] Regulator may exempt product suppliers from submitting some or all information required for authorization</t>
        </is>
      </c>
      <c r="O496" s="8" t="inlineStr">
        <is>
          <t>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t>
        </is>
      </c>
    </row>
    <row r="497">
      <c r="A497" t="inlineStr">
        <is>
          <t>South Africa</t>
        </is>
      </c>
      <c r="B497" t="inlineStr">
        <is>
          <t>Financial Advisory and Intermediary Services Act (FAIS) 37 of 2002</t>
        </is>
      </c>
      <c r="C497" t="inlineStr">
        <is>
          <t>14</t>
        </is>
      </c>
      <c r="D497" s="8" t="inlineStr">
        <is>
          <t>(1) An authorised financial services  provider  must ensure that any  representative</t>
        </is>
      </c>
      <c r="E497" t="inlineStr">
        <is>
          <t>15–16</t>
        </is>
      </c>
      <c r="F497" t="inlineStr">
        <is>
          <t>Other</t>
        </is>
      </c>
      <c r="G497" t="inlineStr">
        <is>
          <t>High</t>
        </is>
      </c>
      <c r="H497" t="inlineStr">
        <is>
          <t>High (explicit)</t>
        </is>
      </c>
      <c r="I497" s="8" t="inlineStr"/>
      <c r="J497" s="8" t="inlineStr"/>
      <c r="K497" t="inlineStr">
        <is>
          <t>authorised financial services provider</t>
        </is>
      </c>
      <c r="L497" s="8" t="inlineStr">
        <is>
          <t>Representatives who no longer comply with requirements must be prohibited from rendering services, removed from the register, and any unconcluded business must be properly concluded.</t>
        </is>
      </c>
      <c r="M497" s="8" t="inlineStr">
        <is>
          <t>Requires debarment of representatives who no longer comply with requirements, removal from register, and proper conclusion of unconcluded business.</t>
        </is>
      </c>
      <c r="N497" s="8" t="inlineStr">
        <is>
          <t>[Must] Representatives who no longer comply with requirements must be prohibited from rendering services and have their names removed from the register
[Must] The provider must ensure debarment does not prejudice client interests and properly conclude any unconcluded business</t>
        </is>
      </c>
      <c r="O497" s="8" t="inlineStr">
        <is>
          <t>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t>
        </is>
      </c>
    </row>
    <row r="498">
      <c r="A498" t="inlineStr">
        <is>
          <t>South Africa</t>
        </is>
      </c>
      <c r="B498" t="inlineStr">
        <is>
          <t>Financial Advisory and Intermediary Services Act (FAIS) 37 of 2002</t>
        </is>
      </c>
      <c r="C498" t="inlineStr">
        <is>
          <t>15</t>
        </is>
      </c>
      <c r="D498" s="8" t="inlineStr">
        <is>
          <t>(1) (a) The registrar  must, after consultation with the Advisory  Committee and</t>
        </is>
      </c>
      <c r="E498" t="inlineStr">
        <is>
          <t>16</t>
        </is>
      </c>
      <c r="F498" t="inlineStr">
        <is>
          <t>Other</t>
        </is>
      </c>
      <c r="G498" t="inlineStr">
        <is>
          <t>High</t>
        </is>
      </c>
      <c r="H498" t="inlineStr">
        <is>
          <t>High (explicit)</t>
        </is>
      </c>
      <c r="I498" s="8" t="inlineStr"/>
      <c r="J498" s="8" t="inlineStr">
        <is>
          <t>Financial Data</t>
        </is>
      </c>
      <c r="K498" t="inlineStr">
        <is>
          <t>registrar</t>
        </is>
      </c>
      <c r="L498" s="8" t="inlineStr">
        <is>
          <t>Regulator must draft, publish, and enforce codes of conduct for financial services providers and representatives, including specific codes for deposit-related services.</t>
        </is>
      </c>
      <c r="M498" s="8" t="inlineStr">
        <is>
          <t>Requires regulator to draft, publish, and enforce codes of conduct for financial services providers and representatives, including specific codes for deposit-related services.</t>
        </is>
      </c>
      <c r="N498" s="8" t="inlineStr">
        <is>
          <t>[Must]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t>
        </is>
      </c>
      <c r="O498" s="8" t="inlineStr">
        <is>
          <t>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t>
        </is>
      </c>
    </row>
    <row r="499">
      <c r="A499" t="inlineStr">
        <is>
          <t>South Africa</t>
        </is>
      </c>
      <c r="B499" t="inlineStr">
        <is>
          <t>Financial Advisory and Intermediary Services Act (FAIS) 37 of 2002</t>
        </is>
      </c>
      <c r="C499" t="inlineStr">
        <is>
          <t>16</t>
        </is>
      </c>
      <c r="D499" s="8" t="inlineStr">
        <is>
          <t>( 1 ) A code of conduct must  be  drafted  in such a manner as to  ensure that the clients</t>
        </is>
      </c>
      <c r="E499" t="inlineStr">
        <is>
          <t>16–17</t>
        </is>
      </c>
      <c r="F499" t="inlineStr">
        <is>
          <t>Other</t>
        </is>
      </c>
      <c r="G499" t="inlineStr">
        <is>
          <t>High</t>
        </is>
      </c>
      <c r="H499" t="inlineStr">
        <is>
          <t>High (explicit)</t>
        </is>
      </c>
      <c r="I499" s="8" t="inlineStr"/>
      <c r="J499" s="8" t="inlineStr"/>
      <c r="K499" t="inlineStr">
        <is>
          <t>registrar</t>
        </is>
      </c>
      <c r="L499" s="8" t="inlineStr">
        <is>
          <t>Code of conduct must ensure clients can make informed decisions, have their financial needs satisfied, and comply with statutory and common law requirements.</t>
        </is>
      </c>
      <c r="M499" s="8" t="inlineStr">
        <is>
          <t>Code of conduct must ensure clients can make informed decisions, have their financial needs satisfied, and comply with statutory and common law requirements.</t>
        </is>
      </c>
      <c r="N499" s="8" t="inlineStr">
        <is>
          <t>[Must]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t>
        </is>
      </c>
      <c r="O499" s="8" t="inlineStr">
        <is>
          <t>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t>
        </is>
      </c>
    </row>
    <row r="500">
      <c r="A500" t="inlineStr">
        <is>
          <t>South Africa</t>
        </is>
      </c>
      <c r="B500" t="inlineStr">
        <is>
          <t>Financial Advisory and Intermediary Services Act (FAIS) 37 of 2002</t>
        </is>
      </c>
      <c r="C500" t="inlineStr">
        <is>
          <t>17</t>
        </is>
      </c>
      <c r="D500" s="8" t="inlineStr">
        <is>
          <t>( I ) (a) Any authorised financial services provider</t>
        </is>
      </c>
      <c r="E500" t="inlineStr">
        <is>
          <t>17</t>
        </is>
      </c>
      <c r="F500" t="inlineStr">
        <is>
          <t>Other</t>
        </is>
      </c>
      <c r="G500" t="inlineStr">
        <is>
          <t>High</t>
        </is>
      </c>
      <c r="H500" t="inlineStr">
        <is>
          <t>High (explicit)</t>
        </is>
      </c>
      <c r="I500" s="8" t="inlineStr"/>
      <c r="J500" s="8" t="inlineStr">
        <is>
          <t>Financial Data</t>
        </is>
      </c>
      <c r="K500" t="inlineStr">
        <is>
          <t>registrar</t>
        </is>
      </c>
      <c r="L500" s="8" t="inlineStr">
        <is>
          <t>Authorized providers must appoint compliance officers to monitor compliance with the Act, submit reports to the registrar, and maintain procedures for compliance.</t>
        </is>
      </c>
      <c r="M500" s="8" t="inlineStr">
        <is>
          <t>Requires appointment of compliance officers to monitor compliance, submit reports to registrar, and maintain procedures for compliance.</t>
        </is>
      </c>
      <c r="N500" s="8" t="inlineStr">
        <is>
          <t>[Must]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t>
        </is>
      </c>
      <c r="O500" s="8" t="inlineStr">
        <is>
          <t>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t>
        </is>
      </c>
    </row>
    <row r="501">
      <c r="A501" t="inlineStr">
        <is>
          <t>South Africa</t>
        </is>
      </c>
      <c r="B501" t="inlineStr">
        <is>
          <t>Financial Advisory and Intermediary Services Act (FAIS) 37 of 2002</t>
        </is>
      </c>
      <c r="C501" t="inlineStr">
        <is>
          <t>18</t>
        </is>
      </c>
      <c r="D501" s="8" t="inlineStr">
        <is>
          <t>An authorised  financial  services  provider  must,  except to the extent exempted by</t>
        </is>
      </c>
      <c r="E501" t="inlineStr">
        <is>
          <t>17</t>
        </is>
      </c>
      <c r="F501" t="inlineStr">
        <is>
          <t>Record Keeping</t>
        </is>
      </c>
      <c r="G501" t="inlineStr">
        <is>
          <t>High</t>
        </is>
      </c>
      <c r="H501" t="inlineStr">
        <is>
          <t>High (explicit)</t>
        </is>
      </c>
      <c r="I501" s="8" t="inlineStr">
        <is>
          <t>Record Keeping</t>
        </is>
      </c>
      <c r="J501" s="8" t="inlineStr"/>
      <c r="K501" t="inlineStr">
        <is>
          <t>registrar</t>
        </is>
      </c>
      <c r="L501" s="8" t="inlineStr">
        <is>
          <t>Providers must maintain records for five years regarding premature cancellations, complaints, compliance, non-compliance, and representative compliance.</t>
        </is>
      </c>
      <c r="M501" s="8" t="inlineStr">
        <is>
          <t>Requires providers to maintain records for five years regarding premature cancellations, complaints, compliance, non-compliance, and representative compliance.</t>
        </is>
      </c>
      <c r="N501" s="8" t="inlineStr">
        <is>
          <t>[Must]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t>
        </is>
      </c>
      <c r="O501" s="8" t="inlineStr">
        <is>
          <t>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t>
        </is>
      </c>
    </row>
    <row r="502">
      <c r="A502" t="inlineStr">
        <is>
          <t>South Africa</t>
        </is>
      </c>
      <c r="B502" t="inlineStr">
        <is>
          <t>Financial Advisory and Intermediary Services Act (FAIS) 37 of 2002</t>
        </is>
      </c>
      <c r="C502" t="inlineStr">
        <is>
          <t>19</t>
        </is>
      </c>
      <c r="D502" s="8" t="inlineStr">
        <is>
          <t>( I ) Except to the  extent exempted by the  registrar. an authorised financial services</t>
        </is>
      </c>
      <c r="E502" t="inlineStr">
        <is>
          <t>17–18</t>
        </is>
      </c>
      <c r="F502" t="inlineStr">
        <is>
          <t>Other</t>
        </is>
      </c>
      <c r="G502" t="inlineStr">
        <is>
          <t>High</t>
        </is>
      </c>
      <c r="H502" t="inlineStr">
        <is>
          <t>High (explicit)</t>
        </is>
      </c>
      <c r="I502" s="8" t="inlineStr"/>
      <c r="J502" s="8" t="inlineStr">
        <is>
          <t>Financial Data</t>
        </is>
      </c>
      <c r="K502" t="inlineStr">
        <is>
          <t>registrar</t>
        </is>
      </c>
      <c r="L502" s="8" t="inlineStr">
        <is>
          <t>Providers must maintain full accounting records, prepare audited financial statements, and submit reports to the registrar.</t>
        </is>
      </c>
      <c r="M502" s="8" t="inlineStr">
        <is>
          <t>Requires providers to maintain full accounting records, prepare audited financial statements, and submit reports to the registrar.</t>
        </is>
      </c>
      <c r="N502" s="8" t="inlineStr">
        <is>
          <t>[Must]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t>
        </is>
      </c>
      <c r="O502" s="8" t="inlineStr">
        <is>
          <t>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t>
        </is>
      </c>
    </row>
    <row r="503">
      <c r="A503" t="inlineStr">
        <is>
          <t>South Africa</t>
        </is>
      </c>
      <c r="B503" t="inlineStr">
        <is>
          <t>Financial Advisory and Intermediary Services Act (FAIS) 37 of 2002</t>
        </is>
      </c>
      <c r="C503" t="inlineStr">
        <is>
          <t>20</t>
        </is>
      </c>
      <c r="D503" s="8" t="inlineStr">
        <is>
          <t>(1) There is an office to be known as the</t>
        </is>
      </c>
      <c r="E503" t="inlineStr">
        <is>
          <t>18–19</t>
        </is>
      </c>
      <c r="F503" t="inlineStr">
        <is>
          <t>Other</t>
        </is>
      </c>
      <c r="G503" t="inlineStr">
        <is>
          <t>Medium</t>
        </is>
      </c>
      <c r="H503" t="inlineStr">
        <is>
          <t>High (explicit)</t>
        </is>
      </c>
      <c r="I503" s="8" t="inlineStr"/>
      <c r="J503" s="8" t="inlineStr"/>
      <c r="K503" t="inlineStr">
        <is>
          <t>Board</t>
        </is>
      </c>
      <c r="L503" s="8" t="inlineStr">
        <is>
          <t>Office of the Ombud for Financial Services Providers must consider and dispose of complaints in a procedurally fair, informal, economical and expeditious manner.</t>
        </is>
      </c>
      <c r="M503" s="8" t="inlineStr">
        <is>
          <t>Ombud must consider and dispose of complaints in a procedurally fair, informal, economical and expeditious manner.</t>
        </is>
      </c>
      <c r="N503" s="8" t="inlineStr">
        <is>
          <t>[Must] Ombud must consider and dispose of complaints in a procedurally fair, informal, economical and expeditious manner</t>
        </is>
      </c>
      <c r="O503" s="8" t="inlineStr">
        <is>
          <t>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t>
        </is>
      </c>
    </row>
    <row r="504">
      <c r="A504" t="inlineStr">
        <is>
          <t>South Africa</t>
        </is>
      </c>
      <c r="B504" t="inlineStr">
        <is>
          <t>Financial Advisory and Intermediary Services Act (FAIS) 37 of 2002</t>
        </is>
      </c>
      <c r="C504" t="inlineStr">
        <is>
          <t>21</t>
        </is>
      </c>
      <c r="D504" s="8" t="inlineStr">
        <is>
          <t>(1) The  Board,  after  consultation with  the  Advisory  Committee-</t>
        </is>
      </c>
      <c r="E504" t="inlineStr">
        <is>
          <t>19</t>
        </is>
      </c>
      <c r="F504" t="inlineStr">
        <is>
          <t>Other</t>
        </is>
      </c>
      <c r="G504" t="inlineStr">
        <is>
          <t>Unknown</t>
        </is>
      </c>
      <c r="H504" t="inlineStr">
        <is>
          <t>Low</t>
        </is>
      </c>
      <c r="I504" s="8" t="inlineStr"/>
      <c r="J504" s="8" t="inlineStr"/>
      <c r="K504" t="inlineStr"/>
      <c r="L504" s="8" t="inlineStr"/>
      <c r="M504" s="8" t="inlineStr"/>
      <c r="N504" s="8" t="inlineStr"/>
      <c r="O504" s="8" t="inlineStr"/>
    </row>
    <row r="505">
      <c r="A505" t="inlineStr">
        <is>
          <t>South Africa</t>
        </is>
      </c>
      <c r="B505" t="inlineStr">
        <is>
          <t>Financial Advisory and Intermediary Services Act (FAIS) 37 of 2002</t>
        </is>
      </c>
      <c r="C505" t="inlineStr">
        <is>
          <t>22</t>
        </is>
      </c>
      <c r="D505" s="8" t="inlineStr">
        <is>
          <t>(1) The  funds of the Office consist of-</t>
        </is>
      </c>
      <c r="E505" t="inlineStr">
        <is>
          <t>19</t>
        </is>
      </c>
      <c r="F505" t="inlineStr">
        <is>
          <t>Other</t>
        </is>
      </c>
      <c r="G505" t="inlineStr">
        <is>
          <t>High</t>
        </is>
      </c>
      <c r="H505" t="inlineStr">
        <is>
          <t>High (explicit)</t>
        </is>
      </c>
      <c r="I505" s="8" t="inlineStr"/>
      <c r="J505" s="8" t="inlineStr"/>
      <c r="K505" t="inlineStr">
        <is>
          <t>Board</t>
        </is>
      </c>
      <c r="L505" s="8" t="inlineStr">
        <is>
          <t>Office funds must be sourced from Board-approved budget and other sources, deposited in a bank registered under Banks Act, 1990, and used for expenses with possible investment.</t>
        </is>
      </c>
      <c r="M505" s="8" t="inlineStr"/>
      <c r="N505" s="8" t="inlineStr">
        <is>
          <t>[Must]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t>
        </is>
      </c>
      <c r="O505" s="8" t="inlineStr">
        <is>
          <t>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t>
        </is>
      </c>
    </row>
    <row r="506">
      <c r="A506" t="inlineStr">
        <is>
          <t>South Africa</t>
        </is>
      </c>
      <c r="B506" t="inlineStr">
        <is>
          <t>Financial Advisory and Intermediary Services Act (FAIS) 37 of 2002</t>
        </is>
      </c>
      <c r="C506" t="inlineStr">
        <is>
          <t>23</t>
        </is>
      </c>
      <c r="D506" s="8" t="inlineStr">
        <is>
          <t>(1) The  Ombud is the  accounting officer in respect of all funds  received  and all</t>
        </is>
      </c>
      <c r="E506" t="inlineStr">
        <is>
          <t>19–20</t>
        </is>
      </c>
      <c r="F506" t="inlineStr">
        <is>
          <t>Other</t>
        </is>
      </c>
      <c r="G506" t="inlineStr">
        <is>
          <t>High</t>
        </is>
      </c>
      <c r="H506" t="inlineStr">
        <is>
          <t>High (explicit)</t>
        </is>
      </c>
      <c r="I506" s="8" t="inlineStr"/>
      <c r="J506" s="8" t="inlineStr"/>
      <c r="K506" t="inlineStr">
        <is>
          <t>Auditor-General</t>
        </is>
      </c>
      <c r="L506" s="8" t="inlineStr">
        <is>
          <t>Ombud must maintain full financial records and prepare annual statements audited by Auditor-General within three months of financial year end.</t>
        </is>
      </c>
      <c r="M506" s="8" t="inlineStr"/>
      <c r="N506" s="8" t="inlineStr">
        <is>
          <t>[Must]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t>
        </is>
      </c>
      <c r="O506" s="8" t="inlineStr">
        <is>
          <t>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t>
        </is>
      </c>
    </row>
    <row r="507">
      <c r="A507" t="inlineStr">
        <is>
          <t>South Africa</t>
        </is>
      </c>
      <c r="B507" t="inlineStr">
        <is>
          <t>Financial Advisory and Intermediary Services Act (FAIS) 37 of 2002</t>
        </is>
      </c>
      <c r="C507" t="inlineStr">
        <is>
          <t>24</t>
        </is>
      </c>
      <c r="D507" s="8" t="inlineStr">
        <is>
          <t>The  Ombud may for the performance of functions in the Office and as  a  charge</t>
        </is>
      </c>
      <c r="E507" t="inlineStr">
        <is>
          <t>20</t>
        </is>
      </c>
      <c r="F507" t="inlineStr">
        <is>
          <t>Other</t>
        </is>
      </c>
      <c r="G507" t="inlineStr">
        <is>
          <t>High</t>
        </is>
      </c>
      <c r="H507" t="inlineStr">
        <is>
          <t>High (explicit)</t>
        </is>
      </c>
      <c r="I507" s="8" t="inlineStr"/>
      <c r="J507" s="8" t="inlineStr"/>
      <c r="K507" t="inlineStr"/>
      <c r="L507" s="8" t="inlineStr">
        <is>
          <t>Ombud may hire property, enter agreements, insure, employ staff, and do anything necessary for its functions.</t>
        </is>
      </c>
      <c r="M507" s="8" t="inlineStr"/>
      <c r="N507" s="8" t="inlineStr">
        <is>
          <t>[May]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t>
        </is>
      </c>
      <c r="O507" s="8" t="inlineStr">
        <is>
          <t>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t>
        </is>
      </c>
    </row>
    <row r="508">
      <c r="A508" t="inlineStr">
        <is>
          <t>South Africa</t>
        </is>
      </c>
      <c r="B508" t="inlineStr">
        <is>
          <t>Financial Advisory and Intermediary Services Act (FAIS) 37 of 2002</t>
        </is>
      </c>
      <c r="C508" t="inlineStr">
        <is>
          <t>25</t>
        </is>
      </c>
      <c r="D508" s="8" t="inlineStr">
        <is>
          <t>(1) The Office may not be disestablished</t>
        </is>
      </c>
      <c r="E508" t="inlineStr">
        <is>
          <t>20</t>
        </is>
      </c>
      <c r="F508" t="inlineStr">
        <is>
          <t>Other</t>
        </is>
      </c>
      <c r="G508" t="inlineStr">
        <is>
          <t>High</t>
        </is>
      </c>
      <c r="H508" t="inlineStr">
        <is>
          <t>High (explicit)</t>
        </is>
      </c>
      <c r="I508" s="8" t="inlineStr"/>
      <c r="J508" s="8" t="inlineStr"/>
      <c r="K508" t="inlineStr">
        <is>
          <t>Parliament</t>
        </is>
      </c>
      <c r="L508" s="8" t="inlineStr">
        <is>
          <t>Office may not be disestablished or liquidated except by an Act of Parliament.</t>
        </is>
      </c>
      <c r="M508" s="8" t="inlineStr"/>
      <c r="N508" s="8" t="inlineStr">
        <is>
          <t>[Must] Office may not be disestablished or liquidated except by an Act of Parliament</t>
        </is>
      </c>
      <c r="O508" s="8" t="inlineStr">
        <is>
          <t>25. (1) The Office may not be disestablished or liquidated except by an Act of Parliament. (2) In the event of any such disestablishment or liquidation, the surplus assets of the Office (if any) accrue to the Board.</t>
        </is>
      </c>
    </row>
    <row r="509">
      <c r="A509" t="inlineStr">
        <is>
          <t>South Africa</t>
        </is>
      </c>
      <c r="B509" t="inlineStr">
        <is>
          <t>Financial Advisory and Intermediary Services Act (FAIS) 37 of 2002</t>
        </is>
      </c>
      <c r="C509" t="inlineStr">
        <is>
          <t>26</t>
        </is>
      </c>
      <c r="D509" s="8" t="inlineStr">
        <is>
          <t>(1) The  Board may. after  consultation  with  the Advisory Committee.  make rules.</t>
        </is>
      </c>
      <c r="E509" t="inlineStr">
        <is>
          <t>20–21</t>
        </is>
      </c>
      <c r="F509" t="inlineStr">
        <is>
          <t>Other</t>
        </is>
      </c>
      <c r="G509" t="inlineStr">
        <is>
          <t>High</t>
        </is>
      </c>
      <c r="H509" t="inlineStr">
        <is>
          <t>High (explicit)</t>
        </is>
      </c>
      <c r="I509" s="8" t="inlineStr"/>
      <c r="J509" s="8" t="inlineStr"/>
      <c r="K509" t="inlineStr">
        <is>
          <t>Board</t>
        </is>
      </c>
      <c r="L509" s="8" t="inlineStr">
        <is>
          <t>Board may make rules regarding complaints, categories of complainants, complaint types, rights of complainants, and procedures.</t>
        </is>
      </c>
      <c r="M509" s="8" t="inlineStr"/>
      <c r="N509" s="8" t="inlineStr">
        <is>
          <t>[May] Board may make rules including different rules for different categories of complaints
[Must] Board must ensure rules do not detract from Ombud's independence
[Must] Board must publish rules made under subsection (1) in the Gazette</t>
        </is>
      </c>
      <c r="O509" s="8" t="inlineStr">
        <is>
          <t>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t>
        </is>
      </c>
    </row>
    <row r="510">
      <c r="A510" t="inlineStr">
        <is>
          <t>South Africa</t>
        </is>
      </c>
      <c r="B510" t="inlineStr">
        <is>
          <t>Financial Advisory and Intermediary Services Act (FAIS) 37 of 2002</t>
        </is>
      </c>
      <c r="C510" t="inlineStr">
        <is>
          <t>27</t>
        </is>
      </c>
      <c r="D510" s="8" t="inlineStr">
        <is>
          <t>(1 ) On submission of a complaint  to  the Office, the Ombud must-</t>
        </is>
      </c>
      <c r="E510" t="inlineStr">
        <is>
          <t>21–22</t>
        </is>
      </c>
      <c r="F510" t="inlineStr">
        <is>
          <t>Other</t>
        </is>
      </c>
      <c r="G510" t="inlineStr">
        <is>
          <t>High</t>
        </is>
      </c>
      <c r="H510" t="inlineStr">
        <is>
          <t>High (explicit)</t>
        </is>
      </c>
      <c r="I510" s="8" t="inlineStr"/>
      <c r="J510" s="8" t="inlineStr"/>
      <c r="K510" t="inlineStr"/>
      <c r="L510" s="8" t="inlineStr">
        <is>
          <t>Ombud must determine complaint eligibility, suspend prescription, and follow specific procedures for investigations.</t>
        </is>
      </c>
      <c r="M510" s="8" t="inlineStr"/>
      <c r="N510" s="8" t="inlineStr">
        <is>
          <t>[Must]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t>
        </is>
      </c>
      <c r="O510" s="8" t="inlineStr">
        <is>
          <t>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t>
        </is>
      </c>
    </row>
    <row r="511">
      <c r="A511" t="inlineStr">
        <is>
          <t>South Africa</t>
        </is>
      </c>
      <c r="B511" t="inlineStr">
        <is>
          <t>Financial Advisory and Intermediary Services Act (FAIS) 37 of 2002</t>
        </is>
      </c>
      <c r="C511" t="inlineStr">
        <is>
          <t>28</t>
        </is>
      </c>
      <c r="D511" s="8" t="inlineStr">
        <is>
          <t>(1) The Ombud must in any case where a matter has not been settled or a</t>
        </is>
      </c>
      <c r="E511" t="inlineStr">
        <is>
          <t>22–23</t>
        </is>
      </c>
      <c r="F511" t="inlineStr">
        <is>
          <t>Other</t>
        </is>
      </c>
      <c r="G511" t="inlineStr">
        <is>
          <t>High</t>
        </is>
      </c>
      <c r="H511" t="inlineStr">
        <is>
          <t>High (explicit)</t>
        </is>
      </c>
      <c r="I511" s="8" t="inlineStr"/>
      <c r="J511" s="8" t="inlineStr"/>
      <c r="K511" t="inlineStr"/>
      <c r="L511" s="8" t="inlineStr">
        <is>
          <t>Ombud must issue determinations, send copies to registrar and parties, and determinations are treated as court judgments.</t>
        </is>
      </c>
      <c r="M511" s="8" t="inlineStr"/>
      <c r="N511" s="8" t="inlineStr">
        <is>
          <t>[Must] issue determinations with copies sent to registrar and parties
[Must] determinations are treated as civil judgments of a court
[Must] determinations are only appealable to board of appeal</t>
        </is>
      </c>
      <c r="O511" s="8" t="inlineStr">
        <is>
          <t>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t>
        </is>
      </c>
    </row>
    <row r="512">
      <c r="A512" t="inlineStr">
        <is>
          <t>South Africa</t>
        </is>
      </c>
      <c r="B512" t="inlineStr">
        <is>
          <t>Financial Advisory and Intermediary Services Act (FAIS) 37 of 2002</t>
        </is>
      </c>
      <c r="C512" t="inlineStr">
        <is>
          <t>29</t>
        </is>
      </c>
      <c r="D512" s="8" t="inlineStr">
        <is>
          <t>(1) The  Ombud must keep proper files and  records  in  respect of complaints as well</t>
        </is>
      </c>
      <c r="E512" t="inlineStr">
        <is>
          <t>23</t>
        </is>
      </c>
      <c r="F512" t="inlineStr">
        <is>
          <t>Other</t>
        </is>
      </c>
      <c r="G512" t="inlineStr">
        <is>
          <t>High</t>
        </is>
      </c>
      <c r="H512" t="inlineStr">
        <is>
          <t>High (explicit)</t>
        </is>
      </c>
      <c r="I512" s="8" t="inlineStr"/>
      <c r="J512" s="8" t="inlineStr"/>
      <c r="K512" t="inlineStr"/>
      <c r="L512" s="8" t="inlineStr">
        <is>
          <t>Ombud must keep proper files and records of complaints and determinations, with access for registrar and fee-based public access.</t>
        </is>
      </c>
      <c r="M512" s="8" t="inlineStr"/>
      <c r="N512" s="8" t="inlineStr">
        <is>
          <t>[Must] keep proper files and records of complaints and determinations
[Must] registrar has access to Ombud's files and records for performance of functions
[May] interested persons may obtain copies of records on payment of fee</t>
        </is>
      </c>
      <c r="O512" s="8" t="inlineStr">
        <is>
          <t>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t>
        </is>
      </c>
    </row>
    <row r="513">
      <c r="A513" t="inlineStr">
        <is>
          <t>South Africa</t>
        </is>
      </c>
      <c r="B513" t="inlineStr">
        <is>
          <t>Financial Advisory and Intermediary Services Act (FAIS) 37 of 2002</t>
        </is>
      </c>
      <c r="C513" t="inlineStr">
        <is>
          <t>30</t>
        </is>
      </c>
      <c r="D513" s="8" t="inlineStr">
        <is>
          <t>(1) The  Ombud must during every year, within six months after the end of the</t>
        </is>
      </c>
      <c r="E513" t="inlineStr">
        <is>
          <t>23</t>
        </is>
      </c>
      <c r="F513" t="inlineStr">
        <is>
          <t>Other</t>
        </is>
      </c>
      <c r="G513" t="inlineStr">
        <is>
          <t>High</t>
        </is>
      </c>
      <c r="H513" t="inlineStr">
        <is>
          <t>High (explicit)</t>
        </is>
      </c>
      <c r="I513" s="8" t="inlineStr"/>
      <c r="J513" s="8" t="inlineStr"/>
      <c r="K513" t="inlineStr"/>
      <c r="L513" s="8" t="inlineStr">
        <is>
          <t>Ombud must submit annual report to Board and Minister within six months after financial year end.</t>
        </is>
      </c>
      <c r="M513" s="8" t="inlineStr"/>
      <c r="N513" s="8" t="inlineStr">
        <is>
          <t>[Must] submit annual report to Board within six months after financial year end
[Must] submit copy of report to Minister</t>
        </is>
      </c>
      <c r="O513" s="8" t="inlineStr">
        <is>
          <t>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t>
        </is>
      </c>
    </row>
    <row r="514">
      <c r="A514" t="inlineStr">
        <is>
          <t>South Africa</t>
        </is>
      </c>
      <c r="B514" t="inlineStr">
        <is>
          <t>Financial Advisory and Intermediary Services Act (FAIS) 37 of 2002</t>
        </is>
      </c>
      <c r="C514" t="inlineStr">
        <is>
          <t>30</t>
        </is>
      </c>
      <c r="D514" s="8" t="inlineStr">
        <is>
          <t>A record  purporting to have</t>
        </is>
      </c>
      <c r="E514" t="inlineStr">
        <is>
          <t>35</t>
        </is>
      </c>
      <c r="F514" t="inlineStr">
        <is>
          <t>Other</t>
        </is>
      </c>
      <c r="G514" t="inlineStr">
        <is>
          <t>Unknown</t>
        </is>
      </c>
      <c r="H514" t="inlineStr">
        <is>
          <t>Low</t>
        </is>
      </c>
      <c r="I514" s="8" t="inlineStr"/>
      <c r="J514" s="8" t="inlineStr"/>
      <c r="K514" t="inlineStr"/>
      <c r="L514" s="8" t="inlineStr"/>
      <c r="M514" s="8" t="inlineStr"/>
      <c r="N514" s="8" t="inlineStr"/>
      <c r="O514" s="8" t="inlineStr"/>
    </row>
    <row r="515">
      <c r="A515" t="inlineStr">
        <is>
          <t>South Africa</t>
        </is>
      </c>
      <c r="B515" t="inlineStr">
        <is>
          <t>Financial Advisory and Intermediary Services Act (FAIS) 37 of 2002</t>
        </is>
      </c>
      <c r="C515" t="inlineStr">
        <is>
          <t>31</t>
        </is>
      </c>
      <c r="D515" s="8" t="inlineStr">
        <is>
          <t>Any person who-</t>
        </is>
      </c>
      <c r="E515" t="inlineStr">
        <is>
          <t>23</t>
        </is>
      </c>
      <c r="F515" t="inlineStr">
        <is>
          <t>Other</t>
        </is>
      </c>
      <c r="G515" t="inlineStr">
        <is>
          <t>High</t>
        </is>
      </c>
      <c r="H515" t="inlineStr">
        <is>
          <t>High (explicit)</t>
        </is>
      </c>
      <c r="I515" s="8" t="inlineStr"/>
      <c r="J515" s="8" t="inlineStr"/>
      <c r="K515" t="inlineStr"/>
      <c r="L515" s="8" t="inlineStr">
        <is>
          <t>Contempt of court or interference with Ombud proceedings is an offence punishable by fine or imprisonment.</t>
        </is>
      </c>
      <c r="M515" s="8" t="inlineStr"/>
      <c r="N515" s="8" t="inlineStr">
        <is>
          <t>[Guilty of offence] commit acts in respect of Ombud or investigations that would constitute contempt of court
[Guilty of offence] anticipate Ombud determination to influence it
[Guilty of offence] wilfully interrupt Ombud proceedings</t>
        </is>
      </c>
      <c r="O515" s="8" t="inlineStr">
        <is>
          <t>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t>
        </is>
      </c>
    </row>
    <row r="516">
      <c r="A516" t="inlineStr">
        <is>
          <t>South Africa</t>
        </is>
      </c>
      <c r="B516" t="inlineStr">
        <is>
          <t>Financial Advisory and Intermediary Services Act (FAIS) 37 of 2002</t>
        </is>
      </c>
      <c r="C516" t="inlineStr">
        <is>
          <t>31</t>
        </is>
      </c>
      <c r="D516" s="8" t="inlineStr">
        <is>
          <t>(1) If a court-</t>
        </is>
      </c>
      <c r="E516" t="inlineStr">
        <is>
          <t>36–37</t>
        </is>
      </c>
      <c r="F516" t="inlineStr">
        <is>
          <t>Other</t>
        </is>
      </c>
      <c r="G516" t="inlineStr">
        <is>
          <t>High</t>
        </is>
      </c>
      <c r="H516" t="inlineStr">
        <is>
          <t>High (explicit)</t>
        </is>
      </c>
      <c r="I516" s="8" t="inlineStr">
        <is>
          <t>Financial Data</t>
        </is>
      </c>
      <c r="J516" s="8" t="inlineStr">
        <is>
          <t>Financial Data</t>
        </is>
      </c>
      <c r="K516" t="inlineStr"/>
      <c r="L516" s="8" t="inlineStr">
        <is>
          <t>Courts may declare members, officers, or employees disqualified for dishonest conduct in financial services.</t>
        </is>
      </c>
      <c r="M516" s="8" t="inlineStr"/>
      <c r="N516" s="8" t="inlineStr">
        <is>
          <t>[Must] the court may declare that member, officer or employee of a member [or person] to be disqualified for an indefinite period or for a period specified by the court, from carrying on the business of a member or from being an officer or employee of a member</t>
        </is>
      </c>
      <c r="O516" s="8" t="inlineStr">
        <is>
          <t>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t>
        </is>
      </c>
    </row>
    <row r="517">
      <c r="A517" t="inlineStr">
        <is>
          <t>South Africa</t>
        </is>
      </c>
      <c r="B517" t="inlineStr">
        <is>
          <t>Financial Advisory and Intermediary Services Act (FAIS) 37 of 2002</t>
        </is>
      </c>
      <c r="C517" t="inlineStr">
        <is>
          <t>32</t>
        </is>
      </c>
      <c r="D517" s="8" t="inlineStr">
        <is>
          <t>CHAPTER VI</t>
        </is>
      </c>
      <c r="E517" t="inlineStr">
        <is>
          <t>3</t>
        </is>
      </c>
      <c r="F517" t="inlineStr">
        <is>
          <t>Cross-border Transfer</t>
        </is>
      </c>
      <c r="G517" t="inlineStr">
        <is>
          <t>High</t>
        </is>
      </c>
      <c r="H517" t="inlineStr">
        <is>
          <t>Medium (minor interpretation)</t>
        </is>
      </c>
      <c r="I517" s="8" t="inlineStr"/>
      <c r="J517" s="8" t="inlineStr"/>
      <c r="K517" t="inlineStr">
        <is>
          <t>Ombud for Financial Services Providers</t>
        </is>
      </c>
      <c r="L517" s="8" t="inlineStr">
        <is>
          <t>Outlines enforcement mechanisms including ombud office, funding, accountability, and penalties for financial services providers.</t>
        </is>
      </c>
      <c r="M517" s="8" t="inlineStr"/>
      <c r="N517" s="8" t="inlineStr">
        <is>
          <t>[Must]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t>
        </is>
      </c>
      <c r="O517" s="8" t="inlineStr">
        <is>
          <t>32. CHAPTER VI ENFORCEMENT</t>
        </is>
      </c>
    </row>
    <row r="518">
      <c r="A518" t="inlineStr">
        <is>
          <t>South Africa</t>
        </is>
      </c>
      <c r="B518" t="inlineStr">
        <is>
          <t>Financial Advisory and Intermediary Services Act (FAIS) 37 of 2002</t>
        </is>
      </c>
      <c r="C518" t="inlineStr">
        <is>
          <t>32</t>
        </is>
      </c>
      <c r="D518" s="8" t="inlineStr">
        <is>
          <t>The registrar may take any steps  conducive  to client  education and the promotion</t>
        </is>
      </c>
      <c r="E518" t="inlineStr">
        <is>
          <t>23</t>
        </is>
      </c>
      <c r="F518" t="inlineStr">
        <is>
          <t>Other</t>
        </is>
      </c>
      <c r="G518" t="inlineStr">
        <is>
          <t>High</t>
        </is>
      </c>
      <c r="H518" t="inlineStr">
        <is>
          <t>High (explicit)</t>
        </is>
      </c>
      <c r="I518" s="8" t="inlineStr"/>
      <c r="J518" s="8" t="inlineStr"/>
      <c r="K518" t="inlineStr">
        <is>
          <t>Registrar</t>
        </is>
      </c>
      <c r="L518" s="8" t="inlineStr">
        <is>
          <t>Registrar may take steps to promote client education and awareness of Ombud and enforcement measures.</t>
        </is>
      </c>
      <c r="M518" s="8" t="inlineStr"/>
      <c r="N518" s="8" t="inlineStr">
        <is>
          <t>[May] take steps conducive to client education and promotion of awareness of Ombud and enforcement measures</t>
        </is>
      </c>
      <c r="O518" s="8" t="inlineStr">
        <is>
          <t>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t>
        </is>
      </c>
    </row>
    <row r="519">
      <c r="A519" t="inlineStr">
        <is>
          <t>South Africa</t>
        </is>
      </c>
      <c r="B519" t="inlineStr">
        <is>
          <t>Financial Advisory and Intermediary Services Act (FAIS) 37 of 2002</t>
        </is>
      </c>
      <c r="C519" t="inlineStr">
        <is>
          <t>33</t>
        </is>
      </c>
      <c r="D519" s="8" t="inlineStr">
        <is>
          <t>(1) The registrar may, when satisfied on the  basis</t>
        </is>
      </c>
      <c r="E519" t="inlineStr">
        <is>
          <t>23–24</t>
        </is>
      </c>
      <c r="F519" t="inlineStr">
        <is>
          <t>Enforcement</t>
        </is>
      </c>
      <c r="G519" t="inlineStr">
        <is>
          <t>High</t>
        </is>
      </c>
      <c r="H519" t="inlineStr">
        <is>
          <t>High (explicit)</t>
        </is>
      </c>
      <c r="I519" s="8" t="inlineStr"/>
      <c r="J519" s="8" t="inlineStr">
        <is>
          <t>Financial Data</t>
        </is>
      </c>
      <c r="K519" t="inlineStr">
        <is>
          <t>Registrar</t>
        </is>
      </c>
      <c r="L519" s="8" t="inlineStr">
        <is>
          <t>Registrar may apply to court for restraining order and remedial steps if person contravenes or fails to comply with Act provisions.</t>
        </is>
      </c>
      <c r="M519" s="8" t="inlineStr">
        <is>
          <t>Registrar can seek court order to restrain contraventions and require remedial actions for affected clients.</t>
        </is>
      </c>
      <c r="N519" s="8" t="inlineStr">
        <is>
          <t>[Must] Registrar may apply to court for restraining order if person contravenes or fails to comply with Act provisions
[Must] Registrar may require remedial steps to rectify consequences of contraventions</t>
        </is>
      </c>
      <c r="O519" s="8" t="inlineStr">
        <is>
          <t>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t>
        </is>
      </c>
    </row>
    <row r="520">
      <c r="A520" t="inlineStr">
        <is>
          <t>South Africa</t>
        </is>
      </c>
      <c r="B520" t="inlineStr">
        <is>
          <t>Financial Advisory and Intermediary Services Act (FAIS) 37 of 2002</t>
        </is>
      </c>
      <c r="C520" t="inlineStr">
        <is>
          <t>34</t>
        </is>
      </c>
      <c r="D520" s="8" t="inlineStr">
        <is>
          <t>( I ) Subject to subsections (2) and (3), the  registrar may. after consultation with the</t>
        </is>
      </c>
      <c r="E520" t="inlineStr">
        <is>
          <t>24–25</t>
        </is>
      </c>
      <c r="F520" t="inlineStr">
        <is>
          <t>Enforcement</t>
        </is>
      </c>
      <c r="G520" t="inlineStr">
        <is>
          <t>High</t>
        </is>
      </c>
      <c r="H520" t="inlineStr">
        <is>
          <t>High (explicit)</t>
        </is>
      </c>
      <c r="I520" s="8" t="inlineStr"/>
      <c r="J520" s="8" t="inlineStr"/>
      <c r="K520" t="inlineStr">
        <is>
          <t>Registrar</t>
        </is>
      </c>
      <c r="L520" s="8" t="inlineStr">
        <is>
          <t>Registrar may declare business practices undesirable after consultation with Advisory Committee, subject to specific criteria.</t>
        </is>
      </c>
      <c r="M520" s="8" t="inlineStr">
        <is>
          <t>Registrar can declare business practices undesirable if they harm clients or public, with publication requirements.</t>
        </is>
      </c>
      <c r="N520" s="8" t="inlineStr">
        <is>
          <t>[Must]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t>
        </is>
      </c>
      <c r="O520" s="8" t="inlineStr">
        <is>
          <t>34. (1) Subject to subsections (2) and (3), the registrar may, after consultation with the Advisory Committee, by notice in the Gazette declare a particular business practice to be undesirable for all or a category of authorised financial services providers.</t>
        </is>
      </c>
    </row>
    <row r="521">
      <c r="A521" t="inlineStr">
        <is>
          <t>South Africa</t>
        </is>
      </c>
      <c r="B521" t="inlineStr">
        <is>
          <t>Financial Advisory and Intermediary Services Act (FAIS) 37 of 2002</t>
        </is>
      </c>
      <c r="C521" t="inlineStr">
        <is>
          <t>35</t>
        </is>
      </c>
      <c r="D521" s="8" t="inlineStr">
        <is>
          <t>(1 ) The Minister may by notice in the Gazerre, after  consultation  with the registrar 10</t>
        </is>
      </c>
      <c r="E521" t="inlineStr">
        <is>
          <t>25</t>
        </is>
      </c>
      <c r="F521" t="inlineStr">
        <is>
          <t>Other</t>
        </is>
      </c>
      <c r="G521" t="inlineStr">
        <is>
          <t>High</t>
        </is>
      </c>
      <c r="H521" t="inlineStr">
        <is>
          <t>High (explicit)</t>
        </is>
      </c>
      <c r="I521" s="8" t="inlineStr"/>
      <c r="J521" s="8" t="inlineStr"/>
      <c r="K521" t="inlineStr">
        <is>
          <t>Minister</t>
        </is>
      </c>
      <c r="L521" s="8" t="inlineStr">
        <is>
          <t>Minister may make regulations for financial services providers, including prohibitions on unauthorized marketing and advertising.</t>
        </is>
      </c>
      <c r="M521" s="8" t="inlineStr">
        <is>
          <t>Regulations can prohibit unauthorized marketing, advertising, and use of titles indicating authorization.</t>
        </is>
      </c>
      <c r="N521" s="8" t="inlineStr">
        <is>
          <t>[Must] Minister may make regulations for financial services providers
[Must] Regulations may prohibit unauthorized marketing and advertising</t>
        </is>
      </c>
      <c r="O521" s="8" t="inlineStr">
        <is>
          <t>35. (1) The Minister may by notice in the Gazette, after consultation with the registrar and the Advisory Committee, make regulations relating to any matter which is required or permitted to be prescribed under this Act.</t>
        </is>
      </c>
    </row>
    <row r="522">
      <c r="A522" t="inlineStr">
        <is>
          <t>South Africa</t>
        </is>
      </c>
      <c r="B522" t="inlineStr">
        <is>
          <t>Financial Advisory and Intermediary Services Act (FAIS) 37 of 2002</t>
        </is>
      </c>
      <c r="C522" t="inlineStr">
        <is>
          <t>35</t>
        </is>
      </c>
      <c r="D522" s="8" t="inlineStr">
        <is>
          <t>( 1 ) The  plovisions of this Act do not apply to the rendering of financial services</t>
        </is>
      </c>
      <c r="E522" t="inlineStr">
        <is>
          <t>28–29</t>
        </is>
      </c>
      <c r="F522" t="inlineStr">
        <is>
          <t>Exemptions</t>
        </is>
      </c>
      <c r="G522" t="inlineStr">
        <is>
          <t>High</t>
        </is>
      </c>
      <c r="H522" t="inlineStr">
        <is>
          <t>High (explicit)</t>
        </is>
      </c>
      <c r="I522" s="8" t="inlineStr"/>
      <c r="J522" s="8" t="inlineStr">
        <is>
          <t>Financial Data</t>
        </is>
      </c>
      <c r="K522" t="inlineStr"/>
      <c r="L522" s="8" t="inlineStr">
        <is>
          <t>This Act does not apply to financial services provided by certain entities including authorized users, clearing houses, central securities depositories, managers, executors, administrators, trustees, liquidators, and minors under specific conditions.</t>
        </is>
      </c>
      <c r="M522" s="8" t="inlineStr">
        <is>
          <t>Exemptions for specific entities from applying the Act to financial services, relevant for DTIA scope determination.</t>
        </is>
      </c>
      <c r="N522" s="8" t="inlineStr">
        <is>
          <t>[Must Not] The provisions of this Act do not apply to the rendering of financial services</t>
        </is>
      </c>
      <c r="O522" s="8" t="inlineStr">
        <is>
          <t>35. (1) The provisions of this Act do not apply to the rendering of financial services</t>
        </is>
      </c>
    </row>
    <row r="523">
      <c r="A523" t="inlineStr">
        <is>
          <t>South Africa</t>
        </is>
      </c>
      <c r="B523" t="inlineStr">
        <is>
          <t>Financial Advisory and Intermediary Services Act (FAIS) 37 of 2002</t>
        </is>
      </c>
      <c r="C523" t="inlineStr">
        <is>
          <t>36</t>
        </is>
      </c>
      <c r="D523" s="8" t="inlineStr">
        <is>
          <t>Any person w h o -</t>
        </is>
      </c>
      <c r="E523" t="inlineStr">
        <is>
          <t>25</t>
        </is>
      </c>
      <c r="F523" t="inlineStr">
        <is>
          <t>Other</t>
        </is>
      </c>
      <c r="G523" t="inlineStr">
        <is>
          <t>High</t>
        </is>
      </c>
      <c r="H523" t="inlineStr">
        <is>
          <t>High (explicit)</t>
        </is>
      </c>
      <c r="I523" s="8" t="inlineStr"/>
      <c r="J523" s="8" t="inlineStr"/>
      <c r="K523" t="inlineStr"/>
      <c r="L523" s="8" t="inlineStr">
        <is>
          <t>Offence for making misleading statements or concealing material facts in financial services applications.</t>
        </is>
      </c>
      <c r="M523" s="8" t="inlineStr">
        <is>
          <t>False statements in financial services applications constitute offences with penalties.</t>
        </is>
      </c>
      <c r="N523" s="8" t="inlineStr">
        <is>
          <t>[Must] Person guilty of offence if they make misleading, false or deceptive statements or conceal material facts in applications</t>
        </is>
      </c>
      <c r="O523" s="8" t="inlineStr">
        <is>
          <t>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t>
        </is>
      </c>
    </row>
    <row r="524">
      <c r="A524" t="inlineStr">
        <is>
          <t>South Africa</t>
        </is>
      </c>
      <c r="B524" t="inlineStr">
        <is>
          <t>Financial Advisory and Intermediary Services Act (FAIS) 37 of 2002</t>
        </is>
      </c>
      <c r="C524" t="inlineStr">
        <is>
          <t>37</t>
        </is>
      </c>
      <c r="D524" s="8" t="inlineStr">
        <is>
          <t>(1) In the consideration of the quantum of any  penalty  under  section 36, the  Court</t>
        </is>
      </c>
      <c r="E524" t="inlineStr">
        <is>
          <t>25–26</t>
        </is>
      </c>
      <c r="F524" t="inlineStr">
        <is>
          <t>Enforcement</t>
        </is>
      </c>
      <c r="G524" t="inlineStr">
        <is>
          <t>High</t>
        </is>
      </c>
      <c r="H524" t="inlineStr">
        <is>
          <t>High (explicit)</t>
        </is>
      </c>
      <c r="I524" s="8" t="inlineStr"/>
      <c r="J524" s="8" t="inlineStr">
        <is>
          <t>Financial Data</t>
        </is>
      </c>
      <c r="K524" t="inlineStr">
        <is>
          <t>Court</t>
        </is>
      </c>
      <c r="L524" s="8" t="inlineStr">
        <is>
          <t>Court must consider penalties from section 36 when determining penalty amounts under section 36.</t>
        </is>
      </c>
      <c r="M524" s="8" t="inlineStr">
        <is>
          <t>Court must consider penalties from section 36 when determining penalty amounts under section 36.</t>
        </is>
      </c>
      <c r="N524" s="8" t="inlineStr">
        <is>
          <t>[Must] Court must consider any award made under section 33 when determining penalty quantum under section 36</t>
        </is>
      </c>
      <c r="O524" s="8" t="inlineStr">
        <is>
          <t>37. (1) In the consideration of the quantum of any penalty under section 36, the Court must take into consideration any award made or to be made under section 33, from the same cause.</t>
        </is>
      </c>
    </row>
    <row r="525">
      <c r="A525" t="inlineStr">
        <is>
          <t>South Africa</t>
        </is>
      </c>
      <c r="B525" t="inlineStr">
        <is>
          <t>Financial Advisory and Intermediary Services Act (FAIS) 37 of 2002</t>
        </is>
      </c>
      <c r="C525" t="inlineStr">
        <is>
          <t>38</t>
        </is>
      </c>
      <c r="D525" s="8" t="inlineStr">
        <is>
          <t>N o -</t>
        </is>
      </c>
      <c r="E525" t="inlineStr">
        <is>
          <t>26</t>
        </is>
      </c>
      <c r="F525" t="inlineStr">
        <is>
          <t>Enforcement</t>
        </is>
      </c>
      <c r="G525" t="inlineStr">
        <is>
          <t>High</t>
        </is>
      </c>
      <c r="H525" t="inlineStr">
        <is>
          <t>High (explicit)</t>
        </is>
      </c>
      <c r="I525" s="8" t="inlineStr"/>
      <c r="J525" s="8" t="inlineStr"/>
      <c r="K525" t="inlineStr">
        <is>
          <t>Registrar</t>
        </is>
      </c>
      <c r="L525" s="8" t="inlineStr">
        <is>
          <t>Voluntary business closures must be approved by registrar to ensure client liabilities are met.</t>
        </is>
      </c>
      <c r="M525" s="8" t="inlineStr">
        <is>
          <t>Business closures must be approved by registrar to ensure client liabilities are met.</t>
        </is>
      </c>
      <c r="N525" s="8" t="inlineStr">
        <is>
          <t>[Must] Voluntary business closures must be approved by registrar to ensure client liabilities are met</t>
        </is>
      </c>
      <c r="O525" s="8" t="inlineStr">
        <is>
          <t>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t>
        </is>
      </c>
    </row>
    <row r="526">
      <c r="A526" t="inlineStr">
        <is>
          <t>South Africa</t>
        </is>
      </c>
      <c r="B526" t="inlineStr">
        <is>
          <t>Financial Advisory and Intermediary Services Act (FAIS) 37 of 2002</t>
        </is>
      </c>
      <c r="C526" t="inlineStr">
        <is>
          <t>39</t>
        </is>
      </c>
      <c r="D526" s="8" t="inlineStr">
        <is>
          <t>Any person who  feels aggrieved by any  decision  by the registrar or the Ombud</t>
        </is>
      </c>
      <c r="E526" t="inlineStr">
        <is>
          <t>26</t>
        </is>
      </c>
      <c r="F526" t="inlineStr">
        <is>
          <t>Enforcement</t>
        </is>
      </c>
      <c r="G526" t="inlineStr">
        <is>
          <t>High</t>
        </is>
      </c>
      <c r="H526" t="inlineStr">
        <is>
          <t>High (explicit)</t>
        </is>
      </c>
      <c r="I526" s="8" t="inlineStr"/>
      <c r="J526" s="8" t="inlineStr"/>
      <c r="K526" t="inlineStr">
        <is>
          <t>Financial Services Board</t>
        </is>
      </c>
      <c r="L526" s="8" t="inlineStr">
        <is>
          <t>Appeal rights for decisions affecting clients by registrar or Ombud.</t>
        </is>
      </c>
      <c r="M526" s="8" t="inlineStr">
        <is>
          <t>Clients can appeal decisions by registrar or Ombud to Financial Services Board Board.</t>
        </is>
      </c>
      <c r="N526" s="8" t="inlineStr">
        <is>
          <t>[Must] Person aggrieved by registrar or Ombud decision may appeal to Financial Services Board Board</t>
        </is>
      </c>
      <c r="O526" s="8" t="inlineStr">
        <is>
          <t>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t>
        </is>
      </c>
    </row>
    <row r="527">
      <c r="A527" t="inlineStr">
        <is>
          <t>South Africa</t>
        </is>
      </c>
      <c r="B527" t="inlineStr">
        <is>
          <t>Financial Advisory and Intermediary Services Act (FAIS) 37 of 2002</t>
        </is>
      </c>
      <c r="C527" t="inlineStr">
        <is>
          <t>40</t>
        </is>
      </c>
      <c r="D527" s="8" t="inlineStr">
        <is>
          <t>No provision of this Act, and no act performed under or in terms of any such</t>
        </is>
      </c>
      <c r="E527" t="inlineStr">
        <is>
          <t>26</t>
        </is>
      </c>
      <c r="F527" t="inlineStr">
        <is>
          <t>Enforcement</t>
        </is>
      </c>
      <c r="G527" t="inlineStr">
        <is>
          <t>High</t>
        </is>
      </c>
      <c r="H527" t="inlineStr">
        <is>
          <t>High (explicit)</t>
        </is>
      </c>
      <c r="I527" s="8" t="inlineStr"/>
      <c r="J527" s="8" t="inlineStr"/>
      <c r="K527" t="inlineStr"/>
      <c r="L527" s="8" t="inlineStr">
        <is>
          <t>Client rights to legal redress unaffected by this Act.</t>
        </is>
      </c>
      <c r="M527" s="8" t="inlineStr">
        <is>
          <t>Client legal redress rights remain unaffected by this Act.</t>
        </is>
      </c>
      <c r="N527" s="8" t="inlineStr">
        <is>
          <t>[Must] No provision of this Act affects client rights to seek legal redress</t>
        </is>
      </c>
      <c r="O527" s="8" t="inlineStr">
        <is>
          <t>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t>
        </is>
      </c>
    </row>
    <row r="528">
      <c r="A528" t="inlineStr">
        <is>
          <t>South Africa</t>
        </is>
      </c>
      <c r="B528" t="inlineStr">
        <is>
          <t>Financial Advisory and Intermediary Services Act (FAIS) 37 of 2002</t>
        </is>
      </c>
      <c r="C528" t="inlineStr">
        <is>
          <t>41</t>
        </is>
      </c>
      <c r="D528" s="8" t="inlineStr">
        <is>
          <t>(1) (a) The Minister  must, after  consultation  with  the registrar, by notice in the</t>
        </is>
      </c>
      <c r="E528" t="inlineStr">
        <is>
          <t>26–27</t>
        </is>
      </c>
      <c r="F528" t="inlineStr">
        <is>
          <t>Other</t>
        </is>
      </c>
      <c r="G528" t="inlineStr">
        <is>
          <t>High</t>
        </is>
      </c>
      <c r="H528" t="inlineStr">
        <is>
          <t>High (explicit)</t>
        </is>
      </c>
      <c r="I528" s="8" t="inlineStr"/>
      <c r="J528" s="8" t="inlineStr">
        <is>
          <t>Financial Data</t>
        </is>
      </c>
      <c r="K528" t="inlineStr">
        <is>
          <t>Minister</t>
        </is>
      </c>
      <c r="L528" s="8" t="inlineStr">
        <is>
          <t>Minister must determine fees for registrar decisions and penalties for non-compliance.</t>
        </is>
      </c>
      <c r="M528" s="8" t="inlineStr">
        <is>
          <t>Fees for registrar decisions must be determined by Minister, with penalties for non-compliance.</t>
        </is>
      </c>
      <c r="N528" s="8" t="inlineStr">
        <is>
          <t>[Must] Minister must determine fees payable to registrar by persons seeking decisions
[Must] Penalties for non-furnished returns may be imposed by registrar</t>
        </is>
      </c>
      <c r="O528" s="8" t="inlineStr">
        <is>
          <t>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t>
        </is>
      </c>
    </row>
    <row r="529">
      <c r="A529" t="inlineStr">
        <is>
          <t>South Africa</t>
        </is>
      </c>
      <c r="B529" t="inlineStr">
        <is>
          <t>Financial Advisory and Intermediary Services Act (FAIS) 37 of 2002</t>
        </is>
      </c>
      <c r="C529" t="inlineStr">
        <is>
          <t>42</t>
        </is>
      </c>
      <c r="D529" s="8" t="inlineStr">
        <is>
          <t>The registrar may disclose information obtained</t>
        </is>
      </c>
      <c r="E529" t="inlineStr">
        <is>
          <t>27</t>
        </is>
      </c>
      <c r="F529" t="inlineStr">
        <is>
          <t>Data Sharing</t>
        </is>
      </c>
      <c r="G529" t="inlineStr">
        <is>
          <t>High</t>
        </is>
      </c>
      <c r="H529" t="inlineStr">
        <is>
          <t>High (explicit)</t>
        </is>
      </c>
      <c r="I529" s="8" t="inlineStr">
        <is>
          <t>Data Sharing</t>
        </is>
      </c>
      <c r="J529" s="8" t="inlineStr"/>
      <c r="K529" t="inlineStr">
        <is>
          <t>Registrar</t>
        </is>
      </c>
      <c r="L529" s="8" t="inlineStr">
        <is>
          <t>Registrar may disclose information to authorities for public interest, with confidentiality conditions.</t>
        </is>
      </c>
      <c r="M529" s="8" t="inlineStr">
        <is>
          <t>Registrar may share client information with regulators and authorities for public interest, with confidentiality conditions.</t>
        </is>
      </c>
      <c r="N529" s="8" t="inlineStr">
        <is>
          <t>[Must] Registrar may disclose information to departments of state or financial regulators for public interest</t>
        </is>
      </c>
      <c r="O529" s="8" t="inlineStr">
        <is>
          <t>42. The registrar may disclose information obtained in the course of performing functions in terms of this Act, unless such disclosure will not be in the public interest, but subject to any guidelines issued by the Board to the registrar.</t>
        </is>
      </c>
    </row>
    <row r="530">
      <c r="A530" t="inlineStr">
        <is>
          <t>South Africa</t>
        </is>
      </c>
      <c r="B530" t="inlineStr">
        <is>
          <t>Financial Advisory and Intermediary Services Act (FAIS) 37 of 2002</t>
        </is>
      </c>
      <c r="C530" t="inlineStr">
        <is>
          <t>43</t>
        </is>
      </c>
      <c r="D530" s="8" t="inlineStr">
        <is>
          <t>The Minister. the  Board or a member  thereof, any  officer or  employee assisting the</t>
        </is>
      </c>
      <c r="E530" t="inlineStr">
        <is>
          <t>27</t>
        </is>
      </c>
      <c r="F530" t="inlineStr">
        <is>
          <t>Other</t>
        </is>
      </c>
      <c r="G530" t="inlineStr">
        <is>
          <t>High</t>
        </is>
      </c>
      <c r="H530" t="inlineStr">
        <is>
          <t>High (explicit)</t>
        </is>
      </c>
      <c r="I530" s="8" t="inlineStr"/>
      <c r="J530" s="8" t="inlineStr">
        <is>
          <t>Financial Data</t>
        </is>
      </c>
      <c r="K530" t="inlineStr">
        <is>
          <t>Minister</t>
        </is>
      </c>
      <c r="L530" s="8" t="inlineStr">
        <is>
          <t>Minister, Board, and employees not liable for losses from lawful actions under this Act.</t>
        </is>
      </c>
      <c r="M530" s="8" t="inlineStr">
        <is>
          <t>Regulators not liable for losses from lawful actions under this Act.</t>
        </is>
      </c>
      <c r="N530" s="8" t="inlineStr">
        <is>
          <t>[Must] Minister, Board, and employees not liable for losses from lawful actions under this Act</t>
        </is>
      </c>
      <c r="O530" s="8" t="inlineStr">
        <is>
          <t>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t>
        </is>
      </c>
    </row>
    <row r="531">
      <c r="A531" t="inlineStr">
        <is>
          <t>South Africa</t>
        </is>
      </c>
      <c r="B531" t="inlineStr">
        <is>
          <t>Financial Advisory and Intermediary Services Act (FAIS) 37 of 2002</t>
        </is>
      </c>
      <c r="C531" t="inlineStr">
        <is>
          <t>44</t>
        </is>
      </c>
      <c r="D531" s="8" t="inlineStr">
        <is>
          <t>(1 ) The registrar  may on or after  the commencement of this  Act, but prior to the</t>
        </is>
      </c>
      <c r="E531" t="inlineStr">
        <is>
          <t>27–28</t>
        </is>
      </c>
      <c r="F531" t="inlineStr">
        <is>
          <t>Exemptions</t>
        </is>
      </c>
      <c r="G531" t="inlineStr">
        <is>
          <t>High</t>
        </is>
      </c>
      <c r="H531" t="inlineStr">
        <is>
          <t>High (explicit)</t>
        </is>
      </c>
      <c r="I531" s="8" t="inlineStr"/>
      <c r="J531" s="8" t="inlineStr"/>
      <c r="K531" t="inlineStr">
        <is>
          <t>Registrar</t>
        </is>
      </c>
      <c r="L531" s="8" t="inlineStr">
        <is>
          <t>Registrar may exempt persons from provisions if they are already regulated or won't cause hardship.</t>
        </is>
      </c>
      <c r="M531" s="8" t="inlineStr">
        <is>
          <t>Registrar may exempt persons from provisions if they are already regulated or won't cause hardship.</t>
        </is>
      </c>
      <c r="N531" s="8" t="inlineStr">
        <is>
          <t>[Must] Registrar may exempt persons from provisions if they are already partially or wholly regulated by other law
[Must] Exemptions must not cause financial or other hardship to clients</t>
        </is>
      </c>
      <c r="O531" s="8" t="inlineStr">
        <is>
          <t>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t>
        </is>
      </c>
    </row>
    <row r="532">
      <c r="A532" t="inlineStr">
        <is>
          <t>South Africa</t>
        </is>
      </c>
      <c r="B532" t="inlineStr">
        <is>
          <t>Financial Advisory and Intermediary Services Act (FAIS) 37 of 2002</t>
        </is>
      </c>
      <c r="C532" t="inlineStr">
        <is>
          <t>46</t>
        </is>
      </c>
      <c r="D532" s="8" t="inlineStr">
        <is>
          <t>This Act is called the Financial Advisory and Intermediary Services Act, 2002, 45</t>
        </is>
      </c>
      <c r="E532" t="inlineStr">
        <is>
          <t>29–30</t>
        </is>
      </c>
      <c r="F532" t="inlineStr">
        <is>
          <t>Other</t>
        </is>
      </c>
      <c r="G532" t="inlineStr">
        <is>
          <t>None</t>
        </is>
      </c>
      <c r="H532" t="inlineStr">
        <is>
          <t>High (explicit)</t>
        </is>
      </c>
      <c r="I532" s="8" t="inlineStr"/>
      <c r="J532" s="8" t="inlineStr"/>
      <c r="K532" t="inlineStr"/>
      <c r="L532" s="8" t="inlineStr">
        <is>
          <t>This Act is called the Financial Advisory and Intermediary Services Act, 2002 and comes into operation on a date fixed by the President by proclamation in the Gazette.</t>
        </is>
      </c>
      <c r="M532" s="8" t="inlineStr"/>
      <c r="N532" s="8" t="inlineStr"/>
      <c r="O532" s="8" t="inlineStr">
        <is>
          <t>46. This Act is called the Financial Advisory and Intermediary Services Act, 2002, 45 and comes into operation on a date fixed by the President by proclamation in the Gazette.</t>
        </is>
      </c>
    </row>
    <row r="533">
      <c r="A533" t="inlineStr">
        <is>
          <t>South Africa</t>
        </is>
      </c>
      <c r="B533" t="inlineStr">
        <is>
          <t>Financial Advisory and Intermediary Services Act (FAIS) 37 of 2002</t>
        </is>
      </c>
      <c r="C533" t="inlineStr">
        <is>
          <t>50</t>
        </is>
      </c>
      <c r="D533" s="8" t="inlineStr">
        <is>
          <t>(1) If a court-</t>
        </is>
      </c>
      <c r="E533" t="inlineStr">
        <is>
          <t>32–33</t>
        </is>
      </c>
      <c r="F533" t="inlineStr">
        <is>
          <t>Other</t>
        </is>
      </c>
      <c r="G533" t="inlineStr">
        <is>
          <t>High</t>
        </is>
      </c>
      <c r="H533" t="inlineStr">
        <is>
          <t>High (explicit)</t>
        </is>
      </c>
      <c r="I533" s="8" t="inlineStr">
        <is>
          <t>Financial Data</t>
        </is>
      </c>
      <c r="J533" s="8" t="inlineStr">
        <is>
          <t>Financial Data</t>
        </is>
      </c>
      <c r="K533" t="inlineStr"/>
      <c r="L533" s="8" t="inlineStr">
        <is>
          <t>Courts may declare members, officers, or employees disqualified for dishonest conduct in financial services.</t>
        </is>
      </c>
      <c r="M533" s="8" t="inlineStr"/>
      <c r="N533" s="8" t="inlineStr">
        <is>
          <t>[Must]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t>
        </is>
      </c>
      <c r="O533" s="8" t="inlineStr">
        <is>
          <t>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t>
        </is>
      </c>
    </row>
    <row r="534">
      <c r="A534" t="inlineStr">
        <is>
          <t>South Africa</t>
        </is>
      </c>
      <c r="B534" t="inlineStr">
        <is>
          <t>Financial Advisory and Intermediary Services Act (FAIS) 37 of 2002</t>
        </is>
      </c>
      <c r="C534" t="inlineStr">
        <is>
          <t>1993</t>
        </is>
      </c>
      <c r="D534" s="8" t="inlineStr">
        <is>
          <t>to the extent that such application is regulated in the code of conduct  contemplated</t>
        </is>
      </c>
      <c r="E534" t="inlineStr">
        <is>
          <t>7</t>
        </is>
      </c>
      <c r="F534" t="inlineStr">
        <is>
          <t>Cross-border Transfer</t>
        </is>
      </c>
      <c r="G534" t="inlineStr">
        <is>
          <t>Low</t>
        </is>
      </c>
      <c r="H534" t="inlineStr">
        <is>
          <t>High (explicit)</t>
        </is>
      </c>
      <c r="I534" s="8" t="inlineStr"/>
      <c r="J534" s="8" t="inlineStr"/>
      <c r="K534" t="inlineStr"/>
      <c r="L534" s="8" t="inlineStr">
        <is>
          <t>Applies the Act to natural persons acting within official duties of the State unless otherwise determined by the Minister.</t>
        </is>
      </c>
      <c r="M534" s="8" t="inlineStr"/>
      <c r="N534" s="8" t="inlineStr">
        <is>
          <t>[Must] to the extent that such application is regulated in the code of conduct</t>
        </is>
      </c>
      <c r="O534" s="8" t="inlineStr">
        <is>
          <t>1993. to the extent that such application is regulated in the code of conduct contemplated in section 15(2)(b).</t>
        </is>
      </c>
    </row>
    <row r="535">
      <c r="A535" t="inlineStr">
        <is>
          <t>South Africa</t>
        </is>
      </c>
      <c r="B535" t="inlineStr">
        <is>
          <t>Joint Standard 1 of 2023 - IT Governance and Risk Management</t>
        </is>
      </c>
      <c r="C535" t="inlineStr">
        <is>
          <t>3</t>
        </is>
      </c>
      <c r="D535" s="8" t="inlineStr">
        <is>
          <t>Definitions and interpretation</t>
        </is>
      </c>
      <c r="E535" t="inlineStr">
        <is>
          <t>3–5</t>
        </is>
      </c>
      <c r="F535" t="inlineStr">
        <is>
          <t>Definitions</t>
        </is>
      </c>
      <c r="G535" t="inlineStr">
        <is>
          <t>Low</t>
        </is>
      </c>
      <c r="H535" t="inlineStr">
        <is>
          <t>High (explicit)</t>
        </is>
      </c>
      <c r="I535" s="8" t="inlineStr"/>
      <c r="J535" s="8" t="inlineStr"/>
      <c r="K535" t="inlineStr"/>
      <c r="L535" s="8" t="inlineStr">
        <is>
          <t>Defines key terms including financial institutions, Authorities, fit and proper, and IT-related concepts for the Joint Standard.</t>
        </is>
      </c>
      <c r="M535" s="8" t="inlineStr"/>
      <c r="N535" s="8" t="inlineStr"/>
      <c r="O535" s="8" t="inlineStr">
        <is>
          <t>3. Definitions and interpretation</t>
        </is>
      </c>
    </row>
    <row r="536">
      <c r="A536" t="inlineStr">
        <is>
          <t>South Africa</t>
        </is>
      </c>
      <c r="B536" t="inlineStr">
        <is>
          <t>Joint Standard 1 of 2023 - IT Governance and Risk Management</t>
        </is>
      </c>
      <c r="C536" t="inlineStr">
        <is>
          <t>4</t>
        </is>
      </c>
      <c r="D536" s="8" t="inlineStr">
        <is>
          <t>Application</t>
        </is>
      </c>
      <c r="E536" t="inlineStr">
        <is>
          <t>5</t>
        </is>
      </c>
      <c r="F536" t="inlineStr">
        <is>
          <t>Processing</t>
        </is>
      </c>
      <c r="G536" t="inlineStr">
        <is>
          <t>High</t>
        </is>
      </c>
      <c r="H536" t="inlineStr">
        <is>
          <t>High (explicit)</t>
        </is>
      </c>
      <c r="I536" s="8" t="inlineStr"/>
      <c r="J536" s="8" t="inlineStr">
        <is>
          <t>Financial Data</t>
        </is>
      </c>
      <c r="K536" t="inlineStr"/>
      <c r="L536" s="8" t="inlineStr">
        <is>
          <t>Specifies that financial institutions must mitigate IT risks for all related entities, including foreign branches and subsidiaries, and align requirements with their risk profile.</t>
        </is>
      </c>
      <c r="M536" s="8" t="inlineStr">
        <is>
          <t>Financial institutions must address IT risks for all local and foreign entities under their control, including subsidiaries, to ensure compliance with the Joint Standard.</t>
        </is>
      </c>
      <c r="N536" s="8" t="inlineStr">
        <is>
          <t>[Must]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t>
        </is>
      </c>
      <c r="O536" s="8" t="inlineStr">
        <is>
          <t>4.1 This Joint Standard applies to financial institutions as defined.</t>
        </is>
      </c>
    </row>
    <row r="537">
      <c r="A537" t="inlineStr">
        <is>
          <t>South Africa</t>
        </is>
      </c>
      <c r="B537" t="inlineStr">
        <is>
          <t>Joint Standard 1 of 2023 - IT Governance and Risk Management</t>
        </is>
      </c>
      <c r="C537" t="inlineStr">
        <is>
          <t>5</t>
        </is>
      </c>
      <c r="D537" s="8" t="inlineStr">
        <is>
          <t>Roles and responsibilities</t>
        </is>
      </c>
      <c r="E537" t="inlineStr">
        <is>
          <t>5–6</t>
        </is>
      </c>
      <c r="F537" t="inlineStr">
        <is>
          <t>Governance</t>
        </is>
      </c>
      <c r="G537" t="inlineStr">
        <is>
          <t>High</t>
        </is>
      </c>
      <c r="H537" t="inlineStr">
        <is>
          <t>High (explicit)</t>
        </is>
      </c>
      <c r="I537" s="8" t="inlineStr"/>
      <c r="J537" s="8" t="inlineStr">
        <is>
          <t>Financial Data</t>
        </is>
      </c>
      <c r="K537" t="inlineStr"/>
      <c r="L537" s="8" t="inlineStr">
        <is>
          <t>Governing body is ultimately responsible for IT compliance, must establish a sound IT risk management framework, and define roles and responsibilities.</t>
        </is>
      </c>
      <c r="M537" s="8" t="inlineStr">
        <is>
          <t>Governing body must ensure IT risk management framework and define roles for IT risk oversight.</t>
        </is>
      </c>
      <c r="N537" s="8" t="inlineStr">
        <is>
          <t>[Must]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t>
        </is>
      </c>
      <c r="O537" s="8" t="inlineStr">
        <is>
          <t>5.1 The governing body is ultimately responsible for ensuring that the financial institution complies with the requirements as set out in this Joint Standard.</t>
        </is>
      </c>
    </row>
    <row r="538">
      <c r="A538" t="inlineStr">
        <is>
          <t>South Africa</t>
        </is>
      </c>
      <c r="B538" t="inlineStr">
        <is>
          <t>Joint Standard 1 of 2023 - IT Governance and Risk Management</t>
        </is>
      </c>
      <c r="C538" t="inlineStr">
        <is>
          <t>6</t>
        </is>
      </c>
      <c r="D538" s="8" t="inlineStr">
        <is>
          <t>IT strategy</t>
        </is>
      </c>
      <c r="E538" t="inlineStr">
        <is>
          <t>6</t>
        </is>
      </c>
      <c r="F538" t="inlineStr">
        <is>
          <t>Other</t>
        </is>
      </c>
      <c r="G538" t="inlineStr">
        <is>
          <t>High</t>
        </is>
      </c>
      <c r="H538" t="inlineStr">
        <is>
          <t>High (explicit)</t>
        </is>
      </c>
      <c r="I538" s="8" t="inlineStr"/>
      <c r="J538" s="8" t="inlineStr">
        <is>
          <t>Financial Data</t>
        </is>
      </c>
      <c r="K538" t="inlineStr"/>
      <c r="L538" s="8" t="inlineStr">
        <is>
          <t>Financial institutions must have IT strategy approved by governing body, aligned with business strategy, and reviewed annually.</t>
        </is>
      </c>
      <c r="M538" s="8" t="inlineStr">
        <is>
          <t>IT strategy must be approved by governing body, aligned with business strategy, and reviewed at least annually.</t>
        </is>
      </c>
      <c r="N538" s="8" t="inlineStr">
        <is>
          <t>[Must]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t>
        </is>
      </c>
      <c r="O538" s="8" t="inlineStr">
        <is>
          <t>6.1 A financial institution must ensure that its IT strategy is approved by the governing body and aligned with its overall business strategy.</t>
        </is>
      </c>
    </row>
    <row r="539">
      <c r="A539" t="inlineStr">
        <is>
          <t>South Africa</t>
        </is>
      </c>
      <c r="B539" t="inlineStr">
        <is>
          <t>Joint Standard 1 of 2023 - IT Governance and Risk Management</t>
        </is>
      </c>
      <c r="C539" t="inlineStr">
        <is>
          <t>7</t>
        </is>
      </c>
      <c r="D539" s="8" t="inlineStr">
        <is>
          <t>IT risk management framework</t>
        </is>
      </c>
      <c r="E539" t="inlineStr">
        <is>
          <t>6–8</t>
        </is>
      </c>
      <c r="F539" t="inlineStr">
        <is>
          <t>Other</t>
        </is>
      </c>
      <c r="G539" t="inlineStr">
        <is>
          <t>High</t>
        </is>
      </c>
      <c r="H539" t="inlineStr">
        <is>
          <t>High (explicit)</t>
        </is>
      </c>
      <c r="I539" s="8" t="inlineStr"/>
      <c r="J539" s="8" t="inlineStr">
        <is>
          <t>Financial Data</t>
        </is>
      </c>
      <c r="K539" t="inlineStr"/>
      <c r="L539" s="8" t="inlineStr">
        <is>
          <t>Financial institutions must establish an IT risk management framework approved by governing body, incorporating policies, risk identification, and monitoring processes.</t>
        </is>
      </c>
      <c r="M539" s="8" t="inlineStr">
        <is>
          <t>Financial institutions must establish an IT risk management framework that includes risk identification, assessment, and monitoring processes.</t>
        </is>
      </c>
      <c r="N539" s="8" t="inlineStr">
        <is>
          <t>[Must]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t>
        </is>
      </c>
      <c r="O539" s="8" t="inlineStr">
        <is>
          <t>7.1 A financial institution must establish an IT risk management framework to manage IT risks in a systematic and consistent manner.</t>
        </is>
      </c>
    </row>
    <row r="540">
      <c r="A540" t="inlineStr">
        <is>
          <t>South Africa</t>
        </is>
      </c>
      <c r="B540" t="inlineStr">
        <is>
          <t>Joint Standard 1 of 2023 - IT Governance and Risk Management</t>
        </is>
      </c>
      <c r="C540" t="inlineStr">
        <is>
          <t>8</t>
        </is>
      </c>
      <c r="D540" s="8" t="inlineStr">
        <is>
          <t>Oversight of IT risk management</t>
        </is>
      </c>
      <c r="E540" t="inlineStr">
        <is>
          <t>8</t>
        </is>
      </c>
      <c r="F540" t="inlineStr">
        <is>
          <t>Other</t>
        </is>
      </c>
      <c r="G540" t="inlineStr">
        <is>
          <t>High</t>
        </is>
      </c>
      <c r="H540" t="inlineStr">
        <is>
          <t>High (explicit)</t>
        </is>
      </c>
      <c r="I540" s="8" t="inlineStr"/>
      <c r="J540" s="8" t="inlineStr">
        <is>
          <t>Financial Data</t>
        </is>
      </c>
      <c r="K540" t="inlineStr"/>
      <c r="L540" s="8" t="inlineStr">
        <is>
          <t>Oversight of IT risk management must be incorporated into governance structures and reporting lines to the governing body.</t>
        </is>
      </c>
      <c r="M540" s="8" t="inlineStr">
        <is>
          <t>Oversight of IT risk management must be part of governance structures with reporting lines to the governing body.</t>
        </is>
      </c>
      <c r="N540" s="8" t="inlineStr">
        <is>
          <t>[Must] Oversight of IT risk management must be incorporated into the governance and risk management structures, processes and procedures of a financial institution, including provisions relating to reporting lines to the governing body.</t>
        </is>
      </c>
      <c r="O540" s="8" t="inlineStr">
        <is>
          <t>8.1 Oversight of IT risk management must be incorporated into the governance and risk management structures, processes and procedures of a financial institution, including provisions relating to reporting lines to the governing body.</t>
        </is>
      </c>
    </row>
    <row r="541">
      <c r="A541" t="inlineStr">
        <is>
          <t>South Africa</t>
        </is>
      </c>
      <c r="B541" t="inlineStr">
        <is>
          <t>Joint Standard 1 of 2023 - IT Governance and Risk Management</t>
        </is>
      </c>
      <c r="C541" t="inlineStr">
        <is>
          <t>9</t>
        </is>
      </c>
      <c r="D541" s="8" t="inlineStr">
        <is>
          <t>IT operations</t>
        </is>
      </c>
      <c r="E541" t="inlineStr">
        <is>
          <t>8–9</t>
        </is>
      </c>
      <c r="F541" t="inlineStr">
        <is>
          <t>Other</t>
        </is>
      </c>
      <c r="G541" t="inlineStr">
        <is>
          <t>High</t>
        </is>
      </c>
      <c r="H541" t="inlineStr">
        <is>
          <t>High (explicit)</t>
        </is>
      </c>
      <c r="I541" s="8" t="inlineStr"/>
      <c r="J541" s="8" t="inlineStr">
        <is>
          <t>Financial Data</t>
        </is>
      </c>
      <c r="K541" t="inlineStr"/>
      <c r="L541" s="8" t="inlineStr">
        <is>
          <t>Financial institutions must implement robust IT service management policies, change management, incident handling, and backup procedures.</t>
        </is>
      </c>
      <c r="M541" s="8" t="inlineStr">
        <is>
          <t>Financial institutions must implement IT service management policies, change management, incident handling, and backup procedures.</t>
        </is>
      </c>
      <c r="N541" s="8" t="inlineStr">
        <is>
          <t>[Must]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t>
        </is>
      </c>
      <c r="O541" s="8" t="inlineStr">
        <is>
          <t>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row>
    <row r="542">
      <c r="A542" t="inlineStr">
        <is>
          <t>South Africa</t>
        </is>
      </c>
      <c r="B542" t="inlineStr">
        <is>
          <t>Joint Standard 1 of 2023 - IT Governance and Risk Management</t>
        </is>
      </c>
      <c r="C542" t="inlineStr">
        <is>
          <t>10</t>
        </is>
      </c>
      <c r="D542" s="8" t="inlineStr">
        <is>
          <t>Handling of sensitive or confidential information</t>
        </is>
      </c>
      <c r="E542" t="inlineStr">
        <is>
          <t>9–10</t>
        </is>
      </c>
      <c r="F542" t="inlineStr">
        <is>
          <t>Other</t>
        </is>
      </c>
      <c r="G542" t="inlineStr">
        <is>
          <t>High</t>
        </is>
      </c>
      <c r="H542" t="inlineStr">
        <is>
          <t>High (explicit)</t>
        </is>
      </c>
      <c r="I542" s="8" t="inlineStr"/>
      <c r="J542" s="8" t="inlineStr">
        <is>
          <t>Financial Data</t>
        </is>
      </c>
      <c r="K542" t="inlineStr"/>
      <c r="L542" s="8" t="inlineStr">
        <is>
          <t>Financial institutions must protect sensitive information, implement access controls, and ensure data accuracy and compliance with legislation.</t>
        </is>
      </c>
      <c r="M542" s="8" t="inlineStr">
        <is>
          <t>Financial institutions must protect sensitive information, implement access controls, and ensure data accuracy and compliance with legislation.</t>
        </is>
      </c>
      <c r="N542" s="8" t="inlineStr">
        <is>
          <t>[Must]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t>
        </is>
      </c>
      <c r="O542" s="8" t="inlineStr">
        <is>
          <t>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row>
    <row r="543">
      <c r="A543" t="inlineStr">
        <is>
          <t>South Africa</t>
        </is>
      </c>
      <c r="B543" t="inlineStr">
        <is>
          <t>Joint Standard 1 of 2023 - IT Governance and Risk Management</t>
        </is>
      </c>
      <c r="C543" t="inlineStr">
        <is>
          <t>11</t>
        </is>
      </c>
      <c r="D543" s="8" t="inlineStr">
        <is>
          <t>Risks associated with financial products and financial services</t>
        </is>
      </c>
      <c r="E543" t="inlineStr">
        <is>
          <t>10</t>
        </is>
      </c>
      <c r="F543" t="inlineStr">
        <is>
          <t>Financial Data</t>
        </is>
      </c>
      <c r="G543" t="inlineStr">
        <is>
          <t>High</t>
        </is>
      </c>
      <c r="H543" t="inlineStr">
        <is>
          <t>High (explicit)</t>
        </is>
      </c>
      <c r="I543" s="8" t="inlineStr">
        <is>
          <t>Security</t>
        </is>
      </c>
      <c r="J543" s="8" t="inlineStr">
        <is>
          <t>Financial Data</t>
        </is>
      </c>
      <c r="K543" t="inlineStr">
        <is>
          <t>Financial institutions</t>
        </is>
      </c>
      <c r="L543" s="8" t="inlineStr">
        <is>
          <t>Financial institutions must identify IT risks for financial products/services and implement security controls, system availability, and recovery capabilities proportional to risk exposure.</t>
        </is>
      </c>
      <c r="M543" s="8" t="inlineStr">
        <is>
          <t>Requires financial institutions to assess IT risks for financial products/services and implement proportional security controls, system availability, and recovery capabilities.</t>
        </is>
      </c>
      <c r="N543" s="8" t="inlineStr">
        <is>
          <t>[Must]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O543" s="8"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row>
    <row r="544">
      <c r="A544" t="inlineStr">
        <is>
          <t>South Africa</t>
        </is>
      </c>
      <c r="B544" t="inlineStr">
        <is>
          <t>Joint Standard 1 of 2023 - IT Governance and Risk Management</t>
        </is>
      </c>
      <c r="C544" t="inlineStr">
        <is>
          <t>12</t>
        </is>
      </c>
      <c r="D544" s="8" t="inlineStr">
        <is>
          <t>IT programme and/or project management</t>
        </is>
      </c>
      <c r="E544" t="inlineStr">
        <is>
          <t>10–11</t>
        </is>
      </c>
      <c r="F544" t="inlineStr">
        <is>
          <t>Financial Data</t>
        </is>
      </c>
      <c r="G544" t="inlineStr">
        <is>
          <t>High</t>
        </is>
      </c>
      <c r="H544" t="inlineStr">
        <is>
          <t>High (explicit)</t>
        </is>
      </c>
      <c r="I544" s="8" t="inlineStr"/>
      <c r="J544" s="8" t="inlineStr">
        <is>
          <t>Financial Data</t>
        </is>
      </c>
      <c r="K544" t="inlineStr"/>
      <c r="L544" s="8" t="inlineStr">
        <is>
          <t>Financial institutions must develop IT programme/project management frameworks with governance, risk management, and change control processes, ensuring security requirements are independent and approved.</t>
        </is>
      </c>
      <c r="M544" s="8" t="inlineStr">
        <is>
          <t>Requires financial institutions to establish IT programme/project management frameworks with governance, risk assessment, and change control, ensuring security requirements are independent and approved.</t>
        </is>
      </c>
      <c r="N544" s="8" t="inlineStr">
        <is>
          <t>[Must]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t>
        </is>
      </c>
      <c r="O544" s="8"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row>
    <row r="545">
      <c r="A545" t="inlineStr">
        <is>
          <t>South Africa</t>
        </is>
      </c>
      <c r="B545" t="inlineStr">
        <is>
          <t>Joint Standard 1 of 2023 - IT Governance and Risk Management</t>
        </is>
      </c>
      <c r="C545" t="inlineStr">
        <is>
          <t>13</t>
        </is>
      </c>
      <c r="D545" s="8" t="inlineStr">
        <is>
          <t>IT resilience and business continuity</t>
        </is>
      </c>
      <c r="E545" t="inlineStr">
        <is>
          <t>11–13</t>
        </is>
      </c>
      <c r="F545" t="inlineStr">
        <is>
          <t>Financial Data</t>
        </is>
      </c>
      <c r="G545" t="inlineStr">
        <is>
          <t>High</t>
        </is>
      </c>
      <c r="H545" t="inlineStr">
        <is>
          <t>High (explicit)</t>
        </is>
      </c>
      <c r="I545" s="8" t="inlineStr"/>
      <c r="J545" s="8" t="inlineStr">
        <is>
          <t>Financial Data</t>
        </is>
      </c>
      <c r="K545" t="inlineStr"/>
      <c r="L545" s="8" t="inlineStr">
        <is>
          <t>Financial institutions must define recovery priorities, establish disaster recovery sites, implement IT resilience plans, and conduct business impact assessments for critical business functions.</t>
        </is>
      </c>
      <c r="M545" s="8" t="inlineStr">
        <is>
          <t>Requires financial institutions to define recovery priorities, establish disaster recovery sites, implement IT resilience plans, and conduct business impact assessments for critical business functions.</t>
        </is>
      </c>
      <c r="N545" s="8" t="inlineStr">
        <is>
          <t>[Must]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t>
        </is>
      </c>
      <c r="O545" s="8" t="inlineStr">
        <is>
          <t>A financial institution must define system recovery and business resumption priorities and establish specific Service Level Objectives including RTOs and RPOs for critical services and business processes.</t>
        </is>
      </c>
    </row>
    <row r="546">
      <c r="A546" t="inlineStr">
        <is>
          <t>South Africa</t>
        </is>
      </c>
      <c r="B546" t="inlineStr">
        <is>
          <t>Joint Standard 1 of 2023 - IT Governance and Risk Management</t>
        </is>
      </c>
      <c r="C546" t="inlineStr">
        <is>
          <t>14</t>
        </is>
      </c>
      <c r="D546" s="8" t="inlineStr">
        <is>
          <t>IT assurance</t>
        </is>
      </c>
      <c r="E546" t="inlineStr">
        <is>
          <t>13</t>
        </is>
      </c>
      <c r="F546" t="inlineStr">
        <is>
          <t>Financial Data</t>
        </is>
      </c>
      <c r="G546" t="inlineStr">
        <is>
          <t>High</t>
        </is>
      </c>
      <c r="H546" t="inlineStr">
        <is>
          <t>High (explicit)</t>
        </is>
      </c>
      <c r="I546" s="8" t="inlineStr"/>
      <c r="J546" s="8" t="inlineStr">
        <is>
          <t>Financial Data</t>
        </is>
      </c>
      <c r="K546" t="inlineStr"/>
      <c r="L546" s="8" t="inlineStr">
        <is>
          <t>Financial institutions must establish independent IT assurance functions to review compliance with IT policies and procedures and external requirements.</t>
        </is>
      </c>
      <c r="M546" s="8" t="inlineStr">
        <is>
          <t>Requires financial institutions to establish independent IT assurance functions to review compliance with IT policies and procedures and external requirements.</t>
        </is>
      </c>
      <c r="N546" s="8" t="inlineStr">
        <is>
          <t>[Must]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t>
        </is>
      </c>
      <c r="O546" s="8"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row>
    <row r="547">
      <c r="A547" t="inlineStr">
        <is>
          <t>South Africa</t>
        </is>
      </c>
      <c r="B547" t="inlineStr">
        <is>
          <t>Joint Standard 1 of 2023 - IT Governance and Risk Management</t>
        </is>
      </c>
      <c r="C547" t="inlineStr">
        <is>
          <t>15</t>
        </is>
      </c>
      <c r="D547" s="8" t="inlineStr">
        <is>
          <t>Notification and reporting requirements</t>
        </is>
      </c>
      <c r="E547" t="inlineStr">
        <is>
          <t>13</t>
        </is>
      </c>
      <c r="F547" t="inlineStr">
        <is>
          <t>Financial Data</t>
        </is>
      </c>
      <c r="G547" t="inlineStr">
        <is>
          <t>High</t>
        </is>
      </c>
      <c r="H547" t="inlineStr">
        <is>
          <t>High (explicit)</t>
        </is>
      </c>
      <c r="I547" s="8" t="inlineStr">
        <is>
          <t>Incident Reporting</t>
        </is>
      </c>
      <c r="J547" s="8" t="inlineStr">
        <is>
          <t>Financial Data</t>
        </is>
      </c>
      <c r="K547" t="inlineStr"/>
      <c r="L547" s="8" t="inlineStr">
        <is>
          <t>Financial institutions must notify the responsible authority of material IT incidents within a determined timeframe after classification.</t>
        </is>
      </c>
      <c r="M547" s="8" t="inlineStr">
        <is>
          <t>Requires financial institutions to notify the responsible authority of material IT incidents within a determined timeframe after classification.</t>
        </is>
      </c>
      <c r="N547" s="8" t="inlineStr">
        <is>
          <t>[Must]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O547" s="8" t="inlineStr">
        <is>
          <t>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row>
    <row r="548">
      <c r="A548" t="inlineStr">
        <is>
          <t>South Africa</t>
        </is>
      </c>
      <c r="B548" t="inlineStr">
        <is>
          <t>Joint Standard 1 of 2023 - IT Governance and Risk Management</t>
        </is>
      </c>
      <c r="C548" t="inlineStr">
        <is>
          <t>16</t>
        </is>
      </c>
      <c r="D548" s="8" t="inlineStr">
        <is>
          <t>Short-title</t>
        </is>
      </c>
      <c r="E548" t="inlineStr">
        <is>
          <t>13</t>
        </is>
      </c>
      <c r="F548" t="inlineStr">
        <is>
          <t>Other</t>
        </is>
      </c>
      <c r="G548" t="inlineStr">
        <is>
          <t>None</t>
        </is>
      </c>
      <c r="H548" t="inlineStr">
        <is>
          <t>High (explicit)</t>
        </is>
      </c>
      <c r="I548" s="8" t="inlineStr"/>
      <c r="J548" s="8" t="inlineStr"/>
      <c r="K548" t="inlineStr"/>
      <c r="L548" s="8" t="inlineStr">
        <is>
          <t>Joint Standard is titled 'IT Governance and Risk Management for Financial Institutions, 2023'.</t>
        </is>
      </c>
      <c r="M548" s="8" t="inlineStr"/>
      <c r="N548" s="8" t="inlineStr"/>
      <c r="O548" s="8" t="inlineStr">
        <is>
          <t>This Joint Standard is called ‘IT Governance and Risk Management for Financial Institutions, 2.023'.</t>
        </is>
      </c>
    </row>
    <row r="549">
      <c r="A549" t="inlineStr">
        <is>
          <t>South Africa</t>
        </is>
      </c>
      <c r="B549" t="inlineStr">
        <is>
          <t>Joint Standard 2 of 2024  Cybersecurity &amp; Cyber resilience Requirements</t>
        </is>
      </c>
      <c r="C549" t="inlineStr">
        <is>
          <t>2</t>
        </is>
      </c>
      <c r="D549" s="8" t="inlineStr">
        <is>
          <t>Definitions and interpretation</t>
        </is>
      </c>
      <c r="E549" t="inlineStr">
        <is>
          <t>3–6</t>
        </is>
      </c>
      <c r="F549" t="inlineStr">
        <is>
          <t>Definitions</t>
        </is>
      </c>
      <c r="G549" t="inlineStr">
        <is>
          <t>Medium</t>
        </is>
      </c>
      <c r="H549" t="inlineStr">
        <is>
          <t>High (explicit)</t>
        </is>
      </c>
      <c r="I549" s="8" t="inlineStr">
        <is>
          <t>Definitions</t>
        </is>
      </c>
      <c r="J549" s="8" t="inlineStr">
        <is>
          <t>Personal Information</t>
        </is>
      </c>
      <c r="K549" t="inlineStr"/>
      <c r="L549" s="8" t="inlineStr">
        <is>
          <t>Defines key terms including financial institutions, cyber incident, cybersecurity, and related concepts for the Joint Standard.</t>
        </is>
      </c>
      <c r="M549" s="8" t="inlineStr"/>
      <c r="N549" s="8" t="inlineStr"/>
      <c r="O549" s="8" t="inlineStr">
        <is>
          <t>Definitions and interpretation</t>
        </is>
      </c>
    </row>
    <row r="550">
      <c r="A550" t="inlineStr">
        <is>
          <t>South Africa</t>
        </is>
      </c>
      <c r="B550" t="inlineStr">
        <is>
          <t>Joint Standard 2 of 2024  Cybersecurity &amp; Cyber resilience Requirements</t>
        </is>
      </c>
      <c r="C550" t="inlineStr">
        <is>
          <t>3</t>
        </is>
      </c>
      <c r="D550" s="8" t="inlineStr">
        <is>
          <t>Application</t>
        </is>
      </c>
      <c r="E550" t="inlineStr">
        <is>
          <t>6–7</t>
        </is>
      </c>
      <c r="F550" t="inlineStr">
        <is>
          <t>Application</t>
        </is>
      </c>
      <c r="G550" t="inlineStr">
        <is>
          <t>High</t>
        </is>
      </c>
      <c r="H550" t="inlineStr">
        <is>
          <t>High (explicit)</t>
        </is>
      </c>
      <c r="I550" s="8" t="inlineStr">
        <is>
          <t>Application</t>
        </is>
      </c>
      <c r="J550" s="8" t="inlineStr">
        <is>
          <t>Financial Data</t>
        </is>
      </c>
      <c r="K550" t="inlineStr"/>
      <c r="L550" s="8" t="inlineStr">
        <is>
          <t>Specifies which financial institutions must comply with the Joint Standard and ensures risks from juristic persons and branches are mitigated.</t>
        </is>
      </c>
      <c r="M550" s="8" t="inlineStr">
        <is>
          <t>Financial institutions must address cybersecurity risks from local and foreign juristic persons and branches.</t>
        </is>
      </c>
      <c r="N550" s="8" t="inlineStr">
        <is>
          <t>[Must]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t>
        </is>
      </c>
      <c r="O550" s="8" t="inlineStr">
        <is>
          <t>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t>
        </is>
      </c>
    </row>
    <row r="551">
      <c r="A551" t="inlineStr">
        <is>
          <t>South Africa</t>
        </is>
      </c>
      <c r="B551" t="inlineStr">
        <is>
          <t>Joint Standard 2 of 2024  Cybersecurity &amp; Cyber resilience Requirements</t>
        </is>
      </c>
      <c r="C551" t="inlineStr">
        <is>
          <t>4</t>
        </is>
      </c>
      <c r="D551" s="8" t="inlineStr">
        <is>
          <t>Roles and responsibilities</t>
        </is>
      </c>
      <c r="E551" t="inlineStr">
        <is>
          <t>7</t>
        </is>
      </c>
      <c r="F551" t="inlineStr">
        <is>
          <t>Governance</t>
        </is>
      </c>
      <c r="G551" t="inlineStr">
        <is>
          <t>High</t>
        </is>
      </c>
      <c r="H551" t="inlineStr">
        <is>
          <t>High (explicit)</t>
        </is>
      </c>
      <c r="I551" s="8" t="inlineStr">
        <is>
          <t>Governance</t>
        </is>
      </c>
      <c r="J551" s="8" t="inlineStr">
        <is>
          <t>Financial Data</t>
        </is>
      </c>
      <c r="K551" t="inlineStr"/>
      <c r="L551" s="8" t="inlineStr">
        <is>
          <t>Assigns responsibility for cybersecurity strategy and framework to the governing body and senior management.</t>
        </is>
      </c>
      <c r="M551" s="8" t="inlineStr">
        <is>
          <t>Governing body must ensure cybersecurity strategy and framework is established and maintained with senior management.</t>
        </is>
      </c>
      <c r="N551" s="8" t="inlineStr">
        <is>
          <t>[Must]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t>
        </is>
      </c>
      <c r="O551" s="8" t="inlineStr">
        <is>
          <t>4.1 The governing body is ultimately responsible for – ensuring that the financial institution complies with the requirements set out in this Joint Standard; and the oversight of cyber risk management, but may delegate primary oversight activities to an existing or new committee.</t>
        </is>
      </c>
    </row>
    <row r="552">
      <c r="A552" t="inlineStr">
        <is>
          <t>South Africa</t>
        </is>
      </c>
      <c r="B552" t="inlineStr">
        <is>
          <t>Joint Standard 2 of 2024  Cybersecurity &amp; Cyber resilience Requirements</t>
        </is>
      </c>
      <c r="C552" t="inlineStr">
        <is>
          <t>5</t>
        </is>
      </c>
      <c r="D552" s="8" t="inlineStr">
        <is>
          <t>Governance</t>
        </is>
      </c>
      <c r="E552" t="inlineStr">
        <is>
          <t>7–8</t>
        </is>
      </c>
      <c r="F552" t="inlineStr">
        <is>
          <t>Governance</t>
        </is>
      </c>
      <c r="G552" t="inlineStr">
        <is>
          <t>High</t>
        </is>
      </c>
      <c r="H552" t="inlineStr">
        <is>
          <t>High (explicit)</t>
        </is>
      </c>
      <c r="I552" s="8" t="inlineStr">
        <is>
          <t>Governance</t>
        </is>
      </c>
      <c r="J552" s="8" t="inlineStr">
        <is>
          <t>Financial Data</t>
        </is>
      </c>
      <c r="K552" t="inlineStr"/>
      <c r="L552" s="8" t="inlineStr">
        <is>
          <t>Requires clear roles, responsibilities, and independent oversight for cyber risk management within governance structures.</t>
        </is>
      </c>
      <c r="M552" s="8" t="inlineStr">
        <is>
          <t>Financial institutions must define roles, ensure cyber risk management is integrated into governance, and establish a dedicated function with direct reporting to the governing body.</t>
        </is>
      </c>
      <c r="N552" s="8" t="inlineStr">
        <is>
          <t>[Must]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t>
        </is>
      </c>
      <c r="O552" s="8" t="inlineStr">
        <is>
          <t>5.1.1 clearly define the roles and responsibilities of all management functions (including lines of defence) as well as committees established for the purposes of exercising oversight of cyber risks</t>
        </is>
      </c>
    </row>
    <row r="553">
      <c r="A553" t="inlineStr">
        <is>
          <t>South Africa</t>
        </is>
      </c>
      <c r="B553" t="inlineStr">
        <is>
          <t>Joint Standard 2 of 2024  Cybersecurity &amp; Cyber resilience Requirements</t>
        </is>
      </c>
      <c r="C553" t="inlineStr">
        <is>
          <t>6</t>
        </is>
      </c>
      <c r="D553" s="8" t="inlineStr">
        <is>
          <t>Cybersecurity strategy and framework</t>
        </is>
      </c>
      <c r="E553" t="inlineStr">
        <is>
          <t>8</t>
        </is>
      </c>
      <c r="F553" t="inlineStr">
        <is>
          <t>Cybersecurity strategy and framework</t>
        </is>
      </c>
      <c r="G553" t="inlineStr">
        <is>
          <t>High</t>
        </is>
      </c>
      <c r="H553" t="inlineStr">
        <is>
          <t>High (explicit)</t>
        </is>
      </c>
      <c r="I553" s="8" t="inlineStr">
        <is>
          <t>Cybersecurity strategy and framework</t>
        </is>
      </c>
      <c r="J553" s="8" t="inlineStr">
        <is>
          <t>Financial Data</t>
        </is>
      </c>
      <c r="K553" t="inlineStr"/>
      <c r="L553" s="8" t="inlineStr">
        <is>
          <t>Requires financial institutions to establish, maintain, and review cybersecurity strategies and frameworks aligned with business objectives.</t>
        </is>
      </c>
      <c r="M553" s="8" t="inlineStr">
        <is>
          <t>Financial institutions must establish and maintain a cybersecurity strategy approved by the governing body, review it annually, and align it with enterprise risk management.</t>
        </is>
      </c>
      <c r="N553" s="8" t="inlineStr">
        <is>
          <t>[Must]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t>
        </is>
      </c>
      <c r="O553" s="8" t="inlineStr">
        <is>
          <t>6.1.1 establish and maintain a cybersecurity strategy that is approved by the governing body and aligned with its overall business strategy</t>
        </is>
      </c>
    </row>
    <row r="554">
      <c r="A554" t="inlineStr">
        <is>
          <t>South Africa</t>
        </is>
      </c>
      <c r="B554" t="inlineStr">
        <is>
          <t>Joint Standard 2 of 2024  Cybersecurity &amp; Cyber resilience Requirements</t>
        </is>
      </c>
      <c r="C554" t="inlineStr">
        <is>
          <t>7</t>
        </is>
      </c>
      <c r="D554" s="8" t="inlineStr">
        <is>
          <t>Cybersecurity and cyber resilience fundamentals</t>
        </is>
      </c>
      <c r="E554" t="inlineStr">
        <is>
          <t>8–15</t>
        </is>
      </c>
      <c r="F554" t="inlineStr">
        <is>
          <t>Security</t>
        </is>
      </c>
      <c r="G554" t="inlineStr">
        <is>
          <t>High</t>
        </is>
      </c>
      <c r="H554" t="inlineStr">
        <is>
          <t>High (explicit)</t>
        </is>
      </c>
      <c r="I554" s="8" t="inlineStr">
        <is>
          <t>Learning and Evolving</t>
        </is>
      </c>
      <c r="J554" s="8" t="inlineStr">
        <is>
          <t>Financial Data</t>
        </is>
      </c>
      <c r="K554" t="inlineStr">
        <is>
          <t>Financial institutions</t>
        </is>
      </c>
      <c r="L554" s="8" t="inlineStr">
        <is>
          <t>Financial institutions must implement adaptive cyber resilience capabilities that evolve with cyber threats.</t>
        </is>
      </c>
      <c r="M554" s="8" t="inlineStr">
        <is>
          <t>Requires continuous learning and adaptation to cyber threats through incident lessons and technological developments.</t>
        </is>
      </c>
      <c r="N554" s="8" t="inlineStr">
        <is>
          <t>[Must]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t>
        </is>
      </c>
      <c r="O554" s="8" t="inlineStr">
        <is>
          <t>Implement an adaptive cyber resilience capability that learns and evolves with the dynamic nature of cyber risks</t>
        </is>
      </c>
    </row>
    <row r="555">
      <c r="A555" t="inlineStr">
        <is>
          <t>South Africa</t>
        </is>
      </c>
      <c r="B555" t="inlineStr">
        <is>
          <t>Joint Standard 2 of 2024  Cybersecurity &amp; Cyber resilience Requirements</t>
        </is>
      </c>
      <c r="C555" t="inlineStr">
        <is>
          <t>8</t>
        </is>
      </c>
      <c r="D555" s="8" t="inlineStr">
        <is>
          <t>Cybersecurity hygiene practices</t>
        </is>
      </c>
      <c r="E555" t="inlineStr">
        <is>
          <t>15–17</t>
        </is>
      </c>
      <c r="F555" t="inlineStr">
        <is>
          <t>Security</t>
        </is>
      </c>
      <c r="G555" t="inlineStr">
        <is>
          <t>High</t>
        </is>
      </c>
      <c r="H555" t="inlineStr">
        <is>
          <t>High (explicit)</t>
        </is>
      </c>
      <c r="I555" s="8" t="inlineStr">
        <is>
          <t>Access Control, User Access Management, Segregation of Duties, Least Privilege</t>
        </is>
      </c>
      <c r="J555" s="8" t="inlineStr">
        <is>
          <t>Personal Information</t>
        </is>
      </c>
      <c r="K555" t="inlineStr">
        <is>
          <t>Authorities</t>
        </is>
      </c>
      <c r="L555" s="8" t="inlineStr">
        <is>
          <t>Financial institutions must implement access control policies, regular reviews, user access management, segregation of duties, least privilege, periodic access reviews, and similar security practices for IT systems and information assets.</t>
        </is>
      </c>
      <c r="M555" s="8" t="inlineStr">
        <is>
          <t>Requires access control policies, regular reviews, user access management, segregation of duties, least privilege, and periodic access reviews for IT systems and information assets.</t>
        </is>
      </c>
      <c r="N555" s="8" t="inlineStr">
        <is>
          <t>[Must]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t>
        </is>
      </c>
      <c r="O555" s="8" t="inlineStr">
        <is>
          <t>Cybersecurity hygiene practices 8.1 (a) establish a security access control policy and a process to enforce strong password security controls for users' access to IT systems and information assets</t>
        </is>
      </c>
    </row>
    <row r="556">
      <c r="A556" t="inlineStr">
        <is>
          <t>South Africa</t>
        </is>
      </c>
      <c r="B556" t="inlineStr">
        <is>
          <t>Joint Standard 2 of 2024  Cybersecurity &amp; Cyber resilience Requirements</t>
        </is>
      </c>
      <c r="C556" t="inlineStr">
        <is>
          <t>9</t>
        </is>
      </c>
      <c r="D556" s="8" t="inlineStr">
        <is>
          <t>Notifications and regulatory reporting</t>
        </is>
      </c>
      <c r="E556" t="inlineStr">
        <is>
          <t>17</t>
        </is>
      </c>
      <c r="F556" t="inlineStr">
        <is>
          <t>Incident Reporting</t>
        </is>
      </c>
      <c r="G556" t="inlineStr">
        <is>
          <t>High</t>
        </is>
      </c>
      <c r="H556" t="inlineStr">
        <is>
          <t>High (explicit)</t>
        </is>
      </c>
      <c r="I556" s="8" t="inlineStr">
        <is>
          <t>Incident Reporting, Breach Notification</t>
        </is>
      </c>
      <c r="J556" s="8" t="inlineStr">
        <is>
          <t>Personal Information</t>
        </is>
      </c>
      <c r="K556" t="inlineStr">
        <is>
          <t>Authorities</t>
        </is>
      </c>
      <c r="L556" s="8" t="inlineStr">
        <is>
          <t>Financial institutions must notify the responsible authority of material cyber incidents or information security compromises within specified timeframes.</t>
        </is>
      </c>
      <c r="M556" s="8" t="inlineStr">
        <is>
          <t>Requires financial institutions to notify the responsible authority of material cyber incidents or information security compromises.</t>
        </is>
      </c>
      <c r="N556" s="8" t="inlineStr">
        <is>
          <t>[Must]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t>
        </is>
      </c>
      <c r="O556" s="8" t="inlineStr">
        <is>
          <t>Notifications and regulatory reporting 9.1 A financial institution must notify the responsible authority in the form and manner determined by the Authorities, after classifying the following as a material incident – cyber incidents; or information security compromise.</t>
        </is>
      </c>
    </row>
    <row r="557">
      <c r="A557" t="inlineStr">
        <is>
          <t>South Africa</t>
        </is>
      </c>
      <c r="B557" t="inlineStr">
        <is>
          <t>Joint Standard 2 of 2024  Cybersecurity &amp; Cyber resilience Requirements</t>
        </is>
      </c>
      <c r="C557" t="inlineStr">
        <is>
          <t>10</t>
        </is>
      </c>
      <c r="D557" s="8" t="inlineStr">
        <is>
          <t>Short title and commencement</t>
        </is>
      </c>
      <c r="E557" t="inlineStr">
        <is>
          <t>17</t>
        </is>
      </c>
      <c r="F557" t="inlineStr">
        <is>
          <t>Other</t>
        </is>
      </c>
      <c r="G557" t="inlineStr">
        <is>
          <t>None</t>
        </is>
      </c>
      <c r="H557" t="inlineStr">
        <is>
          <t>High (explicit)</t>
        </is>
      </c>
      <c r="I557" s="8" t="inlineStr"/>
      <c r="J557" s="8" t="inlineStr"/>
      <c r="K557" t="inlineStr">
        <is>
          <t>Authorities</t>
        </is>
      </c>
      <c r="L557" s="8" t="inlineStr">
        <is>
          <t>This Joint Standard is titled 'Cybersecurity and Cyber Resilience Requirements for Financial Institutions, 2024' and comes into effect on a date to be determined by the Authorities.</t>
        </is>
      </c>
      <c r="M557" s="8" t="inlineStr"/>
      <c r="N557" s="8" t="inlineStr"/>
      <c r="O557" s="8" t="inlineStr">
        <is>
          <t>Short title and commencement 10.1 This Joint Standard is called Cybersecurity and Cyber Resilience Requirements for Financial Institutions, 2024 and comes into effect on the date indicated in paragraph 10.2 below.</t>
        </is>
      </c>
    </row>
    <row r="558">
      <c r="A558" t="inlineStr">
        <is>
          <t>South Africa</t>
        </is>
      </c>
      <c r="B558" t="inlineStr">
        <is>
          <t>PA Directive</t>
        </is>
      </c>
      <c r="C558" t="inlineStr">
        <is>
          <t>1</t>
        </is>
      </c>
      <c r="D558" s="8" t="inlineStr"/>
      <c r="E558" t="inlineStr">
        <is>
          <t>1–2</t>
        </is>
      </c>
      <c r="F558" t="inlineStr">
        <is>
          <t>Cloud Services</t>
        </is>
      </c>
      <c r="G558" t="inlineStr">
        <is>
          <t>Medium</t>
        </is>
      </c>
      <c r="H558" t="inlineStr">
        <is>
          <t>High (explicit)</t>
        </is>
      </c>
      <c r="I558" s="8" t="inlineStr">
        <is>
          <t>Cloud Services</t>
        </is>
      </c>
      <c r="J558" s="8" t="inlineStr">
        <is>
          <t>Personal Information</t>
        </is>
      </c>
      <c r="K558" t="inlineStr">
        <is>
          <t>Prudential Authority (PA)</t>
        </is>
      </c>
      <c r="L558" s="8" t="inlineStr">
        <is>
          <t>PA clarifies policy on cloud computing and offshoring data for banks, defining cloud computing as shared pool of configurable computing resources.</t>
        </is>
      </c>
      <c r="M558" s="8" t="inlineStr">
        <is>
          <t>Defines cloud computing for DTIA purposes; specifies PA's regulatory stance on cloud use and data offshoring.</t>
        </is>
      </c>
      <c r="N558" s="8" t="inlineStr">
        <is>
          <t>[Definition]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O558" s="8" t="inlineStr">
        <is>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row>
    <row r="559">
      <c r="A559" t="inlineStr">
        <is>
          <t>South Africa</t>
        </is>
      </c>
      <c r="B559" t="inlineStr">
        <is>
          <t>PA Directive</t>
        </is>
      </c>
      <c r="C559" t="inlineStr">
        <is>
          <t>2</t>
        </is>
      </c>
      <c r="D559" s="8" t="inlineStr"/>
      <c r="E559" t="inlineStr">
        <is>
          <t>2–4</t>
        </is>
      </c>
      <c r="F559" t="inlineStr">
        <is>
          <t>Cloud Services</t>
        </is>
      </c>
      <c r="G559" t="inlineStr">
        <is>
          <t>High</t>
        </is>
      </c>
      <c r="H559" t="inlineStr">
        <is>
          <t>High (explicit)</t>
        </is>
      </c>
      <c r="I559" s="8" t="inlineStr">
        <is>
          <t>Cloud Services</t>
        </is>
      </c>
      <c r="J559" s="8" t="inlineStr">
        <is>
          <t>Personal Information</t>
        </is>
      </c>
      <c r="K559" t="inlineStr">
        <is>
          <t>Prudential Authority (PA)</t>
        </is>
      </c>
      <c r="L559" s="8" t="inlineStr">
        <is>
          <t>PA requires banks to follow risk-based approach for cloud computing and data offshoring, with specific compliance obligations.</t>
        </is>
      </c>
      <c r="M559" s="8" t="inlineStr">
        <is>
          <t>Banks must have data strategy, governance framework, risk assessment, and compliance with local/international laws for cloud/offshoring activities.</t>
        </is>
      </c>
      <c r="N559" s="8" t="inlineStr">
        <is>
          <t>[Must] Banks must have in place a formally defined and board approved data strategy and data governance framework.
[Must] Banks that use cloud computing and/or offshore their data must have a clearly defined policy for such activities, which is aligned with its business strategy and linked to its risk appetite.
[Must] Oversight of cloud computing and/or the offshoring of data must be incorporated into the governance structures, processes and procedures within the bank.
[Must] Banks must ensure that their risk and control frameworks, including the application thereof, are designed and operating effectively in order to manage the risks associated with the use of cloud computing and/or the offshoring of data.
[Must] Prior to undertaking a particular cloud computing and/or data offshoring initiative, the bank must assess whether the risk involved is within its risk appetite.
[Must] All strategic investments by the bank, including the use of cloud computing and/or the offshoring of data, must be subjected to appropriate due diligence.
[Must] Banks must take all reasonable measures to ensure the confidentiality, integrity and availability of its data, information technology (IT) applications or systems.
[Must] Banks that use cloud computing and/or offshore their data must ensure that they remain compliant with applicable legislation and regulations, both locally as well as in any country where the cloud services and/or data are hosted.
[Must Not] The use of cloud computing and/or the offshoring of data must not in any way infringe on the bank's supervisors or prevent any regulatory mandated access to information, nor must it impact on its regulators' ability to fulfil their duties.
[Must] Banks must have contingency plans to continue with operations and meet their core obligations, such as regulatory, statutory or otherwise, despite any cloud computing and/or offshoring of data arrangements which may be in place.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[Must Not] Any cloud computing and/or offshoring of data arrangements must not impact on banks' ability to conduct forensic audits or investigations.
[Must] All cloud computing and/or offshoring of data arrangements must be contained in a documented, legally binding agreement.</t>
        </is>
      </c>
      <c r="O559" s="8" t="inlineStr">
        <is>
          <t>Banks must have in place a formally defined and board approved data strategy and data governance framework.</t>
        </is>
      </c>
    </row>
    <row r="560">
      <c r="A560" t="inlineStr">
        <is>
          <t>South Africa</t>
        </is>
      </c>
      <c r="B560" t="inlineStr">
        <is>
          <t>PA Directive</t>
        </is>
      </c>
      <c r="C560" t="inlineStr">
        <is>
          <t>3</t>
        </is>
      </c>
      <c r="D560" s="8" t="inlineStr"/>
      <c r="E560" t="inlineStr">
        <is>
          <t>4</t>
        </is>
      </c>
      <c r="F560" t="inlineStr">
        <is>
          <t>Other</t>
        </is>
      </c>
      <c r="G560" t="inlineStr">
        <is>
          <t>Medium</t>
        </is>
      </c>
      <c r="H560" t="inlineStr">
        <is>
          <t>High (explicit)</t>
        </is>
      </c>
      <c r="I560" s="8" t="inlineStr"/>
      <c r="J560" s="8" t="inlineStr">
        <is>
          <t>Personal Information</t>
        </is>
      </c>
      <c r="K560" t="inlineStr">
        <is>
          <t>Prudential Authority (PA)</t>
        </is>
      </c>
      <c r="L560" s="8" t="inlineStr">
        <is>
          <t>Banks must provide PA with copies of cloud/offshoring arrangements to auditors for compliance verification.</t>
        </is>
      </c>
      <c r="M560" s="8" t="inlineStr">
        <is>
          <t>Banks must submit documentation to PA for cloud/offshoring arrangements to ensure compliance with regulatory requirements.</t>
        </is>
      </c>
      <c r="N560" s="8" t="inlineStr">
        <is>
          <t>[Must] Kindly ensure that a copy of this directive is made available to your institution's independent auditors.</t>
        </is>
      </c>
      <c r="O560" s="8" t="inlineStr">
        <is>
          <t>3.1 Kindly ensure that a copy of this directive is made available to your institution's independent auditors.</t>
        </is>
      </c>
    </row>
    <row r="561">
      <c r="A561" t="inlineStr">
        <is>
          <t>South Africa</t>
        </is>
      </c>
      <c r="B561" t="inlineStr">
        <is>
          <t>POPIA_Regulations_-_Dec_2018</t>
        </is>
      </c>
      <c r="C561" t="inlineStr">
        <is>
          <t>1</t>
        </is>
      </c>
      <c r="D561" s="8" t="inlineStr">
        <is>
          <t>In these Regulations, any word or expression to which a meaning has been assigned in</t>
        </is>
      </c>
      <c r="E561" t="inlineStr">
        <is>
          <t>1–2</t>
        </is>
      </c>
      <c r="F561" t="inlineStr">
        <is>
          <t>Definitions</t>
        </is>
      </c>
      <c r="G561" t="inlineStr">
        <is>
          <t>None</t>
        </is>
      </c>
      <c r="H561" t="inlineStr">
        <is>
          <t>High (explicit)</t>
        </is>
      </c>
      <c r="I561" s="8" t="inlineStr"/>
      <c r="J561" s="8" t="inlineStr">
        <is>
          <t>Personal Information</t>
        </is>
      </c>
      <c r="K561" t="inlineStr"/>
      <c r="L561" s="8" t="inlineStr">
        <is>
          <t>Defines key terms including 'data message', 'form(s)', 'signature', 'submit', 'the Act', and 'writing' based on Electronic Communications and Transactions Act, 2002.</t>
        </is>
      </c>
      <c r="M561" s="8" t="inlineStr"/>
      <c r="N561" s="8" t="inlineStr">
        <is>
          <t>[Definition]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t>
        </is>
      </c>
      <c r="O561" s="8" t="inlineStr">
        <is>
          <t>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t>
        </is>
      </c>
    </row>
    <row r="562">
      <c r="A562" t="inlineStr">
        <is>
          <t>South Africa</t>
        </is>
      </c>
      <c r="B562" t="inlineStr">
        <is>
          <t>POPIA_Regulations_-_Dec_2018</t>
        </is>
      </c>
      <c r="C562" t="inlineStr">
        <is>
          <t>1</t>
        </is>
      </c>
      <c r="D562" s="8" t="inlineStr">
        <is>
          <t>CONTACT DETAILS</t>
        </is>
      </c>
      <c r="E562" t="inlineStr">
        <is>
          <t>29</t>
        </is>
      </c>
      <c r="F562" t="inlineStr">
        <is>
          <t>Other</t>
        </is>
      </c>
      <c r="G562" t="inlineStr">
        <is>
          <t>Unknown</t>
        </is>
      </c>
      <c r="H562" t="inlineStr">
        <is>
          <t>Low</t>
        </is>
      </c>
      <c r="I562" s="8" t="inlineStr"/>
      <c r="J562" s="8" t="inlineStr"/>
      <c r="K562" t="inlineStr"/>
      <c r="L562" s="8" t="inlineStr"/>
      <c r="M562" s="8" t="inlineStr"/>
      <c r="N562" s="8" t="inlineStr"/>
      <c r="O562" s="8" t="inlineStr"/>
    </row>
    <row r="563">
      <c r="A563" t="inlineStr">
        <is>
          <t>South Africa</t>
        </is>
      </c>
      <c r="B563" t="inlineStr">
        <is>
          <t>POPIA_Regulations_-_Dec_2018</t>
        </is>
      </c>
      <c r="C563" t="inlineStr">
        <is>
          <t>1</t>
        </is>
      </c>
      <c r="D563" s="8" t="inlineStr">
        <is>
          <t>NOTICE OF A DECISION ON AN ASSESSMENT</t>
        </is>
      </c>
      <c r="E563" t="inlineStr">
        <is>
          <t>30–31</t>
        </is>
      </c>
      <c r="F563" t="inlineStr">
        <is>
          <t>Other</t>
        </is>
      </c>
      <c r="G563" t="inlineStr">
        <is>
          <t>Low</t>
        </is>
      </c>
      <c r="H563" t="inlineStr">
        <is>
          <t>High (explicit)</t>
        </is>
      </c>
      <c r="I563" s="8" t="inlineStr"/>
      <c r="J563" s="8" t="inlineStr"/>
      <c r="K563" t="inlineStr">
        <is>
          <t>Information Regulator</t>
        </is>
      </c>
      <c r="L563" s="8" t="inlineStr">
        <is>
          <t>Regulator decides to conduct assessment of information processing compliance with POPIA.</t>
        </is>
      </c>
      <c r="M563" s="8" t="inlineStr">
        <is>
          <t>Regulator conducts assessment of information processing compliance with POPIA.</t>
        </is>
      </c>
      <c r="N563" s="8" t="inlineStr">
        <is>
          <t>[Must] Regulator has decided to conduct an assessment in terms of section 89(1) of the Protection of Personal Information Act 4 of 2013</t>
        </is>
      </c>
      <c r="O563" s="8" t="inlineStr">
        <is>
          <t>The Regulator has decided to conduct an assessment in terms of section 89(1) of the Protection of Personal Information Act 4 of 2013.</t>
        </is>
      </c>
    </row>
    <row r="564">
      <c r="A564" t="inlineStr">
        <is>
          <t>South Africa</t>
        </is>
      </c>
      <c r="B564" t="inlineStr">
        <is>
          <t>POPIA_Regulations_-_Dec_2018</t>
        </is>
      </c>
      <c r="C564" t="inlineStr">
        <is>
          <t>1</t>
        </is>
      </c>
      <c r="D564" s="8" t="inlineStr">
        <is>
          <t>In hierdie Regulasie het enige woord of uitdrukking waaraan ‟n betekenis ingevolge die</t>
        </is>
      </c>
      <c r="E564" t="inlineStr">
        <is>
          <t>45–46</t>
        </is>
      </c>
      <c r="F564" t="inlineStr">
        <is>
          <t>Other</t>
        </is>
      </c>
      <c r="G564" t="inlineStr">
        <is>
          <t>Low</t>
        </is>
      </c>
      <c r="H564" t="inlineStr">
        <is>
          <t>High (explicit)</t>
        </is>
      </c>
      <c r="I564" s="8" t="inlineStr"/>
      <c r="J564" s="8" t="inlineStr"/>
      <c r="K564" t="inlineStr">
        <is>
          <t>Information Regulator</t>
        </is>
      </c>
      <c r="L564" s="8" t="inlineStr">
        <is>
          <t>Regulator decides to conduct assessment of information processing compliance with POPIA.</t>
        </is>
      </c>
      <c r="M564" s="8" t="inlineStr">
        <is>
          <t>Regulator conducts assessment of information processing compliance with POPIA.</t>
        </is>
      </c>
      <c r="N564" s="8" t="inlineStr">
        <is>
          <t>[Must] Regulator has decided to conduct an assessment in terms of section 89(1) of the Protection of Personal Information Act 4 of 2013</t>
        </is>
      </c>
      <c r="O564" s="8" t="inlineStr">
        <is>
          <t>The Regulator has decided to conduct an assessment in terms of section 89(1) of the Protection of Personal Information Act 4 of 2013.</t>
        </is>
      </c>
    </row>
    <row r="565">
      <c r="A565" t="inlineStr">
        <is>
          <t>South Africa</t>
        </is>
      </c>
      <c r="B565" t="inlineStr">
        <is>
          <t>POPIA_Regulations_-_Dec_2018</t>
        </is>
      </c>
      <c r="C565" t="inlineStr">
        <is>
          <t>1</t>
        </is>
      </c>
      <c r="D565" s="8" t="inlineStr">
        <is>
          <t>KONTAKBESONDERHEDE</t>
        </is>
      </c>
      <c r="E565" t="inlineStr">
        <is>
          <t>73</t>
        </is>
      </c>
      <c r="F565" t="inlineStr">
        <is>
          <t>Other</t>
        </is>
      </c>
      <c r="G565" t="inlineStr">
        <is>
          <t>None</t>
        </is>
      </c>
      <c r="H565" t="inlineStr">
        <is>
          <t>High (explicit)</t>
        </is>
      </c>
      <c r="I565" s="8" t="inlineStr"/>
      <c r="J565" s="8" t="inlineStr">
        <is>
          <t>Personal Information</t>
        </is>
      </c>
      <c r="K565" t="inlineStr">
        <is>
          <t>Regulator</t>
        </is>
      </c>
      <c r="L565" s="8" t="inlineStr">
        <is>
          <t>Notification of the audit decision.</t>
        </is>
      </c>
      <c r="M565" s="8" t="inlineStr">
        <is>
          <t>Notification of the audit decision.</t>
        </is>
      </c>
      <c r="N565" s="8" t="inlineStr">
        <is>
          <t>[Must] The regulator has decided to conduct an audit.</t>
        </is>
      </c>
      <c r="O565" s="8" t="inlineStr">
        <is>
          <t>1. KENNISGEWING VAN 'N BESLUIT OOR 'N OUDIT Die Reguleerder het besluit om 'n oudit te doen ingevolge artikel 89(1) van die Wet op Beskerming van Persoonlike Inligting, 2:2013.</t>
        </is>
      </c>
    </row>
    <row r="566">
      <c r="A566" t="inlineStr">
        <is>
          <t>South Africa</t>
        </is>
      </c>
      <c r="B566" t="inlineStr">
        <is>
          <t>POPIA_Regulations_-_Dec_2018</t>
        </is>
      </c>
      <c r="C566" t="inlineStr">
        <is>
          <t>1</t>
        </is>
      </c>
      <c r="D566" s="8" t="inlineStr">
        <is>
          <t>KENNISGEWING VAN 'N BESLUIT OOR 'N OUDIT</t>
        </is>
      </c>
      <c r="E566" t="inlineStr">
        <is>
          <t>74–75</t>
        </is>
      </c>
      <c r="F566" t="inlineStr">
        <is>
          <t>Other</t>
        </is>
      </c>
      <c r="G566" t="inlineStr">
        <is>
          <t>None</t>
        </is>
      </c>
      <c r="H566" t="inlineStr">
        <is>
          <t>High (explicit)</t>
        </is>
      </c>
      <c r="I566" s="8" t="inlineStr"/>
      <c r="J566" s="8" t="inlineStr">
        <is>
          <t>Personal Information</t>
        </is>
      </c>
      <c r="K566" t="inlineStr">
        <is>
          <t>Regulator</t>
        </is>
      </c>
      <c r="L566" s="8" t="inlineStr">
        <is>
          <t>Notification of the audit decision.</t>
        </is>
      </c>
      <c r="M566" s="8" t="inlineStr">
        <is>
          <t>Notification of the audit decision.</t>
        </is>
      </c>
      <c r="N566" s="8" t="inlineStr">
        <is>
          <t>[Must] The regulator has decided to conduct an audit.</t>
        </is>
      </c>
      <c r="O566" s="8" t="inlineStr">
        <is>
          <t>1. KENNISGEWING VAN 'N BESLUIT OOR 'N OUDIT Die Reguleerder het besluit om 'n oudit te doen ingevolge artikel 89(1) van die Wet op Beskerming van Persoonlike Inligting, 2:2013.</t>
        </is>
      </c>
    </row>
    <row r="567">
      <c r="A567" t="inlineStr">
        <is>
          <t>South Africa</t>
        </is>
      </c>
      <c r="B567" t="inlineStr">
        <is>
          <t>POPIA_Regulations_-_Dec_2018</t>
        </is>
      </c>
      <c r="C567" t="inlineStr">
        <is>
          <t>2</t>
        </is>
      </c>
      <c r="D567" s="8" t="inlineStr">
        <is>
          <t>(1) A data subject who wishes to object to the processing of personal information</t>
        </is>
      </c>
      <c r="E567" t="inlineStr">
        <is>
          <t>2</t>
        </is>
      </c>
      <c r="F567" t="inlineStr">
        <is>
          <t>Data Subject Rights</t>
        </is>
      </c>
      <c r="G567" t="inlineStr">
        <is>
          <t>None</t>
        </is>
      </c>
      <c r="H567" t="inlineStr">
        <is>
          <t>High (explicit)</t>
        </is>
      </c>
      <c r="I567" s="8" t="inlineStr"/>
      <c r="J567" s="8" t="inlineStr">
        <is>
          <t>Personal Information</t>
        </is>
      </c>
      <c r="K567" t="inlineStr"/>
      <c r="L567" s="8" t="inlineStr">
        <is>
          <t>Data subjects must submit objections to processing on Form 1 to responsible parties for lawful processing under section 11(3)(a) of the Act.</t>
        </is>
      </c>
      <c r="M567" s="8" t="inlineStr">
        <is>
          <t>Data subjects can object to processing via Form 1; responsible parties must provide reasonable assistance free of charge.</t>
        </is>
      </c>
      <c r="N567" s="8" t="inlineStr">
        <is>
          <t>[Must]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t>
        </is>
      </c>
      <c r="O567" s="8" t="inlineStr">
        <is>
          <t>(1)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t>
        </is>
      </c>
    </row>
    <row r="568">
      <c r="A568" t="inlineStr">
        <is>
          <t>South Africa</t>
        </is>
      </c>
      <c r="B568" t="inlineStr">
        <is>
          <t>POPIA_Regulations_-_Dec_2018</t>
        </is>
      </c>
      <c r="C568" t="inlineStr">
        <is>
          <t>2</t>
        </is>
      </c>
      <c r="D568" s="8" t="inlineStr">
        <is>
          <t>INFORMATION PROCESSING TO BE ASSESSED</t>
        </is>
      </c>
      <c r="E568" t="inlineStr">
        <is>
          <t>29</t>
        </is>
      </c>
      <c r="F568" t="inlineStr">
        <is>
          <t>Other</t>
        </is>
      </c>
      <c r="G568" t="inlineStr">
        <is>
          <t>Unknown</t>
        </is>
      </c>
      <c r="H568" t="inlineStr">
        <is>
          <t>Low</t>
        </is>
      </c>
      <c r="I568" s="8" t="inlineStr"/>
      <c r="J568" s="8" t="inlineStr"/>
      <c r="K568" t="inlineStr"/>
      <c r="L568" s="8" t="inlineStr"/>
      <c r="M568" s="8" t="inlineStr"/>
      <c r="N568" s="8" t="inlineStr"/>
      <c r="O568" s="8" t="inlineStr"/>
    </row>
    <row r="569">
      <c r="A569" t="inlineStr">
        <is>
          <t>South Africa</t>
        </is>
      </c>
      <c r="B569" t="inlineStr">
        <is>
          <t>POPIA_Regulations_-_Dec_2018</t>
        </is>
      </c>
      <c r="C569" t="inlineStr">
        <is>
          <t>2</t>
        </is>
      </c>
      <c r="D569" s="8" t="inlineStr">
        <is>
          <t>INFORMATION PROCESSING TO BE ASSESSED</t>
        </is>
      </c>
      <c r="E569" t="inlineStr">
        <is>
          <t>31</t>
        </is>
      </c>
      <c r="F569" t="inlineStr">
        <is>
          <t>Other</t>
        </is>
      </c>
      <c r="G569" t="inlineStr">
        <is>
          <t>Low</t>
        </is>
      </c>
      <c r="H569" t="inlineStr">
        <is>
          <t>High (explicit)</t>
        </is>
      </c>
      <c r="I569" s="8" t="inlineStr"/>
      <c r="J569" s="8" t="inlineStr"/>
      <c r="K569" t="inlineStr"/>
      <c r="L569" s="8" t="inlineStr">
        <is>
          <t>Information processing to be assessed is specified.</t>
        </is>
      </c>
      <c r="M569" s="8" t="inlineStr">
        <is>
          <t>Information processing to be assessed is specified for compliance with POPIA.</t>
        </is>
      </c>
      <c r="N569" s="8" t="inlineStr">
        <is>
          <t>[Must] Information processing to be assessed is specified</t>
        </is>
      </c>
      <c r="O569" s="8" t="inlineStr">
        <is>
          <t>2. INFORMATION PROCESSING TO BE ASSESSED</t>
        </is>
      </c>
    </row>
    <row r="570">
      <c r="A570" t="inlineStr">
        <is>
          <t>South Africa</t>
        </is>
      </c>
      <c r="B570" t="inlineStr">
        <is>
          <t>POPIA_Regulations_-_Dec_2018</t>
        </is>
      </c>
      <c r="C570" t="inlineStr">
        <is>
          <t>2</t>
        </is>
      </c>
      <c r="D570" s="8" t="inlineStr">
        <is>
          <t>(1)</t>
        </is>
      </c>
      <c r="E570" t="inlineStr">
        <is>
          <t>46</t>
        </is>
      </c>
      <c r="F570" t="inlineStr">
        <is>
          <t>Data Subject Rights</t>
        </is>
      </c>
      <c r="G570" t="inlineStr">
        <is>
          <t>Low</t>
        </is>
      </c>
      <c r="H570" t="inlineStr">
        <is>
          <t>High (explicit)</t>
        </is>
      </c>
      <c r="I570" s="8" t="inlineStr"/>
      <c r="J570" s="8" t="inlineStr">
        <is>
          <t>Personal Information</t>
        </is>
      </c>
      <c r="K570" t="inlineStr">
        <is>
          <t>Responsible party</t>
        </is>
      </c>
      <c r="L570" s="8" t="inlineStr">
        <is>
          <t>Data subjects must submit a complaint form to the responsible party for data processing under Article 11(3)(a) of the Act.</t>
        </is>
      </c>
      <c r="M570" s="8" t="inlineStr">
        <is>
          <t>Data subjects can request correction or deletion of personal information via Form 1; responsible parties must provide reasonable assistance at no cost.</t>
        </is>
      </c>
      <c r="N570" s="8" t="inlineStr">
        <is>
          <t>[Must] Data subject must submit Form 1 to responsible party for data processing under Article 11(3)(a) of the Act
[Must] Responsible party must provide reasonable assistance at no cost for data subject to complete Form 1</t>
        </is>
      </c>
      <c r="O570" s="8" t="inlineStr">
        <is>
          <t>„n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t>
        </is>
      </c>
    </row>
    <row r="571">
      <c r="A571" t="inlineStr">
        <is>
          <t>South Africa</t>
        </is>
      </c>
      <c r="B571" t="inlineStr">
        <is>
          <t>POPIA_Regulations_-_Dec_2018</t>
        </is>
      </c>
      <c r="C571" t="inlineStr">
        <is>
          <t>2</t>
        </is>
      </c>
      <c r="D571" s="8" t="inlineStr">
        <is>
          <t>INLIGTINGSVERWERKING WAT GEOUDITEER MOET WORD</t>
        </is>
      </c>
      <c r="E571" t="inlineStr">
        <is>
          <t>73</t>
        </is>
      </c>
      <c r="F571" t="inlineStr">
        <is>
          <t>Other</t>
        </is>
      </c>
      <c r="G571" t="inlineStr">
        <is>
          <t>None</t>
        </is>
      </c>
      <c r="H571" t="inlineStr">
        <is>
          <t>High (explicit)</t>
        </is>
      </c>
      <c r="I571" s="8" t="inlineStr"/>
      <c r="J571" s="8" t="inlineStr">
        <is>
          <t>Personal Information</t>
        </is>
      </c>
      <c r="K571" t="inlineStr"/>
      <c r="L571" s="8" t="inlineStr">
        <is>
          <t>Information processing that must be audited.</t>
        </is>
      </c>
      <c r="M571" s="8" t="inlineStr">
        <is>
          <t>Information processing that must be audited.</t>
        </is>
      </c>
      <c r="N571" s="8" t="inlineStr">
        <is>
          <t>[Must] Specify information processing that must be audited.</t>
        </is>
      </c>
      <c r="O571" s="8" t="inlineStr">
        <is>
          <t>2. INLIGTINGSVERWERKING WAT GEOUDITEER MOET WORD</t>
        </is>
      </c>
    </row>
    <row r="572">
      <c r="A572" t="inlineStr">
        <is>
          <t>South Africa</t>
        </is>
      </c>
      <c r="B572" t="inlineStr">
        <is>
          <t>POPIA_Regulations_-_Dec_2018</t>
        </is>
      </c>
      <c r="C572" t="inlineStr">
        <is>
          <t>2</t>
        </is>
      </c>
      <c r="D572" s="8" t="inlineStr">
        <is>
          <t>INLIGTINGSVERWERKING WAT GEOUDIT MOET WORD</t>
        </is>
      </c>
      <c r="E572" t="inlineStr">
        <is>
          <t>75</t>
        </is>
      </c>
      <c r="F572" t="inlineStr">
        <is>
          <t>Other</t>
        </is>
      </c>
      <c r="G572" t="inlineStr">
        <is>
          <t>None</t>
        </is>
      </c>
      <c r="H572" t="inlineStr">
        <is>
          <t>High (explicit)</t>
        </is>
      </c>
      <c r="I572" s="8" t="inlineStr"/>
      <c r="J572" s="8" t="inlineStr">
        <is>
          <t>Personal Information</t>
        </is>
      </c>
      <c r="K572" t="inlineStr"/>
      <c r="L572" s="8" t="inlineStr">
        <is>
          <t>Information processing that must be audited.</t>
        </is>
      </c>
      <c r="M572" s="8" t="inlineStr">
        <is>
          <t>Information processing that must be audited.</t>
        </is>
      </c>
      <c r="N572" s="8" t="inlineStr">
        <is>
          <t>[Must] Specify information processing that must be audited.</t>
        </is>
      </c>
      <c r="O572" s="8" t="inlineStr">
        <is>
          <t>2. INLIGTINGSVERWERKING WAT GEOUDITEER MOET WORD</t>
        </is>
      </c>
    </row>
    <row r="573">
      <c r="A573" t="inlineStr">
        <is>
          <t>South Africa</t>
        </is>
      </c>
      <c r="B573" t="inlineStr">
        <is>
          <t>POPIA_Regulations_-_Dec_2018</t>
        </is>
      </c>
      <c r="C573" t="inlineStr">
        <is>
          <t>3</t>
        </is>
      </c>
      <c r="D573" s="8" t="inlineStr">
        <is>
          <t>(1) A data subject who wishes to request a correction or deletion of personal</t>
        </is>
      </c>
      <c r="E573" t="inlineStr">
        <is>
          <t>2–3</t>
        </is>
      </c>
      <c r="F573" t="inlineStr">
        <is>
          <t>Data Subject Rights</t>
        </is>
      </c>
      <c r="G573" t="inlineStr">
        <is>
          <t>None</t>
        </is>
      </c>
      <c r="H573" t="inlineStr">
        <is>
          <t>High (explicit)</t>
        </is>
      </c>
      <c r="I573" s="8" t="inlineStr"/>
      <c r="J573" s="8" t="inlineStr">
        <is>
          <t>Personal Information</t>
        </is>
      </c>
      <c r="K573" t="inlineStr"/>
      <c r="L573" s="8" t="inlineStr">
        <is>
          <t>Data subjects must submit requests for correction or deletion of personal information on Form 2 to responsible parties for lawful processing under section 24(1) of the Act.</t>
        </is>
      </c>
      <c r="M573" s="8" t="inlineStr">
        <is>
          <t>Data subjects can request correction/deletion via Form 2; responsible parties must provide reasonable assistance free of charge.</t>
        </is>
      </c>
      <c r="N573"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573"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574">
      <c r="A574" t="inlineStr">
        <is>
          <t>South Africa</t>
        </is>
      </c>
      <c r="B574" t="inlineStr">
        <is>
          <t>POPIA_Regulations_-_Dec_2018</t>
        </is>
      </c>
      <c r="C574" t="inlineStr">
        <is>
          <t>3</t>
        </is>
      </c>
      <c r="D574" s="8" t="inlineStr">
        <is>
          <t>Complete as is applicable.</t>
        </is>
      </c>
      <c r="E574" t="inlineStr">
        <is>
          <t>9–11</t>
        </is>
      </c>
      <c r="F574" t="inlineStr">
        <is>
          <t>Data Subject Rights</t>
        </is>
      </c>
      <c r="G574" t="inlineStr">
        <is>
          <t>None</t>
        </is>
      </c>
      <c r="H574" t="inlineStr">
        <is>
          <t>High (explicit)</t>
        </is>
      </c>
      <c r="I574" s="8" t="inlineStr"/>
      <c r="J574" s="8" t="inlineStr">
        <is>
          <t>Personal Information</t>
        </is>
      </c>
      <c r="K574" t="inlineStr"/>
      <c r="L574" s="8" t="inlineStr">
        <is>
          <t>Data subjects must submit requests for correction or deletion of personal information on Form 2 to responsible parties for lawful processing under section 24(1) of the Act.</t>
        </is>
      </c>
      <c r="M574" s="8" t="inlineStr">
        <is>
          <t>Data subjects can request correction/deletion via Form 2; responsible parties must provide reasonable assistance free of charge.</t>
        </is>
      </c>
      <c r="N574"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574"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575">
      <c r="A575" t="inlineStr">
        <is>
          <t>South Africa</t>
        </is>
      </c>
      <c r="B575" t="inlineStr">
        <is>
          <t>POPIA_Regulations_-_Dec_2018</t>
        </is>
      </c>
      <c r="C575" t="inlineStr">
        <is>
          <t>3</t>
        </is>
      </c>
      <c r="D575" s="8" t="inlineStr">
        <is>
          <t>Complete as is applicable.</t>
        </is>
      </c>
      <c r="E575" t="inlineStr">
        <is>
          <t>11–17</t>
        </is>
      </c>
      <c r="F575" t="inlineStr">
        <is>
          <t>Data Subject Rights</t>
        </is>
      </c>
      <c r="G575" t="inlineStr">
        <is>
          <t>Low</t>
        </is>
      </c>
      <c r="H575" t="inlineStr">
        <is>
          <t>High (explicit)</t>
        </is>
      </c>
      <c r="I575" s="8" t="inlineStr"/>
      <c r="J575" s="8" t="inlineStr">
        <is>
          <t>Personal Information</t>
        </is>
      </c>
      <c r="K575" t="inlineStr"/>
      <c r="L575" s="8" t="inlineStr">
        <is>
          <t>Provides form for requests to assess compliance with personal information processing.</t>
        </is>
      </c>
      <c r="M575" s="8" t="inlineStr">
        <is>
          <t>Allows entities to request assessments of compliance with personal information processing activities.</t>
        </is>
      </c>
      <c r="N575" s="8" t="inlineStr">
        <is>
          <t>[Must] Provide details of requester, responsible party, and information processing to be assessed</t>
        </is>
      </c>
      <c r="O575" s="8" t="inlineStr">
        <is>
          <t>REQUEST FOR AN ASSESSMENT SECTION 89(1) OF THE PROTECTION OF PERSONAL INFORMATION ACT 4 OF 2013</t>
        </is>
      </c>
    </row>
    <row r="576">
      <c r="A576" t="inlineStr">
        <is>
          <t>South Africa</t>
        </is>
      </c>
      <c r="B576" t="inlineStr">
        <is>
          <t>POPIA_Regulations_-_Dec_2018</t>
        </is>
      </c>
      <c r="C576" t="inlineStr">
        <is>
          <t>3</t>
        </is>
      </c>
      <c r="D576" s="8" t="inlineStr">
        <is>
          <t>Complete as is applicable.</t>
        </is>
      </c>
      <c r="E576" t="inlineStr">
        <is>
          <t>17–29</t>
        </is>
      </c>
      <c r="F576" t="inlineStr">
        <is>
          <t>Data Subject Rights</t>
        </is>
      </c>
      <c r="G576" t="inlineStr">
        <is>
          <t>Low</t>
        </is>
      </c>
      <c r="H576" t="inlineStr">
        <is>
          <t>High (explicit)</t>
        </is>
      </c>
      <c r="I576" s="8" t="inlineStr"/>
      <c r="J576" s="8" t="inlineStr">
        <is>
          <t>Personal Information</t>
        </is>
      </c>
      <c r="K576" t="inlineStr"/>
      <c r="L576" s="8" t="inlineStr">
        <is>
          <t>Provides form for requests to assess compliance with personal information processing.</t>
        </is>
      </c>
      <c r="M576" s="8" t="inlineStr">
        <is>
          <t>Allows entities to request assessments of compliance with personal information processing activities.</t>
        </is>
      </c>
      <c r="N576" s="8" t="inlineStr">
        <is>
          <t>[Must] Provide details of requester, responsible party, and information processing to be assessed</t>
        </is>
      </c>
      <c r="O576" s="8" t="inlineStr">
        <is>
          <t>REQUEST FOR AN ASSESSMENT SECTION 89(1) OF THE PROTECTION OF PERSONAL INFORMATION ACT 4 OF 2013</t>
        </is>
      </c>
    </row>
    <row r="577">
      <c r="A577" t="inlineStr">
        <is>
          <t>South Africa</t>
        </is>
      </c>
      <c r="B577" t="inlineStr">
        <is>
          <t>POPIA_Regulations_-_Dec_2018</t>
        </is>
      </c>
      <c r="C577" t="inlineStr">
        <is>
          <t>3</t>
        </is>
      </c>
      <c r="D577" s="8" t="inlineStr">
        <is>
          <t>PERSONS AFFECTED BY THE RELEVANT INFORMATION PROCESSING PRACTICE/S</t>
        </is>
      </c>
      <c r="E577" t="inlineStr">
        <is>
          <t>29</t>
        </is>
      </c>
      <c r="F577" t="inlineStr">
        <is>
          <t>Data Subject Rights</t>
        </is>
      </c>
      <c r="G577" t="inlineStr">
        <is>
          <t>Low</t>
        </is>
      </c>
      <c r="H577" t="inlineStr">
        <is>
          <t>High (explicit)</t>
        </is>
      </c>
      <c r="I577" s="8" t="inlineStr"/>
      <c r="J577" s="8" t="inlineStr">
        <is>
          <t>Personal Information</t>
        </is>
      </c>
      <c r="K577" t="inlineStr"/>
      <c r="L577" s="8" t="inlineStr">
        <is>
          <t>Provides form for requests to assess compliance with personal information processing.</t>
        </is>
      </c>
      <c r="M577" s="8" t="inlineStr">
        <is>
          <t>Allows entities to request assessments of compliance with personal information processing activities.</t>
        </is>
      </c>
      <c r="N577" s="8" t="inlineStr">
        <is>
          <t>[Must] Provide details of requester, responsible party, and information processing to be assessed</t>
        </is>
      </c>
      <c r="O577" s="8" t="inlineStr">
        <is>
          <t>REQUEST FOR AN ASSESSMENT SECTION 89(1) OF THE PROTECTION OF PERSONAL INFORMATION ACT 4 OF 2013</t>
        </is>
      </c>
    </row>
    <row r="578">
      <c r="A578" t="inlineStr">
        <is>
          <t>South Africa</t>
        </is>
      </c>
      <c r="B578" t="inlineStr">
        <is>
          <t>POPIA_Regulations_-_Dec_2018</t>
        </is>
      </c>
      <c r="C578" t="inlineStr">
        <is>
          <t>3</t>
        </is>
      </c>
      <c r="D578" s="8" t="inlineStr">
        <is>
          <t>PERSONS AFFECTED BY THE RELEVANT INFORMATION PROCESSING PRACTICE/S</t>
        </is>
      </c>
      <c r="E578" t="inlineStr">
        <is>
          <t>31</t>
        </is>
      </c>
      <c r="F578" t="inlineStr">
        <is>
          <t>Other</t>
        </is>
      </c>
      <c r="G578" t="inlineStr">
        <is>
          <t>Low</t>
        </is>
      </c>
      <c r="H578" t="inlineStr">
        <is>
          <t>High (explicit)</t>
        </is>
      </c>
      <c r="I578" s="8" t="inlineStr"/>
      <c r="J578" s="8" t="inlineStr"/>
      <c r="K578" t="inlineStr"/>
      <c r="L578" s="8" t="inlineStr">
        <is>
          <t>Persons affected by relevant information processing practice/s are specified.</t>
        </is>
      </c>
      <c r="M578" s="8" t="inlineStr">
        <is>
          <t>Persons affected by relevant information processing practice/s are specified for compliance with POPIA.</t>
        </is>
      </c>
      <c r="N578" s="8" t="inlineStr">
        <is>
          <t>[Must] Persons affected by relevant information processing practice/s are specified</t>
        </is>
      </c>
      <c r="O578" s="8" t="inlineStr">
        <is>
          <t>3. PERSONS AFFECTED BY THE RELEVANT INFORMATION PROCESSING PRACTICE/S</t>
        </is>
      </c>
    </row>
    <row r="579">
      <c r="A579" t="inlineStr">
        <is>
          <t>South Africa</t>
        </is>
      </c>
      <c r="B579" t="inlineStr">
        <is>
          <t>POPIA_Regulations_-_Dec_2018</t>
        </is>
      </c>
      <c r="C579" t="inlineStr">
        <is>
          <t>3</t>
        </is>
      </c>
      <c r="D579" s="8" t="inlineStr">
        <is>
          <t>(1)</t>
        </is>
      </c>
      <c r="E579" t="inlineStr">
        <is>
          <t>46–47</t>
        </is>
      </c>
      <c r="F579" t="inlineStr">
        <is>
          <t>Data Subject Rights</t>
        </is>
      </c>
      <c r="G579" t="inlineStr">
        <is>
          <t>Low</t>
        </is>
      </c>
      <c r="H579" t="inlineStr">
        <is>
          <t>High (explicit)</t>
        </is>
      </c>
      <c r="I579" s="8" t="inlineStr"/>
      <c r="J579" s="8" t="inlineStr">
        <is>
          <t>Personal Information</t>
        </is>
      </c>
      <c r="K579" t="inlineStr">
        <is>
          <t>Responsible party</t>
        </is>
      </c>
      <c r="L579" s="8" t="inlineStr">
        <is>
          <t>Data subjects must submit a request form to the responsible party for correction or deletion of personal information under Article 24(1) of the Act.</t>
        </is>
      </c>
      <c r="M579" s="8" t="inlineStr">
        <is>
          <t>Data subjects can request correction or deletion of personal information via Form 2; responsible parties must provide reasonable assistance at no cost.</t>
        </is>
      </c>
      <c r="N579" s="8" t="inlineStr">
        <is>
          <t>[Must] Data subject must submit Form 2 to responsible party for correction or deletion of personal information under Article 24(1) of the Act
[Must] Responsible party must provide reasonable assistance at no cost for data subject to complete Form 2</t>
        </is>
      </c>
      <c r="O579"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580">
      <c r="A580" t="inlineStr">
        <is>
          <t>South Africa</t>
        </is>
      </c>
      <c r="B580" t="inlineStr">
        <is>
          <t>POPIA_Regulations_-_Dec_2018</t>
        </is>
      </c>
      <c r="C580" t="inlineStr">
        <is>
          <t>3</t>
        </is>
      </c>
      <c r="D580" s="8" t="inlineStr">
        <is>
          <t>Vul in waar van toepassing.</t>
        </is>
      </c>
      <c r="E580" t="inlineStr">
        <is>
          <t>53–55</t>
        </is>
      </c>
      <c r="F580" t="inlineStr">
        <is>
          <t>Data Subject Rights</t>
        </is>
      </c>
      <c r="G580" t="inlineStr">
        <is>
          <t>Low</t>
        </is>
      </c>
      <c r="H580" t="inlineStr">
        <is>
          <t>High (explicit)</t>
        </is>
      </c>
      <c r="I580" s="8" t="inlineStr"/>
      <c r="J580" s="8" t="inlineStr">
        <is>
          <t>Personal Information</t>
        </is>
      </c>
      <c r="K580" t="inlineStr">
        <is>
          <t>Responsible party</t>
        </is>
      </c>
      <c r="L580" s="8" t="inlineStr">
        <is>
          <t>Data subjects must submit a request form to the responsible party for correction or deletion of personal information under Article 24(1) of the Act.</t>
        </is>
      </c>
      <c r="M580" s="8" t="inlineStr">
        <is>
          <t>Data subjects can request correction or deletion of personal information via Form 2; responsible parties must provide reasonable assistance at no cost.</t>
        </is>
      </c>
      <c r="N580" s="8" t="inlineStr">
        <is>
          <t>[Must] Data subject must submit Form 2 to responsible party for correction or deletion of personal information under Article 24(1) of the Act
[Must] Responsible party must provide reasonable assistance at no cost for data subject to complete Form 2</t>
        </is>
      </c>
      <c r="O580"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581">
      <c r="A581" t="inlineStr">
        <is>
          <t>South Africa</t>
        </is>
      </c>
      <c r="B581" t="inlineStr">
        <is>
          <t>POPIA_Regulations_-_Dec_2018</t>
        </is>
      </c>
      <c r="C581" t="inlineStr">
        <is>
          <t>3</t>
        </is>
      </c>
      <c r="D581" s="8" t="inlineStr">
        <is>
          <t>Vul in waar van toepassing.</t>
        </is>
      </c>
      <c r="E581" t="inlineStr">
        <is>
          <t>55–61</t>
        </is>
      </c>
      <c r="F581" t="inlineStr">
        <is>
          <t>Data Subject Rights</t>
        </is>
      </c>
      <c r="G581" t="inlineStr">
        <is>
          <t>Low</t>
        </is>
      </c>
      <c r="H581" t="inlineStr">
        <is>
          <t>High (explicit)</t>
        </is>
      </c>
      <c r="I581" s="8" t="inlineStr"/>
      <c r="J581" s="8" t="inlineStr">
        <is>
          <t>Personal Information</t>
        </is>
      </c>
      <c r="K581" t="inlineStr">
        <is>
          <t>Responsible party</t>
        </is>
      </c>
      <c r="L581" s="8" t="inlineStr">
        <is>
          <t>Data subjects must submit a request form to the responsible party for correction or deletion of personal information under Article 24(1) of the Act.</t>
        </is>
      </c>
      <c r="M581" s="8" t="inlineStr">
        <is>
          <t>Data subjects can request correction or deletion of personal information via Form 2; responsible parties must provide reasonable assistance at no cost.</t>
        </is>
      </c>
      <c r="N581" s="8" t="inlineStr">
        <is>
          <t>[Must] Data subject must submit Form 2 to responsible party for correction or deletion of personal information under Article 24(1) of the Act
[Must] Responsible party must provide reasonable assistance at no cost for data subject to complete Form 2</t>
        </is>
      </c>
      <c r="O581"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582">
      <c r="A582" t="inlineStr">
        <is>
          <t>South Africa</t>
        </is>
      </c>
      <c r="B582" t="inlineStr">
        <is>
          <t>POPIA_Regulations_-_Dec_2018</t>
        </is>
      </c>
      <c r="C582" t="inlineStr">
        <is>
          <t>3</t>
        </is>
      </c>
      <c r="D582" s="8" t="inlineStr">
        <is>
          <t>Vul in waar van toepassing.</t>
        </is>
      </c>
      <c r="E582" t="inlineStr">
        <is>
          <t>61–73</t>
        </is>
      </c>
      <c r="F582" t="inlineStr">
        <is>
          <t>Other</t>
        </is>
      </c>
      <c r="G582" t="inlineStr">
        <is>
          <t>None</t>
        </is>
      </c>
      <c r="H582" t="inlineStr">
        <is>
          <t>High (explicit)</t>
        </is>
      </c>
      <c r="I582" s="8" t="inlineStr"/>
      <c r="J582" s="8" t="inlineStr">
        <is>
          <t>Personal Information</t>
        </is>
      </c>
      <c r="K582" t="inlineStr"/>
      <c r="L582" s="8" t="inlineStr">
        <is>
          <t>Persons affected by the information processing practice.</t>
        </is>
      </c>
      <c r="M582" s="8" t="inlineStr">
        <is>
          <t>Persons affected by the information processing practice.</t>
        </is>
      </c>
      <c r="N582" s="8" t="inlineStr">
        <is>
          <t>[Must] Identify persons affected by the information processing practice.</t>
        </is>
      </c>
      <c r="O582" s="8" t="inlineStr">
        <is>
          <t>3. PERSONE GERAAK DEUR DIE TERSAAKLIKE INLIGTINGSVERWERKINGSPRAKTYK(E)</t>
        </is>
      </c>
    </row>
    <row r="583">
      <c r="A583" t="inlineStr">
        <is>
          <t>South Africa</t>
        </is>
      </c>
      <c r="B583" t="inlineStr">
        <is>
          <t>POPIA_Regulations_-_Dec_2018</t>
        </is>
      </c>
      <c r="C583" t="inlineStr">
        <is>
          <t>3</t>
        </is>
      </c>
      <c r="D583" s="8" t="inlineStr">
        <is>
          <t>PERSONE GERAAK DEUR DIE TERSAAKLIKE INLIGTINGSVERWERKINGSPRAKTYK(E)</t>
        </is>
      </c>
      <c r="E583" t="inlineStr">
        <is>
          <t>73</t>
        </is>
      </c>
      <c r="F583" t="inlineStr">
        <is>
          <t>Other</t>
        </is>
      </c>
      <c r="G583" t="inlineStr">
        <is>
          <t>None</t>
        </is>
      </c>
      <c r="H583" t="inlineStr">
        <is>
          <t>High (explicit)</t>
        </is>
      </c>
      <c r="I583" s="8" t="inlineStr"/>
      <c r="J583" s="8" t="inlineStr">
        <is>
          <t>Personal Information</t>
        </is>
      </c>
      <c r="K583" t="inlineStr"/>
      <c r="L583" s="8" t="inlineStr">
        <is>
          <t>Persons affected by the information processing practice.</t>
        </is>
      </c>
      <c r="M583" s="8" t="inlineStr">
        <is>
          <t>Persons affected by the information processing practice.</t>
        </is>
      </c>
      <c r="N583" s="8" t="inlineStr">
        <is>
          <t>[Must] Identify persons affected by the information processing practice.</t>
        </is>
      </c>
      <c r="O583" s="8" t="inlineStr">
        <is>
          <t>3. PERSONE GERAAK DEUR DIE TERSAAKLIKE INLIGTINGSVERWERKINGSPRAKTYK(E)</t>
        </is>
      </c>
    </row>
    <row r="584">
      <c r="A584" t="inlineStr">
        <is>
          <t>South Africa</t>
        </is>
      </c>
      <c r="B584" t="inlineStr">
        <is>
          <t>POPIA_Regulations_-_Dec_2018</t>
        </is>
      </c>
      <c r="C584" t="inlineStr">
        <is>
          <t>3</t>
        </is>
      </c>
      <c r="D584" s="8" t="inlineStr">
        <is>
          <t>PERSONE GERAAK DEUR DIE TERSAAKLIKE INLIGTINGSVERWERKINGSPRAKTYK(E)</t>
        </is>
      </c>
      <c r="E584" t="inlineStr">
        <is>
          <t>75</t>
        </is>
      </c>
      <c r="F584" t="inlineStr">
        <is>
          <t>Other</t>
        </is>
      </c>
      <c r="G584" t="inlineStr">
        <is>
          <t>None</t>
        </is>
      </c>
      <c r="H584" t="inlineStr">
        <is>
          <t>High (explicit)</t>
        </is>
      </c>
      <c r="I584" s="8" t="inlineStr"/>
      <c r="J584" s="8" t="inlineStr">
        <is>
          <t>Personal Information</t>
        </is>
      </c>
      <c r="K584" t="inlineStr"/>
      <c r="L584" s="8" t="inlineStr">
        <is>
          <t>Persons affected by the information processing practice.</t>
        </is>
      </c>
      <c r="M584" s="8" t="inlineStr">
        <is>
          <t>Persons affected by the information processing practice.</t>
        </is>
      </c>
      <c r="N584" s="8" t="inlineStr">
        <is>
          <t>[Must] Identify persons affected by the information processing practice.</t>
        </is>
      </c>
      <c r="O584" s="8" t="inlineStr">
        <is>
          <t>3. PERSONE GERAAK DEUR DIE TERSAAKLIKE INLIGTINGSVERWERKINGSPRAKTYK(E)</t>
        </is>
      </c>
    </row>
    <row r="585">
      <c r="A585" t="inlineStr">
        <is>
          <t>South Africa</t>
        </is>
      </c>
      <c r="B585" t="inlineStr">
        <is>
          <t>POPIA_Regulations_-_Dec_2018</t>
        </is>
      </c>
      <c r="C585" t="inlineStr">
        <is>
          <t>4</t>
        </is>
      </c>
      <c r="D585" s="8" t="inlineStr">
        <is>
          <t>(1) An information officer must, in addition to the responsibilities referred to in</t>
        </is>
      </c>
      <c r="E585" t="inlineStr">
        <is>
          <t>3</t>
        </is>
      </c>
      <c r="F585" t="inlineStr">
        <is>
          <t>Governance</t>
        </is>
      </c>
      <c r="G585" t="inlineStr">
        <is>
          <t>None</t>
        </is>
      </c>
      <c r="H585" t="inlineStr">
        <is>
          <t>High (explicit)</t>
        </is>
      </c>
      <c r="I585" s="8" t="inlineStr">
        <is>
          <t>Governance, Record Keeping</t>
        </is>
      </c>
      <c r="J585" s="8" t="inlineStr">
        <is>
          <t>Personal Information</t>
        </is>
      </c>
      <c r="K585" t="inlineStr"/>
      <c r="L585" s="8" t="inlineStr">
        <is>
          <t>Information officers must develop compliance frameworks, conduct impact assessments, maintain manuals, and ensure internal awareness sessions for the Act.</t>
        </is>
      </c>
      <c r="M585" s="8" t="inlineStr">
        <is>
          <t>Information officers must implement compliance frameworks, conduct impact assessments, maintain manuals, and conduct awareness sessions.</t>
        </is>
      </c>
      <c r="N585" s="8" t="inlineStr">
        <is>
          <t>[Must]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t>
        </is>
      </c>
      <c r="O585" s="8" t="inlineStr">
        <is>
          <t>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t>
        </is>
      </c>
    </row>
    <row r="586">
      <c r="A586" t="inlineStr">
        <is>
          <t>South Africa</t>
        </is>
      </c>
      <c r="B586" t="inlineStr">
        <is>
          <t>POPIA_Regulations_-_Dec_2018</t>
        </is>
      </c>
      <c r="C586" t="inlineStr">
        <is>
          <t>4</t>
        </is>
      </c>
      <c r="D586" s="8" t="inlineStr">
        <is>
          <t>THE REASON WHY AN ASSESSMENT IS REQUESTED</t>
        </is>
      </c>
      <c r="E586" t="inlineStr">
        <is>
          <t>29–30</t>
        </is>
      </c>
      <c r="F586" t="inlineStr">
        <is>
          <t>Other</t>
        </is>
      </c>
      <c r="G586" t="inlineStr">
        <is>
          <t>Unknown</t>
        </is>
      </c>
      <c r="H586" t="inlineStr">
        <is>
          <t>Low</t>
        </is>
      </c>
      <c r="I586" s="8" t="inlineStr"/>
      <c r="J586" s="8" t="inlineStr"/>
      <c r="K586" t="inlineStr"/>
      <c r="L586" s="8" t="inlineStr"/>
      <c r="M586" s="8" t="inlineStr"/>
      <c r="N586" s="8" t="inlineStr"/>
      <c r="O586" s="8" t="inlineStr"/>
    </row>
    <row r="587">
      <c r="A587" t="inlineStr">
        <is>
          <t>South Africa</t>
        </is>
      </c>
      <c r="B587" t="inlineStr">
        <is>
          <t>POPIA_Regulations_-_Dec_2018</t>
        </is>
      </c>
      <c r="C587" t="inlineStr">
        <is>
          <t>4</t>
        </is>
      </c>
      <c r="D587" s="8" t="inlineStr">
        <is>
          <t>THE REASON WHY AN ASSESSMENT IS TO BE CONDUCTED/ NOT TO BE CONDUCTED</t>
        </is>
      </c>
      <c r="E587" t="inlineStr">
        <is>
          <t>31</t>
        </is>
      </c>
      <c r="F587" t="inlineStr">
        <is>
          <t>Other</t>
        </is>
      </c>
      <c r="G587" t="inlineStr">
        <is>
          <t>Low</t>
        </is>
      </c>
      <c r="H587" t="inlineStr">
        <is>
          <t>High (explicit)</t>
        </is>
      </c>
      <c r="I587" s="8" t="inlineStr"/>
      <c r="J587" s="8" t="inlineStr"/>
      <c r="K587" t="inlineStr"/>
      <c r="L587" s="8" t="inlineStr">
        <is>
          <t>Reason for conducting or not conducting assessment is specified.</t>
        </is>
      </c>
      <c r="M587" s="8" t="inlineStr">
        <is>
          <t>Reason for conducting or not conducting assessment is specified for compliance with POPIA.</t>
        </is>
      </c>
      <c r="N587" s="8" t="inlineStr">
        <is>
          <t>[Must] Reason why an assessment is to be conducted/not to be conducted is specified</t>
        </is>
      </c>
      <c r="O587" s="8" t="inlineStr">
        <is>
          <t>4. THE REASON WHY AN ASSESSMENT IS TO BE CONDUCTED/NOT TO BE CONDUCTED</t>
        </is>
      </c>
    </row>
    <row r="588">
      <c r="A588" t="inlineStr">
        <is>
          <t>South Africa</t>
        </is>
      </c>
      <c r="B588" t="inlineStr">
        <is>
          <t>POPIA_Regulations_-_Dec_2018</t>
        </is>
      </c>
      <c r="C588" t="inlineStr">
        <is>
          <t>4</t>
        </is>
      </c>
      <c r="D588" s="8" t="inlineStr">
        <is>
          <t>(1)</t>
        </is>
      </c>
      <c r="E588" t="inlineStr">
        <is>
          <t>47</t>
        </is>
      </c>
      <c r="F588" t="inlineStr">
        <is>
          <t>Governance</t>
        </is>
      </c>
      <c r="G588" t="inlineStr">
        <is>
          <t>Low</t>
        </is>
      </c>
      <c r="H588" t="inlineStr">
        <is>
          <t>High (explicit)</t>
        </is>
      </c>
      <c r="I588" s="8" t="inlineStr">
        <is>
          <t>Governance</t>
        </is>
      </c>
      <c r="J588" s="8" t="inlineStr">
        <is>
          <t>Personal Information</t>
        </is>
      </c>
      <c r="K588" t="inlineStr">
        <is>
          <t>Information officer</t>
        </is>
      </c>
      <c r="L588" s="8" t="inlineStr">
        <is>
          <t>Information officers must develop, implement, monitor and maintain a compliance framework.</t>
        </is>
      </c>
      <c r="M588" s="8" t="inlineStr">
        <is>
          <t>Information officers must establish a compliance framework, conduct impact assessments, develop guidelines, and hold awareness sessions.</t>
        </is>
      </c>
      <c r="N588" s="8" t="inlineStr">
        <is>
          <t>[Must]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t>
        </is>
      </c>
      <c r="O588" s="8" t="inlineStr">
        <is>
          <t>„n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t>
        </is>
      </c>
    </row>
    <row r="589">
      <c r="A589" t="inlineStr">
        <is>
          <t>South Africa</t>
        </is>
      </c>
      <c r="B589" t="inlineStr">
        <is>
          <t>POPIA_Regulations_-_Dec_2018</t>
        </is>
      </c>
      <c r="C589" t="inlineStr">
        <is>
          <t>4</t>
        </is>
      </c>
      <c r="D589" s="8" t="inlineStr">
        <is>
          <t>DIE REDE VIR DIE VERSOEK OM 'N OUDIT</t>
        </is>
      </c>
      <c r="E589" t="inlineStr">
        <is>
          <t>73–74</t>
        </is>
      </c>
      <c r="F589" t="inlineStr">
        <is>
          <t>Other</t>
        </is>
      </c>
      <c r="G589" t="inlineStr">
        <is>
          <t>None</t>
        </is>
      </c>
      <c r="H589" t="inlineStr">
        <is>
          <t>High (explicit)</t>
        </is>
      </c>
      <c r="I589" s="8" t="inlineStr"/>
      <c r="J589" s="8" t="inlineStr">
        <is>
          <t>Personal Information</t>
        </is>
      </c>
      <c r="K589" t="inlineStr"/>
      <c r="L589" s="8" t="inlineStr">
        <is>
          <t>Reasons for the request for an audit.</t>
        </is>
      </c>
      <c r="M589" s="8" t="inlineStr">
        <is>
          <t>Reasons for the request for an audit.</t>
        </is>
      </c>
      <c r="N589" s="8" t="inlineStr">
        <is>
          <t>[Must] State reasons for the request for an audit.</t>
        </is>
      </c>
      <c r="O589" s="8" t="inlineStr">
        <is>
          <t>4. DIE REDE VIR DIE VERSOEK OM 'N OUDIT</t>
        </is>
      </c>
    </row>
    <row r="590">
      <c r="A590" t="inlineStr">
        <is>
          <t>South Africa</t>
        </is>
      </c>
      <c r="B590" t="inlineStr">
        <is>
          <t>POPIA_Regulations_-_Dec_2018</t>
        </is>
      </c>
      <c r="C590" t="inlineStr">
        <is>
          <t>4</t>
        </is>
      </c>
      <c r="D590" s="8" t="inlineStr">
        <is>
          <t>WAAROM 'N OUDIT GEDOEN GAAN WORD/NIE GEDOEN GAAN WORD NIE</t>
        </is>
      </c>
      <c r="E590" t="inlineStr">
        <is>
          <t>75</t>
        </is>
      </c>
      <c r="F590" t="inlineStr">
        <is>
          <t>Other</t>
        </is>
      </c>
      <c r="G590" t="inlineStr">
        <is>
          <t>None</t>
        </is>
      </c>
      <c r="H590" t="inlineStr">
        <is>
          <t>High (explicit)</t>
        </is>
      </c>
      <c r="I590" s="8" t="inlineStr"/>
      <c r="J590" s="8" t="inlineStr">
        <is>
          <t>Personal Information</t>
        </is>
      </c>
      <c r="K590" t="inlineStr"/>
      <c r="L590" s="8" t="inlineStr">
        <is>
          <t>Reasons for the request for an audit.</t>
        </is>
      </c>
      <c r="M590" s="8" t="inlineStr">
        <is>
          <t>Reasons for the request for an audit.</t>
        </is>
      </c>
      <c r="N590" s="8" t="inlineStr">
        <is>
          <t>[Must] State reasons for the request for an audit.</t>
        </is>
      </c>
      <c r="O590" s="8" t="inlineStr">
        <is>
          <t>4. DIE REDE VIR DIE VERSOEK OM 'N OUDIT</t>
        </is>
      </c>
    </row>
    <row r="591">
      <c r="A591" t="inlineStr">
        <is>
          <t>South Africa</t>
        </is>
      </c>
      <c r="B591" t="inlineStr">
        <is>
          <t>POPIA_Regulations_-_Dec_2018</t>
        </is>
      </c>
      <c r="C591" t="inlineStr">
        <is>
          <t>5</t>
        </is>
      </c>
      <c r="D591" s="8" t="inlineStr">
        <is>
          <t>A private or public body which is sufficiently representative of any class of</t>
        </is>
      </c>
      <c r="E591" t="inlineStr">
        <is>
          <t>3–4</t>
        </is>
      </c>
      <c r="F591" t="inlineStr">
        <is>
          <t>Other</t>
        </is>
      </c>
      <c r="G591" t="inlineStr">
        <is>
          <t>None</t>
        </is>
      </c>
      <c r="H591" t="inlineStr">
        <is>
          <t>High (explicit)</t>
        </is>
      </c>
      <c r="I591" s="8" t="inlineStr"/>
      <c r="J591" s="8" t="inlineStr">
        <is>
          <t>Personal Information</t>
        </is>
      </c>
      <c r="K591" t="inlineStr"/>
      <c r="L591" s="8" t="inlineStr">
        <is>
          <t>Private or public bodies can apply for codes of conduct to the Regulator on Form 3 for industry-specific standards.</t>
        </is>
      </c>
      <c r="M591" s="8" t="inlineStr">
        <is>
          <t>Bodies can apply for codes of conduct via Form 3; Regulator may issue codes of conduct.</t>
        </is>
      </c>
      <c r="N591" s="8" t="inlineStr">
        <is>
          <t>[Must] 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O591" s="8" t="inlineStr">
        <is>
          <t>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row>
    <row r="592">
      <c r="A592" t="inlineStr">
        <is>
          <t>South Africa</t>
        </is>
      </c>
      <c r="B592" t="inlineStr">
        <is>
          <t>POPIA_Regulations_-_Dec_2018</t>
        </is>
      </c>
      <c r="C592" t="inlineStr">
        <is>
          <t>5</t>
        </is>
      </c>
      <c r="D592" s="8" t="inlineStr">
        <is>
          <t>SPECIFIC ASPECTS OF THE PROCESSING OF INFORMATION THAT THE ASSESSMENT</t>
        </is>
      </c>
      <c r="E592" t="inlineStr">
        <is>
          <t>30</t>
        </is>
      </c>
      <c r="F592" t="inlineStr">
        <is>
          <t>Other</t>
        </is>
      </c>
      <c r="G592" t="inlineStr">
        <is>
          <t>Unknown</t>
        </is>
      </c>
      <c r="H592" t="inlineStr">
        <is>
          <t>Low</t>
        </is>
      </c>
      <c r="I592" s="8" t="inlineStr"/>
      <c r="J592" s="8" t="inlineStr"/>
      <c r="K592" t="inlineStr"/>
      <c r="L592" s="8" t="inlineStr"/>
      <c r="M592" s="8" t="inlineStr"/>
      <c r="N592" s="8" t="inlineStr"/>
      <c r="O592" s="8" t="inlineStr"/>
    </row>
    <row r="593">
      <c r="A593" t="inlineStr">
        <is>
          <t>South Africa</t>
        </is>
      </c>
      <c r="B593" t="inlineStr">
        <is>
          <t>POPIA_Regulations_-_Dec_2018</t>
        </is>
      </c>
      <c r="C593" t="inlineStr">
        <is>
          <t>5</t>
        </is>
      </c>
      <c r="D593" s="8" t="inlineStr">
        <is>
          <t>SPECIFIC ASPECTS OF THE PROCESSING OF INFORMATION THAT THE ASSESSMENT</t>
        </is>
      </c>
      <c r="E593" t="inlineStr">
        <is>
          <t>31–45</t>
        </is>
      </c>
      <c r="F593" t="inlineStr">
        <is>
          <t>Other</t>
        </is>
      </c>
      <c r="G593" t="inlineStr">
        <is>
          <t>Low</t>
        </is>
      </c>
      <c r="H593" t="inlineStr">
        <is>
          <t>High (explicit)</t>
        </is>
      </c>
      <c r="I593" s="8" t="inlineStr"/>
      <c r="J593" s="8" t="inlineStr"/>
      <c r="K593" t="inlineStr"/>
      <c r="L593" s="8" t="inlineStr">
        <is>
          <t>Specific aspects of processing that assessment should address are specified.</t>
        </is>
      </c>
      <c r="M593" s="8" t="inlineStr">
        <is>
          <t>Specific aspects of processing that assessment should address are specified for compliance with POPIA.</t>
        </is>
      </c>
      <c r="N593" s="8" t="inlineStr">
        <is>
          <t>[Must] Specific aspects of processing of information that the assessment should address are specified</t>
        </is>
      </c>
      <c r="O593" s="8" t="inlineStr">
        <is>
          <t>5. SPECIFIC ASPECTS OF THE PROCESSING OF INFORMATION THAT THE ASSESSMENT SHOULD ADDRESS</t>
        </is>
      </c>
    </row>
    <row r="594">
      <c r="A594" t="inlineStr">
        <is>
          <t>South Africa</t>
        </is>
      </c>
      <c r="B594" t="inlineStr">
        <is>
          <t>POPIA_Regulations_-_Dec_2018</t>
        </is>
      </c>
      <c r="C594" t="inlineStr">
        <is>
          <t>5</t>
        </is>
      </c>
      <c r="D594" s="8" t="inlineStr">
        <is>
          <t>‟n Privaat of openbare liggaam wat voldoende verteenwoordigend van enige klas</t>
        </is>
      </c>
      <c r="E594" t="inlineStr">
        <is>
          <t>47–48</t>
        </is>
      </c>
      <c r="F594" t="inlineStr">
        <is>
          <t>Data Subject Rights</t>
        </is>
      </c>
      <c r="G594" t="inlineStr">
        <is>
          <t>Low</t>
        </is>
      </c>
      <c r="H594" t="inlineStr">
        <is>
          <t>High (explicit)</t>
        </is>
      </c>
      <c r="I594" s="8" t="inlineStr"/>
      <c r="J594" s="8" t="inlineStr">
        <is>
          <t>Personal Information</t>
        </is>
      </c>
      <c r="K594" t="inlineStr">
        <is>
          <t>Regulator</t>
        </is>
      </c>
      <c r="L594" s="8" t="inlineStr">
        <is>
          <t>Organizations must submit a request form to the regulator for the issuance of a code of conduct under Article 61(1)(b) of the Act.</t>
        </is>
      </c>
      <c r="M594" s="8" t="inlineStr">
        <is>
          <t>Organizations can request a code of conduct via Form 3; regulator must process the request.</t>
        </is>
      </c>
      <c r="N594" s="8" t="inlineStr">
        <is>
          <t>[Must] Organization must submit Form 3 to regulator for code of conduct under Article 61(1)(b) of the Act</t>
        </is>
      </c>
      <c r="O594" s="8" t="inlineStr">
        <is>
          <t>„n Privaat of openbare liggaam wat voldoende verteenwoordigend van enige klas van liggame, of van enige nywerheid, professie of ambag is wat om die uitreiking van ‟n gedragskode ingevolge artikel 61(1)(b) van die Wet wil aansoek doen, moet ‟n aansoek op Vorm 3 aan die Reguleerder voorlê.</t>
        </is>
      </c>
    </row>
    <row r="595">
      <c r="A595" t="inlineStr">
        <is>
          <t>South Africa</t>
        </is>
      </c>
      <c r="B595" t="inlineStr">
        <is>
          <t>POPIA_Regulations_-_Dec_2018</t>
        </is>
      </c>
      <c r="C595" t="inlineStr">
        <is>
          <t>5</t>
        </is>
      </c>
      <c r="D595" s="8" t="inlineStr">
        <is>
          <t>SPESIFIEKE ASPEKTE VAN DIE VERWERKING VAN INLIGTING WAAROP DIE OUDIT MOET</t>
        </is>
      </c>
      <c r="E595" t="inlineStr">
        <is>
          <t>74</t>
        </is>
      </c>
      <c r="F595" t="inlineStr">
        <is>
          <t>Other</t>
        </is>
      </c>
      <c r="G595" t="inlineStr">
        <is>
          <t>None</t>
        </is>
      </c>
      <c r="H595" t="inlineStr">
        <is>
          <t>High (explicit)</t>
        </is>
      </c>
      <c r="I595" s="8" t="inlineStr"/>
      <c r="J595" s="8" t="inlineStr">
        <is>
          <t>Personal Information</t>
        </is>
      </c>
      <c r="K595" t="inlineStr"/>
      <c r="L595" s="8" t="inlineStr">
        <is>
          <t>Specific aspects of information processing that the audit must cover.</t>
        </is>
      </c>
      <c r="M595" s="8" t="inlineStr">
        <is>
          <t>Specific aspects of information processing that the audit must cover.</t>
        </is>
      </c>
      <c r="N595" s="8" t="inlineStr">
        <is>
          <t>[Must] Specify specific aspects of information processing that the audit must cover.</t>
        </is>
      </c>
      <c r="O595" s="8" t="inlineStr">
        <is>
          <t>5. SPESIFIEKE ASPEKTE VAN DIE VERWERKING VAN INLIGTING WAAROP DIE OUDIT MOET INGAAN</t>
        </is>
      </c>
    </row>
    <row r="596">
      <c r="A596" t="inlineStr">
        <is>
          <t>South Africa</t>
        </is>
      </c>
      <c r="B596" t="inlineStr">
        <is>
          <t>POPIA_Regulations_-_Dec_2018</t>
        </is>
      </c>
      <c r="C596" t="inlineStr">
        <is>
          <t>5</t>
        </is>
      </c>
      <c r="D596" s="8" t="inlineStr">
        <is>
          <t>SPESIFIEKE ASPEKTE VAN DIE VERWERKING VAN INLIGTING WAAROP DIE OUDIT MOET</t>
        </is>
      </c>
      <c r="E596" t="inlineStr">
        <is>
          <t>75–89</t>
        </is>
      </c>
      <c r="F596" t="inlineStr">
        <is>
          <t>Other</t>
        </is>
      </c>
      <c r="G596" t="inlineStr">
        <is>
          <t>None</t>
        </is>
      </c>
      <c r="H596" t="inlineStr">
        <is>
          <t>High (explicit)</t>
        </is>
      </c>
      <c r="I596" s="8" t="inlineStr"/>
      <c r="J596" s="8" t="inlineStr"/>
      <c r="K596" t="inlineStr"/>
      <c r="L596" s="8" t="inlineStr">
        <is>
          <t>Section 5 outlines specific aspects of information processing that the auditor must review.</t>
        </is>
      </c>
      <c r="M596" s="8" t="inlineStr"/>
      <c r="N596" s="8" t="inlineStr"/>
      <c r="O596" s="8" t="inlineStr">
        <is>
          <t>5. SPESIFIEKE ASPEKTE VAN DIE VERWERKING VAN INLIGTING WAAROP DIE OUDIT MOET INGAAN</t>
        </is>
      </c>
    </row>
    <row r="597">
      <c r="A597" t="inlineStr">
        <is>
          <t>South Africa</t>
        </is>
      </c>
      <c r="B597" t="inlineStr">
        <is>
          <t>POPIA_Regulations_-_Dec_2018</t>
        </is>
      </c>
      <c r="C597" t="inlineStr">
        <is>
          <t>6</t>
        </is>
      </c>
      <c r="D597" s="8" t="inlineStr">
        <is>
          <t>A responsible party who wishes to process personal information of a data subject</t>
        </is>
      </c>
      <c r="E597" t="inlineStr">
        <is>
          <t>4</t>
        </is>
      </c>
      <c r="F597" t="inlineStr">
        <is>
          <t>Consent</t>
        </is>
      </c>
      <c r="G597" t="inlineStr">
        <is>
          <t>None</t>
        </is>
      </c>
      <c r="H597" t="inlineStr">
        <is>
          <t>High (explicit)</t>
        </is>
      </c>
      <c r="I597" s="8" t="inlineStr">
        <is>
          <t>Consent</t>
        </is>
      </c>
      <c r="J597" s="8" t="inlineStr">
        <is>
          <t>Personal Information</t>
        </is>
      </c>
      <c r="K597" t="inlineStr"/>
      <c r="L597" s="8" t="inlineStr">
        <is>
          <t>Responsible parties must obtain written consent for direct marketing via electronic communication using Form 4.</t>
        </is>
      </c>
      <c r="M597" s="8" t="inlineStr">
        <is>
          <t>Responsible parties must obtain written consent for direct marketing via Form 4.</t>
        </is>
      </c>
      <c r="N597" s="8" t="inlineStr">
        <is>
          <t>[Must] A responsible party who wishes to process personal information of a data subject for the purpose of direct marketing by electronic communication must in terms of section 69(2) of the Act submit a request for written consent to that data subject on Form 4</t>
        </is>
      </c>
      <c r="O597" s="8" t="inlineStr">
        <is>
          <t>A responsible party who wishes to process personal information of a data subject for the purpose of direct marketing by electronic communication must in terms of section 69(2) of the Act submit a request for written consent to that data subject on Form 4.</t>
        </is>
      </c>
    </row>
    <row r="598">
      <c r="A598" t="inlineStr">
        <is>
          <t>South Africa</t>
        </is>
      </c>
      <c r="B598" t="inlineStr">
        <is>
          <t>POPIA_Regulations_-_Dec_2018</t>
        </is>
      </c>
      <c r="C598" t="inlineStr">
        <is>
          <t>6</t>
        </is>
      </c>
      <c r="D598" s="8" t="inlineStr">
        <is>
          <t>PERIOD</t>
        </is>
      </c>
      <c r="E598" t="inlineStr">
        <is>
          <t>30</t>
        </is>
      </c>
      <c r="F598" t="inlineStr">
        <is>
          <t>Other</t>
        </is>
      </c>
      <c r="G598" t="inlineStr">
        <is>
          <t>Unknown</t>
        </is>
      </c>
      <c r="H598" t="inlineStr">
        <is>
          <t>Low</t>
        </is>
      </c>
      <c r="I598" s="8" t="inlineStr"/>
      <c r="J598" s="8" t="inlineStr"/>
      <c r="K598" t="inlineStr"/>
      <c r="L598" s="8" t="inlineStr"/>
      <c r="M598" s="8" t="inlineStr"/>
      <c r="N598" s="8" t="inlineStr"/>
      <c r="O598" s="8" t="inlineStr"/>
    </row>
    <row r="599">
      <c r="A599" t="inlineStr">
        <is>
          <t>South Africa</t>
        </is>
      </c>
      <c r="B599" t="inlineStr">
        <is>
          <t>POPIA_Regulations_-_Dec_2018</t>
        </is>
      </c>
      <c r="C599" t="inlineStr">
        <is>
          <t>6</t>
        </is>
      </c>
      <c r="D599" s="8" t="inlineStr">
        <is>
          <t>„n Verantwoordelike party wat die persoonlike inligting van ‟n datasubjek wil</t>
        </is>
      </c>
      <c r="E599" t="inlineStr">
        <is>
          <t>48</t>
        </is>
      </c>
      <c r="F599" t="inlineStr">
        <is>
          <t>Data Subject Rights</t>
        </is>
      </c>
      <c r="G599" t="inlineStr">
        <is>
          <t>Low</t>
        </is>
      </c>
      <c r="H599" t="inlineStr">
        <is>
          <t>High (explicit)</t>
        </is>
      </c>
      <c r="I599" s="8" t="inlineStr">
        <is>
          <t>Consent</t>
        </is>
      </c>
      <c r="J599" s="8" t="inlineStr">
        <is>
          <t>Personal Information</t>
        </is>
      </c>
      <c r="K599" t="inlineStr">
        <is>
          <t>Responsible party</t>
        </is>
      </c>
      <c r="L599" s="8" t="inlineStr">
        <is>
          <t>Responsible parties must obtain written consent from data subjects for direct marketing via electronic communication under Article 69(2) of the Act.</t>
        </is>
      </c>
      <c r="M599" s="8" t="inlineStr">
        <is>
          <t>Responsible parties must obtain written consent for direct marketing via Form 4; data subjects must provide consent for electronic communication.</t>
        </is>
      </c>
      <c r="N599" s="8" t="inlineStr">
        <is>
          <t>[Must] Responsible party must obtain written consent from data subject for direct marketing via electronic communication under Article 69(2) of the Act</t>
        </is>
      </c>
      <c r="O599" s="8" t="inlineStr">
        <is>
          <t>„n Verantwoordelike party wat die persoonlike inligting van ‟n datasubjek wil verwerk met die oog op regstreekse bemarking deur elektroniese kommunikasie moet ingevolge artikel 69(2) van die Wet ‟n versoek om skriftelike toestemming op Vorm 4 aan daardie datasubjek voorlê.</t>
        </is>
      </c>
    </row>
    <row r="600">
      <c r="A600" t="inlineStr">
        <is>
          <t>South Africa</t>
        </is>
      </c>
      <c r="B600" t="inlineStr">
        <is>
          <t>POPIA_Regulations_-_Dec_2018</t>
        </is>
      </c>
      <c r="C600" t="inlineStr">
        <is>
          <t>6</t>
        </is>
      </c>
      <c r="D600" s="8" t="inlineStr">
        <is>
          <t>TYDPERK</t>
        </is>
      </c>
      <c r="E600" t="inlineStr">
        <is>
          <t>74</t>
        </is>
      </c>
      <c r="F600" t="inlineStr">
        <is>
          <t>Other</t>
        </is>
      </c>
      <c r="G600" t="inlineStr">
        <is>
          <t>None</t>
        </is>
      </c>
      <c r="H600" t="inlineStr">
        <is>
          <t>High (explicit)</t>
        </is>
      </c>
      <c r="I600" s="8" t="inlineStr"/>
      <c r="J600" s="8" t="inlineStr">
        <is>
          <t>Personal Information</t>
        </is>
      </c>
      <c r="K600" t="inlineStr"/>
      <c r="L600" s="8" t="inlineStr">
        <is>
          <t>Time period for the audit request.</t>
        </is>
      </c>
      <c r="M600" s="8" t="inlineStr">
        <is>
          <t>Time period for the audit request.</t>
        </is>
      </c>
      <c r="N600" s="8" t="inlineStr">
        <is>
          <t>[Must] State the date when the audit request became known.
[Must] Explain the reason for the delay in requesting the audit (if any).</t>
        </is>
      </c>
      <c r="O600" s="8" t="inlineStr">
        <is>
          <t>6. TYDPERK Ek het die eerste keer op die ......... dag van .......... 20..... daarvan bewus geword dat die verwerking van inligting geoudit moet word</t>
        </is>
      </c>
    </row>
    <row r="601">
      <c r="A601" t="inlineStr">
        <is>
          <t>South Africa</t>
        </is>
      </c>
      <c r="B601" t="inlineStr">
        <is>
          <t>POPIA_Regulations_-_Dec_2018</t>
        </is>
      </c>
      <c r="C601" t="inlineStr">
        <is>
          <t>7</t>
        </is>
      </c>
      <c r="D601" s="8" t="inlineStr">
        <is>
          <t>(1)</t>
        </is>
      </c>
      <c r="E601" t="inlineStr">
        <is>
          <t>4</t>
        </is>
      </c>
      <c r="F601" t="inlineStr">
        <is>
          <t>Incident Reporting</t>
        </is>
      </c>
      <c r="G601" t="inlineStr">
        <is>
          <t>None</t>
        </is>
      </c>
      <c r="H601" t="inlineStr">
        <is>
          <t>High (explicit)</t>
        </is>
      </c>
      <c r="I601" s="8" t="inlineStr">
        <is>
          <t>Incident Reporting</t>
        </is>
      </c>
      <c r="J601" s="8" t="inlineStr">
        <is>
          <t>Personal Information</t>
        </is>
      </c>
      <c r="K601" t="inlineStr"/>
      <c r="L601" s="8" t="inlineStr">
        <is>
          <t>Complaints must be submitted to the Regulator on Form 5 for investigation under section 74 of the Act.</t>
        </is>
      </c>
      <c r="M601" s="8" t="inlineStr">
        <is>
          <t>Complaints must be submitted to the Regulator on Form 5; Regulator handles complaints via Form 5.</t>
        </is>
      </c>
      <c r="N601"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01"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602">
      <c r="A602" t="inlineStr">
        <is>
          <t>South Africa</t>
        </is>
      </c>
      <c r="B602" t="inlineStr">
        <is>
          <t>POPIA_Regulations_-_Dec_2018</t>
        </is>
      </c>
      <c r="C602" t="inlineStr">
        <is>
          <t>7</t>
        </is>
      </c>
      <c r="D602" s="8" t="inlineStr">
        <is>
          <t>DATA SUBJECT PARTICIPATION:</t>
        </is>
      </c>
      <c r="E602" t="inlineStr">
        <is>
          <t>30</t>
        </is>
      </c>
      <c r="F602" t="inlineStr">
        <is>
          <t>Data Subject Rights</t>
        </is>
      </c>
      <c r="G602" t="inlineStr">
        <is>
          <t>Low</t>
        </is>
      </c>
      <c r="H602" t="inlineStr">
        <is>
          <t>High (explicit)</t>
        </is>
      </c>
      <c r="I602" s="8" t="inlineStr"/>
      <c r="J602" s="8" t="inlineStr">
        <is>
          <t>Personal Information</t>
        </is>
      </c>
      <c r="K602" t="inlineStr"/>
      <c r="L602" s="8" t="inlineStr">
        <is>
          <t>Data subject has right to access and correct personal information held by responsible party as per POPIA sections 23 and 24.</t>
        </is>
      </c>
      <c r="M602" s="8" t="inlineStr">
        <is>
          <t>Data subject rights require access and correction of personal information under POPIA sections 23 and 24.</t>
        </is>
      </c>
      <c r="N602" s="8" t="inlineStr">
        <is>
          <t>[Must] Data subject has right to access personal information held by responsible party in terms of section 23 of POPIA
[Must] Data subject has right to request correction of personal information held by responsible party in terms of section 24 of POPIA</t>
        </is>
      </c>
      <c r="O602" s="8" t="inlineStr">
        <is>
          <t>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t>
        </is>
      </c>
    </row>
    <row r="603">
      <c r="A603" t="inlineStr">
        <is>
          <t>South Africa</t>
        </is>
      </c>
      <c r="B603" t="inlineStr">
        <is>
          <t>POPIA_Regulations_-_Dec_2018</t>
        </is>
      </c>
      <c r="C603" t="inlineStr">
        <is>
          <t>7</t>
        </is>
      </c>
      <c r="D603" s="8" t="inlineStr">
        <is>
          <t>(1)</t>
        </is>
      </c>
      <c r="E603" t="inlineStr">
        <is>
          <t>48</t>
        </is>
      </c>
      <c r="F603" t="inlineStr">
        <is>
          <t>Other</t>
        </is>
      </c>
      <c r="G603" t="inlineStr">
        <is>
          <t>Low</t>
        </is>
      </c>
      <c r="H603" t="inlineStr">
        <is>
          <t>High (explicit)</t>
        </is>
      </c>
      <c r="I603" s="8" t="inlineStr"/>
      <c r="J603" s="8" t="inlineStr">
        <is>
          <t>Personal Information</t>
        </is>
      </c>
      <c r="K603" t="inlineStr">
        <is>
          <t>Regulator</t>
        </is>
      </c>
      <c r="L603" s="8" t="inlineStr">
        <is>
          <t>Complaints must be submitted to the regulator in the form of Form 5.</t>
        </is>
      </c>
      <c r="M603" s="8" t="inlineStr">
        <is>
          <t>Complaints must be filed with the regulator using Form 5; regulator must process complaints.</t>
        </is>
      </c>
      <c r="N603" s="8" t="inlineStr">
        <is>
          <t>[Must] Complainant must submit complaint to regulator on Form 5</t>
        </is>
      </c>
      <c r="O603" s="8" t="inlineStr">
        <is>
          <t>Enigiemand wat ‟n klagte in artikel 74(1) van die Wet bedoel, wil voorlê, moet sodanige klagte op Deel I van Vorm 5 aan die Reguleerder voorlê.</t>
        </is>
      </c>
    </row>
    <row r="604">
      <c r="A604" t="inlineStr">
        <is>
          <t>South Africa</t>
        </is>
      </c>
      <c r="B604" t="inlineStr">
        <is>
          <t>POPIA_Regulations_-_Dec_2018</t>
        </is>
      </c>
      <c r="C604" t="inlineStr">
        <is>
          <t>7</t>
        </is>
      </c>
      <c r="D604" s="8" t="inlineStr">
        <is>
          <t>DATASUBJEK DEELNAME:</t>
        </is>
      </c>
      <c r="E604" t="inlineStr">
        <is>
          <t>74</t>
        </is>
      </c>
      <c r="F604" t="inlineStr">
        <is>
          <t>Other</t>
        </is>
      </c>
      <c r="G604" t="inlineStr">
        <is>
          <t>None</t>
        </is>
      </c>
      <c r="H604" t="inlineStr">
        <is>
          <t>High (explicit)</t>
        </is>
      </c>
      <c r="I604" s="8" t="inlineStr">
        <is>
          <t>Data Sharing, Data Storage</t>
        </is>
      </c>
      <c r="J604" s="8" t="inlineStr">
        <is>
          <t>Personal Information</t>
        </is>
      </c>
      <c r="K604" t="inlineStr"/>
      <c r="L604" s="8" t="inlineStr">
        <is>
          <t>Data subject's participation in the audit request.</t>
        </is>
      </c>
      <c r="M604" s="8" t="inlineStr">
        <is>
          <t>Data subject's participation in the audit request.</t>
        </is>
      </c>
      <c r="N604" s="8" t="inlineStr">
        <is>
          <t>[Must] Indicate whether the data subject has the right to access personal information.
[Must] Indicate whether the data subject has the right to correct personal information.</t>
        </is>
      </c>
      <c r="O604" s="8" t="inlineStr">
        <is>
          <t>7. DATASUBJEK DEELNAME: Het die versoeker: Die reg op toegang tot die persoonlike inligting wat die verantwoordelike party ingevolge artikel 23 van die Wet op Beskerming van Persoonlike Inligting, 2013, hou</t>
        </is>
      </c>
    </row>
    <row r="605">
      <c r="A605" t="inlineStr">
        <is>
          <t>South Africa</t>
        </is>
      </c>
      <c r="B605" t="inlineStr">
        <is>
          <t>POPIA_Regulations_-_Dec_2018</t>
        </is>
      </c>
      <c r="C605" t="inlineStr">
        <is>
          <t>8</t>
        </is>
      </c>
      <c r="D605" s="8" t="inlineStr">
        <is>
          <t>(1)</t>
        </is>
      </c>
      <c r="E605" t="inlineStr">
        <is>
          <t>4–5</t>
        </is>
      </c>
      <c r="F605" t="inlineStr">
        <is>
          <t>Incident Reporting</t>
        </is>
      </c>
      <c r="G605" t="inlineStr">
        <is>
          <t>None</t>
        </is>
      </c>
      <c r="H605" t="inlineStr">
        <is>
          <t>High (explicit)</t>
        </is>
      </c>
      <c r="I605" s="8" t="inlineStr">
        <is>
          <t>Incident Reporting</t>
        </is>
      </c>
      <c r="J605" s="8" t="inlineStr">
        <is>
          <t>Personal Information</t>
        </is>
      </c>
      <c r="K605" t="inlineStr"/>
      <c r="L605" s="8" t="inlineStr">
        <is>
          <t>Regulator must inform data subjects and responsible parties of conciliation meetings and issues during complaint investigations.</t>
        </is>
      </c>
      <c r="M605" s="8" t="inlineStr">
        <is>
          <t>Regulator must inform data subjects and responsible parties of conciliation meetings and issues during investigations.</t>
        </is>
      </c>
      <c r="N605" s="8" t="inlineStr">
        <is>
          <t>[Must]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t>
        </is>
      </c>
      <c r="O605" s="8" t="inlineStr">
        <is>
          <t>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t>
        </is>
      </c>
    </row>
    <row r="606">
      <c r="A606" t="inlineStr">
        <is>
          <t>South Africa</t>
        </is>
      </c>
      <c r="B606" t="inlineStr">
        <is>
          <t>POPIA_Regulations_-_Dec_2018</t>
        </is>
      </c>
      <c r="C606" t="inlineStr">
        <is>
          <t>8</t>
        </is>
      </c>
      <c r="D606" s="8" t="inlineStr">
        <is>
          <t>(1)</t>
        </is>
      </c>
      <c r="E606" t="inlineStr">
        <is>
          <t>48–49</t>
        </is>
      </c>
      <c r="F606" t="inlineStr">
        <is>
          <t>Other</t>
        </is>
      </c>
      <c r="G606" t="inlineStr">
        <is>
          <t>Low</t>
        </is>
      </c>
      <c r="H606" t="inlineStr">
        <is>
          <t>High (explicit)</t>
        </is>
      </c>
      <c r="I606" s="8" t="inlineStr"/>
      <c r="J606" s="8" t="inlineStr">
        <is>
          <t>Personal Information</t>
        </is>
      </c>
      <c r="K606" t="inlineStr">
        <is>
          <t>Regulator</t>
        </is>
      </c>
      <c r="L606" s="8" t="inlineStr">
        <is>
          <t>Regulator may act as mediator during complaint investigations.</t>
        </is>
      </c>
      <c r="M606" s="8" t="inlineStr">
        <is>
          <t>Regulator may act as mediator during complaint investigations; must inform parties of mediation proceedings.</t>
        </is>
      </c>
      <c r="N606" s="8" t="inlineStr">
        <is>
          <t>[May] Regulator may act as mediator during complaint investigations
[Must] Regulator must inform data subject and responsible party of mediation proceedings</t>
        </is>
      </c>
      <c r="O606" s="8" t="inlineStr">
        <is>
          <t>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t>
        </is>
      </c>
    </row>
    <row r="607">
      <c r="A607" t="inlineStr">
        <is>
          <t>South Africa</t>
        </is>
      </c>
      <c r="B607" t="inlineStr">
        <is>
          <t>POPIA_Regulations_-_Dec_2018</t>
        </is>
      </c>
      <c r="C607" t="inlineStr">
        <is>
          <t>9</t>
        </is>
      </c>
      <c r="D607" s="8" t="inlineStr">
        <is>
          <t>(1) If the Regulator intends to investigate any matter contemplated in Chapter 10</t>
        </is>
      </c>
      <c r="E607" t="inlineStr">
        <is>
          <t>5–6</t>
        </is>
      </c>
      <c r="F607" t="inlineStr">
        <is>
          <t>Incident Reporting</t>
        </is>
      </c>
      <c r="G607" t="inlineStr">
        <is>
          <t>None</t>
        </is>
      </c>
      <c r="H607" t="inlineStr">
        <is>
          <t>High (explicit)</t>
        </is>
      </c>
      <c r="I607" s="8" t="inlineStr">
        <is>
          <t>Incident Reporting</t>
        </is>
      </c>
      <c r="J607" s="8" t="inlineStr">
        <is>
          <t>Personal Information</t>
        </is>
      </c>
      <c r="K607" t="inlineStr"/>
      <c r="L607" s="8" t="inlineStr">
        <is>
          <t>Regulator must handle complaints through Form 5 for investigation under section 74 of the Act.</t>
        </is>
      </c>
      <c r="M607" s="8" t="inlineStr">
        <is>
          <t>Complaints must be submitted to the Regulator on Form 5; Regulator handles complaints via Form 5.</t>
        </is>
      </c>
      <c r="N607"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07"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608">
      <c r="A608" t="inlineStr">
        <is>
          <t>South Africa</t>
        </is>
      </c>
      <c r="B608" t="inlineStr">
        <is>
          <t>POPIA_Regulations_-_Dec_2018</t>
        </is>
      </c>
      <c r="C608" t="inlineStr">
        <is>
          <t>9</t>
        </is>
      </c>
      <c r="D608" s="8" t="inlineStr">
        <is>
          <t>(1)</t>
        </is>
      </c>
      <c r="E608" t="inlineStr">
        <is>
          <t>49–50</t>
        </is>
      </c>
      <c r="F608" t="inlineStr">
        <is>
          <t>Other</t>
        </is>
      </c>
      <c r="G608" t="inlineStr">
        <is>
          <t>Low</t>
        </is>
      </c>
      <c r="H608" t="inlineStr">
        <is>
          <t>High (explicit)</t>
        </is>
      </c>
      <c r="I608" s="8" t="inlineStr"/>
      <c r="J608" s="8" t="inlineStr">
        <is>
          <t>Personal Information</t>
        </is>
      </c>
      <c r="K608" t="inlineStr">
        <is>
          <t>Regulator</t>
        </is>
      </c>
      <c r="L608" s="8" t="inlineStr">
        <is>
          <t>Regulator must notify parties before conducting investigations.</t>
        </is>
      </c>
      <c r="M608" s="8" t="inlineStr">
        <is>
          <t>Regulator must notify parties before conducting investigations; parties must respond to notifications.</t>
        </is>
      </c>
      <c r="N608" s="8" t="inlineStr">
        <is>
          <t>[Must] Regulator must notify parties before conducting investigations
[Must] Regulator must inform responsible party of complaint or investigation subject</t>
        </is>
      </c>
      <c r="O608" s="8" t="inlineStr">
        <is>
          <t>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t>
        </is>
      </c>
    </row>
    <row r="609">
      <c r="A609" t="inlineStr">
        <is>
          <t>South Africa</t>
        </is>
      </c>
      <c r="B609" t="inlineStr">
        <is>
          <t>POPIA_Regulations_-_Dec_2018</t>
        </is>
      </c>
      <c r="C609" t="inlineStr">
        <is>
          <t>10</t>
        </is>
      </c>
      <c r="D609" s="8" t="inlineStr">
        <is>
          <t>(1) If it appears from a complaint or any written reply to the complaint under</t>
        </is>
      </c>
      <c r="E609" t="inlineStr">
        <is>
          <t>6</t>
        </is>
      </c>
      <c r="F609" t="inlineStr">
        <is>
          <t>Incident Reporting</t>
        </is>
      </c>
      <c r="G609" t="inlineStr">
        <is>
          <t>None</t>
        </is>
      </c>
      <c r="H609" t="inlineStr">
        <is>
          <t>High (explicit)</t>
        </is>
      </c>
      <c r="I609" s="8" t="inlineStr">
        <is>
          <t>Incident Reporting</t>
        </is>
      </c>
      <c r="J609" s="8" t="inlineStr">
        <is>
          <t>Personal Information</t>
        </is>
      </c>
      <c r="K609" t="inlineStr"/>
      <c r="L609" s="8" t="inlineStr">
        <is>
          <t>Regulator must issue conciliation certificates on Form 7 after conciliation meetings.</t>
        </is>
      </c>
      <c r="M609" s="8" t="inlineStr">
        <is>
          <t>Regulator must issue conciliation certificates on Form 7 after conciliation meetings.</t>
        </is>
      </c>
      <c r="N609" s="8" t="inlineStr">
        <is>
          <t>[Must] The Regulator must issue a conciliation certificate on Form 7 within a reasonable time after the date of the conclusion of the conciliation meeting</t>
        </is>
      </c>
      <c r="O609" s="8" t="inlineStr">
        <is>
          <t>The Regulator must issue a conciliation certificate on Form 7 within a reasonable time after the date of the conclusion of the conciliation meeting.</t>
        </is>
      </c>
    </row>
    <row r="610">
      <c r="A610" t="inlineStr">
        <is>
          <t>South Africa</t>
        </is>
      </c>
      <c r="B610" t="inlineStr">
        <is>
          <t>POPIA_Regulations_-_Dec_2018</t>
        </is>
      </c>
      <c r="C610" t="inlineStr">
        <is>
          <t>10</t>
        </is>
      </c>
      <c r="D610" s="8" t="inlineStr">
        <is>
          <t>(1)</t>
        </is>
      </c>
      <c r="E610" t="inlineStr">
        <is>
          <t>50–51</t>
        </is>
      </c>
      <c r="F610" t="inlineStr">
        <is>
          <t>Other</t>
        </is>
      </c>
      <c r="G610" t="inlineStr">
        <is>
          <t>Low</t>
        </is>
      </c>
      <c r="H610" t="inlineStr">
        <is>
          <t>High (explicit)</t>
        </is>
      </c>
      <c r="I610" s="8" t="inlineStr"/>
      <c r="J610" s="8" t="inlineStr">
        <is>
          <t>Personal Information</t>
        </is>
      </c>
      <c r="K610" t="inlineStr">
        <is>
          <t>Regulator</t>
        </is>
      </c>
      <c r="L610" s="8" t="inlineStr">
        <is>
          <t>Regulator may facilitate settlements between parties during complaint investigations.</t>
        </is>
      </c>
      <c r="M610" s="8" t="inlineStr">
        <is>
          <t>Regulator may facilitate settlements between parties; must issue settlement certificates.</t>
        </is>
      </c>
      <c r="N610" s="8" t="inlineStr">
        <is>
          <t>[May] Regulator may facilitate settlements between parties
[Must] Regulator must issue settlement certificate on Form 10</t>
        </is>
      </c>
      <c r="O610" s="8" t="inlineStr">
        <is>
          <t>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t>
        </is>
      </c>
    </row>
    <row r="611">
      <c r="A611" t="inlineStr">
        <is>
          <t>South Africa</t>
        </is>
      </c>
      <c r="B611" t="inlineStr">
        <is>
          <t>POPIA_Regulations_-_Dec_2018</t>
        </is>
      </c>
      <c r="C611" t="inlineStr">
        <is>
          <t>11</t>
        </is>
      </c>
      <c r="D611" s="8" t="inlineStr">
        <is>
          <t>(1)</t>
        </is>
      </c>
      <c r="E611" t="inlineStr">
        <is>
          <t>6–7</t>
        </is>
      </c>
      <c r="F611" t="inlineStr">
        <is>
          <t>Incident Reporting</t>
        </is>
      </c>
      <c r="G611" t="inlineStr">
        <is>
          <t>None</t>
        </is>
      </c>
      <c r="H611" t="inlineStr">
        <is>
          <t>High (explicit)</t>
        </is>
      </c>
      <c r="I611" s="8" t="inlineStr">
        <is>
          <t>Incident Reporting</t>
        </is>
      </c>
      <c r="J611" s="8" t="inlineStr">
        <is>
          <t>Personal Information</t>
        </is>
      </c>
      <c r="K611" t="inlineStr"/>
      <c r="L611" s="8" t="inlineStr">
        <is>
          <t>Regulator must handle complaints through Form 5 for investigation under section 74 of the Act.</t>
        </is>
      </c>
      <c r="M611" s="8" t="inlineStr">
        <is>
          <t>Complaints must be submitted to the Regulator on Form 5; Regulator handles complaints via Form 5.</t>
        </is>
      </c>
      <c r="N611"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11"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612">
      <c r="A612" t="inlineStr">
        <is>
          <t>South Africa</t>
        </is>
      </c>
      <c r="B612" t="inlineStr">
        <is>
          <t>POPIA_Regulations_-_Dec_2018</t>
        </is>
      </c>
      <c r="C612" t="inlineStr">
        <is>
          <t>11</t>
        </is>
      </c>
      <c r="D612" s="8" t="inlineStr">
        <is>
          <t>(1)</t>
        </is>
      </c>
      <c r="E612" t="inlineStr">
        <is>
          <t>51</t>
        </is>
      </c>
      <c r="F612" t="inlineStr">
        <is>
          <t>Other</t>
        </is>
      </c>
      <c r="G612" t="inlineStr">
        <is>
          <t>Low</t>
        </is>
      </c>
      <c r="H612" t="inlineStr">
        <is>
          <t>High (explicit)</t>
        </is>
      </c>
      <c r="I612" s="8" t="inlineStr"/>
      <c r="J612" s="8" t="inlineStr">
        <is>
          <t>Personal Information</t>
        </is>
      </c>
      <c r="K612" t="inlineStr">
        <is>
          <t>Regulator</t>
        </is>
      </c>
      <c r="L612" s="8" t="inlineStr">
        <is>
          <t>Regulator must conduct audits and notify parties of audit findings.</t>
        </is>
      </c>
      <c r="M612" s="8" t="inlineStr">
        <is>
          <t>Regulator must conduct audits; must notify parties of audit findings.</t>
        </is>
      </c>
      <c r="N612" s="8" t="inlineStr">
        <is>
          <t>[Must] Regulator must conduct audits
Regulator must notify parties of audit findings</t>
        </is>
      </c>
      <c r="O612" s="8" t="inlineStr">
        <is>
          <t>„n Versoek om ‟n oudit ingevolge artikel 89(1) van die Wet moet op Deel 1 van Vorm 11 aan die Reguleerder voorgelê word.</t>
        </is>
      </c>
    </row>
    <row r="613">
      <c r="A613" t="inlineStr">
        <is>
          <t>South Africa</t>
        </is>
      </c>
      <c r="B613" t="inlineStr">
        <is>
          <t>POPIA_Regulations_-_Dec_2018</t>
        </is>
      </c>
      <c r="C613" t="inlineStr">
        <is>
          <t>12</t>
        </is>
      </c>
      <c r="D613" s="8" t="inlineStr">
        <is>
          <t>(1)</t>
        </is>
      </c>
      <c r="E613" t="inlineStr">
        <is>
          <t>7–8</t>
        </is>
      </c>
      <c r="F613" t="inlineStr">
        <is>
          <t>Incident Reporting</t>
        </is>
      </c>
      <c r="G613" t="inlineStr">
        <is>
          <t>None</t>
        </is>
      </c>
      <c r="H613" t="inlineStr">
        <is>
          <t>High (explicit)</t>
        </is>
      </c>
      <c r="I613" s="8" t="inlineStr">
        <is>
          <t>Incident Reporting</t>
        </is>
      </c>
      <c r="J613" s="8" t="inlineStr">
        <is>
          <t>Personal Information</t>
        </is>
      </c>
      <c r="K613" t="inlineStr"/>
      <c r="L613" s="8" t="inlineStr">
        <is>
          <t>Regulator must handle complaints through Form 5 for investigation under section 74 of the Act.</t>
        </is>
      </c>
      <c r="M613" s="8" t="inlineStr">
        <is>
          <t>Complaints must be submitted to the Regulator on Form 5; Regulator handles complaints via Form 5.</t>
        </is>
      </c>
      <c r="N613"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13"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614">
      <c r="A614" t="inlineStr">
        <is>
          <t>South Africa</t>
        </is>
      </c>
      <c r="B614" t="inlineStr">
        <is>
          <t>POPIA_Regulations_-_Dec_2018</t>
        </is>
      </c>
      <c r="C614" t="inlineStr">
        <is>
          <t>12</t>
        </is>
      </c>
      <c r="D614" s="8" t="inlineStr">
        <is>
          <t>(1)</t>
        </is>
      </c>
      <c r="E614" t="inlineStr">
        <is>
          <t>51–52</t>
        </is>
      </c>
      <c r="F614" t="inlineStr">
        <is>
          <t>Other</t>
        </is>
      </c>
      <c r="G614" t="inlineStr">
        <is>
          <t>Low</t>
        </is>
      </c>
      <c r="H614" t="inlineStr">
        <is>
          <t>High (explicit)</t>
        </is>
      </c>
      <c r="I614" s="8" t="inlineStr"/>
      <c r="J614" s="8" t="inlineStr">
        <is>
          <t>Personal Information</t>
        </is>
      </c>
      <c r="K614" t="inlineStr">
        <is>
          <t>Regulator</t>
        </is>
      </c>
      <c r="L614" s="8" t="inlineStr">
        <is>
          <t>Regulator must inform parties of developments during investigations.</t>
        </is>
      </c>
      <c r="M614" s="8" t="inlineStr">
        <is>
          <t>Regulator must inform parties of developments during investigations; must notify parties of investigation outcomes.</t>
        </is>
      </c>
      <c r="N614" s="8" t="inlineStr">
        <is>
          <t>[Must] Regulator must inform parties of developments during investigations
[Must] Regulator must notify parties of investigation outcomes</t>
        </is>
      </c>
      <c r="O614" s="8" t="inlineStr">
        <is>
          <t>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t>
        </is>
      </c>
    </row>
    <row r="615">
      <c r="A615" t="inlineStr">
        <is>
          <t>South Africa</t>
        </is>
      </c>
      <c r="B615" t="inlineStr">
        <is>
          <t>POPIA_Regulations_-_Dec_2018</t>
        </is>
      </c>
      <c r="C615" t="inlineStr">
        <is>
          <t>13</t>
        </is>
      </c>
      <c r="D615" s="8" t="inlineStr">
        <is>
          <t>These Regulations shall be called the Regulations relating to the Protection of</t>
        </is>
      </c>
      <c r="E615" t="inlineStr">
        <is>
          <t>8–9</t>
        </is>
      </c>
      <c r="F615" t="inlineStr">
        <is>
          <t>Other</t>
        </is>
      </c>
      <c r="G615" t="inlineStr">
        <is>
          <t>Unknown</t>
        </is>
      </c>
      <c r="H615" t="inlineStr">
        <is>
          <t>Low</t>
        </is>
      </c>
      <c r="I615" s="8" t="inlineStr"/>
      <c r="J615" s="8" t="inlineStr"/>
      <c r="K615" t="inlineStr"/>
      <c r="L615" s="8" t="inlineStr"/>
      <c r="M615" s="8" t="inlineStr"/>
      <c r="N615" s="8" t="inlineStr"/>
      <c r="O615" s="8" t="inlineStr"/>
    </row>
    <row r="616">
      <c r="A616" t="inlineStr">
        <is>
          <t>South Africa</t>
        </is>
      </c>
      <c r="B616" t="inlineStr">
        <is>
          <t>POPIA_Regulations_-_Dec_2018</t>
        </is>
      </c>
      <c r="C616" t="inlineStr">
        <is>
          <t>13</t>
        </is>
      </c>
      <c r="D616" s="8" t="inlineStr">
        <is>
          <t>Hierdie Regulasies heet die Regulasies op die Beskerming van Persoonlike Inligting</t>
        </is>
      </c>
      <c r="E616" t="inlineStr">
        <is>
          <t>52–53</t>
        </is>
      </c>
      <c r="F616" t="inlineStr">
        <is>
          <t>Other</t>
        </is>
      </c>
      <c r="G616" t="inlineStr">
        <is>
          <t>Low</t>
        </is>
      </c>
      <c r="H616" t="inlineStr">
        <is>
          <t>High (explicit)</t>
        </is>
      </c>
      <c r="I616" s="8" t="inlineStr"/>
      <c r="J616" s="8" t="inlineStr">
        <is>
          <t>Personal Information</t>
        </is>
      </c>
      <c r="K616" t="inlineStr"/>
      <c r="L616" s="8" t="inlineStr">
        <is>
          <t>Regulations are titled 'Regulations on the Protection of Personal Information' and come into effect upon publication.</t>
        </is>
      </c>
      <c r="M616" s="8" t="inlineStr">
        <is>
          <t>Regulations are titled 'Regulations on the Protection of Personal Information' and come into effect upon publication.</t>
        </is>
      </c>
      <c r="N616" s="8" t="inlineStr"/>
      <c r="O616" s="8" t="inlineStr">
        <is>
          <t>Hierdie Regulasies heet die Regulasies op die Beskerming van Persoonlike Inligting en tree in werking op ‟n datum deur die Reguleerder by proklamasie in die Staatskoerant vasgestel.</t>
        </is>
      </c>
    </row>
    <row r="617">
      <c r="A617" t="inlineStr">
        <is>
          <t>South Africa</t>
        </is>
      </c>
      <c r="B617" t="inlineStr">
        <is>
          <t>South Africa National Cybersecurity Policy Framework (NCPF) 2015</t>
        </is>
      </c>
      <c r="C617" t="inlineStr">
        <is>
          <t>1</t>
        </is>
      </c>
      <c r="D617" s="8" t="inlineStr">
        <is>
          <t>1 . Introduction</t>
        </is>
      </c>
      <c r="E617" t="inlineStr">
        <is>
          <t>10–12</t>
        </is>
      </c>
      <c r="F617" t="inlineStr">
        <is>
          <t>Other</t>
        </is>
      </c>
      <c r="G617" t="inlineStr">
        <is>
          <t>Low</t>
        </is>
      </c>
      <c r="H617" t="inlineStr">
        <is>
          <t>High (explicit)</t>
        </is>
      </c>
      <c r="I617" s="8" t="inlineStr"/>
      <c r="J617" s="8" t="inlineStr"/>
      <c r="K617" t="inlineStr"/>
      <c r="L617" s="8" t="inlineStr">
        <is>
          <t>Introduces South Africa's National Cybersecurity Policy Framework (NCPF) as part of government's outcome-based priorities to enhance safety through cybersecurity measures, recognizing cyber threats' personal, national, and international dimensions.</t>
        </is>
      </c>
      <c r="M617" s="8" t="inlineStr"/>
      <c r="N617" s="8" t="inlineStr"/>
      <c r="O617" s="8" t="inlineStr">
        <is>
          <t>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t>
        </is>
      </c>
    </row>
    <row r="618">
      <c r="A618" t="inlineStr">
        <is>
          <t>South Africa</t>
        </is>
      </c>
      <c r="B618" t="inlineStr">
        <is>
          <t>South Africa National Cybersecurity Policy Framework (NCPF) 2015</t>
        </is>
      </c>
      <c r="C618" t="inlineStr">
        <is>
          <t>2</t>
        </is>
      </c>
      <c r="D618" s="8" t="inlineStr">
        <is>
          <t>have the potential to impact on our national security and economy.</t>
        </is>
      </c>
      <c r="E618" t="inlineStr">
        <is>
          <t>12–14</t>
        </is>
      </c>
      <c r="F618" t="inlineStr">
        <is>
          <t>Other</t>
        </is>
      </c>
      <c r="G618" t="inlineStr">
        <is>
          <t>Low</t>
        </is>
      </c>
      <c r="H618" t="inlineStr">
        <is>
          <t>High (explicit)</t>
        </is>
      </c>
      <c r="I618" s="8" t="inlineStr"/>
      <c r="J618" s="8" t="inlineStr"/>
      <c r="K618" t="inlineStr"/>
      <c r="L618" s="8" t="inlineStr">
        <is>
          <t>Highlights South Africa's vulnerability to cybercrime, noting phishing and e-crime incidents targeting the country, with the banking sector being especially vulnerable.</t>
        </is>
      </c>
      <c r="M618" s="8" t="inlineStr"/>
      <c r="N618" s="8" t="inlineStr"/>
      <c r="O618" s="8" t="inlineStr">
        <is>
          <t>2.4 Statistics in 2011 indicate that South Africa was in the top three countries that are targeted for phishing purposes, the other countries are the USA and the UK.</t>
        </is>
      </c>
    </row>
    <row r="619">
      <c r="A619" t="inlineStr">
        <is>
          <t>South Africa</t>
        </is>
      </c>
      <c r="B619" t="inlineStr">
        <is>
          <t>South Africa National Cybersecurity Policy Framework (NCPF) 2015</t>
        </is>
      </c>
      <c r="C619" t="inlineStr">
        <is>
          <t>3</t>
        </is>
      </c>
      <c r="D619" s="8" t="inlineStr">
        <is>
          <t>freedom of expression.</t>
        </is>
      </c>
      <c r="E619" t="inlineStr">
        <is>
          <t>14–15</t>
        </is>
      </c>
      <c r="F619" t="inlineStr">
        <is>
          <t>Other</t>
        </is>
      </c>
      <c r="G619" t="inlineStr">
        <is>
          <t>Low</t>
        </is>
      </c>
      <c r="H619" t="inlineStr">
        <is>
          <t>High (explicit)</t>
        </is>
      </c>
      <c r="I619" s="8" t="inlineStr"/>
      <c r="J619" s="8" t="inlineStr"/>
      <c r="K619" t="inlineStr"/>
      <c r="L619" s="8" t="inlineStr">
        <is>
          <t>Outlines the purpose of the NCPF to create a secure cyberspace that protects critical information infrastructure while strengthening shared human values and understanding of cybersecurity.</t>
        </is>
      </c>
      <c r="M619" s="8" t="inlineStr"/>
      <c r="N619" s="8" t="inlineStr"/>
      <c r="O619" s="8" t="inlineStr">
        <is>
          <t>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row>
    <row r="620">
      <c r="A620" t="inlineStr">
        <is>
          <t>South Africa</t>
        </is>
      </c>
      <c r="B620" t="inlineStr">
        <is>
          <t>South Africa National Cybersecurity Policy Framework (NCPF) 2015</t>
        </is>
      </c>
      <c r="C620" t="inlineStr">
        <is>
          <t>4</t>
        </is>
      </c>
      <c r="D620" s="8" t="inlineStr">
        <is>
          <t>Key Objectives of the NCPF</t>
        </is>
      </c>
      <c r="E620" t="inlineStr">
        <is>
          <t>15</t>
        </is>
      </c>
      <c r="F620" t="inlineStr">
        <is>
          <t>Other</t>
        </is>
      </c>
      <c r="G620" t="inlineStr">
        <is>
          <t>Low</t>
        </is>
      </c>
      <c r="H620" t="inlineStr">
        <is>
          <t>High (explicit)</t>
        </is>
      </c>
      <c r="I620" s="8" t="inlineStr"/>
      <c r="J620" s="8" t="inlineStr"/>
      <c r="K620" t="inlineStr"/>
      <c r="L620" s="8" t="inlineStr">
        <is>
          <t>Sets strategic priorities for the NCPF, including centralizing cybersecurity coordination, fostering public-private cooperation, promoting international collaboration, and developing cybersecurity skills.</t>
        </is>
      </c>
      <c r="M620" s="8" t="inlineStr"/>
      <c r="N620" s="8" t="inlineStr"/>
      <c r="O620" s="8" t="inlineStr">
        <is>
          <t>4.1 The NCPF articulates the overall aim and objectives of the South African Government and sets out strategic priorities that will be pursued to achieve these objectives.</t>
        </is>
      </c>
    </row>
    <row r="621">
      <c r="A621" t="inlineStr">
        <is>
          <t>South Africa</t>
        </is>
      </c>
      <c r="B621" t="inlineStr">
        <is>
          <t>South Africa National Cybersecurity Policy Framework (NCPF) 2015</t>
        </is>
      </c>
      <c r="C621" t="inlineStr">
        <is>
          <t>5</t>
        </is>
      </c>
      <c r="D621" s="8" t="inlineStr">
        <is>
          <t>Capacity to Respond to Cybersecurity Imperatives</t>
        </is>
      </c>
      <c r="E621" t="inlineStr">
        <is>
          <t>15–18</t>
        </is>
      </c>
      <c r="F621" t="inlineStr">
        <is>
          <t>Other</t>
        </is>
      </c>
      <c r="G621" t="inlineStr">
        <is>
          <t>Low</t>
        </is>
      </c>
      <c r="H621" t="inlineStr">
        <is>
          <t>High (explicit)</t>
        </is>
      </c>
      <c r="I621" s="8" t="inlineStr"/>
      <c r="J621" s="8" t="inlineStr"/>
      <c r="K621" t="inlineStr"/>
      <c r="L621" s="8" t="inlineStr">
        <is>
          <t>Establishes a Cybersecurity Response Committee to oversee implementation, coordinate cybersecurity activities, and ensure protection of national critical information infrastructure.</t>
        </is>
      </c>
      <c r="M621" s="8" t="inlineStr"/>
      <c r="N621" s="8" t="inlineStr"/>
      <c r="O621" s="8" t="inlineStr">
        <is>
          <t>5.2 A dedicated JCPS Committee will be established within the JCPS Cluster to coordinate Cybersecurity activities, drive the implementation of the NCPF and manage the implementation of Output 8.</t>
        </is>
      </c>
    </row>
    <row r="622">
      <c r="A622" t="inlineStr">
        <is>
          <t>South Africa</t>
        </is>
      </c>
      <c r="B622" t="inlineStr">
        <is>
          <t>South Africa National Cybersecurity Policy Framework (NCPF) 2015</t>
        </is>
      </c>
      <c r="C622" t="inlineStr">
        <is>
          <t>6</t>
        </is>
      </c>
      <c r="D622" s="8" t="inlineStr"/>
      <c r="E622" t="inlineStr">
        <is>
          <t>18–19</t>
        </is>
      </c>
      <c r="F622" t="inlineStr">
        <is>
          <t>Other</t>
        </is>
      </c>
      <c r="G622" t="inlineStr">
        <is>
          <t>Low</t>
        </is>
      </c>
      <c r="H622" t="inlineStr">
        <is>
          <t>High (explicit)</t>
        </is>
      </c>
      <c r="I622" s="8" t="inlineStr"/>
      <c r="J622" s="8" t="inlineStr"/>
      <c r="K622" t="inlineStr">
        <is>
          <t>Department of Telecommunications and Postal Services (DOC)</t>
        </is>
      </c>
      <c r="L622" s="8" t="inlineStr">
        <is>
          <t>Establishes Cybersecurity Hub within DOC to coordinate consultation between public sector, private sector, and civil society on cybersecurity matters.</t>
        </is>
      </c>
      <c r="M622" s="8" t="inlineStr"/>
      <c r="N622" s="8" t="inlineStr">
        <is>
          <t>[Must]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t>
        </is>
      </c>
      <c r="O622" s="8" t="inlineStr">
        <is>
          <t>The Cybersecurity Hub will be operated within the DOC in accordance with national security guidelines and standards issued by the JCPS Cybersecurity Response Committee.</t>
        </is>
      </c>
    </row>
    <row r="623">
      <c r="A623" t="inlineStr">
        <is>
          <t>South Africa</t>
        </is>
      </c>
      <c r="B623" t="inlineStr">
        <is>
          <t>South Africa National Cybersecurity Policy Framework (NCPF) 2015</t>
        </is>
      </c>
      <c r="C623" t="inlineStr">
        <is>
          <t>7</t>
        </is>
      </c>
      <c r="D623" s="8" t="inlineStr">
        <is>
          <t>Verification of Information Security Products and Systems</t>
        </is>
      </c>
      <c r="E623" t="inlineStr">
        <is>
          <t>19–20</t>
        </is>
      </c>
      <c r="F623" t="inlineStr">
        <is>
          <t>Other</t>
        </is>
      </c>
      <c r="G623" t="inlineStr">
        <is>
          <t>Low</t>
        </is>
      </c>
      <c r="H623" t="inlineStr">
        <is>
          <t>High (explicit)</t>
        </is>
      </c>
      <c r="I623" s="8" t="inlineStr"/>
      <c r="J623" s="8" t="inlineStr"/>
      <c r="K623" t="inlineStr"/>
      <c r="L623" s="8" t="inlineStr">
        <is>
          <t>Promotes development of National Information Security Verification Framework for assessing and certifying products/systems impacting national security.</t>
        </is>
      </c>
      <c r="M623" s="8" t="inlineStr"/>
      <c r="N623" s="8" t="inlineStr">
        <is>
          <t>[Must]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t>
        </is>
      </c>
      <c r="O623" s="8" t="inlineStr">
        <is>
          <t>The NCPF therefore promotes the facilitation by the JCPS Cybersecurity Response Committee and the National Cybersecurity Hub of the development of a National Information Security Verification Framework</t>
        </is>
      </c>
    </row>
    <row r="624">
      <c r="A624" t="inlineStr">
        <is>
          <t>South Africa</t>
        </is>
      </c>
      <c r="B624" t="inlineStr">
        <is>
          <t>South Africa National Cybersecurity Policy Framework (NCPF) 2015</t>
        </is>
      </c>
      <c r="C624" t="inlineStr">
        <is>
          <t>8</t>
        </is>
      </c>
      <c r="D624" s="8" t="inlineStr">
        <is>
          <t>NCII Protection</t>
        </is>
      </c>
      <c r="E624" t="inlineStr">
        <is>
          <t>20–21</t>
        </is>
      </c>
      <c r="F624" t="inlineStr">
        <is>
          <t>Other</t>
        </is>
      </c>
      <c r="G624" t="inlineStr">
        <is>
          <t>High</t>
        </is>
      </c>
      <c r="H624" t="inlineStr">
        <is>
          <t>High (explicit)</t>
        </is>
      </c>
      <c r="I624" s="8" t="inlineStr"/>
      <c r="J624" s="8" t="inlineStr"/>
      <c r="K624" t="inlineStr"/>
      <c r="L624" s="8" t="inlineStr">
        <is>
          <t>Requires identification and protection of National Critical Information Infrastructure (NCII) through regulations and business-government partnerships.</t>
        </is>
      </c>
      <c r="M624" s="8" t="inlineStr"/>
      <c r="N624" s="8" t="inlineStr">
        <is>
          <t>[Must]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t>
        </is>
      </c>
      <c r="O624" s="8" t="inlineStr">
        <is>
          <t>The NCPF therefore seeks to ensure that appropriate steps are taken to ascertain that all National Critical Information Infrastructure (NCII) are identified and properly protected from a variety of threats.</t>
        </is>
      </c>
    </row>
    <row r="625">
      <c r="A625" t="inlineStr">
        <is>
          <t>South Africa</t>
        </is>
      </c>
      <c r="B625" t="inlineStr">
        <is>
          <t>South Africa National Cybersecurity Policy Framework (NCPF) 2015</t>
        </is>
      </c>
      <c r="C625" t="inlineStr">
        <is>
          <t>9</t>
        </is>
      </c>
      <c r="D625" s="8" t="inlineStr">
        <is>
          <t>Cryptography</t>
        </is>
      </c>
      <c r="E625" t="inlineStr">
        <is>
          <t>21</t>
        </is>
      </c>
      <c r="F625" t="inlineStr">
        <is>
          <t>Other</t>
        </is>
      </c>
      <c r="G625" t="inlineStr">
        <is>
          <t>Low</t>
        </is>
      </c>
      <c r="H625" t="inlineStr">
        <is>
          <t>High (explicit)</t>
        </is>
      </c>
      <c r="I625" s="8" t="inlineStr"/>
      <c r="J625" s="8" t="inlineStr"/>
      <c r="K625" t="inlineStr"/>
      <c r="L625" s="8" t="inlineStr">
        <is>
          <t>Recognizes need to review existing cryptography legislation and develop an integrated regulatory framework.</t>
        </is>
      </c>
      <c r="M625" s="8" t="inlineStr"/>
      <c r="N625" s="8" t="inlineStr">
        <is>
          <t>[Must] Review the existing legislation and regulations thereof
[Must] Develop an integrated regulatory framework for Cryptography for the country</t>
        </is>
      </c>
      <c r="O625" s="8" t="inlineStr">
        <is>
          <t>The NCPF recognises that there is a need to: Review the existing legislation and regulations thereof; and Develop an integrated regulatory framework for Cryptography for the country.</t>
        </is>
      </c>
    </row>
    <row r="626">
      <c r="A626" t="inlineStr">
        <is>
          <t>South Africa</t>
        </is>
      </c>
      <c r="B626" t="inlineStr">
        <is>
          <t>South Africa National Cybersecurity Policy Framework (NCPF) 2015</t>
        </is>
      </c>
      <c r="C626" t="inlineStr">
        <is>
          <t>10</t>
        </is>
      </c>
      <c r="D626" s="8" t="inlineStr"/>
      <c r="E626" t="inlineStr">
        <is>
          <t>21–23</t>
        </is>
      </c>
      <c r="F626" t="inlineStr">
        <is>
          <t>Other</t>
        </is>
      </c>
      <c r="G626" t="inlineStr">
        <is>
          <t>High</t>
        </is>
      </c>
      <c r="H626" t="inlineStr">
        <is>
          <t>High (explicit)</t>
        </is>
      </c>
      <c r="I626" s="8" t="inlineStr"/>
      <c r="J626" s="8" t="inlineStr"/>
      <c r="K626" t="inlineStr"/>
      <c r="L626" s="8" t="inlineStr">
        <is>
          <t>Promotes development of integrated National E-identity and PKI strategy for secure e-government services.</t>
        </is>
      </c>
      <c r="M626" s="8" t="inlineStr"/>
      <c r="N626" s="8" t="inlineStr">
        <is>
          <t>[Must] Promote the development of an integrated National E-identity and PKI strategy</t>
        </is>
      </c>
      <c r="O626" s="8" t="inlineStr">
        <is>
          <t>The NCPF seeks to address the fragmented approach by promoting the development of an integrated National E-identity and PKI strategy.</t>
        </is>
      </c>
    </row>
    <row r="627">
      <c r="A627" t="inlineStr">
        <is>
          <t>South Africa</t>
        </is>
      </c>
      <c r="B627" t="inlineStr">
        <is>
          <t>South Africa National Cybersecurity Policy Framework (NCPF) 2015</t>
        </is>
      </c>
      <c r="C627" t="inlineStr">
        <is>
          <t>11</t>
        </is>
      </c>
      <c r="D627" s="8" t="inlineStr">
        <is>
          <t>1 1 . Promote and Strengthen Local and International Cooperation</t>
        </is>
      </c>
      <c r="E627" t="inlineStr">
        <is>
          <t>23–30</t>
        </is>
      </c>
      <c r="F627" t="inlineStr">
        <is>
          <t>Other</t>
        </is>
      </c>
      <c r="G627" t="inlineStr">
        <is>
          <t>Low</t>
        </is>
      </c>
      <c r="H627" t="inlineStr">
        <is>
          <t>High (explicit)</t>
        </is>
      </c>
      <c r="I627"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627" s="8" t="inlineStr">
        <is>
          <t>Personal Information, Financial Data, Customer Data, Employee Data, Health Data, Children's Data, Biometric Data, Special Personal Information</t>
        </is>
      </c>
      <c r="K627" t="inlineStr"/>
      <c r="L627" s="8" t="inlineStr">
        <is>
          <t>Promotes public-private-civil sector collaboration to enhance cybersecurity through joint knowledge, threat understanding, and trusted forums.</t>
        </is>
      </c>
      <c r="M627" s="8" t="inlineStr"/>
      <c r="N627" s="8" t="inlineStr">
        <is>
          <t>[Must] Promotes public-private-civil sector collaboration to enhance cybersecurity through joint knowledge, threat understanding, and trusted forums.</t>
        </is>
      </c>
      <c r="O627" s="8" t="inlineStr">
        <is>
          <t>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t>
        </is>
      </c>
    </row>
    <row r="628">
      <c r="A628" t="inlineStr">
        <is>
          <t>South Africa</t>
        </is>
      </c>
      <c r="B628" t="inlineStr">
        <is>
          <t>pAYMENT ACT</t>
        </is>
      </c>
      <c r="C628" t="inlineStr">
        <is>
          <t>16</t>
        </is>
      </c>
      <c r="D628" s="8" t="inlineStr">
        <is>
          <t>Short title</t>
        </is>
      </c>
      <c r="E628" t="inlineStr">
        <is>
          <t>2–16</t>
        </is>
      </c>
      <c r="F628" t="inlineStr">
        <is>
          <t>Definitions</t>
        </is>
      </c>
      <c r="G628" t="inlineStr">
        <is>
          <t>High</t>
        </is>
      </c>
      <c r="H628" t="inlineStr">
        <is>
          <t>High (explicit)</t>
        </is>
      </c>
      <c r="I628" s="8" t="inlineStr">
        <is>
          <t>Cross-border Transfer, International Processing, Data Storage, Security</t>
        </is>
      </c>
      <c r="J628" s="8" t="inlineStr">
        <is>
          <t>Financial Data, Customer Data</t>
        </is>
      </c>
      <c r="K628" t="inlineStr"/>
      <c r="L628" s="8" t="inlineStr">
        <is>
          <t>Defines key terms related to payment systems, including 'bank', 'Reserve Bank', 'clearing', 'settlement', and other payment system components.</t>
        </is>
      </c>
      <c r="M628" s="8" t="inlineStr">
        <is>
          <t>Provides definitions critical for understanding payment system operations and data flows in cross-border contexts.</t>
        </is>
      </c>
      <c r="N628" s="8" t="inlineStr">
        <is>
          <t>[Condition] In this Act, unless the context otherwise indicates-
[Definition] 'bank' means a bank as defined in section 1 of the Banks Act
[Definition] 'Banks Act' means the Banks Act, 1990 (Act 94 of 1990)
[Definition] 'branch of a foreign institution' means a branch by means of which a foreign institution conducts the business of a bank in the Republic in terms of a written authorisation granted by the Registrar of Banks in terms of section 18A of the Banks Act
[Definition] 'clear' or 'clearing' means the exchange of payment instructions
[Definition] 'clearing, netting and settlement agreements' means written agreements with regard to clearing, netting or settlement, concluded between clearing system participants or settlement system participants
[Definition] 'clearing system participant' means a bank, a mutual bank, a co-operative bank, a branch of a foreign institution or designated clearing system participant that clears in the manner contemplated in section 4 (2) (d) (i)
[Definition] 'Companies Act' means the Companies Act, 1973 (Act 61 of 1973)
[Definition] 'co-operative bank' has the meaning assigned to it in section 1 of the Co-operative Banks Act, 2007
[Definition] 'Co-operative Banks Act' means the Co-operative Banks Act, 2.007
[Definition] 'designated clearing system participant' means a person specified in the notice referred to in section 6 (3) (a)
[Definition] 'designated settlement system' means a settlement system designated in terms of section 4A
[Definition] 'designated settlement system operator' means the person specified in the notice referred to in section 4A (5) as the operator of that system
[Definition] 'designated settlement system participant' means a person that is a participant in the designated settlement system in accordance with the rules governing the operation of the system or a person that is an operator of the designated settlement system
[Definition] 'money' means a banknote or coin issued by the Reserve Bank in terms of section 10 (1) (a) (iii), read with section 14 of the South African Reserve Bank Act
[Definition] 'mutual bank' means a mutual bank as defined in section 1 of the Mutual Banks Act
[Definition] 'Mutual Banks Act' means the Mutual Banks Act, 1993 (Act 124 of 1993)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[Definition] 'payment instruction' means an instruction to transfer funds or make a payment
[Definition] 'payment obligation' means an indebtedness that is owed by one clearing system participant or settlement system participant to another clearing system participant or settlement system participant as a result of the clearing of one or more payment instructions
[Definition] 'payment system' means a system that enables payments to be effected or facilitates the circulation of money and includes any instruments and procedures that relate to the system
[Definition] 'payment system management body' means a body recognised by the Reserve Bank in terms of section 3 (1)
[Definition] 'PCH system operator' means a person, other than a designated settlement system operator, that clears on behalf of any two or more Reserve Bank settlement system participants
[Definition] 'person' includes a trust
[Definition] 'Reserve Bank' means the South African Reserve Bank referred to in section 2 of the South African Reserve Bank Act
[Definition] 'Reserve Bank settlement system' means a settlement system established and operated by, or under the control of, the Reserve Bank
[Definition] 'Reserve Bank settlement system participant' means the Reserve Bank, a bank, a mutual bank, a co-operative bank or a branch of a foreign institution, or a designated settlement system operator
[Definition] 'secondary co-operative bank' means a secondary co-operative bank as defined in section 1 of the Co-operative Banks Act, 2007
[Definition] 'settlement' means the discharge of settlement obligations
[Definition] 'settlement instruction' means an instruction given to a settlement system by a settlement system participant or by a PCH system operator on behalf of a Reserve Bank settlement system participant to effect settlement
[Definition] 'settlement obligation' means an indebtedness that is owed by one settlement system participant to another as a result of one or more settlement instructions
[Definition] 'settlement system' means a system for the discharge of payment or settlement obligations or the discharge of payment and settlement obligations between participants in that system
[Definition] 'settlement system participant' means a Reserve Bank settlement system participant or a designated settlement system participant
[Definition] 'South African Reserve Bank Act' means the South African Reserve Bank Act, 1989 (Act 90 of 1989)
[Definition] 'system operator' means a person, other than a designated settlement system operator, authorised in terms of section 4 (2) (c) to provide services to any two or more persons in respect of payment instructions
[Definition] 'systemic risk' means the risk that failure of one or more settlement system participants, for whatever reason, to meet their payment obligations, including the payment obligations of clearing system participants, or their settlement obligations may result in any or all of the other settlement system participants being unable to meet their respective payment or settlement obligations
[Definition] 'tertiary co-operative bank' means a tertiary co-operative bank as defined in section 1 of the Co-operative Banks Act, 2007</t>
        </is>
      </c>
      <c r="O628" s="8" t="inlineStr">
        <is>
          <t>In this Act, unless the context otherwise indicates-</t>
        </is>
      </c>
    </row>
    <row r="629">
      <c r="A629" t="inlineStr">
        <is>
          <t>United Kingdom</t>
        </is>
      </c>
      <c r="B629" t="inlineStr">
        <is>
          <t>Privacy and Electronic Communications Regulations (PECR) 2003 (United Kingdom - Row 18)</t>
        </is>
      </c>
      <c r="C629" t="inlineStr">
        <is>
          <t>2003</t>
        </is>
      </c>
      <c r="D629" s="8" t="inlineStr">
        <is>
          <t>Document Generated: 2026-02-10</t>
        </is>
      </c>
      <c r="E629" t="inlineStr">
        <is>
          <t>2–4</t>
        </is>
      </c>
      <c r="F629" t="inlineStr">
        <is>
          <t>Other</t>
        </is>
      </c>
      <c r="G629" t="inlineStr">
        <is>
          <t>Low</t>
        </is>
      </c>
      <c r="H629" t="inlineStr">
        <is>
          <t>High (explicit)</t>
        </is>
      </c>
      <c r="I629" s="8" t="inlineStr">
        <is>
          <t>Cross-border Transfer, Data Storage, Data Sharing, Third Party Processing, Cloud Services, Incident Reporting, Breach Notification, Governance, Record Keeping</t>
        </is>
      </c>
      <c r="J629" s="8" t="inlineStr">
        <is>
          <t>Personal Information, Financial Data, Customer Data, Employee Data</t>
        </is>
      </c>
      <c r="K629" t="inlineStr">
        <is>
          <t>Information Commissioner</t>
        </is>
      </c>
      <c r="L629" s="8" t="inlineStr">
        <is>
          <t>Regulations 10-36 define requirements for electronic communications services, including call identification, subscriber directories, direct marketing restrictions, and enforcement mechanisms.</t>
        </is>
      </c>
      <c r="M629" s="8" t="inlineStr">
        <is>
          <t>Regulations 10-36 establish requirements for electronic communications services, including call identification, subscriber directories, direct marketing restrictions, and enforcement mechanisms.</t>
        </is>
      </c>
      <c r="N629" s="8" t="inlineStr">
        <is>
          <t>[Must] Regulation 10 requires a provider of a public electronic communications service to provide users with a means of preventing the presentation of calling line identification on a call-by-call basis
[Must] Regulation 10 requires a provider of a public electronic communications service to provide subscribers with a means of preventing the presentation of such identification on a per-line basis
[Must] Regulation 11 requires the provider of a public electronic communications service to provide subscribers with certain facilities where facilities enabling the presentation of connected line identification or calling line identification are available
[Must] Regulation 12 requires a public electronic communications service provider to provide certain information to the public for the purposes of regulations 10 and 11
[Must] Regulation 12 requires communications providers to co-operate with reasonable requests made by providers of public electronic communications services for the purposes of those regulations
[Must] Regulation 14 imposes certain restrictions on the processing of location data
[Must] Regulation 15 makes provision in relation to the tracing of malicious or nuisance calls
[Must] Regulation 16 makes provision in relation to emergency calls
[Must] Regulation 17 requires the provider of an electronic communications service to stop, on request, the automatic forwarding of calls to that subscriber's line
[Must] Regulation 18 applies to directories of subscribers and sets out requirements that must be satisfied where data relating to subscribers is included in such directories
[Must] Regulation 18 gives subscribers the right to verify, correct or withdraw their data in directories
[Must Not] Regulation 19 requires that a person may not transmit communications comprising recorded matter for direct marketing purposes by an automated calling system unless the line called is that of a subscriber who has notified the caller that he consents to such communications being made
[Must] Regulation 20, 21 and 22 set out the circumstances in which persons may transmit, or instigate the transmission of, unsolicited communications for the purposes of direct marketing by means of facsimile machine, make unsolicited calls for those purposes, or transmit unsolicited communications by means of electronic mail for those purposes
[Must] Regulation 22 (electronic mail) applies only to transmissions to individual subscribers
[Must Not] Regulation 23 prohibits the sending of communications by means of electronic mail for the purposes of direct marketing where the identity of the person on whose behalf the communication is made has been disguised or concealed or an address to which requests for such communications to cease may be sent has not been provided
[Must] Regulation 24 sets out certain information that must be provided for the purposes of regulations 19, 20 and 21
[Must] Regulation 25 imposes a duty on OFCOM to maintain and keep up-to-date a register of numbers allocated to subscribers who do not wish to receive unsolicited communications by means of facsimile machine for the purposes of direct marketing
[Must] Regulation 26 imposes a similar obligation for the purposes of regulation 21 in respect of individual subscribers who do not wish to receive calls for the purposes of direct marketing
[Must] Regulation 27 provides that terms in certain contracts which are inconsistent with these Regulations shall be void
[Must Not] Regulation 28 exempts communications providers from the requirements of these Regulations where exemption is required for the purpose of safeguarding national security
[Must Not] Regulation 29 provides that a communications provider shall not be required by these Regulations to do, or refrain from doing, anything if complying with the requirement in question would be inconsistent with a requirement imposed by or under an enactment or by a court order
[May] Regulation 30 allows a claim for damages to be brought in respect of contraventions of the Regulations
[Must] Regulation 31 and 32 make provision in connection with the enforcement of the Regulations by the Information Commissioner
[Must] Regulation 33 imposes a duty on OFCOM to comply with any reasonable request made by the Commissioner for advice on technical matters relating to electronic communications
[Must] Regulation 34 amends the Telecommunications (Lawful Business Practice) (Interception of Communications) Regulations 2000
[Must] Regulation 35 amends the Electronic Communications (Universal Service) Order 2003
[Must] Regulation 36 provides for the transitional provisions in Schedule 2 to have effect</t>
        </is>
      </c>
      <c r="O629" s="8" t="inlineStr">
        <is>
          <t>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t>
        </is>
      </c>
    </row>
    <row r="630">
      <c r="A630" t="inlineStr">
        <is>
          <t>United Kingdom</t>
        </is>
      </c>
      <c r="B630" t="inlineStr">
        <is>
          <t>cbest-implementation-guide (United Kingdom - Row 30)</t>
        </is>
      </c>
      <c r="C630" t="inlineStr">
        <is>
          <t>4</t>
        </is>
      </c>
      <c r="D630" s="8" t="inlineStr">
        <is>
          <t>4: CBEST process</t>
        </is>
      </c>
      <c r="E630" t="inlineStr">
        <is>
          <t>2–59</t>
        </is>
      </c>
      <c r="F630" t="inlineStr">
        <is>
          <t>Other</t>
        </is>
      </c>
      <c r="G630" t="inlineStr">
        <is>
          <t>Unknown</t>
        </is>
      </c>
      <c r="H630" t="inlineStr">
        <is>
          <t>Low</t>
        </is>
      </c>
      <c r="I630" s="8" t="inlineStr"/>
      <c r="J630" s="8" t="inlineStr"/>
      <c r="K630" t="inlineStr"/>
      <c r="L630" s="8" t="inlineStr"/>
      <c r="M630" s="8" t="inlineStr"/>
      <c r="N630" s="8" t="inlineStr"/>
      <c r="O630" s="8"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46"/>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60" customWidth="1" min="4" max="4"/>
    <col width="60" customWidth="1" min="5" max="5"/>
    <col width="21" customWidth="1" min="6" max="6"/>
  </cols>
  <sheetData>
    <row r="1">
      <c r="A1" s="9" t="inlineStr">
        <is>
          <t>Country</t>
        </is>
      </c>
      <c r="B1" s="9" t="inlineStr">
        <is>
          <t>Act</t>
        </is>
      </c>
      <c r="C1" s="9" t="inlineStr">
        <is>
          <t>Sections</t>
        </is>
      </c>
      <c r="D1" s="9" t="inlineStr">
        <is>
          <t>Regulators</t>
        </is>
      </c>
      <c r="E1" s="9" t="inlineStr">
        <is>
          <t>Topics</t>
        </is>
      </c>
      <c r="F1" s="9" t="inlineStr">
        <is>
          <t>Financial Relevance</t>
        </is>
      </c>
    </row>
    <row r="2">
      <c r="A2" t="inlineStr">
        <is>
          <t>Australia</t>
        </is>
      </c>
      <c r="B2" t="inlineStr">
        <is>
          <t>C2004A01182 (Australia - Row 25)</t>
        </is>
      </c>
      <c r="C2" t="n">
        <v>1</v>
      </c>
      <c r="D2" t="inlineStr"/>
      <c r="E2" t="inlineStr"/>
      <c r="F2" t="inlineStr"/>
    </row>
    <row r="3">
      <c r="A3" t="inlineStr">
        <is>
          <t>Australia</t>
        </is>
      </c>
      <c r="B3" t="inlineStr">
        <is>
          <t>C2004C01271-1 (Australia - Row 7)</t>
        </is>
      </c>
      <c r="C3" t="n">
        <v>1</v>
      </c>
      <c r="D3" t="inlineStr"/>
      <c r="E3" t="inlineStr"/>
      <c r="F3" t="inlineStr">
        <is>
          <t>Low</t>
        </is>
      </c>
    </row>
    <row r="4">
      <c r="A4" t="inlineStr">
        <is>
          <t>GDPR</t>
        </is>
      </c>
      <c r="B4" t="inlineStr">
        <is>
          <t>CELEX_32002L0058_EN_TXT (GDPR Row 7)</t>
        </is>
      </c>
      <c r="C4" t="n">
        <v>20</v>
      </c>
      <c r="D4" t="inlineStr"/>
      <c r="E4" t="inlineStr">
        <is>
          <t>Data Sharing</t>
        </is>
      </c>
      <c r="F4" t="inlineStr"/>
    </row>
    <row r="5">
      <c r="A5" t="inlineStr">
        <is>
          <t>GDPR</t>
        </is>
      </c>
      <c r="B5" t="inlineStr">
        <is>
          <t>CELEX_32018L1673_EN_TXT (GDPR - Row 2)</t>
        </is>
      </c>
      <c r="C5" t="n">
        <v>20</v>
      </c>
      <c r="D5" t="inlineStr"/>
      <c r="E5" t="inlineStr"/>
      <c r="F5" t="inlineStr">
        <is>
          <t>High</t>
        </is>
      </c>
    </row>
    <row r="6">
      <c r="A6" t="inlineStr">
        <is>
          <t>GDPR</t>
        </is>
      </c>
      <c r="B6" t="inlineStr">
        <is>
          <t>CELEX_52023PC0360_EN_TXT (GDPR - Row 13)</t>
        </is>
      </c>
      <c r="C6" t="n">
        <v>89</v>
      </c>
      <c r="D6" t="inlineStr">
        <is>
          <t>Competent authorities, Competent authority, EBA, European Banking Authority (EBA), European Commission, European Parliament and Council, European Parliament or Council, Financial institutions</t>
        </is>
      </c>
      <c r="E6" t="inlineStr">
        <is>
          <t>Cross-border Transfer, Data Sharing, Data Storage, Governance, International Processing, Third Party Processing</t>
        </is>
      </c>
      <c r="F6" t="inlineStr">
        <is>
          <t>High</t>
        </is>
      </c>
    </row>
    <row r="7">
      <c r="A7" t="inlineStr">
        <is>
          <t>GDPR</t>
        </is>
      </c>
      <c r="B7" t="inlineStr">
        <is>
          <t>esma_cloud_guidelines (GDPR - Row 8)</t>
        </is>
      </c>
      <c r="C7" t="n">
        <v>45</v>
      </c>
      <c r="D7" t="inlineStr">
        <is>
          <t>ESMA</t>
        </is>
      </c>
      <c r="E7" t="inlineStr">
        <is>
          <t>Cloud Services</t>
        </is>
      </c>
      <c r="F7" t="inlineStr">
        <is>
          <t>High</t>
        </is>
      </c>
    </row>
    <row r="8">
      <c r="A8" t="inlineStr">
        <is>
          <t>GDPR</t>
        </is>
      </c>
      <c r="B8" t="inlineStr">
        <is>
          <t>Final report on amending GLs on ICT risk and security (GDPR - Row 4)</t>
        </is>
      </c>
      <c r="C8" t="n">
        <v>19</v>
      </c>
      <c r="D8" t="inlineStr">
        <is>
          <t>EBA</t>
        </is>
      </c>
      <c r="E8" t="inlineStr"/>
      <c r="F8" t="inlineStr">
        <is>
          <t>High</t>
        </is>
      </c>
    </row>
    <row r="9">
      <c r="A9" t="inlineStr">
        <is>
          <t>India</t>
        </is>
      </c>
      <c r="B9" t="inlineStr">
        <is>
          <t>guidelines-on-cyber-security-and-cyber-resilience-for-regulated-entities-in-ifscs-1-10032025064412 (India - Row 5)</t>
        </is>
      </c>
      <c r="C9" t="n">
        <v>21</v>
      </c>
      <c r="D9" t="inlineStr">
        <is>
          <t>IFSCA</t>
        </is>
      </c>
      <c r="E9" t="inlineStr">
        <is>
          <t>Access Control, Governance</t>
        </is>
      </c>
      <c r="F9" t="inlineStr">
        <is>
          <t>High</t>
        </is>
      </c>
    </row>
    <row r="10">
      <c r="A10" t="inlineStr">
        <is>
          <t>India</t>
        </is>
      </c>
      <c r="B10" t="inlineStr">
        <is>
          <t>NT75589AC4A988D446CA94182886F6D8EADD (India - Row 13) PROVISIONALLY</t>
        </is>
      </c>
      <c r="C10" t="n">
        <v>1</v>
      </c>
      <c r="D10" t="inlineStr"/>
      <c r="E10" t="inlineStr"/>
      <c r="F10" t="inlineStr"/>
    </row>
    <row r="11">
      <c r="A11" t="inlineStr">
        <is>
          <t>India</t>
        </is>
      </c>
      <c r="B11" t="inlineStr">
        <is>
          <t>RBI Digital Lending Directions 2025 Digital Lending Guidelines 2022 (India - Row 14)</t>
        </is>
      </c>
      <c r="C11" t="n">
        <v>24</v>
      </c>
      <c r="D11" t="inlineStr">
        <is>
          <t>RBI, Reserve Bank of India</t>
        </is>
      </c>
      <c r="E11" t="inlineStr">
        <is>
          <t>Cross-border Transfer, Data Residency, Data Sharing, Data Storage, Outsourcing, Security, Third Party Processing</t>
        </is>
      </c>
      <c r="F11" t="inlineStr">
        <is>
          <t>High</t>
        </is>
      </c>
    </row>
    <row r="12">
      <c r="A12" t="inlineStr">
        <is>
          <t>India</t>
        </is>
      </c>
      <c r="B12" t="inlineStr">
        <is>
          <t>RBI Master Direction on Information Technology Framework for NBFC Sector (2017) (India - Row 15)</t>
        </is>
      </c>
      <c r="C12" t="n">
        <v>2</v>
      </c>
      <c r="D12" t="inlineStr">
        <is>
          <t>RBI</t>
        </is>
      </c>
      <c r="E12" t="inlineStr"/>
      <c r="F12" t="inlineStr">
        <is>
          <t>Low</t>
        </is>
      </c>
    </row>
    <row r="13">
      <c r="A13" t="inlineStr">
        <is>
          <t>India</t>
        </is>
      </c>
      <c r="B13" t="inlineStr">
        <is>
          <t>RBI Payment Data Localisation Requirement (India - Row 17)</t>
        </is>
      </c>
      <c r="C13" t="n">
        <v>2</v>
      </c>
      <c r="D13" t="inlineStr">
        <is>
          <t>Reserve Bank</t>
        </is>
      </c>
      <c r="E13" t="inlineStr">
        <is>
          <t>Cross-border Transfer, Data Storage</t>
        </is>
      </c>
      <c r="F13" t="inlineStr">
        <is>
          <t>High</t>
        </is>
      </c>
    </row>
    <row r="14">
      <c r="A14" t="inlineStr">
        <is>
          <t>Kenya</t>
        </is>
      </c>
      <c r="B14" t="inlineStr">
        <is>
          <t>Capital Markets Act</t>
        </is>
      </c>
      <c r="C14" t="n">
        <v>33</v>
      </c>
      <c r="D14" t="inlineStr">
        <is>
          <t>Authority, Cabinet Secretary, Capital Markets Authority, Capital Markets Tribunal</t>
        </is>
      </c>
      <c r="E14" t="inlineStr">
        <is>
          <t>Cross-border Transfer, Governance, Record Keeping, Security</t>
        </is>
      </c>
      <c r="F14" t="inlineStr">
        <is>
          <t>High</t>
        </is>
      </c>
    </row>
    <row r="15">
      <c r="A15" t="inlineStr">
        <is>
          <t>Kenya</t>
        </is>
      </c>
      <c r="B15" t="inlineStr">
        <is>
          <t>GUIDANCE-NOTE-ON-CYBERSECURITY-FOR-THE-BANKING-SECTOR</t>
        </is>
      </c>
      <c r="C15" t="n">
        <v>2</v>
      </c>
      <c r="D15" t="inlineStr">
        <is>
          <t>Central Bank of Kenya (CBK)</t>
        </is>
      </c>
      <c r="E15" t="inlineStr">
        <is>
          <t>Governance</t>
        </is>
      </c>
      <c r="F15" t="inlineStr">
        <is>
          <t>High</t>
        </is>
      </c>
    </row>
    <row r="16">
      <c r="A16" t="inlineStr">
        <is>
          <t>Kenya</t>
        </is>
      </c>
      <c r="B16" t="inlineStr">
        <is>
          <t>GuidelinesonCybersecurityforPSPs (Kenya - Row19)</t>
        </is>
      </c>
      <c r="C16" t="n">
        <v>3</v>
      </c>
      <c r="D16" t="inlineStr"/>
      <c r="E16" t="inlineStr">
        <is>
          <t>Breach Notification, Cloud Services, Governance, Incident Reporting, Outsourcing, Record Keeping</t>
        </is>
      </c>
      <c r="F16" t="inlineStr">
        <is>
          <t>High</t>
        </is>
      </c>
    </row>
    <row r="17">
      <c r="A17" t="inlineStr">
        <is>
          <t>Kenya</t>
        </is>
      </c>
      <c r="B17" t="inlineStr">
        <is>
          <t>THE-DATA-PROTECTION-COMPLAINTS-HANDLING-AND-ENFORCEMENT (Kenya - Row 15)</t>
        </is>
      </c>
      <c r="C17" t="n">
        <v>21</v>
      </c>
      <c r="D17" t="inlineStr">
        <is>
          <t>Data Commissioner</t>
        </is>
      </c>
      <c r="E17" t="inlineStr"/>
      <c r="F17" t="inlineStr">
        <is>
          <t>High</t>
        </is>
      </c>
    </row>
    <row r="18">
      <c r="A18" t="inlineStr">
        <is>
          <t>Kenya</t>
        </is>
      </c>
      <c r="B18" t="inlineStr">
        <is>
          <t>THE-DATA-PROTECTION-REGISTRATION-OF-DATA-CONTROLLERS-AND-DATA-PROCESSORS-REGULATIONS-2021 (Kenya = row17)</t>
        </is>
      </c>
      <c r="C18" t="n">
        <v>17</v>
      </c>
      <c r="D18" t="inlineStr"/>
      <c r="E18" t="inlineStr"/>
      <c r="F18" t="inlineStr"/>
    </row>
    <row r="19">
      <c r="A19" t="inlineStr">
        <is>
          <t>Mauritius</t>
        </is>
      </c>
      <c r="B19" t="inlineStr">
        <is>
          <t>code-of-business-conduct_final (Mauritius - Row 14)</t>
        </is>
      </c>
      <c r="C19" t="n">
        <v>4</v>
      </c>
      <c r="D19" t="inlineStr">
        <is>
          <t>Financial Services Commission</t>
        </is>
      </c>
      <c r="E19" t="inlineStr"/>
      <c r="F19" t="inlineStr">
        <is>
          <t>High</t>
        </is>
      </c>
    </row>
    <row r="20">
      <c r="A20" t="inlineStr">
        <is>
          <t>Mauritius</t>
        </is>
      </c>
      <c r="B20" t="inlineStr">
        <is>
          <t>code-of-business-conduct_final (Mauritius - Row 18)</t>
        </is>
      </c>
      <c r="C20" t="n">
        <v>4</v>
      </c>
      <c r="D20" t="inlineStr">
        <is>
          <t>Financial Services Commission</t>
        </is>
      </c>
      <c r="E20" t="inlineStr"/>
      <c r="F20" t="inlineStr">
        <is>
          <t>High</t>
        </is>
      </c>
    </row>
    <row r="21">
      <c r="A21" t="inlineStr">
        <is>
          <t>Mauritius</t>
        </is>
      </c>
      <c r="B21" t="inlineStr">
        <is>
          <t>guidelines_on_outsourcing_by_financial_institutions (Mauritius - Row 3)</t>
        </is>
      </c>
      <c r="C21" t="n">
        <v>4</v>
      </c>
      <c r="D21" t="inlineStr">
        <is>
          <t>Bank of Mauritius</t>
        </is>
      </c>
      <c r="E21" t="inlineStr">
        <is>
          <t>Governance, Outsourcing</t>
        </is>
      </c>
      <c r="F21" t="inlineStr">
        <is>
          <t>High</t>
        </is>
      </c>
    </row>
    <row r="22">
      <c r="A22" t="inlineStr">
        <is>
          <t>Mauritius</t>
        </is>
      </c>
      <c r="B22" t="inlineStr">
        <is>
          <t>Mauritius_Emerging_Technologies_Council_Act_2021 (Mauritius - Row 24)</t>
        </is>
      </c>
      <c r="C22" t="n">
        <v>5</v>
      </c>
      <c r="D22" t="inlineStr"/>
      <c r="E22" t="inlineStr">
        <is>
          <t>Governance, Record Keeping</t>
        </is>
      </c>
      <c r="F22" t="inlineStr">
        <is>
          <t>Low</t>
        </is>
      </c>
    </row>
    <row r="23">
      <c r="A23" t="inlineStr">
        <is>
          <t>Mauritius</t>
        </is>
      </c>
      <c r="B23" t="inlineStr">
        <is>
          <t>National-Identity-Card-Act-Consolidated- (Mauritius - Row 23)</t>
        </is>
      </c>
      <c r="C23" t="n">
        <v>6</v>
      </c>
      <c r="D23" t="inlineStr">
        <is>
          <t>Head of the Unit, Prime Minister's Office</t>
        </is>
      </c>
      <c r="E23" t="inlineStr">
        <is>
          <t>Data Storage</t>
        </is>
      </c>
      <c r="F23" t="inlineStr">
        <is>
          <t>Low</t>
        </is>
      </c>
    </row>
    <row r="24">
      <c r="A24" t="inlineStr">
        <is>
          <t>Nigeria</t>
        </is>
      </c>
      <c r="B24" t="inlineStr">
        <is>
          <t>circular on the regulatory framework on open banking in nigeria (Nigeria - Row 8)</t>
        </is>
      </c>
      <c r="C24" t="n">
        <v>1</v>
      </c>
      <c r="D24" t="inlineStr">
        <is>
          <t>Central Bank of Nigeria</t>
        </is>
      </c>
      <c r="E24" t="inlineStr">
        <is>
          <t>Consent, Customer Information, Data Sharing</t>
        </is>
      </c>
      <c r="F24" t="inlineStr">
        <is>
          <t>High</t>
        </is>
      </c>
    </row>
    <row r="25">
      <c r="A25" t="inlineStr">
        <is>
          <t>Nigeria</t>
        </is>
      </c>
      <c r="B25" t="inlineStr">
        <is>
          <t>NCCPolicy_New1 (Nigeria - Row 21)</t>
        </is>
      </c>
      <c r="C25" t="n">
        <v>2</v>
      </c>
      <c r="D25" t="inlineStr">
        <is>
          <t>NITDA</t>
        </is>
      </c>
      <c r="E25" t="inlineStr">
        <is>
          <t>Cloud Services, Data Storage, Security</t>
        </is>
      </c>
      <c r="F25" t="inlineStr">
        <is>
          <t>High</t>
        </is>
      </c>
    </row>
    <row r="26">
      <c r="A26" t="inlineStr">
        <is>
          <t>Nigeria</t>
        </is>
      </c>
      <c r="B26" t="inlineStr">
        <is>
          <t>NCCPolicy_New1 (Nigeria - Row 23)</t>
        </is>
      </c>
      <c r="C26" t="n">
        <v>2</v>
      </c>
      <c r="D26" t="inlineStr">
        <is>
          <t>NITDA</t>
        </is>
      </c>
      <c r="E26" t="inlineStr">
        <is>
          <t>Cloud Services, Data Storage, Security</t>
        </is>
      </c>
      <c r="F26" t="inlineStr">
        <is>
          <t>High</t>
        </is>
      </c>
    </row>
    <row r="27">
      <c r="A27" t="inlineStr">
        <is>
          <t>Nigeria</t>
        </is>
      </c>
      <c r="B27" t="inlineStr">
        <is>
          <t>Operational Guidelines for Open Banking in Nigeria (Nigeria - Row 9)</t>
        </is>
      </c>
      <c r="C27" t="n">
        <v>2</v>
      </c>
      <c r="D27" t="inlineStr"/>
      <c r="E27" t="inlineStr">
        <is>
          <t>AML, Cross-border Transfer</t>
        </is>
      </c>
      <c r="F27" t="inlineStr">
        <is>
          <t>High</t>
        </is>
      </c>
    </row>
    <row r="28">
      <c r="A28" t="inlineStr">
        <is>
          <t>Nigeria</t>
        </is>
      </c>
      <c r="B28" t="inlineStr">
        <is>
          <t>REVISED REGULATORY FRAMEWORK FOR BANK VERIFICATION NUMBER (BVN) OPERATIONS AND WATCH-LIST FOR THE NIGERIAN BANKING INDUSTRY 121021 FINAL (Nigeria - Row 11)</t>
        </is>
      </c>
      <c r="C28" t="n">
        <v>1</v>
      </c>
      <c r="D28" t="inlineStr">
        <is>
          <t>Central Bank of Nigeria (CBN)</t>
        </is>
      </c>
      <c r="E28" t="inlineStr"/>
      <c r="F28" t="inlineStr">
        <is>
          <t>High</t>
        </is>
      </c>
    </row>
    <row r="29">
      <c r="A29" t="inlineStr">
        <is>
          <t>Singapore</t>
        </is>
      </c>
      <c r="B29" t="inlineStr">
        <is>
          <t>A Comprehensive Guide to the Law of Confidence and Breach of Confidence in Singapore_ Insights from [2024] SGCA 16 - IRB Law Singapore (Singapore - Row 33)</t>
        </is>
      </c>
      <c r="C29" t="n">
        <v>2</v>
      </c>
      <c r="D29" t="inlineStr"/>
      <c r="E29"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29" t="inlineStr"/>
    </row>
    <row r="30">
      <c r="A30" t="inlineStr">
        <is>
          <t>Singapore</t>
        </is>
      </c>
      <c r="B30" t="inlineStr">
        <is>
          <t>Cybersecurity (Provider-Owned Critical Information (Singapore - Row 5 &amp; 6)</t>
        </is>
      </c>
      <c r="C30" t="n">
        <v>2</v>
      </c>
      <c r="D30" t="inlineStr">
        <is>
          <t>Commissioner</t>
        </is>
      </c>
      <c r="E30" t="inlineStr">
        <is>
          <t>Cloud Services, Data Storage, Security</t>
        </is>
      </c>
      <c r="F30" t="inlineStr">
        <is>
          <t>Low</t>
        </is>
      </c>
    </row>
    <row r="31">
      <c r="A31" t="inlineStr">
        <is>
          <t>Singapore</t>
        </is>
      </c>
      <c r="B31" t="inlineStr">
        <is>
          <t>MAS Notices 644 655 644A 655A 1114 1118 Cancellation 2024 (Singapore - Row 18)</t>
        </is>
      </c>
      <c r="C31" t="n">
        <v>2</v>
      </c>
      <c r="D31" t="inlineStr">
        <is>
          <t>MAS</t>
        </is>
      </c>
      <c r="E31" t="inlineStr"/>
      <c r="F31" t="inlineStr"/>
    </row>
    <row r="32">
      <c r="A32" t="inlineStr">
        <is>
          <t>South Africa</t>
        </is>
      </c>
      <c r="B32" t="inlineStr">
        <is>
          <t>1. FSCA Conduct Standard 1 of 2025 - Requirements for FIs providing FE initiatives</t>
        </is>
      </c>
      <c r="C32" t="n">
        <v>5</v>
      </c>
      <c r="D32" t="inlineStr">
        <is>
          <t>Financial Sector Conduct Authority</t>
        </is>
      </c>
      <c r="E32" t="inlineStr">
        <is>
          <t>Data Collection, Data Sharing, Definitions, Governance, Processing</t>
        </is>
      </c>
      <c r="F32" t="inlineStr">
        <is>
          <t>Low</t>
        </is>
      </c>
    </row>
    <row r="33">
      <c r="A33" t="inlineStr">
        <is>
          <t>South Africa</t>
        </is>
      </c>
      <c r="B33" t="inlineStr">
        <is>
          <t>2002-070</t>
        </is>
      </c>
      <c r="C33" t="n">
        <v>4</v>
      </c>
      <c r="D33" t="inlineStr"/>
      <c r="E33"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33" t="inlineStr">
        <is>
          <t>Low</t>
        </is>
      </c>
    </row>
    <row r="34">
      <c r="A34" t="inlineStr">
        <is>
          <t>South Africa</t>
        </is>
      </c>
      <c r="B34" t="inlineStr">
        <is>
          <t>2024 Open Finance_FSCA Position Paper</t>
        </is>
      </c>
      <c r="C34" t="n">
        <v>14</v>
      </c>
      <c r="D34" t="inlineStr">
        <is>
          <t>FSCA</t>
        </is>
      </c>
      <c r="E34" t="inlineStr">
        <is>
          <t>Consent, Cross-border Transfer, Data Sharing</t>
        </is>
      </c>
      <c r="F34" t="inlineStr">
        <is>
          <t>High</t>
        </is>
      </c>
    </row>
    <row r="35">
      <c r="A35" t="inlineStr">
        <is>
          <t>South Africa</t>
        </is>
      </c>
      <c r="B35" t="inlineStr">
        <is>
          <t>Conduct-Standard-3-of-2020-BANKS-Annexure-A</t>
        </is>
      </c>
      <c r="C35" t="n">
        <v>7</v>
      </c>
      <c r="D35" t="inlineStr">
        <is>
          <t>Financial Sector Conduct Authority, Financial Sector Conduct Authority (FSCA)</t>
        </is>
      </c>
      <c r="E35" t="inlineStr">
        <is>
          <t>Compliance, Customer Information, Fair treatment of financial customers, Governance, Internal Controls, Risk Management, Termination</t>
        </is>
      </c>
      <c r="F35" t="inlineStr">
        <is>
          <t>High</t>
        </is>
      </c>
    </row>
    <row r="36">
      <c r="A36" t="inlineStr">
        <is>
          <t>South Africa</t>
        </is>
      </c>
      <c r="B36" t="inlineStr">
        <is>
          <t>Directive in respect of cybersecurity and cyber-resilisnce within the national payment system</t>
        </is>
      </c>
      <c r="C36" t="n">
        <v>6</v>
      </c>
      <c r="D36" t="inlineStr">
        <is>
          <t>SARB</t>
        </is>
      </c>
      <c r="E36" t="inlineStr">
        <is>
          <t>AML, Access Control, Breach Notification, Children, Cloud Services, Collection, Compliance, Consent, Cross-border Transfer, Customer Information, Cybersecurity, Data Residency, Data Sharing, Data Storage, Definitions, Deletion, Document access, Effective date, Employee Information, Encryption, Financial Data, Governance, Incident Reporting, Information sharing, Inspection authority, International Processing, KYC, Learning and evolving, Outsourcing, Premises entry, Processing, Record Keeping, Response and recovery, Retention, Security, Situational awareness, Special Personal Information, Supervision and compliance monitoring, Testing, Third Party Processing</t>
        </is>
      </c>
      <c r="F36" t="inlineStr">
        <is>
          <t>High</t>
        </is>
      </c>
    </row>
    <row r="37">
      <c r="A37" t="inlineStr">
        <is>
          <t>South Africa</t>
        </is>
      </c>
      <c r="B37" t="inlineStr">
        <is>
          <t>FICA (Financial Intelligence Centre Act, 38 of 2001</t>
        </is>
      </c>
      <c r="C37" t="n">
        <v>77</v>
      </c>
      <c r="D37" t="inlineStr">
        <is>
          <t>Accountable institutions, Businesses and individuals, Centre, Courts, Financial Intelligence Centre, Financial Intelligence Centre (Centre), Judge, Minister, Police, President</t>
        </is>
      </c>
      <c r="E37" t="inlineStr">
        <is>
          <t>Breach Notification, Cloud Services, Data Sharing, Data Storage, Financial Data, Incident Reporting, Processing, Record Keeping, Retention</t>
        </is>
      </c>
      <c r="F37" t="inlineStr">
        <is>
          <t>High</t>
        </is>
      </c>
    </row>
    <row r="38">
      <c r="A38" t="inlineStr">
        <is>
          <t>South Africa</t>
        </is>
      </c>
      <c r="B38" t="inlineStr">
        <is>
          <t>Financial Advisory and Intermediary Services Act (FAIS) 37 of 2002</t>
        </is>
      </c>
      <c r="C38" t="n">
        <v>62</v>
      </c>
      <c r="D38" t="inlineStr">
        <is>
          <t>Auditor-General, Board, Court, Financial Services Board, Minister, Minister, Board, Registrar, Ombud for Financial Services Providers, Parliament, Registrar, authorised financial services provider, registrar</t>
        </is>
      </c>
      <c r="E38" t="inlineStr">
        <is>
          <t>Data Sharing, Financial Data, Record Keeping</t>
        </is>
      </c>
      <c r="F38" t="inlineStr">
        <is>
          <t>High</t>
        </is>
      </c>
    </row>
    <row r="39">
      <c r="A39" t="inlineStr">
        <is>
          <t>South Africa</t>
        </is>
      </c>
      <c r="B39" t="inlineStr">
        <is>
          <t>Joint Standard 1 of 2023 - IT Governance and Risk Management</t>
        </is>
      </c>
      <c r="C39" t="n">
        <v>14</v>
      </c>
      <c r="D39" t="inlineStr">
        <is>
          <t>Financial institutions</t>
        </is>
      </c>
      <c r="E39" t="inlineStr">
        <is>
          <t>Incident Reporting, Security</t>
        </is>
      </c>
      <c r="F39" t="inlineStr">
        <is>
          <t>High</t>
        </is>
      </c>
    </row>
    <row r="40">
      <c r="A40" t="inlineStr">
        <is>
          <t>South Africa</t>
        </is>
      </c>
      <c r="B40" t="inlineStr">
        <is>
          <t>Joint Standard 2 of 2024  Cybersecurity &amp; Cyber resilience Requirements</t>
        </is>
      </c>
      <c r="C40" t="n">
        <v>9</v>
      </c>
      <c r="D40" t="inlineStr">
        <is>
          <t>Authorities, Financial institutions</t>
        </is>
      </c>
      <c r="E40" t="inlineStr">
        <is>
          <t>Access Control, Application, Breach Notification, Cybersecurity strategy and framework, Definitions, Governance, Incident Reporting, Learning and Evolving, Least Privilege, Segregation of Duties, User Access Management</t>
        </is>
      </c>
      <c r="F40" t="inlineStr">
        <is>
          <t>High</t>
        </is>
      </c>
    </row>
    <row r="41">
      <c r="A41" t="inlineStr">
        <is>
          <t>South Africa</t>
        </is>
      </c>
      <c r="B41" t="inlineStr">
        <is>
          <t>PA Directive</t>
        </is>
      </c>
      <c r="C41" t="n">
        <v>3</v>
      </c>
      <c r="D41" t="inlineStr">
        <is>
          <t>Prudential Authority (PA)</t>
        </is>
      </c>
      <c r="E41" t="inlineStr">
        <is>
          <t>Cloud Services</t>
        </is>
      </c>
      <c r="F41" t="inlineStr">
        <is>
          <t>High</t>
        </is>
      </c>
    </row>
    <row r="42">
      <c r="A42" t="inlineStr">
        <is>
          <t>South Africa</t>
        </is>
      </c>
      <c r="B42" t="inlineStr">
        <is>
          <t>pAYMENT ACT</t>
        </is>
      </c>
      <c r="C42" t="n">
        <v>1</v>
      </c>
      <c r="D42" t="inlineStr"/>
      <c r="E42" t="inlineStr">
        <is>
          <t>Cross-border Transfer, Data Storage, International Processing, Security</t>
        </is>
      </c>
      <c r="F42" t="inlineStr">
        <is>
          <t>High</t>
        </is>
      </c>
    </row>
    <row r="43">
      <c r="A43" t="inlineStr">
        <is>
          <t>South Africa</t>
        </is>
      </c>
      <c r="B43" t="inlineStr">
        <is>
          <t>POPIA_Regulations_-_Dec_2018</t>
        </is>
      </c>
      <c r="C43" t="n">
        <v>56</v>
      </c>
      <c r="D43" t="inlineStr">
        <is>
          <t>Information Regulator, Information officer, Regulator, Responsible party</t>
        </is>
      </c>
      <c r="E43" t="inlineStr">
        <is>
          <t>Consent, Data Sharing, Data Storage, Governance, Incident Reporting, Record Keeping</t>
        </is>
      </c>
      <c r="F43" t="inlineStr">
        <is>
          <t>Low</t>
        </is>
      </c>
    </row>
    <row r="44">
      <c r="A44" t="inlineStr">
        <is>
          <t>South Africa</t>
        </is>
      </c>
      <c r="B44" t="inlineStr">
        <is>
          <t>South Africa National Cybersecurity Policy Framework (NCPF) 2015</t>
        </is>
      </c>
      <c r="C44" t="n">
        <v>11</v>
      </c>
      <c r="D44" t="inlineStr">
        <is>
          <t>Department of Telecommunications and Postal Services (DOC)</t>
        </is>
      </c>
      <c r="E44"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44" t="inlineStr">
        <is>
          <t>High</t>
        </is>
      </c>
    </row>
    <row r="45">
      <c r="A45" t="inlineStr">
        <is>
          <t>United Kingdom</t>
        </is>
      </c>
      <c r="B45" t="inlineStr">
        <is>
          <t>cbest-implementation-guide (United Kingdom - Row 30)</t>
        </is>
      </c>
      <c r="C45" t="n">
        <v>1</v>
      </c>
      <c r="D45" t="inlineStr"/>
      <c r="E45" t="inlineStr"/>
      <c r="F45" t="inlineStr"/>
    </row>
    <row r="46">
      <c r="A46" t="inlineStr">
        <is>
          <t>United Kingdom</t>
        </is>
      </c>
      <c r="B46" t="inlineStr">
        <is>
          <t>Privacy and Electronic Communications Regulations (PECR) 2003 (United Kingdom - Row 18)</t>
        </is>
      </c>
      <c r="C46" t="n">
        <v>1</v>
      </c>
      <c r="D46" t="inlineStr">
        <is>
          <t>Information Commissioner</t>
        </is>
      </c>
      <c r="E46" t="inlineStr">
        <is>
          <t>Breach Notification, Cloud Services, Cross-border Transfer, Data Sharing, Data Storage, Governance, Incident Reporting, Record Keeping, Third Party Processing</t>
        </is>
      </c>
      <c r="F46" t="inlineStr">
        <is>
          <t>Low</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61"/>
  <sheetViews>
    <sheetView workbookViewId="0">
      <pane ySplit="1" topLeftCell="A2" activePane="bottomLeft" state="frozen"/>
      <selection pane="bottomLeft" activeCell="A1" sqref="A1"/>
    </sheetView>
  </sheetViews>
  <sheetFormatPr baseColWidth="8" defaultRowHeight="15"/>
  <cols>
    <col width="60" customWidth="1" min="1" max="1"/>
    <col width="20" customWidth="1" min="2" max="2"/>
    <col width="60" customWidth="1" min="3" max="3"/>
  </cols>
  <sheetData>
    <row r="1">
      <c r="A1" s="9" t="inlineStr">
        <is>
          <t>Authority</t>
        </is>
      </c>
      <c r="B1" s="9" t="inlineStr">
        <is>
          <t>Countries</t>
        </is>
      </c>
      <c r="C1" s="9" t="inlineStr">
        <is>
          <t>Acts</t>
        </is>
      </c>
    </row>
    <row r="2">
      <c r="A2" t="inlineStr">
        <is>
          <t>Accountable institutions</t>
        </is>
      </c>
      <c r="B2" t="inlineStr">
        <is>
          <t>South Africa</t>
        </is>
      </c>
      <c r="C2" t="inlineStr">
        <is>
          <t>FICA (Financial Intelligence Centre Act, 38 of 2001</t>
        </is>
      </c>
    </row>
    <row r="3">
      <c r="A3" t="inlineStr">
        <is>
          <t>Auditor-General</t>
        </is>
      </c>
      <c r="B3" t="inlineStr">
        <is>
          <t>South Africa</t>
        </is>
      </c>
      <c r="C3" t="inlineStr">
        <is>
          <t>Financial Advisory and Intermediary Services Act (FAIS) 37 of 2002</t>
        </is>
      </c>
    </row>
    <row r="4">
      <c r="A4" t="inlineStr">
        <is>
          <t>Authorities</t>
        </is>
      </c>
      <c r="B4" t="inlineStr">
        <is>
          <t>South Africa</t>
        </is>
      </c>
      <c r="C4" t="inlineStr">
        <is>
          <t>Joint Standard 2 of 2024  Cybersecurity &amp; Cyber resilience Requirements</t>
        </is>
      </c>
    </row>
    <row r="5">
      <c r="A5" t="inlineStr">
        <is>
          <t>Authority</t>
        </is>
      </c>
      <c r="B5" t="inlineStr">
        <is>
          <t>Kenya</t>
        </is>
      </c>
      <c r="C5" t="inlineStr">
        <is>
          <t>Capital Markets Act</t>
        </is>
      </c>
    </row>
    <row r="6">
      <c r="A6" t="inlineStr">
        <is>
          <t>Bank of Mauritius</t>
        </is>
      </c>
      <c r="B6" t="inlineStr">
        <is>
          <t>Mauritius</t>
        </is>
      </c>
      <c r="C6" t="inlineStr">
        <is>
          <t>guidelines_on_outsourcing_by_financial_institutions (Mauritius - Row 3)</t>
        </is>
      </c>
    </row>
    <row r="7">
      <c r="A7" t="inlineStr">
        <is>
          <t>Board</t>
        </is>
      </c>
      <c r="B7" t="inlineStr">
        <is>
          <t>South Africa</t>
        </is>
      </c>
      <c r="C7" t="inlineStr">
        <is>
          <t>Financial Advisory and Intermediary Services Act (FAIS) 37 of 2002</t>
        </is>
      </c>
    </row>
    <row r="8">
      <c r="A8" t="inlineStr">
        <is>
          <t>Businesses and individuals</t>
        </is>
      </c>
      <c r="B8" t="inlineStr">
        <is>
          <t>South Africa</t>
        </is>
      </c>
      <c r="C8" t="inlineStr">
        <is>
          <t>FICA (Financial Intelligence Centre Act, 38 of 2001</t>
        </is>
      </c>
    </row>
    <row r="9">
      <c r="A9" t="inlineStr">
        <is>
          <t>Cabinet Secretary</t>
        </is>
      </c>
      <c r="B9" t="inlineStr">
        <is>
          <t>Kenya</t>
        </is>
      </c>
      <c r="C9" t="inlineStr">
        <is>
          <t>Capital Markets Act</t>
        </is>
      </c>
    </row>
    <row r="10">
      <c r="A10" t="inlineStr">
        <is>
          <t>Capital Markets Authority</t>
        </is>
      </c>
      <c r="B10" t="inlineStr">
        <is>
          <t>Kenya</t>
        </is>
      </c>
      <c r="C10" t="inlineStr">
        <is>
          <t>Capital Markets Act</t>
        </is>
      </c>
    </row>
    <row r="11">
      <c r="A11" t="inlineStr">
        <is>
          <t>Capital Markets Tribunal</t>
        </is>
      </c>
      <c r="B11" t="inlineStr">
        <is>
          <t>Kenya</t>
        </is>
      </c>
      <c r="C11" t="inlineStr">
        <is>
          <t>Capital Markets Act</t>
        </is>
      </c>
    </row>
    <row r="12">
      <c r="A12" t="inlineStr">
        <is>
          <t>Central Bank of Kenya (CBK)</t>
        </is>
      </c>
      <c r="B12" t="inlineStr">
        <is>
          <t>Kenya</t>
        </is>
      </c>
      <c r="C12" t="inlineStr">
        <is>
          <t>GUIDANCE-NOTE-ON-CYBERSECURITY-FOR-THE-BANKING-SECTOR</t>
        </is>
      </c>
    </row>
    <row r="13">
      <c r="A13" t="inlineStr">
        <is>
          <t>Central Bank of Nigeria</t>
        </is>
      </c>
      <c r="B13" t="inlineStr">
        <is>
          <t>Nigeria</t>
        </is>
      </c>
      <c r="C13" t="inlineStr">
        <is>
          <t>circular on the regulatory framework on open banking in nigeria (Nigeria - Row 8)</t>
        </is>
      </c>
    </row>
    <row r="14">
      <c r="A14" t="inlineStr">
        <is>
          <t>Central Bank of Nigeria (CBN)</t>
        </is>
      </c>
      <c r="B14" t="inlineStr">
        <is>
          <t>Nigeria</t>
        </is>
      </c>
      <c r="C14" t="inlineStr">
        <is>
          <t>REVISED REGULATORY FRAMEWORK FOR BANK VERIFICATION NUMBER (BVN) OPERATIONS AND WATCH-LIST FOR THE NIGERIAN BANKING INDUSTRY 121021 FINAL (Nigeria - Row 11)</t>
        </is>
      </c>
    </row>
    <row r="15">
      <c r="A15" t="inlineStr">
        <is>
          <t>Centre</t>
        </is>
      </c>
      <c r="B15" t="inlineStr">
        <is>
          <t>South Africa</t>
        </is>
      </c>
      <c r="C15" t="inlineStr">
        <is>
          <t>FICA (Financial Intelligence Centre Act, 38 of 2001</t>
        </is>
      </c>
    </row>
    <row r="16">
      <c r="A16" t="inlineStr">
        <is>
          <t>Commissioner</t>
        </is>
      </c>
      <c r="B16" t="inlineStr">
        <is>
          <t>Singapore</t>
        </is>
      </c>
      <c r="C16" t="inlineStr">
        <is>
          <t>Cybersecurity (Provider-Owned Critical Information (Singapore - Row 5 &amp; 6)</t>
        </is>
      </c>
    </row>
    <row r="17">
      <c r="A17" t="inlineStr">
        <is>
          <t>Competent authorities</t>
        </is>
      </c>
      <c r="B17" t="inlineStr">
        <is>
          <t>GDPR</t>
        </is>
      </c>
      <c r="C17" t="inlineStr">
        <is>
          <t>CELEX_52023PC0360_EN_TXT (GDPR - Row 13)</t>
        </is>
      </c>
    </row>
    <row r="18">
      <c r="A18" t="inlineStr">
        <is>
          <t>Competent authority</t>
        </is>
      </c>
      <c r="B18" t="inlineStr">
        <is>
          <t>GDPR</t>
        </is>
      </c>
      <c r="C18" t="inlineStr">
        <is>
          <t>CELEX_52023PC0360_EN_TXT (GDPR - Row 13)</t>
        </is>
      </c>
    </row>
    <row r="19">
      <c r="A19" t="inlineStr">
        <is>
          <t>Court</t>
        </is>
      </c>
      <c r="B19" t="inlineStr">
        <is>
          <t>South Africa</t>
        </is>
      </c>
      <c r="C19" t="inlineStr">
        <is>
          <t>Financial Advisory and Intermediary Services Act (FAIS) 37 of 2002</t>
        </is>
      </c>
    </row>
    <row r="20">
      <c r="A20" t="inlineStr">
        <is>
          <t>Courts</t>
        </is>
      </c>
      <c r="B20" t="inlineStr">
        <is>
          <t>South Africa</t>
        </is>
      </c>
      <c r="C20" t="inlineStr">
        <is>
          <t>FICA (Financial Intelligence Centre Act, 38 of 2001</t>
        </is>
      </c>
    </row>
    <row r="21">
      <c r="A21" t="inlineStr">
        <is>
          <t>Data Commissioner</t>
        </is>
      </c>
      <c r="B21" t="inlineStr">
        <is>
          <t>Kenya</t>
        </is>
      </c>
      <c r="C21" t="inlineStr">
        <is>
          <t>THE-DATA-PROTECTION-COMPLAINTS-HANDLING-AND-ENFORCEMENT (Kenya - Row 15)</t>
        </is>
      </c>
    </row>
    <row r="22">
      <c r="A22" t="inlineStr">
        <is>
          <t>Department of Telecommunications and Postal Services (DOC)</t>
        </is>
      </c>
      <c r="B22" t="inlineStr">
        <is>
          <t>South Africa</t>
        </is>
      </c>
      <c r="C22" t="inlineStr">
        <is>
          <t>South Africa National Cybersecurity Policy Framework (NCPF) 2015</t>
        </is>
      </c>
    </row>
    <row r="23">
      <c r="A23" t="inlineStr">
        <is>
          <t>EBA</t>
        </is>
      </c>
      <c r="B23" t="inlineStr">
        <is>
          <t>GDPR</t>
        </is>
      </c>
      <c r="C23" t="inlineStr">
        <is>
          <t>CELEX_52023PC0360_EN_TXT (GDPR - Row 13), Final report on amending GLs on ICT risk and security (GDPR - Row 4)</t>
        </is>
      </c>
    </row>
    <row r="24">
      <c r="A24" t="inlineStr">
        <is>
          <t>ESMA</t>
        </is>
      </c>
      <c r="B24" t="inlineStr">
        <is>
          <t>GDPR</t>
        </is>
      </c>
      <c r="C24" t="inlineStr">
        <is>
          <t>esma_cloud_guidelines (GDPR - Row 8)</t>
        </is>
      </c>
    </row>
    <row r="25">
      <c r="A25" t="inlineStr">
        <is>
          <t>European Banking Authority (EBA)</t>
        </is>
      </c>
      <c r="B25" t="inlineStr">
        <is>
          <t>GDPR</t>
        </is>
      </c>
      <c r="C25" t="inlineStr">
        <is>
          <t>CELEX_52023PC0360_EN_TXT (GDPR - Row 13)</t>
        </is>
      </c>
    </row>
    <row r="26">
      <c r="A26" t="inlineStr">
        <is>
          <t>European Commission</t>
        </is>
      </c>
      <c r="B26" t="inlineStr">
        <is>
          <t>GDPR</t>
        </is>
      </c>
      <c r="C26" t="inlineStr">
        <is>
          <t>CELEX_52023PC0360_EN_TXT (GDPR - Row 13)</t>
        </is>
      </c>
    </row>
    <row r="27">
      <c r="A27" t="inlineStr">
        <is>
          <t>European Parliament and Council</t>
        </is>
      </c>
      <c r="B27" t="inlineStr">
        <is>
          <t>GDPR</t>
        </is>
      </c>
      <c r="C27" t="inlineStr">
        <is>
          <t>CELEX_52023PC0360_EN_TXT (GDPR - Row 13)</t>
        </is>
      </c>
    </row>
    <row r="28">
      <c r="A28" t="inlineStr">
        <is>
          <t>European Parliament or Council</t>
        </is>
      </c>
      <c r="B28" t="inlineStr">
        <is>
          <t>GDPR</t>
        </is>
      </c>
      <c r="C28" t="inlineStr">
        <is>
          <t>CELEX_52023PC0360_EN_TXT (GDPR - Row 13)</t>
        </is>
      </c>
    </row>
    <row r="29">
      <c r="A29" t="inlineStr">
        <is>
          <t>FSCA</t>
        </is>
      </c>
      <c r="B29" t="inlineStr">
        <is>
          <t>South Africa</t>
        </is>
      </c>
      <c r="C29" t="inlineStr">
        <is>
          <t>2024 Open Finance_FSCA Position Paper</t>
        </is>
      </c>
    </row>
    <row r="30">
      <c r="A30" t="inlineStr">
        <is>
          <t>Financial Intelligence Centre</t>
        </is>
      </c>
      <c r="B30" t="inlineStr">
        <is>
          <t>South Africa</t>
        </is>
      </c>
      <c r="C30" t="inlineStr">
        <is>
          <t>FICA (Financial Intelligence Centre Act, 38 of 2001</t>
        </is>
      </c>
    </row>
    <row r="31">
      <c r="A31" t="inlineStr">
        <is>
          <t>Financial Intelligence Centre (Centre)</t>
        </is>
      </c>
      <c r="B31" t="inlineStr">
        <is>
          <t>South Africa</t>
        </is>
      </c>
      <c r="C31" t="inlineStr">
        <is>
          <t>FICA (Financial Intelligence Centre Act, 38 of 2001</t>
        </is>
      </c>
    </row>
    <row r="32">
      <c r="A32" t="inlineStr">
        <is>
          <t>Financial Sector Conduct Authority</t>
        </is>
      </c>
      <c r="B32" t="inlineStr">
        <is>
          <t>South Africa</t>
        </is>
      </c>
      <c r="C32" t="inlineStr">
        <is>
          <t>1. FSCA Conduct Standard 1 of 2025 - Requirements for FIs providing FE initiatives, Conduct-Standard-3-of-2020-BANKS-Annexure-A</t>
        </is>
      </c>
    </row>
    <row r="33">
      <c r="A33" t="inlineStr">
        <is>
          <t>Financial Sector Conduct Authority (FSCA)</t>
        </is>
      </c>
      <c r="B33" t="inlineStr">
        <is>
          <t>South Africa</t>
        </is>
      </c>
      <c r="C33" t="inlineStr">
        <is>
          <t>Conduct-Standard-3-of-2020-BANKS-Annexure-A</t>
        </is>
      </c>
    </row>
    <row r="34">
      <c r="A34" t="inlineStr">
        <is>
          <t>Financial Services Board</t>
        </is>
      </c>
      <c r="B34" t="inlineStr">
        <is>
          <t>South Africa</t>
        </is>
      </c>
      <c r="C34" t="inlineStr">
        <is>
          <t>Financial Advisory and Intermediary Services Act (FAIS) 37 of 2002</t>
        </is>
      </c>
    </row>
    <row r="35">
      <c r="A35" t="inlineStr">
        <is>
          <t>Financial Services Commission</t>
        </is>
      </c>
      <c r="B35" t="inlineStr">
        <is>
          <t>Mauritius</t>
        </is>
      </c>
      <c r="C35" t="inlineStr">
        <is>
          <t>code-of-business-conduct_final (Mauritius - Row 14), code-of-business-conduct_final (Mauritius - Row 18)</t>
        </is>
      </c>
    </row>
    <row r="36">
      <c r="A36" t="inlineStr">
        <is>
          <t>Financial institutions</t>
        </is>
      </c>
      <c r="B36" t="inlineStr">
        <is>
          <t>GDPR, South Africa</t>
        </is>
      </c>
      <c r="C36" t="inlineStr">
        <is>
          <t>CELEX_52023PC0360_EN_TXT (GDPR - Row 13), Joint Standard 1 of 2023 - IT Governance and Risk Management, Joint Standard 2 of 2024  Cybersecurity &amp; Cyber resilience Requirements</t>
        </is>
      </c>
    </row>
    <row r="37">
      <c r="A37" t="inlineStr">
        <is>
          <t>Head of the Unit</t>
        </is>
      </c>
      <c r="B37" t="inlineStr">
        <is>
          <t>Mauritius</t>
        </is>
      </c>
      <c r="C37" t="inlineStr">
        <is>
          <t>National-Identity-Card-Act-Consolidated- (Mauritius - Row 23)</t>
        </is>
      </c>
    </row>
    <row r="38">
      <c r="A38" t="inlineStr">
        <is>
          <t>IFSCA</t>
        </is>
      </c>
      <c r="B38" t="inlineStr">
        <is>
          <t>India</t>
        </is>
      </c>
      <c r="C38" t="inlineStr">
        <is>
          <t>guidelines-on-cyber-security-and-cyber-resilience-for-regulated-entities-in-ifscs-1-10032025064412 (India - Row 5)</t>
        </is>
      </c>
    </row>
    <row r="39">
      <c r="A39" t="inlineStr">
        <is>
          <t>Information Commissioner</t>
        </is>
      </c>
      <c r="B39" t="inlineStr">
        <is>
          <t>United Kingdom</t>
        </is>
      </c>
      <c r="C39" t="inlineStr">
        <is>
          <t>Privacy and Electronic Communications Regulations (PECR) 2003 (United Kingdom - Row 18)</t>
        </is>
      </c>
    </row>
    <row r="40">
      <c r="A40" t="inlineStr">
        <is>
          <t>Information Regulator</t>
        </is>
      </c>
      <c r="B40" t="inlineStr">
        <is>
          <t>South Africa</t>
        </is>
      </c>
      <c r="C40" t="inlineStr">
        <is>
          <t>POPIA_Regulations_-_Dec_2018</t>
        </is>
      </c>
    </row>
    <row r="41">
      <c r="A41" t="inlineStr">
        <is>
          <t>Information officer</t>
        </is>
      </c>
      <c r="B41" t="inlineStr">
        <is>
          <t>South Africa</t>
        </is>
      </c>
      <c r="C41" t="inlineStr">
        <is>
          <t>POPIA_Regulations_-_Dec_2018</t>
        </is>
      </c>
    </row>
    <row r="42">
      <c r="A42" t="inlineStr">
        <is>
          <t>Judge</t>
        </is>
      </c>
      <c r="B42" t="inlineStr">
        <is>
          <t>South Africa</t>
        </is>
      </c>
      <c r="C42" t="inlineStr">
        <is>
          <t>FICA (Financial Intelligence Centre Act, 38 of 2001</t>
        </is>
      </c>
    </row>
    <row r="43">
      <c r="A43" t="inlineStr">
        <is>
          <t>MAS</t>
        </is>
      </c>
      <c r="B43" t="inlineStr">
        <is>
          <t>Singapore</t>
        </is>
      </c>
      <c r="C43" t="inlineStr">
        <is>
          <t>MAS Notices 644 655 644A 655A 1114 1118 Cancellation 2024 (Singapore - Row 18)</t>
        </is>
      </c>
    </row>
    <row r="44">
      <c r="A44" t="inlineStr">
        <is>
          <t>Minister</t>
        </is>
      </c>
      <c r="B44" t="inlineStr">
        <is>
          <t>South Africa</t>
        </is>
      </c>
      <c r="C44" t="inlineStr">
        <is>
          <t>FICA (Financial Intelligence Centre Act, 38 of 2001, Financial Advisory and Intermediary Services Act (FAIS) 37 of 2002</t>
        </is>
      </c>
    </row>
    <row r="45">
      <c r="A45" t="inlineStr">
        <is>
          <t>Minister, Board, Registrar</t>
        </is>
      </c>
      <c r="B45" t="inlineStr">
        <is>
          <t>South Africa</t>
        </is>
      </c>
      <c r="C45" t="inlineStr">
        <is>
          <t>Financial Advisory and Intermediary Services Act (FAIS) 37 of 2002</t>
        </is>
      </c>
    </row>
    <row r="46">
      <c r="A46" t="inlineStr">
        <is>
          <t>NITDA</t>
        </is>
      </c>
      <c r="B46" t="inlineStr">
        <is>
          <t>Nigeria</t>
        </is>
      </c>
      <c r="C46" t="inlineStr">
        <is>
          <t>NCCPolicy_New1 (Nigeria - Row 21), NCCPolicy_New1 (Nigeria - Row 23)</t>
        </is>
      </c>
    </row>
    <row r="47">
      <c r="A47" t="inlineStr">
        <is>
          <t>Ombud for Financial Services Providers</t>
        </is>
      </c>
      <c r="B47" t="inlineStr">
        <is>
          <t>South Africa</t>
        </is>
      </c>
      <c r="C47" t="inlineStr">
        <is>
          <t>Financial Advisory and Intermediary Services Act (FAIS) 37 of 2002</t>
        </is>
      </c>
    </row>
    <row r="48">
      <c r="A48" t="inlineStr">
        <is>
          <t>Parliament</t>
        </is>
      </c>
      <c r="B48" t="inlineStr">
        <is>
          <t>South Africa</t>
        </is>
      </c>
      <c r="C48" t="inlineStr">
        <is>
          <t>Financial Advisory and Intermediary Services Act (FAIS) 37 of 2002</t>
        </is>
      </c>
    </row>
    <row r="49">
      <c r="A49" t="inlineStr">
        <is>
          <t>Police</t>
        </is>
      </c>
      <c r="B49" t="inlineStr">
        <is>
          <t>South Africa</t>
        </is>
      </c>
      <c r="C49" t="inlineStr">
        <is>
          <t>FICA (Financial Intelligence Centre Act, 38 of 2001</t>
        </is>
      </c>
    </row>
    <row r="50">
      <c r="A50" t="inlineStr">
        <is>
          <t>President</t>
        </is>
      </c>
      <c r="B50" t="inlineStr">
        <is>
          <t>South Africa</t>
        </is>
      </c>
      <c r="C50" t="inlineStr">
        <is>
          <t>FICA (Financial Intelligence Centre Act, 38 of 2001</t>
        </is>
      </c>
    </row>
    <row r="51">
      <c r="A51" t="inlineStr">
        <is>
          <t>Prime Minister's Office</t>
        </is>
      </c>
      <c r="B51" t="inlineStr">
        <is>
          <t>Mauritius</t>
        </is>
      </c>
      <c r="C51" t="inlineStr">
        <is>
          <t>National-Identity-Card-Act-Consolidated- (Mauritius - Row 23)</t>
        </is>
      </c>
    </row>
    <row r="52">
      <c r="A52" t="inlineStr">
        <is>
          <t>Prudential Authority (PA)</t>
        </is>
      </c>
      <c r="B52" t="inlineStr">
        <is>
          <t>South Africa</t>
        </is>
      </c>
      <c r="C52" t="inlineStr">
        <is>
          <t>PA Directive</t>
        </is>
      </c>
    </row>
    <row r="53">
      <c r="A53" t="inlineStr">
        <is>
          <t>RBI</t>
        </is>
      </c>
      <c r="B53" t="inlineStr">
        <is>
          <t>India</t>
        </is>
      </c>
      <c r="C53" t="inlineStr">
        <is>
          <t>RBI Digital Lending Directions 2025 Digital Lending Guidelines 2022 (India - Row 14), RBI Master Direction on Information Technology Framework for NBFC Sector (2017) (India - Row 15)</t>
        </is>
      </c>
    </row>
    <row r="54">
      <c r="A54" t="inlineStr">
        <is>
          <t>Registrar</t>
        </is>
      </c>
      <c r="B54" t="inlineStr">
        <is>
          <t>South Africa</t>
        </is>
      </c>
      <c r="C54" t="inlineStr">
        <is>
          <t>Financial Advisory and Intermediary Services Act (FAIS) 37 of 2002</t>
        </is>
      </c>
    </row>
    <row r="55">
      <c r="A55" t="inlineStr">
        <is>
          <t>Regulator</t>
        </is>
      </c>
      <c r="B55" t="inlineStr">
        <is>
          <t>South Africa</t>
        </is>
      </c>
      <c r="C55" t="inlineStr">
        <is>
          <t>POPIA_Regulations_-_Dec_2018</t>
        </is>
      </c>
    </row>
    <row r="56">
      <c r="A56" t="inlineStr">
        <is>
          <t>Reserve Bank</t>
        </is>
      </c>
      <c r="B56" t="inlineStr">
        <is>
          <t>India</t>
        </is>
      </c>
      <c r="C56" t="inlineStr">
        <is>
          <t>RBI Payment Data Localisation Requirement (India - Row 17)</t>
        </is>
      </c>
    </row>
    <row r="57">
      <c r="A57" t="inlineStr">
        <is>
          <t>Reserve Bank of India</t>
        </is>
      </c>
      <c r="B57" t="inlineStr">
        <is>
          <t>India</t>
        </is>
      </c>
      <c r="C57" t="inlineStr">
        <is>
          <t>RBI Digital Lending Directions 2025 Digital Lending Guidelines 2022 (India - Row 14)</t>
        </is>
      </c>
    </row>
    <row r="58">
      <c r="A58" t="inlineStr">
        <is>
          <t>Responsible party</t>
        </is>
      </c>
      <c r="B58" t="inlineStr">
        <is>
          <t>South Africa</t>
        </is>
      </c>
      <c r="C58" t="inlineStr">
        <is>
          <t>POPIA_Regulations_-_Dec_2018</t>
        </is>
      </c>
    </row>
    <row r="59">
      <c r="A59" t="inlineStr">
        <is>
          <t>SARB</t>
        </is>
      </c>
      <c r="B59" t="inlineStr">
        <is>
          <t>South Africa</t>
        </is>
      </c>
      <c r="C59" t="inlineStr">
        <is>
          <t>Directive in respect of cybersecurity and cyber-resilisnce within the national payment system</t>
        </is>
      </c>
    </row>
    <row r="60">
      <c r="A60" t="inlineStr">
        <is>
          <t>authorised financial services provider</t>
        </is>
      </c>
      <c r="B60" t="inlineStr">
        <is>
          <t>South Africa</t>
        </is>
      </c>
      <c r="C60" t="inlineStr">
        <is>
          <t>Financial Advisory and Intermediary Services Act (FAIS) 37 of 2002</t>
        </is>
      </c>
    </row>
    <row r="61">
      <c r="A61" t="inlineStr">
        <is>
          <t>registrar</t>
        </is>
      </c>
      <c r="B61" t="inlineStr">
        <is>
          <t>South Africa</t>
        </is>
      </c>
      <c r="C61" t="inlineStr">
        <is>
          <t>Financial Advisory and Intermediary Services Act (FAIS) 37 of 2002</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52"/>
  <sheetViews>
    <sheetView workbookViewId="0">
      <pane ySplit="1" topLeftCell="A2" activePane="bottomLeft" state="frozen"/>
      <selection pane="bottomLeft" activeCell="A1" sqref="A1"/>
    </sheetView>
  </sheetViews>
  <sheetFormatPr baseColWidth="8" defaultRowHeight="15"/>
  <cols>
    <col width="39" customWidth="1" min="1" max="1"/>
    <col width="12" customWidth="1" min="2" max="2"/>
  </cols>
  <sheetData>
    <row r="1">
      <c r="A1" s="9" t="inlineStr">
        <is>
          <t>Topic</t>
        </is>
      </c>
      <c r="B1" s="9" t="inlineStr">
        <is>
          <t>Sections</t>
        </is>
      </c>
    </row>
    <row r="2">
      <c r="A2" t="inlineStr">
        <is>
          <t>Data Sharing</t>
        </is>
      </c>
      <c r="B2" t="n">
        <v>64</v>
      </c>
    </row>
    <row r="3">
      <c r="A3" t="inlineStr">
        <is>
          <t>Cloud Services</t>
        </is>
      </c>
      <c r="B3" t="n">
        <v>40</v>
      </c>
    </row>
    <row r="4">
      <c r="A4" t="inlineStr">
        <is>
          <t>Data Storage</t>
        </is>
      </c>
      <c r="B4" t="n">
        <v>39</v>
      </c>
    </row>
    <row r="5">
      <c r="A5" t="inlineStr">
        <is>
          <t>Incident Reporting</t>
        </is>
      </c>
      <c r="B5" t="n">
        <v>35</v>
      </c>
    </row>
    <row r="6">
      <c r="A6" t="inlineStr">
        <is>
          <t>Governance</t>
        </is>
      </c>
      <c r="B6" t="n">
        <v>33</v>
      </c>
    </row>
    <row r="7">
      <c r="A7" t="inlineStr">
        <is>
          <t>Breach Notification</t>
        </is>
      </c>
      <c r="B7" t="n">
        <v>27</v>
      </c>
    </row>
    <row r="8">
      <c r="A8" t="inlineStr">
        <is>
          <t>Record Keeping</t>
        </is>
      </c>
      <c r="B8" t="n">
        <v>21</v>
      </c>
    </row>
    <row r="9">
      <c r="A9" t="inlineStr">
        <is>
          <t>Financial Data</t>
        </is>
      </c>
      <c r="B9" t="n">
        <v>19</v>
      </c>
    </row>
    <row r="10">
      <c r="A10" t="inlineStr">
        <is>
          <t>Cross-border Transfer</t>
        </is>
      </c>
      <c r="B10" t="n">
        <v>15</v>
      </c>
    </row>
    <row r="11">
      <c r="A11" t="inlineStr">
        <is>
          <t>Security</t>
        </is>
      </c>
      <c r="B11" t="n">
        <v>13</v>
      </c>
    </row>
    <row r="12">
      <c r="A12" t="inlineStr">
        <is>
          <t>Third Party Processing</t>
        </is>
      </c>
      <c r="B12" t="n">
        <v>11</v>
      </c>
    </row>
    <row r="13">
      <c r="A13" t="inlineStr">
        <is>
          <t>Consent</t>
        </is>
      </c>
      <c r="B13" t="n">
        <v>11</v>
      </c>
    </row>
    <row r="14">
      <c r="A14" t="inlineStr">
        <is>
          <t>Outsourcing</t>
        </is>
      </c>
      <c r="B14" t="n">
        <v>8</v>
      </c>
    </row>
    <row r="15">
      <c r="A15" t="inlineStr">
        <is>
          <t>Processing</t>
        </is>
      </c>
      <c r="B15" t="n">
        <v>8</v>
      </c>
    </row>
    <row r="16">
      <c r="A16" t="inlineStr">
        <is>
          <t>Retention</t>
        </is>
      </c>
      <c r="B16" t="n">
        <v>8</v>
      </c>
    </row>
    <row r="17">
      <c r="A17" t="inlineStr">
        <is>
          <t>International Processing</t>
        </is>
      </c>
      <c r="B17" t="n">
        <v>7</v>
      </c>
    </row>
    <row r="18">
      <c r="A18" t="inlineStr">
        <is>
          <t>Access Control</t>
        </is>
      </c>
      <c r="B18" t="n">
        <v>7</v>
      </c>
    </row>
    <row r="19">
      <c r="A19" t="inlineStr">
        <is>
          <t>Customer Information</t>
        </is>
      </c>
      <c r="B19" t="n">
        <v>7</v>
      </c>
    </row>
    <row r="20">
      <c r="A20" t="inlineStr">
        <is>
          <t>Data Residency</t>
        </is>
      </c>
      <c r="B20" t="n">
        <v>6</v>
      </c>
    </row>
    <row r="21">
      <c r="A21" t="inlineStr">
        <is>
          <t>AML</t>
        </is>
      </c>
      <c r="B21" t="n">
        <v>6</v>
      </c>
    </row>
    <row r="22">
      <c r="A22" t="inlineStr">
        <is>
          <t>Encryption</t>
        </is>
      </c>
      <c r="B22" t="n">
        <v>5</v>
      </c>
    </row>
    <row r="23">
      <c r="A23" t="inlineStr">
        <is>
          <t>Collection</t>
        </is>
      </c>
      <c r="B23" t="n">
        <v>5</v>
      </c>
    </row>
    <row r="24">
      <c r="A24" t="inlineStr">
        <is>
          <t>Deletion</t>
        </is>
      </c>
      <c r="B24" t="n">
        <v>5</v>
      </c>
    </row>
    <row r="25">
      <c r="A25" t="inlineStr">
        <is>
          <t>Employee Information</t>
        </is>
      </c>
      <c r="B25" t="n">
        <v>5</v>
      </c>
    </row>
    <row r="26">
      <c r="A26" t="inlineStr">
        <is>
          <t>Special Personal Information</t>
        </is>
      </c>
      <c r="B26" t="n">
        <v>5</v>
      </c>
    </row>
    <row r="27">
      <c r="A27" t="inlineStr">
        <is>
          <t>Children</t>
        </is>
      </c>
      <c r="B27" t="n">
        <v>5</v>
      </c>
    </row>
    <row r="28">
      <c r="A28" t="inlineStr">
        <is>
          <t>KYC</t>
        </is>
      </c>
      <c r="B28" t="n">
        <v>5</v>
      </c>
    </row>
    <row r="29">
      <c r="A29" t="inlineStr">
        <is>
          <t>Definitions</t>
        </is>
      </c>
      <c r="B29" t="n">
        <v>3</v>
      </c>
    </row>
    <row r="30">
      <c r="A30" t="inlineStr">
        <is>
          <t>Compliance</t>
        </is>
      </c>
      <c r="B30" t="n">
        <v>2</v>
      </c>
    </row>
    <row r="31">
      <c r="A31" t="inlineStr">
        <is>
          <t>Data Collection</t>
        </is>
      </c>
      <c r="B31" t="n">
        <v>1</v>
      </c>
    </row>
    <row r="32">
      <c r="A32" t="inlineStr">
        <is>
          <t>Fair treatment of financial customers</t>
        </is>
      </c>
      <c r="B32" t="n">
        <v>1</v>
      </c>
    </row>
    <row r="33">
      <c r="A33" t="inlineStr">
        <is>
          <t>Risk Management</t>
        </is>
      </c>
      <c r="B33" t="n">
        <v>1</v>
      </c>
    </row>
    <row r="34">
      <c r="A34" t="inlineStr">
        <is>
          <t>Internal Controls</t>
        </is>
      </c>
      <c r="B34" t="n">
        <v>1</v>
      </c>
    </row>
    <row r="35">
      <c r="A35" t="inlineStr">
        <is>
          <t>Termination</t>
        </is>
      </c>
      <c r="B35" t="n">
        <v>1</v>
      </c>
    </row>
    <row r="36">
      <c r="A36" t="inlineStr">
        <is>
          <t>Cybersecurity</t>
        </is>
      </c>
      <c r="B36" t="n">
        <v>1</v>
      </c>
    </row>
    <row r="37">
      <c r="A37" t="inlineStr">
        <is>
          <t>Response and recovery</t>
        </is>
      </c>
      <c r="B37" t="n">
        <v>1</v>
      </c>
    </row>
    <row r="38">
      <c r="A38" t="inlineStr">
        <is>
          <t>Testing</t>
        </is>
      </c>
      <c r="B38" t="n">
        <v>1</v>
      </c>
    </row>
    <row r="39">
      <c r="A39" t="inlineStr">
        <is>
          <t>Information sharing</t>
        </is>
      </c>
      <c r="B39" t="n">
        <v>1</v>
      </c>
    </row>
    <row r="40">
      <c r="A40" t="inlineStr">
        <is>
          <t>Situational awareness</t>
        </is>
      </c>
      <c r="B40" t="n">
        <v>1</v>
      </c>
    </row>
    <row r="41">
      <c r="A41" t="inlineStr">
        <is>
          <t>Learning and evolving</t>
        </is>
      </c>
      <c r="B41" t="n">
        <v>1</v>
      </c>
    </row>
    <row r="42">
      <c r="A42" t="inlineStr">
        <is>
          <t>Supervision and compliance monitoring</t>
        </is>
      </c>
      <c r="B42" t="n">
        <v>1</v>
      </c>
    </row>
    <row r="43">
      <c r="A43" t="inlineStr">
        <is>
          <t>Inspection authority</t>
        </is>
      </c>
      <c r="B43" t="n">
        <v>1</v>
      </c>
    </row>
    <row r="44">
      <c r="A44" t="inlineStr">
        <is>
          <t>Document access</t>
        </is>
      </c>
      <c r="B44" t="n">
        <v>1</v>
      </c>
    </row>
    <row r="45">
      <c r="A45" t="inlineStr">
        <is>
          <t>Premises entry</t>
        </is>
      </c>
      <c r="B45" t="n">
        <v>1</v>
      </c>
    </row>
    <row r="46">
      <c r="A46" t="inlineStr">
        <is>
          <t>Effective date</t>
        </is>
      </c>
      <c r="B46" t="n">
        <v>1</v>
      </c>
    </row>
    <row r="47">
      <c r="A47" t="inlineStr">
        <is>
          <t>Application</t>
        </is>
      </c>
      <c r="B47" t="n">
        <v>1</v>
      </c>
    </row>
    <row r="48">
      <c r="A48" t="inlineStr">
        <is>
          <t>Cybersecurity strategy and framework</t>
        </is>
      </c>
      <c r="B48" t="n">
        <v>1</v>
      </c>
    </row>
    <row r="49">
      <c r="A49" t="inlineStr">
        <is>
          <t>Learning and Evolving</t>
        </is>
      </c>
      <c r="B49" t="n">
        <v>1</v>
      </c>
    </row>
    <row r="50">
      <c r="A50" t="inlineStr">
        <is>
          <t>User Access Management</t>
        </is>
      </c>
      <c r="B50" t="n">
        <v>1</v>
      </c>
    </row>
    <row r="51">
      <c r="A51" t="inlineStr">
        <is>
          <t>Segregation of Duties</t>
        </is>
      </c>
      <c r="B51" t="n">
        <v>1</v>
      </c>
    </row>
    <row r="52">
      <c r="A52" t="inlineStr">
        <is>
          <t>Least Privilege</t>
        </is>
      </c>
      <c r="B52"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sheetData>
    <row r="1">
      <c r="A1" t="inlineStr">
        <is>
          <t>Country</t>
        </is>
      </c>
      <c r="B1" t="inlineStr">
        <is>
          <t>Category</t>
        </is>
      </c>
      <c r="C1" t="inlineStr">
        <is>
          <t>Topic</t>
        </is>
      </c>
      <c r="D1" t="inlineStr">
        <is>
          <t>Data Type</t>
        </is>
      </c>
      <c r="E1" t="inlineStr">
        <is>
          <t>Financial Relevance</t>
        </is>
      </c>
      <c r="F1" t="inlineStr">
        <is>
          <t>Authority</t>
        </is>
      </c>
    </row>
    <row r="2">
      <c r="A2" t="inlineStr">
        <is>
          <t>All</t>
        </is>
      </c>
      <c r="B2" t="inlineStr">
        <is>
          <t>All</t>
        </is>
      </c>
      <c r="C2" t="inlineStr">
        <is>
          <t>All</t>
        </is>
      </c>
      <c r="D2" t="inlineStr">
        <is>
          <t>All</t>
        </is>
      </c>
      <c r="E2" t="inlineStr">
        <is>
          <t>All</t>
        </is>
      </c>
      <c r="F2" t="inlineStr">
        <is>
          <t>All</t>
        </is>
      </c>
    </row>
    <row r="3">
      <c r="A3" t="inlineStr">
        <is>
          <t>Australia</t>
        </is>
      </c>
      <c r="B3" t="inlineStr">
        <is>
          <t>AML</t>
        </is>
      </c>
      <c r="C3" t="inlineStr">
        <is>
          <t>AML</t>
        </is>
      </c>
      <c r="D3" t="inlineStr">
        <is>
          <t>Biometric Data</t>
        </is>
      </c>
      <c r="E3" t="inlineStr">
        <is>
          <t>High</t>
        </is>
      </c>
      <c r="F3" t="inlineStr">
        <is>
          <t>Accountable institutions</t>
        </is>
      </c>
    </row>
    <row r="4">
      <c r="A4" t="inlineStr">
        <is>
          <t>GDPR</t>
        </is>
      </c>
      <c r="B4" t="inlineStr">
        <is>
          <t>Application</t>
        </is>
      </c>
      <c r="C4" t="inlineStr">
        <is>
          <t>Access Control</t>
        </is>
      </c>
      <c r="D4" t="inlineStr">
        <is>
          <t>Children's Data</t>
        </is>
      </c>
      <c r="E4" t="inlineStr">
        <is>
          <t>Medium</t>
        </is>
      </c>
      <c r="F4" t="inlineStr">
        <is>
          <t>Auditor-General</t>
        </is>
      </c>
    </row>
    <row r="5">
      <c r="A5" t="inlineStr">
        <is>
          <t>India</t>
        </is>
      </c>
      <c r="B5" t="inlineStr">
        <is>
          <t>Background</t>
        </is>
      </c>
      <c r="C5" t="inlineStr">
        <is>
          <t>Application</t>
        </is>
      </c>
      <c r="D5" t="inlineStr">
        <is>
          <t>Customer Data</t>
        </is>
      </c>
      <c r="E5" t="inlineStr">
        <is>
          <t>Low</t>
        </is>
      </c>
      <c r="F5" t="inlineStr">
        <is>
          <t>Authorities</t>
        </is>
      </c>
    </row>
    <row r="6">
      <c r="A6" t="inlineStr">
        <is>
          <t>Kenya</t>
        </is>
      </c>
      <c r="B6" t="inlineStr">
        <is>
          <t>Cloud Services</t>
        </is>
      </c>
      <c r="C6" t="inlineStr">
        <is>
          <t>Breach Notification</t>
        </is>
      </c>
      <c r="D6" t="inlineStr">
        <is>
          <t>Customer Information</t>
        </is>
      </c>
      <c r="E6" t="inlineStr">
        <is>
          <t>None</t>
        </is>
      </c>
      <c r="F6" t="inlineStr">
        <is>
          <t>Authority</t>
        </is>
      </c>
    </row>
    <row r="7">
      <c r="A7" t="inlineStr">
        <is>
          <t>Mauritius</t>
        </is>
      </c>
      <c r="B7" t="inlineStr">
        <is>
          <t>Consent</t>
        </is>
      </c>
      <c r="C7" t="inlineStr">
        <is>
          <t>Children</t>
        </is>
      </c>
      <c r="D7" t="inlineStr">
        <is>
          <t>Employee Data</t>
        </is>
      </c>
      <c r="F7" t="inlineStr">
        <is>
          <t>Bank of Mauritius</t>
        </is>
      </c>
    </row>
    <row r="8">
      <c r="A8" t="inlineStr">
        <is>
          <t>Nigeria</t>
        </is>
      </c>
      <c r="B8" t="inlineStr">
        <is>
          <t>Cross-border Transfer</t>
        </is>
      </c>
      <c r="C8" t="inlineStr">
        <is>
          <t>Cloud Services</t>
        </is>
      </c>
      <c r="D8" t="inlineStr">
        <is>
          <t>Financial Data</t>
        </is>
      </c>
      <c r="F8" t="inlineStr">
        <is>
          <t>Board</t>
        </is>
      </c>
    </row>
    <row r="9">
      <c r="A9" t="inlineStr">
        <is>
          <t>Singapore</t>
        </is>
      </c>
      <c r="B9" t="inlineStr">
        <is>
          <t>Customer Information</t>
        </is>
      </c>
      <c r="C9" t="inlineStr">
        <is>
          <t>Collection</t>
        </is>
      </c>
      <c r="D9" t="inlineStr">
        <is>
          <t>Health Data</t>
        </is>
      </c>
      <c r="F9" t="inlineStr">
        <is>
          <t>Businesses and individuals</t>
        </is>
      </c>
    </row>
    <row r="10">
      <c r="A10" t="inlineStr">
        <is>
          <t>South Africa</t>
        </is>
      </c>
      <c r="B10" t="inlineStr">
        <is>
          <t>Cybersecurity strategy and framework</t>
        </is>
      </c>
      <c r="C10" t="inlineStr">
        <is>
          <t>Compliance</t>
        </is>
      </c>
      <c r="D10" t="inlineStr">
        <is>
          <t>Personal Information</t>
        </is>
      </c>
      <c r="F10" t="inlineStr">
        <is>
          <t>Cabinet Secretary</t>
        </is>
      </c>
    </row>
    <row r="11">
      <c r="A11" t="inlineStr">
        <is>
          <t>United Kingdom</t>
        </is>
      </c>
      <c r="B11" t="inlineStr">
        <is>
          <t>Data Collection</t>
        </is>
      </c>
      <c r="C11" t="inlineStr">
        <is>
          <t>Consent</t>
        </is>
      </c>
      <c r="D11" t="inlineStr">
        <is>
          <t>Special Personal Information</t>
        </is>
      </c>
      <c r="F11" t="inlineStr">
        <is>
          <t>Capital Markets Authority</t>
        </is>
      </c>
    </row>
    <row r="12">
      <c r="B12" t="inlineStr">
        <is>
          <t>Data Sharing</t>
        </is>
      </c>
      <c r="C12" t="inlineStr">
        <is>
          <t>Cross-border Transfer</t>
        </is>
      </c>
      <c r="F12" t="inlineStr">
        <is>
          <t>Capital Markets Tribunal</t>
        </is>
      </c>
    </row>
    <row r="13">
      <c r="B13" t="inlineStr">
        <is>
          <t>Data Storage</t>
        </is>
      </c>
      <c r="C13" t="inlineStr">
        <is>
          <t>Customer Information</t>
        </is>
      </c>
      <c r="F13" t="inlineStr">
        <is>
          <t>Central Bank of Kenya (CBK)</t>
        </is>
      </c>
    </row>
    <row r="14">
      <c r="B14" t="inlineStr">
        <is>
          <t>Data Subject Rights</t>
        </is>
      </c>
      <c r="C14" t="inlineStr">
        <is>
          <t>Cybersecurity</t>
        </is>
      </c>
      <c r="F14" t="inlineStr">
        <is>
          <t>Central Bank of Nigeria</t>
        </is>
      </c>
    </row>
    <row r="15">
      <c r="B15" t="inlineStr">
        <is>
          <t>Definitions</t>
        </is>
      </c>
      <c r="C15" t="inlineStr">
        <is>
          <t>Cybersecurity strategy and framework</t>
        </is>
      </c>
      <c r="F15" t="inlineStr">
        <is>
          <t>Central Bank of Nigeria (CBN)</t>
        </is>
      </c>
    </row>
    <row r="16">
      <c r="B16" t="inlineStr">
        <is>
          <t>Enforcement</t>
        </is>
      </c>
      <c r="C16" t="inlineStr">
        <is>
          <t>Data Collection</t>
        </is>
      </c>
      <c r="F16" t="inlineStr">
        <is>
          <t>Centre</t>
        </is>
      </c>
    </row>
    <row r="17">
      <c r="B17" t="inlineStr">
        <is>
          <t>Exemptions</t>
        </is>
      </c>
      <c r="C17" t="inlineStr">
        <is>
          <t>Data Residency</t>
        </is>
      </c>
      <c r="F17" t="inlineStr">
        <is>
          <t>Commissioner</t>
        </is>
      </c>
    </row>
    <row r="18">
      <c r="B18" t="inlineStr">
        <is>
          <t>Financial Data</t>
        </is>
      </c>
      <c r="C18" t="inlineStr">
        <is>
          <t>Data Sharing</t>
        </is>
      </c>
      <c r="F18" t="inlineStr">
        <is>
          <t>Competent authorities</t>
        </is>
      </c>
    </row>
    <row r="19">
      <c r="B19" t="inlineStr">
        <is>
          <t>Governance</t>
        </is>
      </c>
      <c r="C19" t="inlineStr">
        <is>
          <t>Data Storage</t>
        </is>
      </c>
      <c r="F19" t="inlineStr">
        <is>
          <t>Competent authority</t>
        </is>
      </c>
    </row>
    <row r="20">
      <c r="B20" t="inlineStr">
        <is>
          <t>Incident Reporting</t>
        </is>
      </c>
      <c r="C20" t="inlineStr">
        <is>
          <t>Definitions</t>
        </is>
      </c>
      <c r="F20" t="inlineStr">
        <is>
          <t>Court</t>
        </is>
      </c>
    </row>
    <row r="21">
      <c r="B21" t="inlineStr">
        <is>
          <t>International Data Transfer Mechanisms</t>
        </is>
      </c>
      <c r="C21" t="inlineStr">
        <is>
          <t>Deletion</t>
        </is>
      </c>
      <c r="F21" t="inlineStr">
        <is>
          <t>Courts</t>
        </is>
      </c>
    </row>
    <row r="22">
      <c r="B22" t="inlineStr">
        <is>
          <t>KYC</t>
        </is>
      </c>
      <c r="C22" t="inlineStr">
        <is>
          <t>Document access</t>
        </is>
      </c>
      <c r="F22" t="inlineStr">
        <is>
          <t>Data Commissioner</t>
        </is>
      </c>
    </row>
    <row r="23">
      <c r="B23" t="inlineStr">
        <is>
          <t>Other</t>
        </is>
      </c>
      <c r="C23" t="inlineStr">
        <is>
          <t>Effective date</t>
        </is>
      </c>
      <c r="F23" t="inlineStr">
        <is>
          <t>Department of Telecommunications and Postal Services (DOC)</t>
        </is>
      </c>
    </row>
    <row r="24">
      <c r="B24" t="inlineStr">
        <is>
          <t>Processing</t>
        </is>
      </c>
      <c r="C24" t="inlineStr">
        <is>
          <t>Employee Information</t>
        </is>
      </c>
      <c r="F24" t="inlineStr">
        <is>
          <t>EBA</t>
        </is>
      </c>
    </row>
    <row r="25">
      <c r="B25" t="inlineStr">
        <is>
          <t>Purpose</t>
        </is>
      </c>
      <c r="C25" t="inlineStr">
        <is>
          <t>Encryption</t>
        </is>
      </c>
      <c r="F25" t="inlineStr">
        <is>
          <t>ESMA</t>
        </is>
      </c>
    </row>
    <row r="26">
      <c r="B26" t="inlineStr">
        <is>
          <t>Record Keeping</t>
        </is>
      </c>
      <c r="C26" t="inlineStr">
        <is>
          <t>Fair treatment of financial customers</t>
        </is>
      </c>
      <c r="F26" t="inlineStr">
        <is>
          <t>European Banking Authority (EBA)</t>
        </is>
      </c>
    </row>
    <row r="27">
      <c r="B27" t="inlineStr">
        <is>
          <t>Regulator Powers</t>
        </is>
      </c>
      <c r="C27" t="inlineStr">
        <is>
          <t>Financial Data</t>
        </is>
      </c>
      <c r="F27" t="inlineStr">
        <is>
          <t>European Commission</t>
        </is>
      </c>
    </row>
    <row r="28">
      <c r="B28" t="inlineStr">
        <is>
          <t>Retention</t>
        </is>
      </c>
      <c r="C28" t="inlineStr">
        <is>
          <t>Governance</t>
        </is>
      </c>
      <c r="F28" t="inlineStr">
        <is>
          <t>European Parliament and Council</t>
        </is>
      </c>
    </row>
    <row r="29">
      <c r="B29" t="inlineStr">
        <is>
          <t>Security</t>
        </is>
      </c>
      <c r="C29" t="inlineStr">
        <is>
          <t>Incident Reporting</t>
        </is>
      </c>
      <c r="F29" t="inlineStr">
        <is>
          <t>European Parliament or Council</t>
        </is>
      </c>
    </row>
    <row r="30">
      <c r="B30" t="inlineStr">
        <is>
          <t>Supervision and compliance monitoring</t>
        </is>
      </c>
      <c r="C30" t="inlineStr">
        <is>
          <t>Information sharing</t>
        </is>
      </c>
      <c r="F30" t="inlineStr">
        <is>
          <t>FSCA</t>
        </is>
      </c>
    </row>
    <row r="31">
      <c r="B31" t="inlineStr">
        <is>
          <t>Third Party Processing</t>
        </is>
      </c>
      <c r="C31" t="inlineStr">
        <is>
          <t>Inspection authority</t>
        </is>
      </c>
      <c r="F31" t="inlineStr">
        <is>
          <t>Financial Intelligence Centre</t>
        </is>
      </c>
    </row>
    <row r="32">
      <c r="C32" t="inlineStr">
        <is>
          <t>Internal Controls</t>
        </is>
      </c>
      <c r="F32" t="inlineStr">
        <is>
          <t>Financial Intelligence Centre (Centre)</t>
        </is>
      </c>
    </row>
    <row r="33">
      <c r="C33" t="inlineStr">
        <is>
          <t>International Processing</t>
        </is>
      </c>
      <c r="F33" t="inlineStr">
        <is>
          <t>Financial Sector Conduct Authority</t>
        </is>
      </c>
    </row>
    <row r="34">
      <c r="C34" t="inlineStr">
        <is>
          <t>KYC</t>
        </is>
      </c>
      <c r="F34" t="inlineStr">
        <is>
          <t>Financial Sector Conduct Authority (FSCA)</t>
        </is>
      </c>
    </row>
    <row r="35">
      <c r="C35" t="inlineStr">
        <is>
          <t>Learning and Evolving</t>
        </is>
      </c>
      <c r="F35" t="inlineStr">
        <is>
          <t>Financial Services Board</t>
        </is>
      </c>
    </row>
    <row r="36">
      <c r="C36" t="inlineStr">
        <is>
          <t>Learning and evolving</t>
        </is>
      </c>
      <c r="F36" t="inlineStr">
        <is>
          <t>Financial Services Commission</t>
        </is>
      </c>
    </row>
    <row r="37">
      <c r="C37" t="inlineStr">
        <is>
          <t>Least Privilege</t>
        </is>
      </c>
      <c r="F37" t="inlineStr">
        <is>
          <t>Financial institutions</t>
        </is>
      </c>
    </row>
    <row r="38">
      <c r="C38" t="inlineStr">
        <is>
          <t>Outsourcing</t>
        </is>
      </c>
      <c r="F38" t="inlineStr">
        <is>
          <t>Head of the Unit</t>
        </is>
      </c>
    </row>
    <row r="39">
      <c r="C39" t="inlineStr">
        <is>
          <t>Premises entry</t>
        </is>
      </c>
      <c r="F39" t="inlineStr">
        <is>
          <t>IFSCA</t>
        </is>
      </c>
    </row>
    <row r="40">
      <c r="C40" t="inlineStr">
        <is>
          <t>Processing</t>
        </is>
      </c>
      <c r="F40" t="inlineStr">
        <is>
          <t>Information Commissioner</t>
        </is>
      </c>
    </row>
    <row r="41">
      <c r="C41" t="inlineStr">
        <is>
          <t>Record Keeping</t>
        </is>
      </c>
      <c r="F41" t="inlineStr">
        <is>
          <t>Information Regulator</t>
        </is>
      </c>
    </row>
    <row r="42">
      <c r="C42" t="inlineStr">
        <is>
          <t>Response and recovery</t>
        </is>
      </c>
      <c r="F42" t="inlineStr">
        <is>
          <t>Information officer</t>
        </is>
      </c>
    </row>
    <row r="43">
      <c r="C43" t="inlineStr">
        <is>
          <t>Retention</t>
        </is>
      </c>
      <c r="F43" t="inlineStr">
        <is>
          <t>Judge</t>
        </is>
      </c>
    </row>
    <row r="44">
      <c r="C44" t="inlineStr">
        <is>
          <t>Risk Management</t>
        </is>
      </c>
      <c r="F44" t="inlineStr">
        <is>
          <t>MAS</t>
        </is>
      </c>
    </row>
    <row r="45">
      <c r="C45" t="inlineStr">
        <is>
          <t>Security</t>
        </is>
      </c>
      <c r="F45" t="inlineStr">
        <is>
          <t>Minister</t>
        </is>
      </c>
    </row>
    <row r="46">
      <c r="C46" t="inlineStr">
        <is>
          <t>Segregation of Duties</t>
        </is>
      </c>
      <c r="F46" t="inlineStr">
        <is>
          <t>Minister, Board, Registrar</t>
        </is>
      </c>
    </row>
    <row r="47">
      <c r="C47" t="inlineStr">
        <is>
          <t>Situational awareness</t>
        </is>
      </c>
      <c r="F47" t="inlineStr">
        <is>
          <t>NITDA</t>
        </is>
      </c>
    </row>
    <row r="48">
      <c r="C48" t="inlineStr">
        <is>
          <t>Special Personal Information</t>
        </is>
      </c>
      <c r="F48" t="inlineStr">
        <is>
          <t>Ombud for Financial Services Providers</t>
        </is>
      </c>
    </row>
    <row r="49">
      <c r="C49" t="inlineStr">
        <is>
          <t>Supervision and compliance monitoring</t>
        </is>
      </c>
      <c r="F49" t="inlineStr">
        <is>
          <t>Parliament</t>
        </is>
      </c>
    </row>
    <row r="50">
      <c r="C50" t="inlineStr">
        <is>
          <t>Termination</t>
        </is>
      </c>
      <c r="F50" t="inlineStr">
        <is>
          <t>Police</t>
        </is>
      </c>
    </row>
    <row r="51">
      <c r="C51" t="inlineStr">
        <is>
          <t>Testing</t>
        </is>
      </c>
      <c r="F51" t="inlineStr">
        <is>
          <t>President</t>
        </is>
      </c>
    </row>
    <row r="52">
      <c r="C52" t="inlineStr">
        <is>
          <t>Third Party Processing</t>
        </is>
      </c>
      <c r="F52" t="inlineStr">
        <is>
          <t>Prime Minister's Office</t>
        </is>
      </c>
    </row>
    <row r="53">
      <c r="C53" t="inlineStr">
        <is>
          <t>User Access Management</t>
        </is>
      </c>
      <c r="F53" t="inlineStr">
        <is>
          <t>Prudential Authority (PA)</t>
        </is>
      </c>
    </row>
    <row r="54">
      <c r="F54" t="inlineStr">
        <is>
          <t>RBI</t>
        </is>
      </c>
    </row>
    <row r="55">
      <c r="F55" t="inlineStr">
        <is>
          <t>Registrar</t>
        </is>
      </c>
    </row>
    <row r="56">
      <c r="F56" t="inlineStr">
        <is>
          <t>Regulator</t>
        </is>
      </c>
    </row>
    <row r="57">
      <c r="F57" t="inlineStr">
        <is>
          <t>Reserve Bank</t>
        </is>
      </c>
    </row>
    <row r="58">
      <c r="F58" t="inlineStr">
        <is>
          <t>Reserve Bank of India</t>
        </is>
      </c>
    </row>
    <row r="59">
      <c r="F59" t="inlineStr">
        <is>
          <t>Responsible party</t>
        </is>
      </c>
    </row>
    <row r="60">
      <c r="F60" t="inlineStr">
        <is>
          <t>SARB</t>
        </is>
      </c>
    </row>
    <row r="61">
      <c r="F61" t="inlineStr">
        <is>
          <t>authorised financial services provider</t>
        </is>
      </c>
    </row>
    <row r="62">
      <c r="F62" t="inlineStr">
        <is>
          <t>registrar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30"/>
  <sheetViews>
    <sheetView workbookViewId="0">
      <selection activeCell="A1" sqref="A1"/>
    </sheetView>
  </sheetViews>
  <sheetFormatPr baseColWidth="8" defaultRowHeight="15"/>
  <sheetData>
    <row r="1">
      <c r="A1" t="inlineStr">
        <is>
          <t>match</t>
        </is>
      </c>
      <c r="B1" t="inlineStr">
        <is>
          <t>rank</t>
        </is>
      </c>
      <c r="C1" t="inlineStr">
        <is>
          <t>rankval</t>
        </is>
      </c>
      <c r="D1">
        <f>SUM($A$2:$A$630)</f>
        <v/>
      </c>
    </row>
    <row r="2">
      <c r="A2">
        <f>IF(AND(OR(Query!$B$4="All",'Compliance Database'!$A2=Query!$B$4),OR(Query!$B$5="All",'Compliance Database'!$F2=Query!$B$5),OR(Query!$B$6="All",ISNUMBER(SEARCH(Query!$B$6,'Compliance Database'!$I2))),OR(Query!$B$7="All",ISNUMBER(SEARCH(Query!$B$7,'Compliance Database'!$J2))),OR(Query!$B$8="All",'Compliance Database'!$G2=Query!$B$8),OR(Query!$B$9="All",'Compliance Database'!$K2=Query!$B$9),OR(Query!$B$10="",ISNUMBER(SEARCH(Query!$B$10,'Compliance Database'!$D2&amp;" "&amp;'Compliance Database'!$L2&amp;" "&amp;'Compliance Database'!$M2&amp;" "&amp;'Compliance Database'!$N2&amp;" "&amp;'Compliance Database'!$O2)))),1,0)</f>
        <v/>
      </c>
      <c r="B2">
        <f>IF($A2=1,SUM($A$2:$A2),"")</f>
        <v/>
      </c>
      <c r="C2">
        <f>IF($A2=1,SUM($A$2:$A2),0)</f>
        <v/>
      </c>
    </row>
    <row r="3">
      <c r="A3">
        <f>IF(AND(OR(Query!$B$4="All",'Compliance Database'!$A3=Query!$B$4),OR(Query!$B$5="All",'Compliance Database'!$F3=Query!$B$5),OR(Query!$B$6="All",ISNUMBER(SEARCH(Query!$B$6,'Compliance Database'!$I3))),OR(Query!$B$7="All",ISNUMBER(SEARCH(Query!$B$7,'Compliance Database'!$J3))),OR(Query!$B$8="All",'Compliance Database'!$G3=Query!$B$8),OR(Query!$B$9="All",'Compliance Database'!$K3=Query!$B$9),OR(Query!$B$10="",ISNUMBER(SEARCH(Query!$B$10,'Compliance Database'!$D3&amp;" "&amp;'Compliance Database'!$L3&amp;" "&amp;'Compliance Database'!$M3&amp;" "&amp;'Compliance Database'!$N3&amp;" "&amp;'Compliance Database'!$O3)))),1,0)</f>
        <v/>
      </c>
      <c r="B3">
        <f>IF($A3=1,SUM($A$2:$A3),"")</f>
        <v/>
      </c>
      <c r="C3">
        <f>IF($A3=1,SUM($A$2:$A3),0)</f>
        <v/>
      </c>
    </row>
    <row r="4">
      <c r="A4">
        <f>IF(AND(OR(Query!$B$4="All",'Compliance Database'!$A4=Query!$B$4),OR(Query!$B$5="All",'Compliance Database'!$F4=Query!$B$5),OR(Query!$B$6="All",ISNUMBER(SEARCH(Query!$B$6,'Compliance Database'!$I4))),OR(Query!$B$7="All",ISNUMBER(SEARCH(Query!$B$7,'Compliance Database'!$J4))),OR(Query!$B$8="All",'Compliance Database'!$G4=Query!$B$8),OR(Query!$B$9="All",'Compliance Database'!$K4=Query!$B$9),OR(Query!$B$10="",ISNUMBER(SEARCH(Query!$B$10,'Compliance Database'!$D4&amp;" "&amp;'Compliance Database'!$L4&amp;" "&amp;'Compliance Database'!$M4&amp;" "&amp;'Compliance Database'!$N4&amp;" "&amp;'Compliance Database'!$O4)))),1,0)</f>
        <v/>
      </c>
      <c r="B4">
        <f>IF($A4=1,SUM($A$2:$A4),"")</f>
        <v/>
      </c>
      <c r="C4">
        <f>IF($A4=1,SUM($A$2:$A4),0)</f>
        <v/>
      </c>
    </row>
    <row r="5">
      <c r="A5">
        <f>IF(AND(OR(Query!$B$4="All",'Compliance Database'!$A5=Query!$B$4),OR(Query!$B$5="All",'Compliance Database'!$F5=Query!$B$5),OR(Query!$B$6="All",ISNUMBER(SEARCH(Query!$B$6,'Compliance Database'!$I5))),OR(Query!$B$7="All",ISNUMBER(SEARCH(Query!$B$7,'Compliance Database'!$J5))),OR(Query!$B$8="All",'Compliance Database'!$G5=Query!$B$8),OR(Query!$B$9="All",'Compliance Database'!$K5=Query!$B$9),OR(Query!$B$10="",ISNUMBER(SEARCH(Query!$B$10,'Compliance Database'!$D5&amp;" "&amp;'Compliance Database'!$L5&amp;" "&amp;'Compliance Database'!$M5&amp;" "&amp;'Compliance Database'!$N5&amp;" "&amp;'Compliance Database'!$O5)))),1,0)</f>
        <v/>
      </c>
      <c r="B5">
        <f>IF($A5=1,SUM($A$2:$A5),"")</f>
        <v/>
      </c>
      <c r="C5">
        <f>IF($A5=1,SUM($A$2:$A5),0)</f>
        <v/>
      </c>
    </row>
    <row r="6">
      <c r="A6">
        <f>IF(AND(OR(Query!$B$4="All",'Compliance Database'!$A6=Query!$B$4),OR(Query!$B$5="All",'Compliance Database'!$F6=Query!$B$5),OR(Query!$B$6="All",ISNUMBER(SEARCH(Query!$B$6,'Compliance Database'!$I6))),OR(Query!$B$7="All",ISNUMBER(SEARCH(Query!$B$7,'Compliance Database'!$J6))),OR(Query!$B$8="All",'Compliance Database'!$G6=Query!$B$8),OR(Query!$B$9="All",'Compliance Database'!$K6=Query!$B$9),OR(Query!$B$10="",ISNUMBER(SEARCH(Query!$B$10,'Compliance Database'!$D6&amp;" "&amp;'Compliance Database'!$L6&amp;" "&amp;'Compliance Database'!$M6&amp;" "&amp;'Compliance Database'!$N6&amp;" "&amp;'Compliance Database'!$O6)))),1,0)</f>
        <v/>
      </c>
      <c r="B6">
        <f>IF($A6=1,SUM($A$2:$A6),"")</f>
        <v/>
      </c>
      <c r="C6">
        <f>IF($A6=1,SUM($A$2:$A6),0)</f>
        <v/>
      </c>
    </row>
    <row r="7">
      <c r="A7">
        <f>IF(AND(OR(Query!$B$4="All",'Compliance Database'!$A7=Query!$B$4),OR(Query!$B$5="All",'Compliance Database'!$F7=Query!$B$5),OR(Query!$B$6="All",ISNUMBER(SEARCH(Query!$B$6,'Compliance Database'!$I7))),OR(Query!$B$7="All",ISNUMBER(SEARCH(Query!$B$7,'Compliance Database'!$J7))),OR(Query!$B$8="All",'Compliance Database'!$G7=Query!$B$8),OR(Query!$B$9="All",'Compliance Database'!$K7=Query!$B$9),OR(Query!$B$10="",ISNUMBER(SEARCH(Query!$B$10,'Compliance Database'!$D7&amp;" "&amp;'Compliance Database'!$L7&amp;" "&amp;'Compliance Database'!$M7&amp;" "&amp;'Compliance Database'!$N7&amp;" "&amp;'Compliance Database'!$O7)))),1,0)</f>
        <v/>
      </c>
      <c r="B7">
        <f>IF($A7=1,SUM($A$2:$A7),"")</f>
        <v/>
      </c>
      <c r="C7">
        <f>IF($A7=1,SUM($A$2:$A7),0)</f>
        <v/>
      </c>
    </row>
    <row r="8">
      <c r="A8">
        <f>IF(AND(OR(Query!$B$4="All",'Compliance Database'!$A8=Query!$B$4),OR(Query!$B$5="All",'Compliance Database'!$F8=Query!$B$5),OR(Query!$B$6="All",ISNUMBER(SEARCH(Query!$B$6,'Compliance Database'!$I8))),OR(Query!$B$7="All",ISNUMBER(SEARCH(Query!$B$7,'Compliance Database'!$J8))),OR(Query!$B$8="All",'Compliance Database'!$G8=Query!$B$8),OR(Query!$B$9="All",'Compliance Database'!$K8=Query!$B$9),OR(Query!$B$10="",ISNUMBER(SEARCH(Query!$B$10,'Compliance Database'!$D8&amp;" "&amp;'Compliance Database'!$L8&amp;" "&amp;'Compliance Database'!$M8&amp;" "&amp;'Compliance Database'!$N8&amp;" "&amp;'Compliance Database'!$O8)))),1,0)</f>
        <v/>
      </c>
      <c r="B8">
        <f>IF($A8=1,SUM($A$2:$A8),"")</f>
        <v/>
      </c>
      <c r="C8">
        <f>IF($A8=1,SUM($A$2:$A8),0)</f>
        <v/>
      </c>
    </row>
    <row r="9">
      <c r="A9">
        <f>IF(AND(OR(Query!$B$4="All",'Compliance Database'!$A9=Query!$B$4),OR(Query!$B$5="All",'Compliance Database'!$F9=Query!$B$5),OR(Query!$B$6="All",ISNUMBER(SEARCH(Query!$B$6,'Compliance Database'!$I9))),OR(Query!$B$7="All",ISNUMBER(SEARCH(Query!$B$7,'Compliance Database'!$J9))),OR(Query!$B$8="All",'Compliance Database'!$G9=Query!$B$8),OR(Query!$B$9="All",'Compliance Database'!$K9=Query!$B$9),OR(Query!$B$10="",ISNUMBER(SEARCH(Query!$B$10,'Compliance Database'!$D9&amp;" "&amp;'Compliance Database'!$L9&amp;" "&amp;'Compliance Database'!$M9&amp;" "&amp;'Compliance Database'!$N9&amp;" "&amp;'Compliance Database'!$O9)))),1,0)</f>
        <v/>
      </c>
      <c r="B9">
        <f>IF($A9=1,SUM($A$2:$A9),"")</f>
        <v/>
      </c>
      <c r="C9">
        <f>IF($A9=1,SUM($A$2:$A9),0)</f>
        <v/>
      </c>
    </row>
    <row r="10">
      <c r="A10">
        <f>IF(AND(OR(Query!$B$4="All",'Compliance Database'!$A10=Query!$B$4),OR(Query!$B$5="All",'Compliance Database'!$F10=Query!$B$5),OR(Query!$B$6="All",ISNUMBER(SEARCH(Query!$B$6,'Compliance Database'!$I10))),OR(Query!$B$7="All",ISNUMBER(SEARCH(Query!$B$7,'Compliance Database'!$J10))),OR(Query!$B$8="All",'Compliance Database'!$G10=Query!$B$8),OR(Query!$B$9="All",'Compliance Database'!$K10=Query!$B$9),OR(Query!$B$10="",ISNUMBER(SEARCH(Query!$B$10,'Compliance Database'!$D10&amp;" "&amp;'Compliance Database'!$L10&amp;" "&amp;'Compliance Database'!$M10&amp;" "&amp;'Compliance Database'!$N10&amp;" "&amp;'Compliance Database'!$O10)))),1,0)</f>
        <v/>
      </c>
      <c r="B10">
        <f>IF($A10=1,SUM($A$2:$A10),"")</f>
        <v/>
      </c>
      <c r="C10">
        <f>IF($A10=1,SUM($A$2:$A10),0)</f>
        <v/>
      </c>
    </row>
    <row r="11">
      <c r="A11">
        <f>IF(AND(OR(Query!$B$4="All",'Compliance Database'!$A11=Query!$B$4),OR(Query!$B$5="All",'Compliance Database'!$F11=Query!$B$5),OR(Query!$B$6="All",ISNUMBER(SEARCH(Query!$B$6,'Compliance Database'!$I11))),OR(Query!$B$7="All",ISNUMBER(SEARCH(Query!$B$7,'Compliance Database'!$J11))),OR(Query!$B$8="All",'Compliance Database'!$G11=Query!$B$8),OR(Query!$B$9="All",'Compliance Database'!$K11=Query!$B$9),OR(Query!$B$10="",ISNUMBER(SEARCH(Query!$B$10,'Compliance Database'!$D11&amp;" "&amp;'Compliance Database'!$L11&amp;" "&amp;'Compliance Database'!$M11&amp;" "&amp;'Compliance Database'!$N11&amp;" "&amp;'Compliance Database'!$O11)))),1,0)</f>
        <v/>
      </c>
      <c r="B11">
        <f>IF($A11=1,SUM($A$2:$A11),"")</f>
        <v/>
      </c>
      <c r="C11">
        <f>IF($A11=1,SUM($A$2:$A11),0)</f>
        <v/>
      </c>
    </row>
    <row r="12">
      <c r="A12">
        <f>IF(AND(OR(Query!$B$4="All",'Compliance Database'!$A12=Query!$B$4),OR(Query!$B$5="All",'Compliance Database'!$F12=Query!$B$5),OR(Query!$B$6="All",ISNUMBER(SEARCH(Query!$B$6,'Compliance Database'!$I12))),OR(Query!$B$7="All",ISNUMBER(SEARCH(Query!$B$7,'Compliance Database'!$J12))),OR(Query!$B$8="All",'Compliance Database'!$G12=Query!$B$8),OR(Query!$B$9="All",'Compliance Database'!$K12=Query!$B$9),OR(Query!$B$10="",ISNUMBER(SEARCH(Query!$B$10,'Compliance Database'!$D12&amp;" "&amp;'Compliance Database'!$L12&amp;" "&amp;'Compliance Database'!$M12&amp;" "&amp;'Compliance Database'!$N12&amp;" "&amp;'Compliance Database'!$O12)))),1,0)</f>
        <v/>
      </c>
      <c r="B12">
        <f>IF($A12=1,SUM($A$2:$A12),"")</f>
        <v/>
      </c>
      <c r="C12">
        <f>IF($A12=1,SUM($A$2:$A12),0)</f>
        <v/>
      </c>
    </row>
    <row r="13">
      <c r="A13">
        <f>IF(AND(OR(Query!$B$4="All",'Compliance Database'!$A13=Query!$B$4),OR(Query!$B$5="All",'Compliance Database'!$F13=Query!$B$5),OR(Query!$B$6="All",ISNUMBER(SEARCH(Query!$B$6,'Compliance Database'!$I13))),OR(Query!$B$7="All",ISNUMBER(SEARCH(Query!$B$7,'Compliance Database'!$J13))),OR(Query!$B$8="All",'Compliance Database'!$G13=Query!$B$8),OR(Query!$B$9="All",'Compliance Database'!$K13=Query!$B$9),OR(Query!$B$10="",ISNUMBER(SEARCH(Query!$B$10,'Compliance Database'!$D13&amp;" "&amp;'Compliance Database'!$L13&amp;" "&amp;'Compliance Database'!$M13&amp;" "&amp;'Compliance Database'!$N13&amp;" "&amp;'Compliance Database'!$O13)))),1,0)</f>
        <v/>
      </c>
      <c r="B13">
        <f>IF($A13=1,SUM($A$2:$A13),"")</f>
        <v/>
      </c>
      <c r="C13">
        <f>IF($A13=1,SUM($A$2:$A13),0)</f>
        <v/>
      </c>
    </row>
    <row r="14">
      <c r="A14">
        <f>IF(AND(OR(Query!$B$4="All",'Compliance Database'!$A14=Query!$B$4),OR(Query!$B$5="All",'Compliance Database'!$F14=Query!$B$5),OR(Query!$B$6="All",ISNUMBER(SEARCH(Query!$B$6,'Compliance Database'!$I14))),OR(Query!$B$7="All",ISNUMBER(SEARCH(Query!$B$7,'Compliance Database'!$J14))),OR(Query!$B$8="All",'Compliance Database'!$G14=Query!$B$8),OR(Query!$B$9="All",'Compliance Database'!$K14=Query!$B$9),OR(Query!$B$10="",ISNUMBER(SEARCH(Query!$B$10,'Compliance Database'!$D14&amp;" "&amp;'Compliance Database'!$L14&amp;" "&amp;'Compliance Database'!$M14&amp;" "&amp;'Compliance Database'!$N14&amp;" "&amp;'Compliance Database'!$O14)))),1,0)</f>
        <v/>
      </c>
      <c r="B14">
        <f>IF($A14=1,SUM($A$2:$A14),"")</f>
        <v/>
      </c>
      <c r="C14">
        <f>IF($A14=1,SUM($A$2:$A14),0)</f>
        <v/>
      </c>
    </row>
    <row r="15">
      <c r="A15">
        <f>IF(AND(OR(Query!$B$4="All",'Compliance Database'!$A15=Query!$B$4),OR(Query!$B$5="All",'Compliance Database'!$F15=Query!$B$5),OR(Query!$B$6="All",ISNUMBER(SEARCH(Query!$B$6,'Compliance Database'!$I15))),OR(Query!$B$7="All",ISNUMBER(SEARCH(Query!$B$7,'Compliance Database'!$J15))),OR(Query!$B$8="All",'Compliance Database'!$G15=Query!$B$8),OR(Query!$B$9="All",'Compliance Database'!$K15=Query!$B$9),OR(Query!$B$10="",ISNUMBER(SEARCH(Query!$B$10,'Compliance Database'!$D15&amp;" "&amp;'Compliance Database'!$L15&amp;" "&amp;'Compliance Database'!$M15&amp;" "&amp;'Compliance Database'!$N15&amp;" "&amp;'Compliance Database'!$O15)))),1,0)</f>
        <v/>
      </c>
      <c r="B15">
        <f>IF($A15=1,SUM($A$2:$A15),"")</f>
        <v/>
      </c>
      <c r="C15">
        <f>IF($A15=1,SUM($A$2:$A15),0)</f>
        <v/>
      </c>
    </row>
    <row r="16">
      <c r="A16">
        <f>IF(AND(OR(Query!$B$4="All",'Compliance Database'!$A16=Query!$B$4),OR(Query!$B$5="All",'Compliance Database'!$F16=Query!$B$5),OR(Query!$B$6="All",ISNUMBER(SEARCH(Query!$B$6,'Compliance Database'!$I16))),OR(Query!$B$7="All",ISNUMBER(SEARCH(Query!$B$7,'Compliance Database'!$J16))),OR(Query!$B$8="All",'Compliance Database'!$G16=Query!$B$8),OR(Query!$B$9="All",'Compliance Database'!$K16=Query!$B$9),OR(Query!$B$10="",ISNUMBER(SEARCH(Query!$B$10,'Compliance Database'!$D16&amp;" "&amp;'Compliance Database'!$L16&amp;" "&amp;'Compliance Database'!$M16&amp;" "&amp;'Compliance Database'!$N16&amp;" "&amp;'Compliance Database'!$O16)))),1,0)</f>
        <v/>
      </c>
      <c r="B16">
        <f>IF($A16=1,SUM($A$2:$A16),"")</f>
        <v/>
      </c>
      <c r="C16">
        <f>IF($A16=1,SUM($A$2:$A16),0)</f>
        <v/>
      </c>
    </row>
    <row r="17">
      <c r="A17">
        <f>IF(AND(OR(Query!$B$4="All",'Compliance Database'!$A17=Query!$B$4),OR(Query!$B$5="All",'Compliance Database'!$F17=Query!$B$5),OR(Query!$B$6="All",ISNUMBER(SEARCH(Query!$B$6,'Compliance Database'!$I17))),OR(Query!$B$7="All",ISNUMBER(SEARCH(Query!$B$7,'Compliance Database'!$J17))),OR(Query!$B$8="All",'Compliance Database'!$G17=Query!$B$8),OR(Query!$B$9="All",'Compliance Database'!$K17=Query!$B$9),OR(Query!$B$10="",ISNUMBER(SEARCH(Query!$B$10,'Compliance Database'!$D17&amp;" "&amp;'Compliance Database'!$L17&amp;" "&amp;'Compliance Database'!$M17&amp;" "&amp;'Compliance Database'!$N17&amp;" "&amp;'Compliance Database'!$O17)))),1,0)</f>
        <v/>
      </c>
      <c r="B17">
        <f>IF($A17=1,SUM($A$2:$A17),"")</f>
        <v/>
      </c>
      <c r="C17">
        <f>IF($A17=1,SUM($A$2:$A17),0)</f>
        <v/>
      </c>
    </row>
    <row r="18">
      <c r="A18">
        <f>IF(AND(OR(Query!$B$4="All",'Compliance Database'!$A18=Query!$B$4),OR(Query!$B$5="All",'Compliance Database'!$F18=Query!$B$5),OR(Query!$B$6="All",ISNUMBER(SEARCH(Query!$B$6,'Compliance Database'!$I18))),OR(Query!$B$7="All",ISNUMBER(SEARCH(Query!$B$7,'Compliance Database'!$J18))),OR(Query!$B$8="All",'Compliance Database'!$G18=Query!$B$8),OR(Query!$B$9="All",'Compliance Database'!$K18=Query!$B$9),OR(Query!$B$10="",ISNUMBER(SEARCH(Query!$B$10,'Compliance Database'!$D18&amp;" "&amp;'Compliance Database'!$L18&amp;" "&amp;'Compliance Database'!$M18&amp;" "&amp;'Compliance Database'!$N18&amp;" "&amp;'Compliance Database'!$O18)))),1,0)</f>
        <v/>
      </c>
      <c r="B18">
        <f>IF($A18=1,SUM($A$2:$A18),"")</f>
        <v/>
      </c>
      <c r="C18">
        <f>IF($A18=1,SUM($A$2:$A18),0)</f>
        <v/>
      </c>
    </row>
    <row r="19">
      <c r="A19">
        <f>IF(AND(OR(Query!$B$4="All",'Compliance Database'!$A19=Query!$B$4),OR(Query!$B$5="All",'Compliance Database'!$F19=Query!$B$5),OR(Query!$B$6="All",ISNUMBER(SEARCH(Query!$B$6,'Compliance Database'!$I19))),OR(Query!$B$7="All",ISNUMBER(SEARCH(Query!$B$7,'Compliance Database'!$J19))),OR(Query!$B$8="All",'Compliance Database'!$G19=Query!$B$8),OR(Query!$B$9="All",'Compliance Database'!$K19=Query!$B$9),OR(Query!$B$10="",ISNUMBER(SEARCH(Query!$B$10,'Compliance Database'!$D19&amp;" "&amp;'Compliance Database'!$L19&amp;" "&amp;'Compliance Database'!$M19&amp;" "&amp;'Compliance Database'!$N19&amp;" "&amp;'Compliance Database'!$O19)))),1,0)</f>
        <v/>
      </c>
      <c r="B19">
        <f>IF($A19=1,SUM($A$2:$A19),"")</f>
        <v/>
      </c>
      <c r="C19">
        <f>IF($A19=1,SUM($A$2:$A19),0)</f>
        <v/>
      </c>
    </row>
    <row r="20">
      <c r="A20">
        <f>IF(AND(OR(Query!$B$4="All",'Compliance Database'!$A20=Query!$B$4),OR(Query!$B$5="All",'Compliance Database'!$F20=Query!$B$5),OR(Query!$B$6="All",ISNUMBER(SEARCH(Query!$B$6,'Compliance Database'!$I20))),OR(Query!$B$7="All",ISNUMBER(SEARCH(Query!$B$7,'Compliance Database'!$J20))),OR(Query!$B$8="All",'Compliance Database'!$G20=Query!$B$8),OR(Query!$B$9="All",'Compliance Database'!$K20=Query!$B$9),OR(Query!$B$10="",ISNUMBER(SEARCH(Query!$B$10,'Compliance Database'!$D20&amp;" "&amp;'Compliance Database'!$L20&amp;" "&amp;'Compliance Database'!$M20&amp;" "&amp;'Compliance Database'!$N20&amp;" "&amp;'Compliance Database'!$O20)))),1,0)</f>
        <v/>
      </c>
      <c r="B20">
        <f>IF($A20=1,SUM($A$2:$A20),"")</f>
        <v/>
      </c>
      <c r="C20">
        <f>IF($A20=1,SUM($A$2:$A20),0)</f>
        <v/>
      </c>
    </row>
    <row r="21">
      <c r="A21">
        <f>IF(AND(OR(Query!$B$4="All",'Compliance Database'!$A21=Query!$B$4),OR(Query!$B$5="All",'Compliance Database'!$F21=Query!$B$5),OR(Query!$B$6="All",ISNUMBER(SEARCH(Query!$B$6,'Compliance Database'!$I21))),OR(Query!$B$7="All",ISNUMBER(SEARCH(Query!$B$7,'Compliance Database'!$J21))),OR(Query!$B$8="All",'Compliance Database'!$G21=Query!$B$8),OR(Query!$B$9="All",'Compliance Database'!$K21=Query!$B$9),OR(Query!$B$10="",ISNUMBER(SEARCH(Query!$B$10,'Compliance Database'!$D21&amp;" "&amp;'Compliance Database'!$L21&amp;" "&amp;'Compliance Database'!$M21&amp;" "&amp;'Compliance Database'!$N21&amp;" "&amp;'Compliance Database'!$O21)))),1,0)</f>
        <v/>
      </c>
      <c r="B21">
        <f>IF($A21=1,SUM($A$2:$A21),"")</f>
        <v/>
      </c>
      <c r="C21">
        <f>IF($A21=1,SUM($A$2:$A21),0)</f>
        <v/>
      </c>
    </row>
    <row r="22">
      <c r="A22">
        <f>IF(AND(OR(Query!$B$4="All",'Compliance Database'!$A22=Query!$B$4),OR(Query!$B$5="All",'Compliance Database'!$F22=Query!$B$5),OR(Query!$B$6="All",ISNUMBER(SEARCH(Query!$B$6,'Compliance Database'!$I22))),OR(Query!$B$7="All",ISNUMBER(SEARCH(Query!$B$7,'Compliance Database'!$J22))),OR(Query!$B$8="All",'Compliance Database'!$G22=Query!$B$8),OR(Query!$B$9="All",'Compliance Database'!$K22=Query!$B$9),OR(Query!$B$10="",ISNUMBER(SEARCH(Query!$B$10,'Compliance Database'!$D22&amp;" "&amp;'Compliance Database'!$L22&amp;" "&amp;'Compliance Database'!$M22&amp;" "&amp;'Compliance Database'!$N22&amp;" "&amp;'Compliance Database'!$O22)))),1,0)</f>
        <v/>
      </c>
      <c r="B22">
        <f>IF($A22=1,SUM($A$2:$A22),"")</f>
        <v/>
      </c>
      <c r="C22">
        <f>IF($A22=1,SUM($A$2:$A22),0)</f>
        <v/>
      </c>
    </row>
    <row r="23">
      <c r="A23">
        <f>IF(AND(OR(Query!$B$4="All",'Compliance Database'!$A23=Query!$B$4),OR(Query!$B$5="All",'Compliance Database'!$F23=Query!$B$5),OR(Query!$B$6="All",ISNUMBER(SEARCH(Query!$B$6,'Compliance Database'!$I23))),OR(Query!$B$7="All",ISNUMBER(SEARCH(Query!$B$7,'Compliance Database'!$J23))),OR(Query!$B$8="All",'Compliance Database'!$G23=Query!$B$8),OR(Query!$B$9="All",'Compliance Database'!$K23=Query!$B$9),OR(Query!$B$10="",ISNUMBER(SEARCH(Query!$B$10,'Compliance Database'!$D23&amp;" "&amp;'Compliance Database'!$L23&amp;" "&amp;'Compliance Database'!$M23&amp;" "&amp;'Compliance Database'!$N23&amp;" "&amp;'Compliance Database'!$O23)))),1,0)</f>
        <v/>
      </c>
      <c r="B23">
        <f>IF($A23=1,SUM($A$2:$A23),"")</f>
        <v/>
      </c>
      <c r="C23">
        <f>IF($A23=1,SUM($A$2:$A23),0)</f>
        <v/>
      </c>
    </row>
    <row r="24">
      <c r="A24">
        <f>IF(AND(OR(Query!$B$4="All",'Compliance Database'!$A24=Query!$B$4),OR(Query!$B$5="All",'Compliance Database'!$F24=Query!$B$5),OR(Query!$B$6="All",ISNUMBER(SEARCH(Query!$B$6,'Compliance Database'!$I24))),OR(Query!$B$7="All",ISNUMBER(SEARCH(Query!$B$7,'Compliance Database'!$J24))),OR(Query!$B$8="All",'Compliance Database'!$G24=Query!$B$8),OR(Query!$B$9="All",'Compliance Database'!$K24=Query!$B$9),OR(Query!$B$10="",ISNUMBER(SEARCH(Query!$B$10,'Compliance Database'!$D24&amp;" "&amp;'Compliance Database'!$L24&amp;" "&amp;'Compliance Database'!$M24&amp;" "&amp;'Compliance Database'!$N24&amp;" "&amp;'Compliance Database'!$O24)))),1,0)</f>
        <v/>
      </c>
      <c r="B24">
        <f>IF($A24=1,SUM($A$2:$A24),"")</f>
        <v/>
      </c>
      <c r="C24">
        <f>IF($A24=1,SUM($A$2:$A24),0)</f>
        <v/>
      </c>
    </row>
    <row r="25">
      <c r="A25">
        <f>IF(AND(OR(Query!$B$4="All",'Compliance Database'!$A25=Query!$B$4),OR(Query!$B$5="All",'Compliance Database'!$F25=Query!$B$5),OR(Query!$B$6="All",ISNUMBER(SEARCH(Query!$B$6,'Compliance Database'!$I25))),OR(Query!$B$7="All",ISNUMBER(SEARCH(Query!$B$7,'Compliance Database'!$J25))),OR(Query!$B$8="All",'Compliance Database'!$G25=Query!$B$8),OR(Query!$B$9="All",'Compliance Database'!$K25=Query!$B$9),OR(Query!$B$10="",ISNUMBER(SEARCH(Query!$B$10,'Compliance Database'!$D25&amp;" "&amp;'Compliance Database'!$L25&amp;" "&amp;'Compliance Database'!$M25&amp;" "&amp;'Compliance Database'!$N25&amp;" "&amp;'Compliance Database'!$O25)))),1,0)</f>
        <v/>
      </c>
      <c r="B25">
        <f>IF($A25=1,SUM($A$2:$A25),"")</f>
        <v/>
      </c>
      <c r="C25">
        <f>IF($A25=1,SUM($A$2:$A25),0)</f>
        <v/>
      </c>
    </row>
    <row r="26">
      <c r="A26">
        <f>IF(AND(OR(Query!$B$4="All",'Compliance Database'!$A26=Query!$B$4),OR(Query!$B$5="All",'Compliance Database'!$F26=Query!$B$5),OR(Query!$B$6="All",ISNUMBER(SEARCH(Query!$B$6,'Compliance Database'!$I26))),OR(Query!$B$7="All",ISNUMBER(SEARCH(Query!$B$7,'Compliance Database'!$J26))),OR(Query!$B$8="All",'Compliance Database'!$G26=Query!$B$8),OR(Query!$B$9="All",'Compliance Database'!$K26=Query!$B$9),OR(Query!$B$10="",ISNUMBER(SEARCH(Query!$B$10,'Compliance Database'!$D26&amp;" "&amp;'Compliance Database'!$L26&amp;" "&amp;'Compliance Database'!$M26&amp;" "&amp;'Compliance Database'!$N26&amp;" "&amp;'Compliance Database'!$O26)))),1,0)</f>
        <v/>
      </c>
      <c r="B26">
        <f>IF($A26=1,SUM($A$2:$A26),"")</f>
        <v/>
      </c>
      <c r="C26">
        <f>IF($A26=1,SUM($A$2:$A26),0)</f>
        <v/>
      </c>
    </row>
    <row r="27">
      <c r="A27">
        <f>IF(AND(OR(Query!$B$4="All",'Compliance Database'!$A27=Query!$B$4),OR(Query!$B$5="All",'Compliance Database'!$F27=Query!$B$5),OR(Query!$B$6="All",ISNUMBER(SEARCH(Query!$B$6,'Compliance Database'!$I27))),OR(Query!$B$7="All",ISNUMBER(SEARCH(Query!$B$7,'Compliance Database'!$J27))),OR(Query!$B$8="All",'Compliance Database'!$G27=Query!$B$8),OR(Query!$B$9="All",'Compliance Database'!$K27=Query!$B$9),OR(Query!$B$10="",ISNUMBER(SEARCH(Query!$B$10,'Compliance Database'!$D27&amp;" "&amp;'Compliance Database'!$L27&amp;" "&amp;'Compliance Database'!$M27&amp;" "&amp;'Compliance Database'!$N27&amp;" "&amp;'Compliance Database'!$O27)))),1,0)</f>
        <v/>
      </c>
      <c r="B27">
        <f>IF($A27=1,SUM($A$2:$A27),"")</f>
        <v/>
      </c>
      <c r="C27">
        <f>IF($A27=1,SUM($A$2:$A27),0)</f>
        <v/>
      </c>
    </row>
    <row r="28">
      <c r="A28">
        <f>IF(AND(OR(Query!$B$4="All",'Compliance Database'!$A28=Query!$B$4),OR(Query!$B$5="All",'Compliance Database'!$F28=Query!$B$5),OR(Query!$B$6="All",ISNUMBER(SEARCH(Query!$B$6,'Compliance Database'!$I28))),OR(Query!$B$7="All",ISNUMBER(SEARCH(Query!$B$7,'Compliance Database'!$J28))),OR(Query!$B$8="All",'Compliance Database'!$G28=Query!$B$8),OR(Query!$B$9="All",'Compliance Database'!$K28=Query!$B$9),OR(Query!$B$10="",ISNUMBER(SEARCH(Query!$B$10,'Compliance Database'!$D28&amp;" "&amp;'Compliance Database'!$L28&amp;" "&amp;'Compliance Database'!$M28&amp;" "&amp;'Compliance Database'!$N28&amp;" "&amp;'Compliance Database'!$O28)))),1,0)</f>
        <v/>
      </c>
      <c r="B28">
        <f>IF($A28=1,SUM($A$2:$A28),"")</f>
        <v/>
      </c>
      <c r="C28">
        <f>IF($A28=1,SUM($A$2:$A28),0)</f>
        <v/>
      </c>
    </row>
    <row r="29">
      <c r="A29">
        <f>IF(AND(OR(Query!$B$4="All",'Compliance Database'!$A29=Query!$B$4),OR(Query!$B$5="All",'Compliance Database'!$F29=Query!$B$5),OR(Query!$B$6="All",ISNUMBER(SEARCH(Query!$B$6,'Compliance Database'!$I29))),OR(Query!$B$7="All",ISNUMBER(SEARCH(Query!$B$7,'Compliance Database'!$J29))),OR(Query!$B$8="All",'Compliance Database'!$G29=Query!$B$8),OR(Query!$B$9="All",'Compliance Database'!$K29=Query!$B$9),OR(Query!$B$10="",ISNUMBER(SEARCH(Query!$B$10,'Compliance Database'!$D29&amp;" "&amp;'Compliance Database'!$L29&amp;" "&amp;'Compliance Database'!$M29&amp;" "&amp;'Compliance Database'!$N29&amp;" "&amp;'Compliance Database'!$O29)))),1,0)</f>
        <v/>
      </c>
      <c r="B29">
        <f>IF($A29=1,SUM($A$2:$A29),"")</f>
        <v/>
      </c>
      <c r="C29">
        <f>IF($A29=1,SUM($A$2:$A29),0)</f>
        <v/>
      </c>
    </row>
    <row r="30">
      <c r="A30">
        <f>IF(AND(OR(Query!$B$4="All",'Compliance Database'!$A30=Query!$B$4),OR(Query!$B$5="All",'Compliance Database'!$F30=Query!$B$5),OR(Query!$B$6="All",ISNUMBER(SEARCH(Query!$B$6,'Compliance Database'!$I30))),OR(Query!$B$7="All",ISNUMBER(SEARCH(Query!$B$7,'Compliance Database'!$J30))),OR(Query!$B$8="All",'Compliance Database'!$G30=Query!$B$8),OR(Query!$B$9="All",'Compliance Database'!$K30=Query!$B$9),OR(Query!$B$10="",ISNUMBER(SEARCH(Query!$B$10,'Compliance Database'!$D30&amp;" "&amp;'Compliance Database'!$L30&amp;" "&amp;'Compliance Database'!$M30&amp;" "&amp;'Compliance Database'!$N30&amp;" "&amp;'Compliance Database'!$O30)))),1,0)</f>
        <v/>
      </c>
      <c r="B30">
        <f>IF($A30=1,SUM($A$2:$A30),"")</f>
        <v/>
      </c>
      <c r="C30">
        <f>IF($A30=1,SUM($A$2:$A30),0)</f>
        <v/>
      </c>
    </row>
    <row r="31">
      <c r="A31">
        <f>IF(AND(OR(Query!$B$4="All",'Compliance Database'!$A31=Query!$B$4),OR(Query!$B$5="All",'Compliance Database'!$F31=Query!$B$5),OR(Query!$B$6="All",ISNUMBER(SEARCH(Query!$B$6,'Compliance Database'!$I31))),OR(Query!$B$7="All",ISNUMBER(SEARCH(Query!$B$7,'Compliance Database'!$J31))),OR(Query!$B$8="All",'Compliance Database'!$G31=Query!$B$8),OR(Query!$B$9="All",'Compliance Database'!$K31=Query!$B$9),OR(Query!$B$10="",ISNUMBER(SEARCH(Query!$B$10,'Compliance Database'!$D31&amp;" "&amp;'Compliance Database'!$L31&amp;" "&amp;'Compliance Database'!$M31&amp;" "&amp;'Compliance Database'!$N31&amp;" "&amp;'Compliance Database'!$O31)))),1,0)</f>
        <v/>
      </c>
      <c r="B31">
        <f>IF($A31=1,SUM($A$2:$A31),"")</f>
        <v/>
      </c>
      <c r="C31">
        <f>IF($A31=1,SUM($A$2:$A31),0)</f>
        <v/>
      </c>
    </row>
    <row r="32">
      <c r="A32">
        <f>IF(AND(OR(Query!$B$4="All",'Compliance Database'!$A32=Query!$B$4),OR(Query!$B$5="All",'Compliance Database'!$F32=Query!$B$5),OR(Query!$B$6="All",ISNUMBER(SEARCH(Query!$B$6,'Compliance Database'!$I32))),OR(Query!$B$7="All",ISNUMBER(SEARCH(Query!$B$7,'Compliance Database'!$J32))),OR(Query!$B$8="All",'Compliance Database'!$G32=Query!$B$8),OR(Query!$B$9="All",'Compliance Database'!$K32=Query!$B$9),OR(Query!$B$10="",ISNUMBER(SEARCH(Query!$B$10,'Compliance Database'!$D32&amp;" "&amp;'Compliance Database'!$L32&amp;" "&amp;'Compliance Database'!$M32&amp;" "&amp;'Compliance Database'!$N32&amp;" "&amp;'Compliance Database'!$O32)))),1,0)</f>
        <v/>
      </c>
      <c r="B32">
        <f>IF($A32=1,SUM($A$2:$A32),"")</f>
        <v/>
      </c>
      <c r="C32">
        <f>IF($A32=1,SUM($A$2:$A32),0)</f>
        <v/>
      </c>
    </row>
    <row r="33">
      <c r="A33">
        <f>IF(AND(OR(Query!$B$4="All",'Compliance Database'!$A33=Query!$B$4),OR(Query!$B$5="All",'Compliance Database'!$F33=Query!$B$5),OR(Query!$B$6="All",ISNUMBER(SEARCH(Query!$B$6,'Compliance Database'!$I33))),OR(Query!$B$7="All",ISNUMBER(SEARCH(Query!$B$7,'Compliance Database'!$J33))),OR(Query!$B$8="All",'Compliance Database'!$G33=Query!$B$8),OR(Query!$B$9="All",'Compliance Database'!$K33=Query!$B$9),OR(Query!$B$10="",ISNUMBER(SEARCH(Query!$B$10,'Compliance Database'!$D33&amp;" "&amp;'Compliance Database'!$L33&amp;" "&amp;'Compliance Database'!$M33&amp;" "&amp;'Compliance Database'!$N33&amp;" "&amp;'Compliance Database'!$O33)))),1,0)</f>
        <v/>
      </c>
      <c r="B33">
        <f>IF($A33=1,SUM($A$2:$A33),"")</f>
        <v/>
      </c>
      <c r="C33">
        <f>IF($A33=1,SUM($A$2:$A33),0)</f>
        <v/>
      </c>
    </row>
    <row r="34">
      <c r="A34">
        <f>IF(AND(OR(Query!$B$4="All",'Compliance Database'!$A34=Query!$B$4),OR(Query!$B$5="All",'Compliance Database'!$F34=Query!$B$5),OR(Query!$B$6="All",ISNUMBER(SEARCH(Query!$B$6,'Compliance Database'!$I34))),OR(Query!$B$7="All",ISNUMBER(SEARCH(Query!$B$7,'Compliance Database'!$J34))),OR(Query!$B$8="All",'Compliance Database'!$G34=Query!$B$8),OR(Query!$B$9="All",'Compliance Database'!$K34=Query!$B$9),OR(Query!$B$10="",ISNUMBER(SEARCH(Query!$B$10,'Compliance Database'!$D34&amp;" "&amp;'Compliance Database'!$L34&amp;" "&amp;'Compliance Database'!$M34&amp;" "&amp;'Compliance Database'!$N34&amp;" "&amp;'Compliance Database'!$O34)))),1,0)</f>
        <v/>
      </c>
      <c r="B34">
        <f>IF($A34=1,SUM($A$2:$A34),"")</f>
        <v/>
      </c>
      <c r="C34">
        <f>IF($A34=1,SUM($A$2:$A34),0)</f>
        <v/>
      </c>
    </row>
    <row r="35">
      <c r="A35">
        <f>IF(AND(OR(Query!$B$4="All",'Compliance Database'!$A35=Query!$B$4),OR(Query!$B$5="All",'Compliance Database'!$F35=Query!$B$5),OR(Query!$B$6="All",ISNUMBER(SEARCH(Query!$B$6,'Compliance Database'!$I35))),OR(Query!$B$7="All",ISNUMBER(SEARCH(Query!$B$7,'Compliance Database'!$J35))),OR(Query!$B$8="All",'Compliance Database'!$G35=Query!$B$8),OR(Query!$B$9="All",'Compliance Database'!$K35=Query!$B$9),OR(Query!$B$10="",ISNUMBER(SEARCH(Query!$B$10,'Compliance Database'!$D35&amp;" "&amp;'Compliance Database'!$L35&amp;" "&amp;'Compliance Database'!$M35&amp;" "&amp;'Compliance Database'!$N35&amp;" "&amp;'Compliance Database'!$O35)))),1,0)</f>
        <v/>
      </c>
      <c r="B35">
        <f>IF($A35=1,SUM($A$2:$A35),"")</f>
        <v/>
      </c>
      <c r="C35">
        <f>IF($A35=1,SUM($A$2:$A35),0)</f>
        <v/>
      </c>
    </row>
    <row r="36">
      <c r="A36">
        <f>IF(AND(OR(Query!$B$4="All",'Compliance Database'!$A36=Query!$B$4),OR(Query!$B$5="All",'Compliance Database'!$F36=Query!$B$5),OR(Query!$B$6="All",ISNUMBER(SEARCH(Query!$B$6,'Compliance Database'!$I36))),OR(Query!$B$7="All",ISNUMBER(SEARCH(Query!$B$7,'Compliance Database'!$J36))),OR(Query!$B$8="All",'Compliance Database'!$G36=Query!$B$8),OR(Query!$B$9="All",'Compliance Database'!$K36=Query!$B$9),OR(Query!$B$10="",ISNUMBER(SEARCH(Query!$B$10,'Compliance Database'!$D36&amp;" "&amp;'Compliance Database'!$L36&amp;" "&amp;'Compliance Database'!$M36&amp;" "&amp;'Compliance Database'!$N36&amp;" "&amp;'Compliance Database'!$O36)))),1,0)</f>
        <v/>
      </c>
      <c r="B36">
        <f>IF($A36=1,SUM($A$2:$A36),"")</f>
        <v/>
      </c>
      <c r="C36">
        <f>IF($A36=1,SUM($A$2:$A36),0)</f>
        <v/>
      </c>
    </row>
    <row r="37">
      <c r="A37">
        <f>IF(AND(OR(Query!$B$4="All",'Compliance Database'!$A37=Query!$B$4),OR(Query!$B$5="All",'Compliance Database'!$F37=Query!$B$5),OR(Query!$B$6="All",ISNUMBER(SEARCH(Query!$B$6,'Compliance Database'!$I37))),OR(Query!$B$7="All",ISNUMBER(SEARCH(Query!$B$7,'Compliance Database'!$J37))),OR(Query!$B$8="All",'Compliance Database'!$G37=Query!$B$8),OR(Query!$B$9="All",'Compliance Database'!$K37=Query!$B$9),OR(Query!$B$10="",ISNUMBER(SEARCH(Query!$B$10,'Compliance Database'!$D37&amp;" "&amp;'Compliance Database'!$L37&amp;" "&amp;'Compliance Database'!$M37&amp;" "&amp;'Compliance Database'!$N37&amp;" "&amp;'Compliance Database'!$O37)))),1,0)</f>
        <v/>
      </c>
      <c r="B37">
        <f>IF($A37=1,SUM($A$2:$A37),"")</f>
        <v/>
      </c>
      <c r="C37">
        <f>IF($A37=1,SUM($A$2:$A37),0)</f>
        <v/>
      </c>
    </row>
    <row r="38">
      <c r="A38">
        <f>IF(AND(OR(Query!$B$4="All",'Compliance Database'!$A38=Query!$B$4),OR(Query!$B$5="All",'Compliance Database'!$F38=Query!$B$5),OR(Query!$B$6="All",ISNUMBER(SEARCH(Query!$B$6,'Compliance Database'!$I38))),OR(Query!$B$7="All",ISNUMBER(SEARCH(Query!$B$7,'Compliance Database'!$J38))),OR(Query!$B$8="All",'Compliance Database'!$G38=Query!$B$8),OR(Query!$B$9="All",'Compliance Database'!$K38=Query!$B$9),OR(Query!$B$10="",ISNUMBER(SEARCH(Query!$B$10,'Compliance Database'!$D38&amp;" "&amp;'Compliance Database'!$L38&amp;" "&amp;'Compliance Database'!$M38&amp;" "&amp;'Compliance Database'!$N38&amp;" "&amp;'Compliance Database'!$O38)))),1,0)</f>
        <v/>
      </c>
      <c r="B38">
        <f>IF($A38=1,SUM($A$2:$A38),"")</f>
        <v/>
      </c>
      <c r="C38">
        <f>IF($A38=1,SUM($A$2:$A38),0)</f>
        <v/>
      </c>
    </row>
    <row r="39">
      <c r="A39">
        <f>IF(AND(OR(Query!$B$4="All",'Compliance Database'!$A39=Query!$B$4),OR(Query!$B$5="All",'Compliance Database'!$F39=Query!$B$5),OR(Query!$B$6="All",ISNUMBER(SEARCH(Query!$B$6,'Compliance Database'!$I39))),OR(Query!$B$7="All",ISNUMBER(SEARCH(Query!$B$7,'Compliance Database'!$J39))),OR(Query!$B$8="All",'Compliance Database'!$G39=Query!$B$8),OR(Query!$B$9="All",'Compliance Database'!$K39=Query!$B$9),OR(Query!$B$10="",ISNUMBER(SEARCH(Query!$B$10,'Compliance Database'!$D39&amp;" "&amp;'Compliance Database'!$L39&amp;" "&amp;'Compliance Database'!$M39&amp;" "&amp;'Compliance Database'!$N39&amp;" "&amp;'Compliance Database'!$O39)))),1,0)</f>
        <v/>
      </c>
      <c r="B39">
        <f>IF($A39=1,SUM($A$2:$A39),"")</f>
        <v/>
      </c>
      <c r="C39">
        <f>IF($A39=1,SUM($A$2:$A39),0)</f>
        <v/>
      </c>
    </row>
    <row r="40">
      <c r="A40">
        <f>IF(AND(OR(Query!$B$4="All",'Compliance Database'!$A40=Query!$B$4),OR(Query!$B$5="All",'Compliance Database'!$F40=Query!$B$5),OR(Query!$B$6="All",ISNUMBER(SEARCH(Query!$B$6,'Compliance Database'!$I40))),OR(Query!$B$7="All",ISNUMBER(SEARCH(Query!$B$7,'Compliance Database'!$J40))),OR(Query!$B$8="All",'Compliance Database'!$G40=Query!$B$8),OR(Query!$B$9="All",'Compliance Database'!$K40=Query!$B$9),OR(Query!$B$10="",ISNUMBER(SEARCH(Query!$B$10,'Compliance Database'!$D40&amp;" "&amp;'Compliance Database'!$L40&amp;" "&amp;'Compliance Database'!$M40&amp;" "&amp;'Compliance Database'!$N40&amp;" "&amp;'Compliance Database'!$O40)))),1,0)</f>
        <v/>
      </c>
      <c r="B40">
        <f>IF($A40=1,SUM($A$2:$A40),"")</f>
        <v/>
      </c>
      <c r="C40">
        <f>IF($A40=1,SUM($A$2:$A40),0)</f>
        <v/>
      </c>
    </row>
    <row r="41">
      <c r="A41">
        <f>IF(AND(OR(Query!$B$4="All",'Compliance Database'!$A41=Query!$B$4),OR(Query!$B$5="All",'Compliance Database'!$F41=Query!$B$5),OR(Query!$B$6="All",ISNUMBER(SEARCH(Query!$B$6,'Compliance Database'!$I41))),OR(Query!$B$7="All",ISNUMBER(SEARCH(Query!$B$7,'Compliance Database'!$J41))),OR(Query!$B$8="All",'Compliance Database'!$G41=Query!$B$8),OR(Query!$B$9="All",'Compliance Database'!$K41=Query!$B$9),OR(Query!$B$10="",ISNUMBER(SEARCH(Query!$B$10,'Compliance Database'!$D41&amp;" "&amp;'Compliance Database'!$L41&amp;" "&amp;'Compliance Database'!$M41&amp;" "&amp;'Compliance Database'!$N41&amp;" "&amp;'Compliance Database'!$O41)))),1,0)</f>
        <v/>
      </c>
      <c r="B41">
        <f>IF($A41=1,SUM($A$2:$A41),"")</f>
        <v/>
      </c>
      <c r="C41">
        <f>IF($A41=1,SUM($A$2:$A41),0)</f>
        <v/>
      </c>
    </row>
    <row r="42">
      <c r="A42">
        <f>IF(AND(OR(Query!$B$4="All",'Compliance Database'!$A42=Query!$B$4),OR(Query!$B$5="All",'Compliance Database'!$F42=Query!$B$5),OR(Query!$B$6="All",ISNUMBER(SEARCH(Query!$B$6,'Compliance Database'!$I42))),OR(Query!$B$7="All",ISNUMBER(SEARCH(Query!$B$7,'Compliance Database'!$J42))),OR(Query!$B$8="All",'Compliance Database'!$G42=Query!$B$8),OR(Query!$B$9="All",'Compliance Database'!$K42=Query!$B$9),OR(Query!$B$10="",ISNUMBER(SEARCH(Query!$B$10,'Compliance Database'!$D42&amp;" "&amp;'Compliance Database'!$L42&amp;" "&amp;'Compliance Database'!$M42&amp;" "&amp;'Compliance Database'!$N42&amp;" "&amp;'Compliance Database'!$O42)))),1,0)</f>
        <v/>
      </c>
      <c r="B42">
        <f>IF($A42=1,SUM($A$2:$A42),"")</f>
        <v/>
      </c>
      <c r="C42">
        <f>IF($A42=1,SUM($A$2:$A42),0)</f>
        <v/>
      </c>
    </row>
    <row r="43">
      <c r="A43">
        <f>IF(AND(OR(Query!$B$4="All",'Compliance Database'!$A43=Query!$B$4),OR(Query!$B$5="All",'Compliance Database'!$F43=Query!$B$5),OR(Query!$B$6="All",ISNUMBER(SEARCH(Query!$B$6,'Compliance Database'!$I43))),OR(Query!$B$7="All",ISNUMBER(SEARCH(Query!$B$7,'Compliance Database'!$J43))),OR(Query!$B$8="All",'Compliance Database'!$G43=Query!$B$8),OR(Query!$B$9="All",'Compliance Database'!$K43=Query!$B$9),OR(Query!$B$10="",ISNUMBER(SEARCH(Query!$B$10,'Compliance Database'!$D43&amp;" "&amp;'Compliance Database'!$L43&amp;" "&amp;'Compliance Database'!$M43&amp;" "&amp;'Compliance Database'!$N43&amp;" "&amp;'Compliance Database'!$O43)))),1,0)</f>
        <v/>
      </c>
      <c r="B43">
        <f>IF($A43=1,SUM($A$2:$A43),"")</f>
        <v/>
      </c>
      <c r="C43">
        <f>IF($A43=1,SUM($A$2:$A43),0)</f>
        <v/>
      </c>
    </row>
    <row r="44">
      <c r="A44">
        <f>IF(AND(OR(Query!$B$4="All",'Compliance Database'!$A44=Query!$B$4),OR(Query!$B$5="All",'Compliance Database'!$F44=Query!$B$5),OR(Query!$B$6="All",ISNUMBER(SEARCH(Query!$B$6,'Compliance Database'!$I44))),OR(Query!$B$7="All",ISNUMBER(SEARCH(Query!$B$7,'Compliance Database'!$J44))),OR(Query!$B$8="All",'Compliance Database'!$G44=Query!$B$8),OR(Query!$B$9="All",'Compliance Database'!$K44=Query!$B$9),OR(Query!$B$10="",ISNUMBER(SEARCH(Query!$B$10,'Compliance Database'!$D44&amp;" "&amp;'Compliance Database'!$L44&amp;" "&amp;'Compliance Database'!$M44&amp;" "&amp;'Compliance Database'!$N44&amp;" "&amp;'Compliance Database'!$O44)))),1,0)</f>
        <v/>
      </c>
      <c r="B44">
        <f>IF($A44=1,SUM($A$2:$A44),"")</f>
        <v/>
      </c>
      <c r="C44">
        <f>IF($A44=1,SUM($A$2:$A44),0)</f>
        <v/>
      </c>
    </row>
    <row r="45">
      <c r="A45">
        <f>IF(AND(OR(Query!$B$4="All",'Compliance Database'!$A45=Query!$B$4),OR(Query!$B$5="All",'Compliance Database'!$F45=Query!$B$5),OR(Query!$B$6="All",ISNUMBER(SEARCH(Query!$B$6,'Compliance Database'!$I45))),OR(Query!$B$7="All",ISNUMBER(SEARCH(Query!$B$7,'Compliance Database'!$J45))),OR(Query!$B$8="All",'Compliance Database'!$G45=Query!$B$8),OR(Query!$B$9="All",'Compliance Database'!$K45=Query!$B$9),OR(Query!$B$10="",ISNUMBER(SEARCH(Query!$B$10,'Compliance Database'!$D45&amp;" "&amp;'Compliance Database'!$L45&amp;" "&amp;'Compliance Database'!$M45&amp;" "&amp;'Compliance Database'!$N45&amp;" "&amp;'Compliance Database'!$O45)))),1,0)</f>
        <v/>
      </c>
      <c r="B45">
        <f>IF($A45=1,SUM($A$2:$A45),"")</f>
        <v/>
      </c>
      <c r="C45">
        <f>IF($A45=1,SUM($A$2:$A45),0)</f>
        <v/>
      </c>
    </row>
    <row r="46">
      <c r="A46">
        <f>IF(AND(OR(Query!$B$4="All",'Compliance Database'!$A46=Query!$B$4),OR(Query!$B$5="All",'Compliance Database'!$F46=Query!$B$5),OR(Query!$B$6="All",ISNUMBER(SEARCH(Query!$B$6,'Compliance Database'!$I46))),OR(Query!$B$7="All",ISNUMBER(SEARCH(Query!$B$7,'Compliance Database'!$J46))),OR(Query!$B$8="All",'Compliance Database'!$G46=Query!$B$8),OR(Query!$B$9="All",'Compliance Database'!$K46=Query!$B$9),OR(Query!$B$10="",ISNUMBER(SEARCH(Query!$B$10,'Compliance Database'!$D46&amp;" "&amp;'Compliance Database'!$L46&amp;" "&amp;'Compliance Database'!$M46&amp;" "&amp;'Compliance Database'!$N46&amp;" "&amp;'Compliance Database'!$O46)))),1,0)</f>
        <v/>
      </c>
      <c r="B46">
        <f>IF($A46=1,SUM($A$2:$A46),"")</f>
        <v/>
      </c>
      <c r="C46">
        <f>IF($A46=1,SUM($A$2:$A46),0)</f>
        <v/>
      </c>
    </row>
    <row r="47">
      <c r="A47">
        <f>IF(AND(OR(Query!$B$4="All",'Compliance Database'!$A47=Query!$B$4),OR(Query!$B$5="All",'Compliance Database'!$F47=Query!$B$5),OR(Query!$B$6="All",ISNUMBER(SEARCH(Query!$B$6,'Compliance Database'!$I47))),OR(Query!$B$7="All",ISNUMBER(SEARCH(Query!$B$7,'Compliance Database'!$J47))),OR(Query!$B$8="All",'Compliance Database'!$G47=Query!$B$8),OR(Query!$B$9="All",'Compliance Database'!$K47=Query!$B$9),OR(Query!$B$10="",ISNUMBER(SEARCH(Query!$B$10,'Compliance Database'!$D47&amp;" "&amp;'Compliance Database'!$L47&amp;" "&amp;'Compliance Database'!$M47&amp;" "&amp;'Compliance Database'!$N47&amp;" "&amp;'Compliance Database'!$O47)))),1,0)</f>
        <v/>
      </c>
      <c r="B47">
        <f>IF($A47=1,SUM($A$2:$A47),"")</f>
        <v/>
      </c>
      <c r="C47">
        <f>IF($A47=1,SUM($A$2:$A47),0)</f>
        <v/>
      </c>
    </row>
    <row r="48">
      <c r="A48">
        <f>IF(AND(OR(Query!$B$4="All",'Compliance Database'!$A48=Query!$B$4),OR(Query!$B$5="All",'Compliance Database'!$F48=Query!$B$5),OR(Query!$B$6="All",ISNUMBER(SEARCH(Query!$B$6,'Compliance Database'!$I48))),OR(Query!$B$7="All",ISNUMBER(SEARCH(Query!$B$7,'Compliance Database'!$J48))),OR(Query!$B$8="All",'Compliance Database'!$G48=Query!$B$8),OR(Query!$B$9="All",'Compliance Database'!$K48=Query!$B$9),OR(Query!$B$10="",ISNUMBER(SEARCH(Query!$B$10,'Compliance Database'!$D48&amp;" "&amp;'Compliance Database'!$L48&amp;" "&amp;'Compliance Database'!$M48&amp;" "&amp;'Compliance Database'!$N48&amp;" "&amp;'Compliance Database'!$O48)))),1,0)</f>
        <v/>
      </c>
      <c r="B48">
        <f>IF($A48=1,SUM($A$2:$A48),"")</f>
        <v/>
      </c>
      <c r="C48">
        <f>IF($A48=1,SUM($A$2:$A48),0)</f>
        <v/>
      </c>
    </row>
    <row r="49">
      <c r="A49">
        <f>IF(AND(OR(Query!$B$4="All",'Compliance Database'!$A49=Query!$B$4),OR(Query!$B$5="All",'Compliance Database'!$F49=Query!$B$5),OR(Query!$B$6="All",ISNUMBER(SEARCH(Query!$B$6,'Compliance Database'!$I49))),OR(Query!$B$7="All",ISNUMBER(SEARCH(Query!$B$7,'Compliance Database'!$J49))),OR(Query!$B$8="All",'Compliance Database'!$G49=Query!$B$8),OR(Query!$B$9="All",'Compliance Database'!$K49=Query!$B$9),OR(Query!$B$10="",ISNUMBER(SEARCH(Query!$B$10,'Compliance Database'!$D49&amp;" "&amp;'Compliance Database'!$L49&amp;" "&amp;'Compliance Database'!$M49&amp;" "&amp;'Compliance Database'!$N49&amp;" "&amp;'Compliance Database'!$O49)))),1,0)</f>
        <v/>
      </c>
      <c r="B49">
        <f>IF($A49=1,SUM($A$2:$A49),"")</f>
        <v/>
      </c>
      <c r="C49">
        <f>IF($A49=1,SUM($A$2:$A49),0)</f>
        <v/>
      </c>
    </row>
    <row r="50">
      <c r="A50">
        <f>IF(AND(OR(Query!$B$4="All",'Compliance Database'!$A50=Query!$B$4),OR(Query!$B$5="All",'Compliance Database'!$F50=Query!$B$5),OR(Query!$B$6="All",ISNUMBER(SEARCH(Query!$B$6,'Compliance Database'!$I50))),OR(Query!$B$7="All",ISNUMBER(SEARCH(Query!$B$7,'Compliance Database'!$J50))),OR(Query!$B$8="All",'Compliance Database'!$G50=Query!$B$8),OR(Query!$B$9="All",'Compliance Database'!$K50=Query!$B$9),OR(Query!$B$10="",ISNUMBER(SEARCH(Query!$B$10,'Compliance Database'!$D50&amp;" "&amp;'Compliance Database'!$L50&amp;" "&amp;'Compliance Database'!$M50&amp;" "&amp;'Compliance Database'!$N50&amp;" "&amp;'Compliance Database'!$O50)))),1,0)</f>
        <v/>
      </c>
      <c r="B50">
        <f>IF($A50=1,SUM($A$2:$A50),"")</f>
        <v/>
      </c>
      <c r="C50">
        <f>IF($A50=1,SUM($A$2:$A50),0)</f>
        <v/>
      </c>
    </row>
    <row r="51">
      <c r="A51">
        <f>IF(AND(OR(Query!$B$4="All",'Compliance Database'!$A51=Query!$B$4),OR(Query!$B$5="All",'Compliance Database'!$F51=Query!$B$5),OR(Query!$B$6="All",ISNUMBER(SEARCH(Query!$B$6,'Compliance Database'!$I51))),OR(Query!$B$7="All",ISNUMBER(SEARCH(Query!$B$7,'Compliance Database'!$J51))),OR(Query!$B$8="All",'Compliance Database'!$G51=Query!$B$8),OR(Query!$B$9="All",'Compliance Database'!$K51=Query!$B$9),OR(Query!$B$10="",ISNUMBER(SEARCH(Query!$B$10,'Compliance Database'!$D51&amp;" "&amp;'Compliance Database'!$L51&amp;" "&amp;'Compliance Database'!$M51&amp;" "&amp;'Compliance Database'!$N51&amp;" "&amp;'Compliance Database'!$O51)))),1,0)</f>
        <v/>
      </c>
      <c r="B51">
        <f>IF($A51=1,SUM($A$2:$A51),"")</f>
        <v/>
      </c>
      <c r="C51">
        <f>IF($A51=1,SUM($A$2:$A51),0)</f>
        <v/>
      </c>
    </row>
    <row r="52">
      <c r="A52">
        <f>IF(AND(OR(Query!$B$4="All",'Compliance Database'!$A52=Query!$B$4),OR(Query!$B$5="All",'Compliance Database'!$F52=Query!$B$5),OR(Query!$B$6="All",ISNUMBER(SEARCH(Query!$B$6,'Compliance Database'!$I52))),OR(Query!$B$7="All",ISNUMBER(SEARCH(Query!$B$7,'Compliance Database'!$J52))),OR(Query!$B$8="All",'Compliance Database'!$G52=Query!$B$8),OR(Query!$B$9="All",'Compliance Database'!$K52=Query!$B$9),OR(Query!$B$10="",ISNUMBER(SEARCH(Query!$B$10,'Compliance Database'!$D52&amp;" "&amp;'Compliance Database'!$L52&amp;" "&amp;'Compliance Database'!$M52&amp;" "&amp;'Compliance Database'!$N52&amp;" "&amp;'Compliance Database'!$O52)))),1,0)</f>
        <v/>
      </c>
      <c r="B52">
        <f>IF($A52=1,SUM($A$2:$A52),"")</f>
        <v/>
      </c>
      <c r="C52">
        <f>IF($A52=1,SUM($A$2:$A52),0)</f>
        <v/>
      </c>
    </row>
    <row r="53">
      <c r="A53">
        <f>IF(AND(OR(Query!$B$4="All",'Compliance Database'!$A53=Query!$B$4),OR(Query!$B$5="All",'Compliance Database'!$F53=Query!$B$5),OR(Query!$B$6="All",ISNUMBER(SEARCH(Query!$B$6,'Compliance Database'!$I53))),OR(Query!$B$7="All",ISNUMBER(SEARCH(Query!$B$7,'Compliance Database'!$J53))),OR(Query!$B$8="All",'Compliance Database'!$G53=Query!$B$8),OR(Query!$B$9="All",'Compliance Database'!$K53=Query!$B$9),OR(Query!$B$10="",ISNUMBER(SEARCH(Query!$B$10,'Compliance Database'!$D53&amp;" "&amp;'Compliance Database'!$L53&amp;" "&amp;'Compliance Database'!$M53&amp;" "&amp;'Compliance Database'!$N53&amp;" "&amp;'Compliance Database'!$O53)))),1,0)</f>
        <v/>
      </c>
      <c r="B53">
        <f>IF($A53=1,SUM($A$2:$A53),"")</f>
        <v/>
      </c>
      <c r="C53">
        <f>IF($A53=1,SUM($A$2:$A53),0)</f>
        <v/>
      </c>
    </row>
    <row r="54">
      <c r="A54">
        <f>IF(AND(OR(Query!$B$4="All",'Compliance Database'!$A54=Query!$B$4),OR(Query!$B$5="All",'Compliance Database'!$F54=Query!$B$5),OR(Query!$B$6="All",ISNUMBER(SEARCH(Query!$B$6,'Compliance Database'!$I54))),OR(Query!$B$7="All",ISNUMBER(SEARCH(Query!$B$7,'Compliance Database'!$J54))),OR(Query!$B$8="All",'Compliance Database'!$G54=Query!$B$8),OR(Query!$B$9="All",'Compliance Database'!$K54=Query!$B$9),OR(Query!$B$10="",ISNUMBER(SEARCH(Query!$B$10,'Compliance Database'!$D54&amp;" "&amp;'Compliance Database'!$L54&amp;" "&amp;'Compliance Database'!$M54&amp;" "&amp;'Compliance Database'!$N54&amp;" "&amp;'Compliance Database'!$O54)))),1,0)</f>
        <v/>
      </c>
      <c r="B54">
        <f>IF($A54=1,SUM($A$2:$A54),"")</f>
        <v/>
      </c>
      <c r="C54">
        <f>IF($A54=1,SUM($A$2:$A54),0)</f>
        <v/>
      </c>
    </row>
    <row r="55">
      <c r="A55">
        <f>IF(AND(OR(Query!$B$4="All",'Compliance Database'!$A55=Query!$B$4),OR(Query!$B$5="All",'Compliance Database'!$F55=Query!$B$5),OR(Query!$B$6="All",ISNUMBER(SEARCH(Query!$B$6,'Compliance Database'!$I55))),OR(Query!$B$7="All",ISNUMBER(SEARCH(Query!$B$7,'Compliance Database'!$J55))),OR(Query!$B$8="All",'Compliance Database'!$G55=Query!$B$8),OR(Query!$B$9="All",'Compliance Database'!$K55=Query!$B$9),OR(Query!$B$10="",ISNUMBER(SEARCH(Query!$B$10,'Compliance Database'!$D55&amp;" "&amp;'Compliance Database'!$L55&amp;" "&amp;'Compliance Database'!$M55&amp;" "&amp;'Compliance Database'!$N55&amp;" "&amp;'Compliance Database'!$O55)))),1,0)</f>
        <v/>
      </c>
      <c r="B55">
        <f>IF($A55=1,SUM($A$2:$A55),"")</f>
        <v/>
      </c>
      <c r="C55">
        <f>IF($A55=1,SUM($A$2:$A55),0)</f>
        <v/>
      </c>
    </row>
    <row r="56">
      <c r="A56">
        <f>IF(AND(OR(Query!$B$4="All",'Compliance Database'!$A56=Query!$B$4),OR(Query!$B$5="All",'Compliance Database'!$F56=Query!$B$5),OR(Query!$B$6="All",ISNUMBER(SEARCH(Query!$B$6,'Compliance Database'!$I56))),OR(Query!$B$7="All",ISNUMBER(SEARCH(Query!$B$7,'Compliance Database'!$J56))),OR(Query!$B$8="All",'Compliance Database'!$G56=Query!$B$8),OR(Query!$B$9="All",'Compliance Database'!$K56=Query!$B$9),OR(Query!$B$10="",ISNUMBER(SEARCH(Query!$B$10,'Compliance Database'!$D56&amp;" "&amp;'Compliance Database'!$L56&amp;" "&amp;'Compliance Database'!$M56&amp;" "&amp;'Compliance Database'!$N56&amp;" "&amp;'Compliance Database'!$O56)))),1,0)</f>
        <v/>
      </c>
      <c r="B56">
        <f>IF($A56=1,SUM($A$2:$A56),"")</f>
        <v/>
      </c>
      <c r="C56">
        <f>IF($A56=1,SUM($A$2:$A56),0)</f>
        <v/>
      </c>
    </row>
    <row r="57">
      <c r="A57">
        <f>IF(AND(OR(Query!$B$4="All",'Compliance Database'!$A57=Query!$B$4),OR(Query!$B$5="All",'Compliance Database'!$F57=Query!$B$5),OR(Query!$B$6="All",ISNUMBER(SEARCH(Query!$B$6,'Compliance Database'!$I57))),OR(Query!$B$7="All",ISNUMBER(SEARCH(Query!$B$7,'Compliance Database'!$J57))),OR(Query!$B$8="All",'Compliance Database'!$G57=Query!$B$8),OR(Query!$B$9="All",'Compliance Database'!$K57=Query!$B$9),OR(Query!$B$10="",ISNUMBER(SEARCH(Query!$B$10,'Compliance Database'!$D57&amp;" "&amp;'Compliance Database'!$L57&amp;" "&amp;'Compliance Database'!$M57&amp;" "&amp;'Compliance Database'!$N57&amp;" "&amp;'Compliance Database'!$O57)))),1,0)</f>
        <v/>
      </c>
      <c r="B57">
        <f>IF($A57=1,SUM($A$2:$A57),"")</f>
        <v/>
      </c>
      <c r="C57">
        <f>IF($A57=1,SUM($A$2:$A57),0)</f>
        <v/>
      </c>
    </row>
    <row r="58">
      <c r="A58">
        <f>IF(AND(OR(Query!$B$4="All",'Compliance Database'!$A58=Query!$B$4),OR(Query!$B$5="All",'Compliance Database'!$F58=Query!$B$5),OR(Query!$B$6="All",ISNUMBER(SEARCH(Query!$B$6,'Compliance Database'!$I58))),OR(Query!$B$7="All",ISNUMBER(SEARCH(Query!$B$7,'Compliance Database'!$J58))),OR(Query!$B$8="All",'Compliance Database'!$G58=Query!$B$8),OR(Query!$B$9="All",'Compliance Database'!$K58=Query!$B$9),OR(Query!$B$10="",ISNUMBER(SEARCH(Query!$B$10,'Compliance Database'!$D58&amp;" "&amp;'Compliance Database'!$L58&amp;" "&amp;'Compliance Database'!$M58&amp;" "&amp;'Compliance Database'!$N58&amp;" "&amp;'Compliance Database'!$O58)))),1,0)</f>
        <v/>
      </c>
      <c r="B58">
        <f>IF($A58=1,SUM($A$2:$A58),"")</f>
        <v/>
      </c>
      <c r="C58">
        <f>IF($A58=1,SUM($A$2:$A58),0)</f>
        <v/>
      </c>
    </row>
    <row r="59">
      <c r="A59">
        <f>IF(AND(OR(Query!$B$4="All",'Compliance Database'!$A59=Query!$B$4),OR(Query!$B$5="All",'Compliance Database'!$F59=Query!$B$5),OR(Query!$B$6="All",ISNUMBER(SEARCH(Query!$B$6,'Compliance Database'!$I59))),OR(Query!$B$7="All",ISNUMBER(SEARCH(Query!$B$7,'Compliance Database'!$J59))),OR(Query!$B$8="All",'Compliance Database'!$G59=Query!$B$8),OR(Query!$B$9="All",'Compliance Database'!$K59=Query!$B$9),OR(Query!$B$10="",ISNUMBER(SEARCH(Query!$B$10,'Compliance Database'!$D59&amp;" "&amp;'Compliance Database'!$L59&amp;" "&amp;'Compliance Database'!$M59&amp;" "&amp;'Compliance Database'!$N59&amp;" "&amp;'Compliance Database'!$O59)))),1,0)</f>
        <v/>
      </c>
      <c r="B59">
        <f>IF($A59=1,SUM($A$2:$A59),"")</f>
        <v/>
      </c>
      <c r="C59">
        <f>IF($A59=1,SUM($A$2:$A59),0)</f>
        <v/>
      </c>
    </row>
    <row r="60">
      <c r="A60">
        <f>IF(AND(OR(Query!$B$4="All",'Compliance Database'!$A60=Query!$B$4),OR(Query!$B$5="All",'Compliance Database'!$F60=Query!$B$5),OR(Query!$B$6="All",ISNUMBER(SEARCH(Query!$B$6,'Compliance Database'!$I60))),OR(Query!$B$7="All",ISNUMBER(SEARCH(Query!$B$7,'Compliance Database'!$J60))),OR(Query!$B$8="All",'Compliance Database'!$G60=Query!$B$8),OR(Query!$B$9="All",'Compliance Database'!$K60=Query!$B$9),OR(Query!$B$10="",ISNUMBER(SEARCH(Query!$B$10,'Compliance Database'!$D60&amp;" "&amp;'Compliance Database'!$L60&amp;" "&amp;'Compliance Database'!$M60&amp;" "&amp;'Compliance Database'!$N60&amp;" "&amp;'Compliance Database'!$O60)))),1,0)</f>
        <v/>
      </c>
      <c r="B60">
        <f>IF($A60=1,SUM($A$2:$A60),"")</f>
        <v/>
      </c>
      <c r="C60">
        <f>IF($A60=1,SUM($A$2:$A60),0)</f>
        <v/>
      </c>
    </row>
    <row r="61">
      <c r="A61">
        <f>IF(AND(OR(Query!$B$4="All",'Compliance Database'!$A61=Query!$B$4),OR(Query!$B$5="All",'Compliance Database'!$F61=Query!$B$5),OR(Query!$B$6="All",ISNUMBER(SEARCH(Query!$B$6,'Compliance Database'!$I61))),OR(Query!$B$7="All",ISNUMBER(SEARCH(Query!$B$7,'Compliance Database'!$J61))),OR(Query!$B$8="All",'Compliance Database'!$G61=Query!$B$8),OR(Query!$B$9="All",'Compliance Database'!$K61=Query!$B$9),OR(Query!$B$10="",ISNUMBER(SEARCH(Query!$B$10,'Compliance Database'!$D61&amp;" "&amp;'Compliance Database'!$L61&amp;" "&amp;'Compliance Database'!$M61&amp;" "&amp;'Compliance Database'!$N61&amp;" "&amp;'Compliance Database'!$O61)))),1,0)</f>
        <v/>
      </c>
      <c r="B61">
        <f>IF($A61=1,SUM($A$2:$A61),"")</f>
        <v/>
      </c>
      <c r="C61">
        <f>IF($A61=1,SUM($A$2:$A61),0)</f>
        <v/>
      </c>
    </row>
    <row r="62">
      <c r="A62">
        <f>IF(AND(OR(Query!$B$4="All",'Compliance Database'!$A62=Query!$B$4),OR(Query!$B$5="All",'Compliance Database'!$F62=Query!$B$5),OR(Query!$B$6="All",ISNUMBER(SEARCH(Query!$B$6,'Compliance Database'!$I62))),OR(Query!$B$7="All",ISNUMBER(SEARCH(Query!$B$7,'Compliance Database'!$J62))),OR(Query!$B$8="All",'Compliance Database'!$G62=Query!$B$8),OR(Query!$B$9="All",'Compliance Database'!$K62=Query!$B$9),OR(Query!$B$10="",ISNUMBER(SEARCH(Query!$B$10,'Compliance Database'!$D62&amp;" "&amp;'Compliance Database'!$L62&amp;" "&amp;'Compliance Database'!$M62&amp;" "&amp;'Compliance Database'!$N62&amp;" "&amp;'Compliance Database'!$O62)))),1,0)</f>
        <v/>
      </c>
      <c r="B62">
        <f>IF($A62=1,SUM($A$2:$A62),"")</f>
        <v/>
      </c>
      <c r="C62">
        <f>IF($A62=1,SUM($A$2:$A62),0)</f>
        <v/>
      </c>
    </row>
    <row r="63">
      <c r="A63">
        <f>IF(AND(OR(Query!$B$4="All",'Compliance Database'!$A63=Query!$B$4),OR(Query!$B$5="All",'Compliance Database'!$F63=Query!$B$5),OR(Query!$B$6="All",ISNUMBER(SEARCH(Query!$B$6,'Compliance Database'!$I63))),OR(Query!$B$7="All",ISNUMBER(SEARCH(Query!$B$7,'Compliance Database'!$J63))),OR(Query!$B$8="All",'Compliance Database'!$G63=Query!$B$8),OR(Query!$B$9="All",'Compliance Database'!$K63=Query!$B$9),OR(Query!$B$10="",ISNUMBER(SEARCH(Query!$B$10,'Compliance Database'!$D63&amp;" "&amp;'Compliance Database'!$L63&amp;" "&amp;'Compliance Database'!$M63&amp;" "&amp;'Compliance Database'!$N63&amp;" "&amp;'Compliance Database'!$O63)))),1,0)</f>
        <v/>
      </c>
      <c r="B63">
        <f>IF($A63=1,SUM($A$2:$A63),"")</f>
        <v/>
      </c>
      <c r="C63">
        <f>IF($A63=1,SUM($A$2:$A63),0)</f>
        <v/>
      </c>
    </row>
    <row r="64">
      <c r="A64">
        <f>IF(AND(OR(Query!$B$4="All",'Compliance Database'!$A64=Query!$B$4),OR(Query!$B$5="All",'Compliance Database'!$F64=Query!$B$5),OR(Query!$B$6="All",ISNUMBER(SEARCH(Query!$B$6,'Compliance Database'!$I64))),OR(Query!$B$7="All",ISNUMBER(SEARCH(Query!$B$7,'Compliance Database'!$J64))),OR(Query!$B$8="All",'Compliance Database'!$G64=Query!$B$8),OR(Query!$B$9="All",'Compliance Database'!$K64=Query!$B$9),OR(Query!$B$10="",ISNUMBER(SEARCH(Query!$B$10,'Compliance Database'!$D64&amp;" "&amp;'Compliance Database'!$L64&amp;" "&amp;'Compliance Database'!$M64&amp;" "&amp;'Compliance Database'!$N64&amp;" "&amp;'Compliance Database'!$O64)))),1,0)</f>
        <v/>
      </c>
      <c r="B64">
        <f>IF($A64=1,SUM($A$2:$A64),"")</f>
        <v/>
      </c>
      <c r="C64">
        <f>IF($A64=1,SUM($A$2:$A64),0)</f>
        <v/>
      </c>
    </row>
    <row r="65">
      <c r="A65">
        <f>IF(AND(OR(Query!$B$4="All",'Compliance Database'!$A65=Query!$B$4),OR(Query!$B$5="All",'Compliance Database'!$F65=Query!$B$5),OR(Query!$B$6="All",ISNUMBER(SEARCH(Query!$B$6,'Compliance Database'!$I65))),OR(Query!$B$7="All",ISNUMBER(SEARCH(Query!$B$7,'Compliance Database'!$J65))),OR(Query!$B$8="All",'Compliance Database'!$G65=Query!$B$8),OR(Query!$B$9="All",'Compliance Database'!$K65=Query!$B$9),OR(Query!$B$10="",ISNUMBER(SEARCH(Query!$B$10,'Compliance Database'!$D65&amp;" "&amp;'Compliance Database'!$L65&amp;" "&amp;'Compliance Database'!$M65&amp;" "&amp;'Compliance Database'!$N65&amp;" "&amp;'Compliance Database'!$O65)))),1,0)</f>
        <v/>
      </c>
      <c r="B65">
        <f>IF($A65=1,SUM($A$2:$A65),"")</f>
        <v/>
      </c>
      <c r="C65">
        <f>IF($A65=1,SUM($A$2:$A65),0)</f>
        <v/>
      </c>
    </row>
    <row r="66">
      <c r="A66">
        <f>IF(AND(OR(Query!$B$4="All",'Compliance Database'!$A66=Query!$B$4),OR(Query!$B$5="All",'Compliance Database'!$F66=Query!$B$5),OR(Query!$B$6="All",ISNUMBER(SEARCH(Query!$B$6,'Compliance Database'!$I66))),OR(Query!$B$7="All",ISNUMBER(SEARCH(Query!$B$7,'Compliance Database'!$J66))),OR(Query!$B$8="All",'Compliance Database'!$G66=Query!$B$8),OR(Query!$B$9="All",'Compliance Database'!$K66=Query!$B$9),OR(Query!$B$10="",ISNUMBER(SEARCH(Query!$B$10,'Compliance Database'!$D66&amp;" "&amp;'Compliance Database'!$L66&amp;" "&amp;'Compliance Database'!$M66&amp;" "&amp;'Compliance Database'!$N66&amp;" "&amp;'Compliance Database'!$O66)))),1,0)</f>
        <v/>
      </c>
      <c r="B66">
        <f>IF($A66=1,SUM($A$2:$A66),"")</f>
        <v/>
      </c>
      <c r="C66">
        <f>IF($A66=1,SUM($A$2:$A66),0)</f>
        <v/>
      </c>
    </row>
    <row r="67">
      <c r="A67">
        <f>IF(AND(OR(Query!$B$4="All",'Compliance Database'!$A67=Query!$B$4),OR(Query!$B$5="All",'Compliance Database'!$F67=Query!$B$5),OR(Query!$B$6="All",ISNUMBER(SEARCH(Query!$B$6,'Compliance Database'!$I67))),OR(Query!$B$7="All",ISNUMBER(SEARCH(Query!$B$7,'Compliance Database'!$J67))),OR(Query!$B$8="All",'Compliance Database'!$G67=Query!$B$8),OR(Query!$B$9="All",'Compliance Database'!$K67=Query!$B$9),OR(Query!$B$10="",ISNUMBER(SEARCH(Query!$B$10,'Compliance Database'!$D67&amp;" "&amp;'Compliance Database'!$L67&amp;" "&amp;'Compliance Database'!$M67&amp;" "&amp;'Compliance Database'!$N67&amp;" "&amp;'Compliance Database'!$O67)))),1,0)</f>
        <v/>
      </c>
      <c r="B67">
        <f>IF($A67=1,SUM($A$2:$A67),"")</f>
        <v/>
      </c>
      <c r="C67">
        <f>IF($A67=1,SUM($A$2:$A67),0)</f>
        <v/>
      </c>
    </row>
    <row r="68">
      <c r="A68">
        <f>IF(AND(OR(Query!$B$4="All",'Compliance Database'!$A68=Query!$B$4),OR(Query!$B$5="All",'Compliance Database'!$F68=Query!$B$5),OR(Query!$B$6="All",ISNUMBER(SEARCH(Query!$B$6,'Compliance Database'!$I68))),OR(Query!$B$7="All",ISNUMBER(SEARCH(Query!$B$7,'Compliance Database'!$J68))),OR(Query!$B$8="All",'Compliance Database'!$G68=Query!$B$8),OR(Query!$B$9="All",'Compliance Database'!$K68=Query!$B$9),OR(Query!$B$10="",ISNUMBER(SEARCH(Query!$B$10,'Compliance Database'!$D68&amp;" "&amp;'Compliance Database'!$L68&amp;" "&amp;'Compliance Database'!$M68&amp;" "&amp;'Compliance Database'!$N68&amp;" "&amp;'Compliance Database'!$O68)))),1,0)</f>
        <v/>
      </c>
      <c r="B68">
        <f>IF($A68=1,SUM($A$2:$A68),"")</f>
        <v/>
      </c>
      <c r="C68">
        <f>IF($A68=1,SUM($A$2:$A68),0)</f>
        <v/>
      </c>
    </row>
    <row r="69">
      <c r="A69">
        <f>IF(AND(OR(Query!$B$4="All",'Compliance Database'!$A69=Query!$B$4),OR(Query!$B$5="All",'Compliance Database'!$F69=Query!$B$5),OR(Query!$B$6="All",ISNUMBER(SEARCH(Query!$B$6,'Compliance Database'!$I69))),OR(Query!$B$7="All",ISNUMBER(SEARCH(Query!$B$7,'Compliance Database'!$J69))),OR(Query!$B$8="All",'Compliance Database'!$G69=Query!$B$8),OR(Query!$B$9="All",'Compliance Database'!$K69=Query!$B$9),OR(Query!$B$10="",ISNUMBER(SEARCH(Query!$B$10,'Compliance Database'!$D69&amp;" "&amp;'Compliance Database'!$L69&amp;" "&amp;'Compliance Database'!$M69&amp;" "&amp;'Compliance Database'!$N69&amp;" "&amp;'Compliance Database'!$O69)))),1,0)</f>
        <v/>
      </c>
      <c r="B69">
        <f>IF($A69=1,SUM($A$2:$A69),"")</f>
        <v/>
      </c>
      <c r="C69">
        <f>IF($A69=1,SUM($A$2:$A69),0)</f>
        <v/>
      </c>
    </row>
    <row r="70">
      <c r="A70">
        <f>IF(AND(OR(Query!$B$4="All",'Compliance Database'!$A70=Query!$B$4),OR(Query!$B$5="All",'Compliance Database'!$F70=Query!$B$5),OR(Query!$B$6="All",ISNUMBER(SEARCH(Query!$B$6,'Compliance Database'!$I70))),OR(Query!$B$7="All",ISNUMBER(SEARCH(Query!$B$7,'Compliance Database'!$J70))),OR(Query!$B$8="All",'Compliance Database'!$G70=Query!$B$8),OR(Query!$B$9="All",'Compliance Database'!$K70=Query!$B$9),OR(Query!$B$10="",ISNUMBER(SEARCH(Query!$B$10,'Compliance Database'!$D70&amp;" "&amp;'Compliance Database'!$L70&amp;" "&amp;'Compliance Database'!$M70&amp;" "&amp;'Compliance Database'!$N70&amp;" "&amp;'Compliance Database'!$O70)))),1,0)</f>
        <v/>
      </c>
      <c r="B70">
        <f>IF($A70=1,SUM($A$2:$A70),"")</f>
        <v/>
      </c>
      <c r="C70">
        <f>IF($A70=1,SUM($A$2:$A70),0)</f>
        <v/>
      </c>
    </row>
    <row r="71">
      <c r="A71">
        <f>IF(AND(OR(Query!$B$4="All",'Compliance Database'!$A71=Query!$B$4),OR(Query!$B$5="All",'Compliance Database'!$F71=Query!$B$5),OR(Query!$B$6="All",ISNUMBER(SEARCH(Query!$B$6,'Compliance Database'!$I71))),OR(Query!$B$7="All",ISNUMBER(SEARCH(Query!$B$7,'Compliance Database'!$J71))),OR(Query!$B$8="All",'Compliance Database'!$G71=Query!$B$8),OR(Query!$B$9="All",'Compliance Database'!$K71=Query!$B$9),OR(Query!$B$10="",ISNUMBER(SEARCH(Query!$B$10,'Compliance Database'!$D71&amp;" "&amp;'Compliance Database'!$L71&amp;" "&amp;'Compliance Database'!$M71&amp;" "&amp;'Compliance Database'!$N71&amp;" "&amp;'Compliance Database'!$O71)))),1,0)</f>
        <v/>
      </c>
      <c r="B71">
        <f>IF($A71=1,SUM($A$2:$A71),"")</f>
        <v/>
      </c>
      <c r="C71">
        <f>IF($A71=1,SUM($A$2:$A71),0)</f>
        <v/>
      </c>
    </row>
    <row r="72">
      <c r="A72">
        <f>IF(AND(OR(Query!$B$4="All",'Compliance Database'!$A72=Query!$B$4),OR(Query!$B$5="All",'Compliance Database'!$F72=Query!$B$5),OR(Query!$B$6="All",ISNUMBER(SEARCH(Query!$B$6,'Compliance Database'!$I72))),OR(Query!$B$7="All",ISNUMBER(SEARCH(Query!$B$7,'Compliance Database'!$J72))),OR(Query!$B$8="All",'Compliance Database'!$G72=Query!$B$8),OR(Query!$B$9="All",'Compliance Database'!$K72=Query!$B$9),OR(Query!$B$10="",ISNUMBER(SEARCH(Query!$B$10,'Compliance Database'!$D72&amp;" "&amp;'Compliance Database'!$L72&amp;" "&amp;'Compliance Database'!$M72&amp;" "&amp;'Compliance Database'!$N72&amp;" "&amp;'Compliance Database'!$O72)))),1,0)</f>
        <v/>
      </c>
      <c r="B72">
        <f>IF($A72=1,SUM($A$2:$A72),"")</f>
        <v/>
      </c>
      <c r="C72">
        <f>IF($A72=1,SUM($A$2:$A72),0)</f>
        <v/>
      </c>
    </row>
    <row r="73">
      <c r="A73">
        <f>IF(AND(OR(Query!$B$4="All",'Compliance Database'!$A73=Query!$B$4),OR(Query!$B$5="All",'Compliance Database'!$F73=Query!$B$5),OR(Query!$B$6="All",ISNUMBER(SEARCH(Query!$B$6,'Compliance Database'!$I73))),OR(Query!$B$7="All",ISNUMBER(SEARCH(Query!$B$7,'Compliance Database'!$J73))),OR(Query!$B$8="All",'Compliance Database'!$G73=Query!$B$8),OR(Query!$B$9="All",'Compliance Database'!$K73=Query!$B$9),OR(Query!$B$10="",ISNUMBER(SEARCH(Query!$B$10,'Compliance Database'!$D73&amp;" "&amp;'Compliance Database'!$L73&amp;" "&amp;'Compliance Database'!$M73&amp;" "&amp;'Compliance Database'!$N73&amp;" "&amp;'Compliance Database'!$O73)))),1,0)</f>
        <v/>
      </c>
      <c r="B73">
        <f>IF($A73=1,SUM($A$2:$A73),"")</f>
        <v/>
      </c>
      <c r="C73">
        <f>IF($A73=1,SUM($A$2:$A73),0)</f>
        <v/>
      </c>
    </row>
    <row r="74">
      <c r="A74">
        <f>IF(AND(OR(Query!$B$4="All",'Compliance Database'!$A74=Query!$B$4),OR(Query!$B$5="All",'Compliance Database'!$F74=Query!$B$5),OR(Query!$B$6="All",ISNUMBER(SEARCH(Query!$B$6,'Compliance Database'!$I74))),OR(Query!$B$7="All",ISNUMBER(SEARCH(Query!$B$7,'Compliance Database'!$J74))),OR(Query!$B$8="All",'Compliance Database'!$G74=Query!$B$8),OR(Query!$B$9="All",'Compliance Database'!$K74=Query!$B$9),OR(Query!$B$10="",ISNUMBER(SEARCH(Query!$B$10,'Compliance Database'!$D74&amp;" "&amp;'Compliance Database'!$L74&amp;" "&amp;'Compliance Database'!$M74&amp;" "&amp;'Compliance Database'!$N74&amp;" "&amp;'Compliance Database'!$O74)))),1,0)</f>
        <v/>
      </c>
      <c r="B74">
        <f>IF($A74=1,SUM($A$2:$A74),"")</f>
        <v/>
      </c>
      <c r="C74">
        <f>IF($A74=1,SUM($A$2:$A74),0)</f>
        <v/>
      </c>
    </row>
    <row r="75">
      <c r="A75">
        <f>IF(AND(OR(Query!$B$4="All",'Compliance Database'!$A75=Query!$B$4),OR(Query!$B$5="All",'Compliance Database'!$F75=Query!$B$5),OR(Query!$B$6="All",ISNUMBER(SEARCH(Query!$B$6,'Compliance Database'!$I75))),OR(Query!$B$7="All",ISNUMBER(SEARCH(Query!$B$7,'Compliance Database'!$J75))),OR(Query!$B$8="All",'Compliance Database'!$G75=Query!$B$8),OR(Query!$B$9="All",'Compliance Database'!$K75=Query!$B$9),OR(Query!$B$10="",ISNUMBER(SEARCH(Query!$B$10,'Compliance Database'!$D75&amp;" "&amp;'Compliance Database'!$L75&amp;" "&amp;'Compliance Database'!$M75&amp;" "&amp;'Compliance Database'!$N75&amp;" "&amp;'Compliance Database'!$O75)))),1,0)</f>
        <v/>
      </c>
      <c r="B75">
        <f>IF($A75=1,SUM($A$2:$A75),"")</f>
        <v/>
      </c>
      <c r="C75">
        <f>IF($A75=1,SUM($A$2:$A75),0)</f>
        <v/>
      </c>
    </row>
    <row r="76">
      <c r="A76">
        <f>IF(AND(OR(Query!$B$4="All",'Compliance Database'!$A76=Query!$B$4),OR(Query!$B$5="All",'Compliance Database'!$F76=Query!$B$5),OR(Query!$B$6="All",ISNUMBER(SEARCH(Query!$B$6,'Compliance Database'!$I76))),OR(Query!$B$7="All",ISNUMBER(SEARCH(Query!$B$7,'Compliance Database'!$J76))),OR(Query!$B$8="All",'Compliance Database'!$G76=Query!$B$8),OR(Query!$B$9="All",'Compliance Database'!$K76=Query!$B$9),OR(Query!$B$10="",ISNUMBER(SEARCH(Query!$B$10,'Compliance Database'!$D76&amp;" "&amp;'Compliance Database'!$L76&amp;" "&amp;'Compliance Database'!$M76&amp;" "&amp;'Compliance Database'!$N76&amp;" "&amp;'Compliance Database'!$O76)))),1,0)</f>
        <v/>
      </c>
      <c r="B76">
        <f>IF($A76=1,SUM($A$2:$A76),"")</f>
        <v/>
      </c>
      <c r="C76">
        <f>IF($A76=1,SUM($A$2:$A76),0)</f>
        <v/>
      </c>
    </row>
    <row r="77">
      <c r="A77">
        <f>IF(AND(OR(Query!$B$4="All",'Compliance Database'!$A77=Query!$B$4),OR(Query!$B$5="All",'Compliance Database'!$F77=Query!$B$5),OR(Query!$B$6="All",ISNUMBER(SEARCH(Query!$B$6,'Compliance Database'!$I77))),OR(Query!$B$7="All",ISNUMBER(SEARCH(Query!$B$7,'Compliance Database'!$J77))),OR(Query!$B$8="All",'Compliance Database'!$G77=Query!$B$8),OR(Query!$B$9="All",'Compliance Database'!$K77=Query!$B$9),OR(Query!$B$10="",ISNUMBER(SEARCH(Query!$B$10,'Compliance Database'!$D77&amp;" "&amp;'Compliance Database'!$L77&amp;" "&amp;'Compliance Database'!$M77&amp;" "&amp;'Compliance Database'!$N77&amp;" "&amp;'Compliance Database'!$O77)))),1,0)</f>
        <v/>
      </c>
      <c r="B77">
        <f>IF($A77=1,SUM($A$2:$A77),"")</f>
        <v/>
      </c>
      <c r="C77">
        <f>IF($A77=1,SUM($A$2:$A77),0)</f>
        <v/>
      </c>
    </row>
    <row r="78">
      <c r="A78">
        <f>IF(AND(OR(Query!$B$4="All",'Compliance Database'!$A78=Query!$B$4),OR(Query!$B$5="All",'Compliance Database'!$F78=Query!$B$5),OR(Query!$B$6="All",ISNUMBER(SEARCH(Query!$B$6,'Compliance Database'!$I78))),OR(Query!$B$7="All",ISNUMBER(SEARCH(Query!$B$7,'Compliance Database'!$J78))),OR(Query!$B$8="All",'Compliance Database'!$G78=Query!$B$8),OR(Query!$B$9="All",'Compliance Database'!$K78=Query!$B$9),OR(Query!$B$10="",ISNUMBER(SEARCH(Query!$B$10,'Compliance Database'!$D78&amp;" "&amp;'Compliance Database'!$L78&amp;" "&amp;'Compliance Database'!$M78&amp;" "&amp;'Compliance Database'!$N78&amp;" "&amp;'Compliance Database'!$O78)))),1,0)</f>
        <v/>
      </c>
      <c r="B78">
        <f>IF($A78=1,SUM($A$2:$A78),"")</f>
        <v/>
      </c>
      <c r="C78">
        <f>IF($A78=1,SUM($A$2:$A78),0)</f>
        <v/>
      </c>
    </row>
    <row r="79">
      <c r="A79">
        <f>IF(AND(OR(Query!$B$4="All",'Compliance Database'!$A79=Query!$B$4),OR(Query!$B$5="All",'Compliance Database'!$F79=Query!$B$5),OR(Query!$B$6="All",ISNUMBER(SEARCH(Query!$B$6,'Compliance Database'!$I79))),OR(Query!$B$7="All",ISNUMBER(SEARCH(Query!$B$7,'Compliance Database'!$J79))),OR(Query!$B$8="All",'Compliance Database'!$G79=Query!$B$8),OR(Query!$B$9="All",'Compliance Database'!$K79=Query!$B$9),OR(Query!$B$10="",ISNUMBER(SEARCH(Query!$B$10,'Compliance Database'!$D79&amp;" "&amp;'Compliance Database'!$L79&amp;" "&amp;'Compliance Database'!$M79&amp;" "&amp;'Compliance Database'!$N79&amp;" "&amp;'Compliance Database'!$O79)))),1,0)</f>
        <v/>
      </c>
      <c r="B79">
        <f>IF($A79=1,SUM($A$2:$A79),"")</f>
        <v/>
      </c>
      <c r="C79">
        <f>IF($A79=1,SUM($A$2:$A79),0)</f>
        <v/>
      </c>
    </row>
    <row r="80">
      <c r="A80">
        <f>IF(AND(OR(Query!$B$4="All",'Compliance Database'!$A80=Query!$B$4),OR(Query!$B$5="All",'Compliance Database'!$F80=Query!$B$5),OR(Query!$B$6="All",ISNUMBER(SEARCH(Query!$B$6,'Compliance Database'!$I80))),OR(Query!$B$7="All",ISNUMBER(SEARCH(Query!$B$7,'Compliance Database'!$J80))),OR(Query!$B$8="All",'Compliance Database'!$G80=Query!$B$8),OR(Query!$B$9="All",'Compliance Database'!$K80=Query!$B$9),OR(Query!$B$10="",ISNUMBER(SEARCH(Query!$B$10,'Compliance Database'!$D80&amp;" "&amp;'Compliance Database'!$L80&amp;" "&amp;'Compliance Database'!$M80&amp;" "&amp;'Compliance Database'!$N80&amp;" "&amp;'Compliance Database'!$O80)))),1,0)</f>
        <v/>
      </c>
      <c r="B80">
        <f>IF($A80=1,SUM($A$2:$A80),"")</f>
        <v/>
      </c>
      <c r="C80">
        <f>IF($A80=1,SUM($A$2:$A80),0)</f>
        <v/>
      </c>
    </row>
    <row r="81">
      <c r="A81">
        <f>IF(AND(OR(Query!$B$4="All",'Compliance Database'!$A81=Query!$B$4),OR(Query!$B$5="All",'Compliance Database'!$F81=Query!$B$5),OR(Query!$B$6="All",ISNUMBER(SEARCH(Query!$B$6,'Compliance Database'!$I81))),OR(Query!$B$7="All",ISNUMBER(SEARCH(Query!$B$7,'Compliance Database'!$J81))),OR(Query!$B$8="All",'Compliance Database'!$G81=Query!$B$8),OR(Query!$B$9="All",'Compliance Database'!$K81=Query!$B$9),OR(Query!$B$10="",ISNUMBER(SEARCH(Query!$B$10,'Compliance Database'!$D81&amp;" "&amp;'Compliance Database'!$L81&amp;" "&amp;'Compliance Database'!$M81&amp;" "&amp;'Compliance Database'!$N81&amp;" "&amp;'Compliance Database'!$O81)))),1,0)</f>
        <v/>
      </c>
      <c r="B81">
        <f>IF($A81=1,SUM($A$2:$A81),"")</f>
        <v/>
      </c>
      <c r="C81">
        <f>IF($A81=1,SUM($A$2:$A81),0)</f>
        <v/>
      </c>
    </row>
    <row r="82">
      <c r="A82">
        <f>IF(AND(OR(Query!$B$4="All",'Compliance Database'!$A82=Query!$B$4),OR(Query!$B$5="All",'Compliance Database'!$F82=Query!$B$5),OR(Query!$B$6="All",ISNUMBER(SEARCH(Query!$B$6,'Compliance Database'!$I82))),OR(Query!$B$7="All",ISNUMBER(SEARCH(Query!$B$7,'Compliance Database'!$J82))),OR(Query!$B$8="All",'Compliance Database'!$G82=Query!$B$8),OR(Query!$B$9="All",'Compliance Database'!$K82=Query!$B$9),OR(Query!$B$10="",ISNUMBER(SEARCH(Query!$B$10,'Compliance Database'!$D82&amp;" "&amp;'Compliance Database'!$L82&amp;" "&amp;'Compliance Database'!$M82&amp;" "&amp;'Compliance Database'!$N82&amp;" "&amp;'Compliance Database'!$O82)))),1,0)</f>
        <v/>
      </c>
      <c r="B82">
        <f>IF($A82=1,SUM($A$2:$A82),"")</f>
        <v/>
      </c>
      <c r="C82">
        <f>IF($A82=1,SUM($A$2:$A82),0)</f>
        <v/>
      </c>
    </row>
    <row r="83">
      <c r="A83">
        <f>IF(AND(OR(Query!$B$4="All",'Compliance Database'!$A83=Query!$B$4),OR(Query!$B$5="All",'Compliance Database'!$F83=Query!$B$5),OR(Query!$B$6="All",ISNUMBER(SEARCH(Query!$B$6,'Compliance Database'!$I83))),OR(Query!$B$7="All",ISNUMBER(SEARCH(Query!$B$7,'Compliance Database'!$J83))),OR(Query!$B$8="All",'Compliance Database'!$G83=Query!$B$8),OR(Query!$B$9="All",'Compliance Database'!$K83=Query!$B$9),OR(Query!$B$10="",ISNUMBER(SEARCH(Query!$B$10,'Compliance Database'!$D83&amp;" "&amp;'Compliance Database'!$L83&amp;" "&amp;'Compliance Database'!$M83&amp;" "&amp;'Compliance Database'!$N83&amp;" "&amp;'Compliance Database'!$O83)))),1,0)</f>
        <v/>
      </c>
      <c r="B83">
        <f>IF($A83=1,SUM($A$2:$A83),"")</f>
        <v/>
      </c>
      <c r="C83">
        <f>IF($A83=1,SUM($A$2:$A83),0)</f>
        <v/>
      </c>
    </row>
    <row r="84">
      <c r="A84">
        <f>IF(AND(OR(Query!$B$4="All",'Compliance Database'!$A84=Query!$B$4),OR(Query!$B$5="All",'Compliance Database'!$F84=Query!$B$5),OR(Query!$B$6="All",ISNUMBER(SEARCH(Query!$B$6,'Compliance Database'!$I84))),OR(Query!$B$7="All",ISNUMBER(SEARCH(Query!$B$7,'Compliance Database'!$J84))),OR(Query!$B$8="All",'Compliance Database'!$G84=Query!$B$8),OR(Query!$B$9="All",'Compliance Database'!$K84=Query!$B$9),OR(Query!$B$10="",ISNUMBER(SEARCH(Query!$B$10,'Compliance Database'!$D84&amp;" "&amp;'Compliance Database'!$L84&amp;" "&amp;'Compliance Database'!$M84&amp;" "&amp;'Compliance Database'!$N84&amp;" "&amp;'Compliance Database'!$O84)))),1,0)</f>
        <v/>
      </c>
      <c r="B84">
        <f>IF($A84=1,SUM($A$2:$A84),"")</f>
        <v/>
      </c>
      <c r="C84">
        <f>IF($A84=1,SUM($A$2:$A84),0)</f>
        <v/>
      </c>
    </row>
    <row r="85">
      <c r="A85">
        <f>IF(AND(OR(Query!$B$4="All",'Compliance Database'!$A85=Query!$B$4),OR(Query!$B$5="All",'Compliance Database'!$F85=Query!$B$5),OR(Query!$B$6="All",ISNUMBER(SEARCH(Query!$B$6,'Compliance Database'!$I85))),OR(Query!$B$7="All",ISNUMBER(SEARCH(Query!$B$7,'Compliance Database'!$J85))),OR(Query!$B$8="All",'Compliance Database'!$G85=Query!$B$8),OR(Query!$B$9="All",'Compliance Database'!$K85=Query!$B$9),OR(Query!$B$10="",ISNUMBER(SEARCH(Query!$B$10,'Compliance Database'!$D85&amp;" "&amp;'Compliance Database'!$L85&amp;" "&amp;'Compliance Database'!$M85&amp;" "&amp;'Compliance Database'!$N85&amp;" "&amp;'Compliance Database'!$O85)))),1,0)</f>
        <v/>
      </c>
      <c r="B85">
        <f>IF($A85=1,SUM($A$2:$A85),"")</f>
        <v/>
      </c>
      <c r="C85">
        <f>IF($A85=1,SUM($A$2:$A85),0)</f>
        <v/>
      </c>
    </row>
    <row r="86">
      <c r="A86">
        <f>IF(AND(OR(Query!$B$4="All",'Compliance Database'!$A86=Query!$B$4),OR(Query!$B$5="All",'Compliance Database'!$F86=Query!$B$5),OR(Query!$B$6="All",ISNUMBER(SEARCH(Query!$B$6,'Compliance Database'!$I86))),OR(Query!$B$7="All",ISNUMBER(SEARCH(Query!$B$7,'Compliance Database'!$J86))),OR(Query!$B$8="All",'Compliance Database'!$G86=Query!$B$8),OR(Query!$B$9="All",'Compliance Database'!$K86=Query!$B$9),OR(Query!$B$10="",ISNUMBER(SEARCH(Query!$B$10,'Compliance Database'!$D86&amp;" "&amp;'Compliance Database'!$L86&amp;" "&amp;'Compliance Database'!$M86&amp;" "&amp;'Compliance Database'!$N86&amp;" "&amp;'Compliance Database'!$O86)))),1,0)</f>
        <v/>
      </c>
      <c r="B86">
        <f>IF($A86=1,SUM($A$2:$A86),"")</f>
        <v/>
      </c>
      <c r="C86">
        <f>IF($A86=1,SUM($A$2:$A86),0)</f>
        <v/>
      </c>
    </row>
    <row r="87">
      <c r="A87">
        <f>IF(AND(OR(Query!$B$4="All",'Compliance Database'!$A87=Query!$B$4),OR(Query!$B$5="All",'Compliance Database'!$F87=Query!$B$5),OR(Query!$B$6="All",ISNUMBER(SEARCH(Query!$B$6,'Compliance Database'!$I87))),OR(Query!$B$7="All",ISNUMBER(SEARCH(Query!$B$7,'Compliance Database'!$J87))),OR(Query!$B$8="All",'Compliance Database'!$G87=Query!$B$8),OR(Query!$B$9="All",'Compliance Database'!$K87=Query!$B$9),OR(Query!$B$10="",ISNUMBER(SEARCH(Query!$B$10,'Compliance Database'!$D87&amp;" "&amp;'Compliance Database'!$L87&amp;" "&amp;'Compliance Database'!$M87&amp;" "&amp;'Compliance Database'!$N87&amp;" "&amp;'Compliance Database'!$O87)))),1,0)</f>
        <v/>
      </c>
      <c r="B87">
        <f>IF($A87=1,SUM($A$2:$A87),"")</f>
        <v/>
      </c>
      <c r="C87">
        <f>IF($A87=1,SUM($A$2:$A87),0)</f>
        <v/>
      </c>
    </row>
    <row r="88">
      <c r="A88">
        <f>IF(AND(OR(Query!$B$4="All",'Compliance Database'!$A88=Query!$B$4),OR(Query!$B$5="All",'Compliance Database'!$F88=Query!$B$5),OR(Query!$B$6="All",ISNUMBER(SEARCH(Query!$B$6,'Compliance Database'!$I88))),OR(Query!$B$7="All",ISNUMBER(SEARCH(Query!$B$7,'Compliance Database'!$J88))),OR(Query!$B$8="All",'Compliance Database'!$G88=Query!$B$8),OR(Query!$B$9="All",'Compliance Database'!$K88=Query!$B$9),OR(Query!$B$10="",ISNUMBER(SEARCH(Query!$B$10,'Compliance Database'!$D88&amp;" "&amp;'Compliance Database'!$L88&amp;" "&amp;'Compliance Database'!$M88&amp;" "&amp;'Compliance Database'!$N88&amp;" "&amp;'Compliance Database'!$O88)))),1,0)</f>
        <v/>
      </c>
      <c r="B88">
        <f>IF($A88=1,SUM($A$2:$A88),"")</f>
        <v/>
      </c>
      <c r="C88">
        <f>IF($A88=1,SUM($A$2:$A88),0)</f>
        <v/>
      </c>
    </row>
    <row r="89">
      <c r="A89">
        <f>IF(AND(OR(Query!$B$4="All",'Compliance Database'!$A89=Query!$B$4),OR(Query!$B$5="All",'Compliance Database'!$F89=Query!$B$5),OR(Query!$B$6="All",ISNUMBER(SEARCH(Query!$B$6,'Compliance Database'!$I89))),OR(Query!$B$7="All",ISNUMBER(SEARCH(Query!$B$7,'Compliance Database'!$J89))),OR(Query!$B$8="All",'Compliance Database'!$G89=Query!$B$8),OR(Query!$B$9="All",'Compliance Database'!$K89=Query!$B$9),OR(Query!$B$10="",ISNUMBER(SEARCH(Query!$B$10,'Compliance Database'!$D89&amp;" "&amp;'Compliance Database'!$L89&amp;" "&amp;'Compliance Database'!$M89&amp;" "&amp;'Compliance Database'!$N89&amp;" "&amp;'Compliance Database'!$O89)))),1,0)</f>
        <v/>
      </c>
      <c r="B89">
        <f>IF($A89=1,SUM($A$2:$A89),"")</f>
        <v/>
      </c>
      <c r="C89">
        <f>IF($A89=1,SUM($A$2:$A89),0)</f>
        <v/>
      </c>
    </row>
    <row r="90">
      <c r="A90">
        <f>IF(AND(OR(Query!$B$4="All",'Compliance Database'!$A90=Query!$B$4),OR(Query!$B$5="All",'Compliance Database'!$F90=Query!$B$5),OR(Query!$B$6="All",ISNUMBER(SEARCH(Query!$B$6,'Compliance Database'!$I90))),OR(Query!$B$7="All",ISNUMBER(SEARCH(Query!$B$7,'Compliance Database'!$J90))),OR(Query!$B$8="All",'Compliance Database'!$G90=Query!$B$8),OR(Query!$B$9="All",'Compliance Database'!$K90=Query!$B$9),OR(Query!$B$10="",ISNUMBER(SEARCH(Query!$B$10,'Compliance Database'!$D90&amp;" "&amp;'Compliance Database'!$L90&amp;" "&amp;'Compliance Database'!$M90&amp;" "&amp;'Compliance Database'!$N90&amp;" "&amp;'Compliance Database'!$O90)))),1,0)</f>
        <v/>
      </c>
      <c r="B90">
        <f>IF($A90=1,SUM($A$2:$A90),"")</f>
        <v/>
      </c>
      <c r="C90">
        <f>IF($A90=1,SUM($A$2:$A90),0)</f>
        <v/>
      </c>
    </row>
    <row r="91">
      <c r="A91">
        <f>IF(AND(OR(Query!$B$4="All",'Compliance Database'!$A91=Query!$B$4),OR(Query!$B$5="All",'Compliance Database'!$F91=Query!$B$5),OR(Query!$B$6="All",ISNUMBER(SEARCH(Query!$B$6,'Compliance Database'!$I91))),OR(Query!$B$7="All",ISNUMBER(SEARCH(Query!$B$7,'Compliance Database'!$J91))),OR(Query!$B$8="All",'Compliance Database'!$G91=Query!$B$8),OR(Query!$B$9="All",'Compliance Database'!$K91=Query!$B$9),OR(Query!$B$10="",ISNUMBER(SEARCH(Query!$B$10,'Compliance Database'!$D91&amp;" "&amp;'Compliance Database'!$L91&amp;" "&amp;'Compliance Database'!$M91&amp;" "&amp;'Compliance Database'!$N91&amp;" "&amp;'Compliance Database'!$O91)))),1,0)</f>
        <v/>
      </c>
      <c r="B91">
        <f>IF($A91=1,SUM($A$2:$A91),"")</f>
        <v/>
      </c>
      <c r="C91">
        <f>IF($A91=1,SUM($A$2:$A91),0)</f>
        <v/>
      </c>
    </row>
    <row r="92">
      <c r="A92">
        <f>IF(AND(OR(Query!$B$4="All",'Compliance Database'!$A92=Query!$B$4),OR(Query!$B$5="All",'Compliance Database'!$F92=Query!$B$5),OR(Query!$B$6="All",ISNUMBER(SEARCH(Query!$B$6,'Compliance Database'!$I92))),OR(Query!$B$7="All",ISNUMBER(SEARCH(Query!$B$7,'Compliance Database'!$J92))),OR(Query!$B$8="All",'Compliance Database'!$G92=Query!$B$8),OR(Query!$B$9="All",'Compliance Database'!$K92=Query!$B$9),OR(Query!$B$10="",ISNUMBER(SEARCH(Query!$B$10,'Compliance Database'!$D92&amp;" "&amp;'Compliance Database'!$L92&amp;" "&amp;'Compliance Database'!$M92&amp;" "&amp;'Compliance Database'!$N92&amp;" "&amp;'Compliance Database'!$O92)))),1,0)</f>
        <v/>
      </c>
      <c r="B92">
        <f>IF($A92=1,SUM($A$2:$A92),"")</f>
        <v/>
      </c>
      <c r="C92">
        <f>IF($A92=1,SUM($A$2:$A92),0)</f>
        <v/>
      </c>
    </row>
    <row r="93">
      <c r="A93">
        <f>IF(AND(OR(Query!$B$4="All",'Compliance Database'!$A93=Query!$B$4),OR(Query!$B$5="All",'Compliance Database'!$F93=Query!$B$5),OR(Query!$B$6="All",ISNUMBER(SEARCH(Query!$B$6,'Compliance Database'!$I93))),OR(Query!$B$7="All",ISNUMBER(SEARCH(Query!$B$7,'Compliance Database'!$J93))),OR(Query!$B$8="All",'Compliance Database'!$G93=Query!$B$8),OR(Query!$B$9="All",'Compliance Database'!$K93=Query!$B$9),OR(Query!$B$10="",ISNUMBER(SEARCH(Query!$B$10,'Compliance Database'!$D93&amp;" "&amp;'Compliance Database'!$L93&amp;" "&amp;'Compliance Database'!$M93&amp;" "&amp;'Compliance Database'!$N93&amp;" "&amp;'Compliance Database'!$O93)))),1,0)</f>
        <v/>
      </c>
      <c r="B93">
        <f>IF($A93=1,SUM($A$2:$A93),"")</f>
        <v/>
      </c>
      <c r="C93">
        <f>IF($A93=1,SUM($A$2:$A93),0)</f>
        <v/>
      </c>
    </row>
    <row r="94">
      <c r="A94">
        <f>IF(AND(OR(Query!$B$4="All",'Compliance Database'!$A94=Query!$B$4),OR(Query!$B$5="All",'Compliance Database'!$F94=Query!$B$5),OR(Query!$B$6="All",ISNUMBER(SEARCH(Query!$B$6,'Compliance Database'!$I94))),OR(Query!$B$7="All",ISNUMBER(SEARCH(Query!$B$7,'Compliance Database'!$J94))),OR(Query!$B$8="All",'Compliance Database'!$G94=Query!$B$8),OR(Query!$B$9="All",'Compliance Database'!$K94=Query!$B$9),OR(Query!$B$10="",ISNUMBER(SEARCH(Query!$B$10,'Compliance Database'!$D94&amp;" "&amp;'Compliance Database'!$L94&amp;" "&amp;'Compliance Database'!$M94&amp;" "&amp;'Compliance Database'!$N94&amp;" "&amp;'Compliance Database'!$O94)))),1,0)</f>
        <v/>
      </c>
      <c r="B94">
        <f>IF($A94=1,SUM($A$2:$A94),"")</f>
        <v/>
      </c>
      <c r="C94">
        <f>IF($A94=1,SUM($A$2:$A94),0)</f>
        <v/>
      </c>
    </row>
    <row r="95">
      <c r="A95">
        <f>IF(AND(OR(Query!$B$4="All",'Compliance Database'!$A95=Query!$B$4),OR(Query!$B$5="All",'Compliance Database'!$F95=Query!$B$5),OR(Query!$B$6="All",ISNUMBER(SEARCH(Query!$B$6,'Compliance Database'!$I95))),OR(Query!$B$7="All",ISNUMBER(SEARCH(Query!$B$7,'Compliance Database'!$J95))),OR(Query!$B$8="All",'Compliance Database'!$G95=Query!$B$8),OR(Query!$B$9="All",'Compliance Database'!$K95=Query!$B$9),OR(Query!$B$10="",ISNUMBER(SEARCH(Query!$B$10,'Compliance Database'!$D95&amp;" "&amp;'Compliance Database'!$L95&amp;" "&amp;'Compliance Database'!$M95&amp;" "&amp;'Compliance Database'!$N95&amp;" "&amp;'Compliance Database'!$O95)))),1,0)</f>
        <v/>
      </c>
      <c r="B95">
        <f>IF($A95=1,SUM($A$2:$A95),"")</f>
        <v/>
      </c>
      <c r="C95">
        <f>IF($A95=1,SUM($A$2:$A95),0)</f>
        <v/>
      </c>
    </row>
    <row r="96">
      <c r="A96">
        <f>IF(AND(OR(Query!$B$4="All",'Compliance Database'!$A96=Query!$B$4),OR(Query!$B$5="All",'Compliance Database'!$F96=Query!$B$5),OR(Query!$B$6="All",ISNUMBER(SEARCH(Query!$B$6,'Compliance Database'!$I96))),OR(Query!$B$7="All",ISNUMBER(SEARCH(Query!$B$7,'Compliance Database'!$J96))),OR(Query!$B$8="All",'Compliance Database'!$G96=Query!$B$8),OR(Query!$B$9="All",'Compliance Database'!$K96=Query!$B$9),OR(Query!$B$10="",ISNUMBER(SEARCH(Query!$B$10,'Compliance Database'!$D96&amp;" "&amp;'Compliance Database'!$L96&amp;" "&amp;'Compliance Database'!$M96&amp;" "&amp;'Compliance Database'!$N96&amp;" "&amp;'Compliance Database'!$O96)))),1,0)</f>
        <v/>
      </c>
      <c r="B96">
        <f>IF($A96=1,SUM($A$2:$A96),"")</f>
        <v/>
      </c>
      <c r="C96">
        <f>IF($A96=1,SUM($A$2:$A96),0)</f>
        <v/>
      </c>
    </row>
    <row r="97">
      <c r="A97">
        <f>IF(AND(OR(Query!$B$4="All",'Compliance Database'!$A97=Query!$B$4),OR(Query!$B$5="All",'Compliance Database'!$F97=Query!$B$5),OR(Query!$B$6="All",ISNUMBER(SEARCH(Query!$B$6,'Compliance Database'!$I97))),OR(Query!$B$7="All",ISNUMBER(SEARCH(Query!$B$7,'Compliance Database'!$J97))),OR(Query!$B$8="All",'Compliance Database'!$G97=Query!$B$8),OR(Query!$B$9="All",'Compliance Database'!$K97=Query!$B$9),OR(Query!$B$10="",ISNUMBER(SEARCH(Query!$B$10,'Compliance Database'!$D97&amp;" "&amp;'Compliance Database'!$L97&amp;" "&amp;'Compliance Database'!$M97&amp;" "&amp;'Compliance Database'!$N97&amp;" "&amp;'Compliance Database'!$O97)))),1,0)</f>
        <v/>
      </c>
      <c r="B97">
        <f>IF($A97=1,SUM($A$2:$A97),"")</f>
        <v/>
      </c>
      <c r="C97">
        <f>IF($A97=1,SUM($A$2:$A97),0)</f>
        <v/>
      </c>
    </row>
    <row r="98">
      <c r="A98">
        <f>IF(AND(OR(Query!$B$4="All",'Compliance Database'!$A98=Query!$B$4),OR(Query!$B$5="All",'Compliance Database'!$F98=Query!$B$5),OR(Query!$B$6="All",ISNUMBER(SEARCH(Query!$B$6,'Compliance Database'!$I98))),OR(Query!$B$7="All",ISNUMBER(SEARCH(Query!$B$7,'Compliance Database'!$J98))),OR(Query!$B$8="All",'Compliance Database'!$G98=Query!$B$8),OR(Query!$B$9="All",'Compliance Database'!$K98=Query!$B$9),OR(Query!$B$10="",ISNUMBER(SEARCH(Query!$B$10,'Compliance Database'!$D98&amp;" "&amp;'Compliance Database'!$L98&amp;" "&amp;'Compliance Database'!$M98&amp;" "&amp;'Compliance Database'!$N98&amp;" "&amp;'Compliance Database'!$O98)))),1,0)</f>
        <v/>
      </c>
      <c r="B98">
        <f>IF($A98=1,SUM($A$2:$A98),"")</f>
        <v/>
      </c>
      <c r="C98">
        <f>IF($A98=1,SUM($A$2:$A98),0)</f>
        <v/>
      </c>
    </row>
    <row r="99">
      <c r="A99">
        <f>IF(AND(OR(Query!$B$4="All",'Compliance Database'!$A99=Query!$B$4),OR(Query!$B$5="All",'Compliance Database'!$F99=Query!$B$5),OR(Query!$B$6="All",ISNUMBER(SEARCH(Query!$B$6,'Compliance Database'!$I99))),OR(Query!$B$7="All",ISNUMBER(SEARCH(Query!$B$7,'Compliance Database'!$J99))),OR(Query!$B$8="All",'Compliance Database'!$G99=Query!$B$8),OR(Query!$B$9="All",'Compliance Database'!$K99=Query!$B$9),OR(Query!$B$10="",ISNUMBER(SEARCH(Query!$B$10,'Compliance Database'!$D99&amp;" "&amp;'Compliance Database'!$L99&amp;" "&amp;'Compliance Database'!$M99&amp;" "&amp;'Compliance Database'!$N99&amp;" "&amp;'Compliance Database'!$O99)))),1,0)</f>
        <v/>
      </c>
      <c r="B99">
        <f>IF($A99=1,SUM($A$2:$A99),"")</f>
        <v/>
      </c>
      <c r="C99">
        <f>IF($A99=1,SUM($A$2:$A99),0)</f>
        <v/>
      </c>
    </row>
    <row r="100">
      <c r="A100">
        <f>IF(AND(OR(Query!$B$4="All",'Compliance Database'!$A100=Query!$B$4),OR(Query!$B$5="All",'Compliance Database'!$F100=Query!$B$5),OR(Query!$B$6="All",ISNUMBER(SEARCH(Query!$B$6,'Compliance Database'!$I100))),OR(Query!$B$7="All",ISNUMBER(SEARCH(Query!$B$7,'Compliance Database'!$J100))),OR(Query!$B$8="All",'Compliance Database'!$G100=Query!$B$8),OR(Query!$B$9="All",'Compliance Database'!$K100=Query!$B$9),OR(Query!$B$10="",ISNUMBER(SEARCH(Query!$B$10,'Compliance Database'!$D100&amp;" "&amp;'Compliance Database'!$L100&amp;" "&amp;'Compliance Database'!$M100&amp;" "&amp;'Compliance Database'!$N100&amp;" "&amp;'Compliance Database'!$O100)))),1,0)</f>
        <v/>
      </c>
      <c r="B100">
        <f>IF($A100=1,SUM($A$2:$A100),"")</f>
        <v/>
      </c>
      <c r="C100">
        <f>IF($A100=1,SUM($A$2:$A100),0)</f>
        <v/>
      </c>
    </row>
    <row r="101">
      <c r="A101">
        <f>IF(AND(OR(Query!$B$4="All",'Compliance Database'!$A101=Query!$B$4),OR(Query!$B$5="All",'Compliance Database'!$F101=Query!$B$5),OR(Query!$B$6="All",ISNUMBER(SEARCH(Query!$B$6,'Compliance Database'!$I101))),OR(Query!$B$7="All",ISNUMBER(SEARCH(Query!$B$7,'Compliance Database'!$J101))),OR(Query!$B$8="All",'Compliance Database'!$G101=Query!$B$8),OR(Query!$B$9="All",'Compliance Database'!$K101=Query!$B$9),OR(Query!$B$10="",ISNUMBER(SEARCH(Query!$B$10,'Compliance Database'!$D101&amp;" "&amp;'Compliance Database'!$L101&amp;" "&amp;'Compliance Database'!$M101&amp;" "&amp;'Compliance Database'!$N101&amp;" "&amp;'Compliance Database'!$O101)))),1,0)</f>
        <v/>
      </c>
      <c r="B101">
        <f>IF($A101=1,SUM($A$2:$A101),"")</f>
        <v/>
      </c>
      <c r="C101">
        <f>IF($A101=1,SUM($A$2:$A101),0)</f>
        <v/>
      </c>
    </row>
    <row r="102">
      <c r="A102">
        <f>IF(AND(OR(Query!$B$4="All",'Compliance Database'!$A102=Query!$B$4),OR(Query!$B$5="All",'Compliance Database'!$F102=Query!$B$5),OR(Query!$B$6="All",ISNUMBER(SEARCH(Query!$B$6,'Compliance Database'!$I102))),OR(Query!$B$7="All",ISNUMBER(SEARCH(Query!$B$7,'Compliance Database'!$J102))),OR(Query!$B$8="All",'Compliance Database'!$G102=Query!$B$8),OR(Query!$B$9="All",'Compliance Database'!$K102=Query!$B$9),OR(Query!$B$10="",ISNUMBER(SEARCH(Query!$B$10,'Compliance Database'!$D102&amp;" "&amp;'Compliance Database'!$L102&amp;" "&amp;'Compliance Database'!$M102&amp;" "&amp;'Compliance Database'!$N102&amp;" "&amp;'Compliance Database'!$O102)))),1,0)</f>
        <v/>
      </c>
      <c r="B102">
        <f>IF($A102=1,SUM($A$2:$A102),"")</f>
        <v/>
      </c>
      <c r="C102">
        <f>IF($A102=1,SUM($A$2:$A102),0)</f>
        <v/>
      </c>
    </row>
    <row r="103">
      <c r="A103">
        <f>IF(AND(OR(Query!$B$4="All",'Compliance Database'!$A103=Query!$B$4),OR(Query!$B$5="All",'Compliance Database'!$F103=Query!$B$5),OR(Query!$B$6="All",ISNUMBER(SEARCH(Query!$B$6,'Compliance Database'!$I103))),OR(Query!$B$7="All",ISNUMBER(SEARCH(Query!$B$7,'Compliance Database'!$J103))),OR(Query!$B$8="All",'Compliance Database'!$G103=Query!$B$8),OR(Query!$B$9="All",'Compliance Database'!$K103=Query!$B$9),OR(Query!$B$10="",ISNUMBER(SEARCH(Query!$B$10,'Compliance Database'!$D103&amp;" "&amp;'Compliance Database'!$L103&amp;" "&amp;'Compliance Database'!$M103&amp;" "&amp;'Compliance Database'!$N103&amp;" "&amp;'Compliance Database'!$O103)))),1,0)</f>
        <v/>
      </c>
      <c r="B103">
        <f>IF($A103=1,SUM($A$2:$A103),"")</f>
        <v/>
      </c>
      <c r="C103">
        <f>IF($A103=1,SUM($A$2:$A103),0)</f>
        <v/>
      </c>
    </row>
    <row r="104">
      <c r="A104">
        <f>IF(AND(OR(Query!$B$4="All",'Compliance Database'!$A104=Query!$B$4),OR(Query!$B$5="All",'Compliance Database'!$F104=Query!$B$5),OR(Query!$B$6="All",ISNUMBER(SEARCH(Query!$B$6,'Compliance Database'!$I104))),OR(Query!$B$7="All",ISNUMBER(SEARCH(Query!$B$7,'Compliance Database'!$J104))),OR(Query!$B$8="All",'Compliance Database'!$G104=Query!$B$8),OR(Query!$B$9="All",'Compliance Database'!$K104=Query!$B$9),OR(Query!$B$10="",ISNUMBER(SEARCH(Query!$B$10,'Compliance Database'!$D104&amp;" "&amp;'Compliance Database'!$L104&amp;" "&amp;'Compliance Database'!$M104&amp;" "&amp;'Compliance Database'!$N104&amp;" "&amp;'Compliance Database'!$O104)))),1,0)</f>
        <v/>
      </c>
      <c r="B104">
        <f>IF($A104=1,SUM($A$2:$A104),"")</f>
        <v/>
      </c>
      <c r="C104">
        <f>IF($A104=1,SUM($A$2:$A104),0)</f>
        <v/>
      </c>
    </row>
    <row r="105">
      <c r="A105">
        <f>IF(AND(OR(Query!$B$4="All",'Compliance Database'!$A105=Query!$B$4),OR(Query!$B$5="All",'Compliance Database'!$F105=Query!$B$5),OR(Query!$B$6="All",ISNUMBER(SEARCH(Query!$B$6,'Compliance Database'!$I105))),OR(Query!$B$7="All",ISNUMBER(SEARCH(Query!$B$7,'Compliance Database'!$J105))),OR(Query!$B$8="All",'Compliance Database'!$G105=Query!$B$8),OR(Query!$B$9="All",'Compliance Database'!$K105=Query!$B$9),OR(Query!$B$10="",ISNUMBER(SEARCH(Query!$B$10,'Compliance Database'!$D105&amp;" "&amp;'Compliance Database'!$L105&amp;" "&amp;'Compliance Database'!$M105&amp;" "&amp;'Compliance Database'!$N105&amp;" "&amp;'Compliance Database'!$O105)))),1,0)</f>
        <v/>
      </c>
      <c r="B105">
        <f>IF($A105=1,SUM($A$2:$A105),"")</f>
        <v/>
      </c>
      <c r="C105">
        <f>IF($A105=1,SUM($A$2:$A105),0)</f>
        <v/>
      </c>
    </row>
    <row r="106">
      <c r="A106">
        <f>IF(AND(OR(Query!$B$4="All",'Compliance Database'!$A106=Query!$B$4),OR(Query!$B$5="All",'Compliance Database'!$F106=Query!$B$5),OR(Query!$B$6="All",ISNUMBER(SEARCH(Query!$B$6,'Compliance Database'!$I106))),OR(Query!$B$7="All",ISNUMBER(SEARCH(Query!$B$7,'Compliance Database'!$J106))),OR(Query!$B$8="All",'Compliance Database'!$G106=Query!$B$8),OR(Query!$B$9="All",'Compliance Database'!$K106=Query!$B$9),OR(Query!$B$10="",ISNUMBER(SEARCH(Query!$B$10,'Compliance Database'!$D106&amp;" "&amp;'Compliance Database'!$L106&amp;" "&amp;'Compliance Database'!$M106&amp;" "&amp;'Compliance Database'!$N106&amp;" "&amp;'Compliance Database'!$O106)))),1,0)</f>
        <v/>
      </c>
      <c r="B106">
        <f>IF($A106=1,SUM($A$2:$A106),"")</f>
        <v/>
      </c>
      <c r="C106">
        <f>IF($A106=1,SUM($A$2:$A106),0)</f>
        <v/>
      </c>
    </row>
    <row r="107">
      <c r="A107">
        <f>IF(AND(OR(Query!$B$4="All",'Compliance Database'!$A107=Query!$B$4),OR(Query!$B$5="All",'Compliance Database'!$F107=Query!$B$5),OR(Query!$B$6="All",ISNUMBER(SEARCH(Query!$B$6,'Compliance Database'!$I107))),OR(Query!$B$7="All",ISNUMBER(SEARCH(Query!$B$7,'Compliance Database'!$J107))),OR(Query!$B$8="All",'Compliance Database'!$G107=Query!$B$8),OR(Query!$B$9="All",'Compliance Database'!$K107=Query!$B$9),OR(Query!$B$10="",ISNUMBER(SEARCH(Query!$B$10,'Compliance Database'!$D107&amp;" "&amp;'Compliance Database'!$L107&amp;" "&amp;'Compliance Database'!$M107&amp;" "&amp;'Compliance Database'!$N107&amp;" "&amp;'Compliance Database'!$O107)))),1,0)</f>
        <v/>
      </c>
      <c r="B107">
        <f>IF($A107=1,SUM($A$2:$A107),"")</f>
        <v/>
      </c>
      <c r="C107">
        <f>IF($A107=1,SUM($A$2:$A107),0)</f>
        <v/>
      </c>
    </row>
    <row r="108">
      <c r="A108">
        <f>IF(AND(OR(Query!$B$4="All",'Compliance Database'!$A108=Query!$B$4),OR(Query!$B$5="All",'Compliance Database'!$F108=Query!$B$5),OR(Query!$B$6="All",ISNUMBER(SEARCH(Query!$B$6,'Compliance Database'!$I108))),OR(Query!$B$7="All",ISNUMBER(SEARCH(Query!$B$7,'Compliance Database'!$J108))),OR(Query!$B$8="All",'Compliance Database'!$G108=Query!$B$8),OR(Query!$B$9="All",'Compliance Database'!$K108=Query!$B$9),OR(Query!$B$10="",ISNUMBER(SEARCH(Query!$B$10,'Compliance Database'!$D108&amp;" "&amp;'Compliance Database'!$L108&amp;" "&amp;'Compliance Database'!$M108&amp;" "&amp;'Compliance Database'!$N108&amp;" "&amp;'Compliance Database'!$O108)))),1,0)</f>
        <v/>
      </c>
      <c r="B108">
        <f>IF($A108=1,SUM($A$2:$A108),"")</f>
        <v/>
      </c>
      <c r="C108">
        <f>IF($A108=1,SUM($A$2:$A108),0)</f>
        <v/>
      </c>
    </row>
    <row r="109">
      <c r="A109">
        <f>IF(AND(OR(Query!$B$4="All",'Compliance Database'!$A109=Query!$B$4),OR(Query!$B$5="All",'Compliance Database'!$F109=Query!$B$5),OR(Query!$B$6="All",ISNUMBER(SEARCH(Query!$B$6,'Compliance Database'!$I109))),OR(Query!$B$7="All",ISNUMBER(SEARCH(Query!$B$7,'Compliance Database'!$J109))),OR(Query!$B$8="All",'Compliance Database'!$G109=Query!$B$8),OR(Query!$B$9="All",'Compliance Database'!$K109=Query!$B$9),OR(Query!$B$10="",ISNUMBER(SEARCH(Query!$B$10,'Compliance Database'!$D109&amp;" "&amp;'Compliance Database'!$L109&amp;" "&amp;'Compliance Database'!$M109&amp;" "&amp;'Compliance Database'!$N109&amp;" "&amp;'Compliance Database'!$O109)))),1,0)</f>
        <v/>
      </c>
      <c r="B109">
        <f>IF($A109=1,SUM($A$2:$A109),"")</f>
        <v/>
      </c>
      <c r="C109">
        <f>IF($A109=1,SUM($A$2:$A109),0)</f>
        <v/>
      </c>
    </row>
    <row r="110">
      <c r="A110">
        <f>IF(AND(OR(Query!$B$4="All",'Compliance Database'!$A110=Query!$B$4),OR(Query!$B$5="All",'Compliance Database'!$F110=Query!$B$5),OR(Query!$B$6="All",ISNUMBER(SEARCH(Query!$B$6,'Compliance Database'!$I110))),OR(Query!$B$7="All",ISNUMBER(SEARCH(Query!$B$7,'Compliance Database'!$J110))),OR(Query!$B$8="All",'Compliance Database'!$G110=Query!$B$8),OR(Query!$B$9="All",'Compliance Database'!$K110=Query!$B$9),OR(Query!$B$10="",ISNUMBER(SEARCH(Query!$B$10,'Compliance Database'!$D110&amp;" "&amp;'Compliance Database'!$L110&amp;" "&amp;'Compliance Database'!$M110&amp;" "&amp;'Compliance Database'!$N110&amp;" "&amp;'Compliance Database'!$O110)))),1,0)</f>
        <v/>
      </c>
      <c r="B110">
        <f>IF($A110=1,SUM($A$2:$A110),"")</f>
        <v/>
      </c>
      <c r="C110">
        <f>IF($A110=1,SUM($A$2:$A110),0)</f>
        <v/>
      </c>
    </row>
    <row r="111">
      <c r="A111">
        <f>IF(AND(OR(Query!$B$4="All",'Compliance Database'!$A111=Query!$B$4),OR(Query!$B$5="All",'Compliance Database'!$F111=Query!$B$5),OR(Query!$B$6="All",ISNUMBER(SEARCH(Query!$B$6,'Compliance Database'!$I111))),OR(Query!$B$7="All",ISNUMBER(SEARCH(Query!$B$7,'Compliance Database'!$J111))),OR(Query!$B$8="All",'Compliance Database'!$G111=Query!$B$8),OR(Query!$B$9="All",'Compliance Database'!$K111=Query!$B$9),OR(Query!$B$10="",ISNUMBER(SEARCH(Query!$B$10,'Compliance Database'!$D111&amp;" "&amp;'Compliance Database'!$L111&amp;" "&amp;'Compliance Database'!$M111&amp;" "&amp;'Compliance Database'!$N111&amp;" "&amp;'Compliance Database'!$O111)))),1,0)</f>
        <v/>
      </c>
      <c r="B111">
        <f>IF($A111=1,SUM($A$2:$A111),"")</f>
        <v/>
      </c>
      <c r="C111">
        <f>IF($A111=1,SUM($A$2:$A111),0)</f>
        <v/>
      </c>
    </row>
    <row r="112">
      <c r="A112">
        <f>IF(AND(OR(Query!$B$4="All",'Compliance Database'!$A112=Query!$B$4),OR(Query!$B$5="All",'Compliance Database'!$F112=Query!$B$5),OR(Query!$B$6="All",ISNUMBER(SEARCH(Query!$B$6,'Compliance Database'!$I112))),OR(Query!$B$7="All",ISNUMBER(SEARCH(Query!$B$7,'Compliance Database'!$J112))),OR(Query!$B$8="All",'Compliance Database'!$G112=Query!$B$8),OR(Query!$B$9="All",'Compliance Database'!$K112=Query!$B$9),OR(Query!$B$10="",ISNUMBER(SEARCH(Query!$B$10,'Compliance Database'!$D112&amp;" "&amp;'Compliance Database'!$L112&amp;" "&amp;'Compliance Database'!$M112&amp;" "&amp;'Compliance Database'!$N112&amp;" "&amp;'Compliance Database'!$O112)))),1,0)</f>
        <v/>
      </c>
      <c r="B112">
        <f>IF($A112=1,SUM($A$2:$A112),"")</f>
        <v/>
      </c>
      <c r="C112">
        <f>IF($A112=1,SUM($A$2:$A112),0)</f>
        <v/>
      </c>
    </row>
    <row r="113">
      <c r="A113">
        <f>IF(AND(OR(Query!$B$4="All",'Compliance Database'!$A113=Query!$B$4),OR(Query!$B$5="All",'Compliance Database'!$F113=Query!$B$5),OR(Query!$B$6="All",ISNUMBER(SEARCH(Query!$B$6,'Compliance Database'!$I113))),OR(Query!$B$7="All",ISNUMBER(SEARCH(Query!$B$7,'Compliance Database'!$J113))),OR(Query!$B$8="All",'Compliance Database'!$G113=Query!$B$8),OR(Query!$B$9="All",'Compliance Database'!$K113=Query!$B$9),OR(Query!$B$10="",ISNUMBER(SEARCH(Query!$B$10,'Compliance Database'!$D113&amp;" "&amp;'Compliance Database'!$L113&amp;" "&amp;'Compliance Database'!$M113&amp;" "&amp;'Compliance Database'!$N113&amp;" "&amp;'Compliance Database'!$O113)))),1,0)</f>
        <v/>
      </c>
      <c r="B113">
        <f>IF($A113=1,SUM($A$2:$A113),"")</f>
        <v/>
      </c>
      <c r="C113">
        <f>IF($A113=1,SUM($A$2:$A113),0)</f>
        <v/>
      </c>
    </row>
    <row r="114">
      <c r="A114">
        <f>IF(AND(OR(Query!$B$4="All",'Compliance Database'!$A114=Query!$B$4),OR(Query!$B$5="All",'Compliance Database'!$F114=Query!$B$5),OR(Query!$B$6="All",ISNUMBER(SEARCH(Query!$B$6,'Compliance Database'!$I114))),OR(Query!$B$7="All",ISNUMBER(SEARCH(Query!$B$7,'Compliance Database'!$J114))),OR(Query!$B$8="All",'Compliance Database'!$G114=Query!$B$8),OR(Query!$B$9="All",'Compliance Database'!$K114=Query!$B$9),OR(Query!$B$10="",ISNUMBER(SEARCH(Query!$B$10,'Compliance Database'!$D114&amp;" "&amp;'Compliance Database'!$L114&amp;" "&amp;'Compliance Database'!$M114&amp;" "&amp;'Compliance Database'!$N114&amp;" "&amp;'Compliance Database'!$O114)))),1,0)</f>
        <v/>
      </c>
      <c r="B114">
        <f>IF($A114=1,SUM($A$2:$A114),"")</f>
        <v/>
      </c>
      <c r="C114">
        <f>IF($A114=1,SUM($A$2:$A114),0)</f>
        <v/>
      </c>
    </row>
    <row r="115">
      <c r="A115">
        <f>IF(AND(OR(Query!$B$4="All",'Compliance Database'!$A115=Query!$B$4),OR(Query!$B$5="All",'Compliance Database'!$F115=Query!$B$5),OR(Query!$B$6="All",ISNUMBER(SEARCH(Query!$B$6,'Compliance Database'!$I115))),OR(Query!$B$7="All",ISNUMBER(SEARCH(Query!$B$7,'Compliance Database'!$J115))),OR(Query!$B$8="All",'Compliance Database'!$G115=Query!$B$8),OR(Query!$B$9="All",'Compliance Database'!$K115=Query!$B$9),OR(Query!$B$10="",ISNUMBER(SEARCH(Query!$B$10,'Compliance Database'!$D115&amp;" "&amp;'Compliance Database'!$L115&amp;" "&amp;'Compliance Database'!$M115&amp;" "&amp;'Compliance Database'!$N115&amp;" "&amp;'Compliance Database'!$O115)))),1,0)</f>
        <v/>
      </c>
      <c r="B115">
        <f>IF($A115=1,SUM($A$2:$A115),"")</f>
        <v/>
      </c>
      <c r="C115">
        <f>IF($A115=1,SUM($A$2:$A115),0)</f>
        <v/>
      </c>
    </row>
    <row r="116">
      <c r="A116">
        <f>IF(AND(OR(Query!$B$4="All",'Compliance Database'!$A116=Query!$B$4),OR(Query!$B$5="All",'Compliance Database'!$F116=Query!$B$5),OR(Query!$B$6="All",ISNUMBER(SEARCH(Query!$B$6,'Compliance Database'!$I116))),OR(Query!$B$7="All",ISNUMBER(SEARCH(Query!$B$7,'Compliance Database'!$J116))),OR(Query!$B$8="All",'Compliance Database'!$G116=Query!$B$8),OR(Query!$B$9="All",'Compliance Database'!$K116=Query!$B$9),OR(Query!$B$10="",ISNUMBER(SEARCH(Query!$B$10,'Compliance Database'!$D116&amp;" "&amp;'Compliance Database'!$L116&amp;" "&amp;'Compliance Database'!$M116&amp;" "&amp;'Compliance Database'!$N116&amp;" "&amp;'Compliance Database'!$O116)))),1,0)</f>
        <v/>
      </c>
      <c r="B116">
        <f>IF($A116=1,SUM($A$2:$A116),"")</f>
        <v/>
      </c>
      <c r="C116">
        <f>IF($A116=1,SUM($A$2:$A116),0)</f>
        <v/>
      </c>
    </row>
    <row r="117">
      <c r="A117">
        <f>IF(AND(OR(Query!$B$4="All",'Compliance Database'!$A117=Query!$B$4),OR(Query!$B$5="All",'Compliance Database'!$F117=Query!$B$5),OR(Query!$B$6="All",ISNUMBER(SEARCH(Query!$B$6,'Compliance Database'!$I117))),OR(Query!$B$7="All",ISNUMBER(SEARCH(Query!$B$7,'Compliance Database'!$J117))),OR(Query!$B$8="All",'Compliance Database'!$G117=Query!$B$8),OR(Query!$B$9="All",'Compliance Database'!$K117=Query!$B$9),OR(Query!$B$10="",ISNUMBER(SEARCH(Query!$B$10,'Compliance Database'!$D117&amp;" "&amp;'Compliance Database'!$L117&amp;" "&amp;'Compliance Database'!$M117&amp;" "&amp;'Compliance Database'!$N117&amp;" "&amp;'Compliance Database'!$O117)))),1,0)</f>
        <v/>
      </c>
      <c r="B117">
        <f>IF($A117=1,SUM($A$2:$A117),"")</f>
        <v/>
      </c>
      <c r="C117">
        <f>IF($A117=1,SUM($A$2:$A117),0)</f>
        <v/>
      </c>
    </row>
    <row r="118">
      <c r="A118">
        <f>IF(AND(OR(Query!$B$4="All",'Compliance Database'!$A118=Query!$B$4),OR(Query!$B$5="All",'Compliance Database'!$F118=Query!$B$5),OR(Query!$B$6="All",ISNUMBER(SEARCH(Query!$B$6,'Compliance Database'!$I118))),OR(Query!$B$7="All",ISNUMBER(SEARCH(Query!$B$7,'Compliance Database'!$J118))),OR(Query!$B$8="All",'Compliance Database'!$G118=Query!$B$8),OR(Query!$B$9="All",'Compliance Database'!$K118=Query!$B$9),OR(Query!$B$10="",ISNUMBER(SEARCH(Query!$B$10,'Compliance Database'!$D118&amp;" "&amp;'Compliance Database'!$L118&amp;" "&amp;'Compliance Database'!$M118&amp;" "&amp;'Compliance Database'!$N118&amp;" "&amp;'Compliance Database'!$O118)))),1,0)</f>
        <v/>
      </c>
      <c r="B118">
        <f>IF($A118=1,SUM($A$2:$A118),"")</f>
        <v/>
      </c>
      <c r="C118">
        <f>IF($A118=1,SUM($A$2:$A118),0)</f>
        <v/>
      </c>
    </row>
    <row r="119">
      <c r="A119">
        <f>IF(AND(OR(Query!$B$4="All",'Compliance Database'!$A119=Query!$B$4),OR(Query!$B$5="All",'Compliance Database'!$F119=Query!$B$5),OR(Query!$B$6="All",ISNUMBER(SEARCH(Query!$B$6,'Compliance Database'!$I119))),OR(Query!$B$7="All",ISNUMBER(SEARCH(Query!$B$7,'Compliance Database'!$J119))),OR(Query!$B$8="All",'Compliance Database'!$G119=Query!$B$8),OR(Query!$B$9="All",'Compliance Database'!$K119=Query!$B$9),OR(Query!$B$10="",ISNUMBER(SEARCH(Query!$B$10,'Compliance Database'!$D119&amp;" "&amp;'Compliance Database'!$L119&amp;" "&amp;'Compliance Database'!$M119&amp;" "&amp;'Compliance Database'!$N119&amp;" "&amp;'Compliance Database'!$O119)))),1,0)</f>
        <v/>
      </c>
      <c r="B119">
        <f>IF($A119=1,SUM($A$2:$A119),"")</f>
        <v/>
      </c>
      <c r="C119">
        <f>IF($A119=1,SUM($A$2:$A119),0)</f>
        <v/>
      </c>
    </row>
    <row r="120">
      <c r="A120">
        <f>IF(AND(OR(Query!$B$4="All",'Compliance Database'!$A120=Query!$B$4),OR(Query!$B$5="All",'Compliance Database'!$F120=Query!$B$5),OR(Query!$B$6="All",ISNUMBER(SEARCH(Query!$B$6,'Compliance Database'!$I120))),OR(Query!$B$7="All",ISNUMBER(SEARCH(Query!$B$7,'Compliance Database'!$J120))),OR(Query!$B$8="All",'Compliance Database'!$G120=Query!$B$8),OR(Query!$B$9="All",'Compliance Database'!$K120=Query!$B$9),OR(Query!$B$10="",ISNUMBER(SEARCH(Query!$B$10,'Compliance Database'!$D120&amp;" "&amp;'Compliance Database'!$L120&amp;" "&amp;'Compliance Database'!$M120&amp;" "&amp;'Compliance Database'!$N120&amp;" "&amp;'Compliance Database'!$O120)))),1,0)</f>
        <v/>
      </c>
      <c r="B120">
        <f>IF($A120=1,SUM($A$2:$A120),"")</f>
        <v/>
      </c>
      <c r="C120">
        <f>IF($A120=1,SUM($A$2:$A120),0)</f>
        <v/>
      </c>
    </row>
    <row r="121">
      <c r="A121">
        <f>IF(AND(OR(Query!$B$4="All",'Compliance Database'!$A121=Query!$B$4),OR(Query!$B$5="All",'Compliance Database'!$F121=Query!$B$5),OR(Query!$B$6="All",ISNUMBER(SEARCH(Query!$B$6,'Compliance Database'!$I121))),OR(Query!$B$7="All",ISNUMBER(SEARCH(Query!$B$7,'Compliance Database'!$J121))),OR(Query!$B$8="All",'Compliance Database'!$G121=Query!$B$8),OR(Query!$B$9="All",'Compliance Database'!$K121=Query!$B$9),OR(Query!$B$10="",ISNUMBER(SEARCH(Query!$B$10,'Compliance Database'!$D121&amp;" "&amp;'Compliance Database'!$L121&amp;" "&amp;'Compliance Database'!$M121&amp;" "&amp;'Compliance Database'!$N121&amp;" "&amp;'Compliance Database'!$O121)))),1,0)</f>
        <v/>
      </c>
      <c r="B121">
        <f>IF($A121=1,SUM($A$2:$A121),"")</f>
        <v/>
      </c>
      <c r="C121">
        <f>IF($A121=1,SUM($A$2:$A121),0)</f>
        <v/>
      </c>
    </row>
    <row r="122">
      <c r="A122">
        <f>IF(AND(OR(Query!$B$4="All",'Compliance Database'!$A122=Query!$B$4),OR(Query!$B$5="All",'Compliance Database'!$F122=Query!$B$5),OR(Query!$B$6="All",ISNUMBER(SEARCH(Query!$B$6,'Compliance Database'!$I122))),OR(Query!$B$7="All",ISNUMBER(SEARCH(Query!$B$7,'Compliance Database'!$J122))),OR(Query!$B$8="All",'Compliance Database'!$G122=Query!$B$8),OR(Query!$B$9="All",'Compliance Database'!$K122=Query!$B$9),OR(Query!$B$10="",ISNUMBER(SEARCH(Query!$B$10,'Compliance Database'!$D122&amp;" "&amp;'Compliance Database'!$L122&amp;" "&amp;'Compliance Database'!$M122&amp;" "&amp;'Compliance Database'!$N122&amp;" "&amp;'Compliance Database'!$O122)))),1,0)</f>
        <v/>
      </c>
      <c r="B122">
        <f>IF($A122=1,SUM($A$2:$A122),"")</f>
        <v/>
      </c>
      <c r="C122">
        <f>IF($A122=1,SUM($A$2:$A122),0)</f>
        <v/>
      </c>
    </row>
    <row r="123">
      <c r="A123">
        <f>IF(AND(OR(Query!$B$4="All",'Compliance Database'!$A123=Query!$B$4),OR(Query!$B$5="All",'Compliance Database'!$F123=Query!$B$5),OR(Query!$B$6="All",ISNUMBER(SEARCH(Query!$B$6,'Compliance Database'!$I123))),OR(Query!$B$7="All",ISNUMBER(SEARCH(Query!$B$7,'Compliance Database'!$J123))),OR(Query!$B$8="All",'Compliance Database'!$G123=Query!$B$8),OR(Query!$B$9="All",'Compliance Database'!$K123=Query!$B$9),OR(Query!$B$10="",ISNUMBER(SEARCH(Query!$B$10,'Compliance Database'!$D123&amp;" "&amp;'Compliance Database'!$L123&amp;" "&amp;'Compliance Database'!$M123&amp;" "&amp;'Compliance Database'!$N123&amp;" "&amp;'Compliance Database'!$O123)))),1,0)</f>
        <v/>
      </c>
      <c r="B123">
        <f>IF($A123=1,SUM($A$2:$A123),"")</f>
        <v/>
      </c>
      <c r="C123">
        <f>IF($A123=1,SUM($A$2:$A123),0)</f>
        <v/>
      </c>
    </row>
    <row r="124">
      <c r="A124">
        <f>IF(AND(OR(Query!$B$4="All",'Compliance Database'!$A124=Query!$B$4),OR(Query!$B$5="All",'Compliance Database'!$F124=Query!$B$5),OR(Query!$B$6="All",ISNUMBER(SEARCH(Query!$B$6,'Compliance Database'!$I124))),OR(Query!$B$7="All",ISNUMBER(SEARCH(Query!$B$7,'Compliance Database'!$J124))),OR(Query!$B$8="All",'Compliance Database'!$G124=Query!$B$8),OR(Query!$B$9="All",'Compliance Database'!$K124=Query!$B$9),OR(Query!$B$10="",ISNUMBER(SEARCH(Query!$B$10,'Compliance Database'!$D124&amp;" "&amp;'Compliance Database'!$L124&amp;" "&amp;'Compliance Database'!$M124&amp;" "&amp;'Compliance Database'!$N124&amp;" "&amp;'Compliance Database'!$O124)))),1,0)</f>
        <v/>
      </c>
      <c r="B124">
        <f>IF($A124=1,SUM($A$2:$A124),"")</f>
        <v/>
      </c>
      <c r="C124">
        <f>IF($A124=1,SUM($A$2:$A124),0)</f>
        <v/>
      </c>
    </row>
    <row r="125">
      <c r="A125">
        <f>IF(AND(OR(Query!$B$4="All",'Compliance Database'!$A125=Query!$B$4),OR(Query!$B$5="All",'Compliance Database'!$F125=Query!$B$5),OR(Query!$B$6="All",ISNUMBER(SEARCH(Query!$B$6,'Compliance Database'!$I125))),OR(Query!$B$7="All",ISNUMBER(SEARCH(Query!$B$7,'Compliance Database'!$J125))),OR(Query!$B$8="All",'Compliance Database'!$G125=Query!$B$8),OR(Query!$B$9="All",'Compliance Database'!$K125=Query!$B$9),OR(Query!$B$10="",ISNUMBER(SEARCH(Query!$B$10,'Compliance Database'!$D125&amp;" "&amp;'Compliance Database'!$L125&amp;" "&amp;'Compliance Database'!$M125&amp;" "&amp;'Compliance Database'!$N125&amp;" "&amp;'Compliance Database'!$O125)))),1,0)</f>
        <v/>
      </c>
      <c r="B125">
        <f>IF($A125=1,SUM($A$2:$A125),"")</f>
        <v/>
      </c>
      <c r="C125">
        <f>IF($A125=1,SUM($A$2:$A125),0)</f>
        <v/>
      </c>
    </row>
    <row r="126">
      <c r="A126">
        <f>IF(AND(OR(Query!$B$4="All",'Compliance Database'!$A126=Query!$B$4),OR(Query!$B$5="All",'Compliance Database'!$F126=Query!$B$5),OR(Query!$B$6="All",ISNUMBER(SEARCH(Query!$B$6,'Compliance Database'!$I126))),OR(Query!$B$7="All",ISNUMBER(SEARCH(Query!$B$7,'Compliance Database'!$J126))),OR(Query!$B$8="All",'Compliance Database'!$G126=Query!$B$8),OR(Query!$B$9="All",'Compliance Database'!$K126=Query!$B$9),OR(Query!$B$10="",ISNUMBER(SEARCH(Query!$B$10,'Compliance Database'!$D126&amp;" "&amp;'Compliance Database'!$L126&amp;" "&amp;'Compliance Database'!$M126&amp;" "&amp;'Compliance Database'!$N126&amp;" "&amp;'Compliance Database'!$O126)))),1,0)</f>
        <v/>
      </c>
      <c r="B126">
        <f>IF($A126=1,SUM($A$2:$A126),"")</f>
        <v/>
      </c>
      <c r="C126">
        <f>IF($A126=1,SUM($A$2:$A126),0)</f>
        <v/>
      </c>
    </row>
    <row r="127">
      <c r="A127">
        <f>IF(AND(OR(Query!$B$4="All",'Compliance Database'!$A127=Query!$B$4),OR(Query!$B$5="All",'Compliance Database'!$F127=Query!$B$5),OR(Query!$B$6="All",ISNUMBER(SEARCH(Query!$B$6,'Compliance Database'!$I127))),OR(Query!$B$7="All",ISNUMBER(SEARCH(Query!$B$7,'Compliance Database'!$J127))),OR(Query!$B$8="All",'Compliance Database'!$G127=Query!$B$8),OR(Query!$B$9="All",'Compliance Database'!$K127=Query!$B$9),OR(Query!$B$10="",ISNUMBER(SEARCH(Query!$B$10,'Compliance Database'!$D127&amp;" "&amp;'Compliance Database'!$L127&amp;" "&amp;'Compliance Database'!$M127&amp;" "&amp;'Compliance Database'!$N127&amp;" "&amp;'Compliance Database'!$O127)))),1,0)</f>
        <v/>
      </c>
      <c r="B127">
        <f>IF($A127=1,SUM($A$2:$A127),"")</f>
        <v/>
      </c>
      <c r="C127">
        <f>IF($A127=1,SUM($A$2:$A127),0)</f>
        <v/>
      </c>
    </row>
    <row r="128">
      <c r="A128">
        <f>IF(AND(OR(Query!$B$4="All",'Compliance Database'!$A128=Query!$B$4),OR(Query!$B$5="All",'Compliance Database'!$F128=Query!$B$5),OR(Query!$B$6="All",ISNUMBER(SEARCH(Query!$B$6,'Compliance Database'!$I128))),OR(Query!$B$7="All",ISNUMBER(SEARCH(Query!$B$7,'Compliance Database'!$J128))),OR(Query!$B$8="All",'Compliance Database'!$G128=Query!$B$8),OR(Query!$B$9="All",'Compliance Database'!$K128=Query!$B$9),OR(Query!$B$10="",ISNUMBER(SEARCH(Query!$B$10,'Compliance Database'!$D128&amp;" "&amp;'Compliance Database'!$L128&amp;" "&amp;'Compliance Database'!$M128&amp;" "&amp;'Compliance Database'!$N128&amp;" "&amp;'Compliance Database'!$O128)))),1,0)</f>
        <v/>
      </c>
      <c r="B128">
        <f>IF($A128=1,SUM($A$2:$A128),"")</f>
        <v/>
      </c>
      <c r="C128">
        <f>IF($A128=1,SUM($A$2:$A128),0)</f>
        <v/>
      </c>
    </row>
    <row r="129">
      <c r="A129">
        <f>IF(AND(OR(Query!$B$4="All",'Compliance Database'!$A129=Query!$B$4),OR(Query!$B$5="All",'Compliance Database'!$F129=Query!$B$5),OR(Query!$B$6="All",ISNUMBER(SEARCH(Query!$B$6,'Compliance Database'!$I129))),OR(Query!$B$7="All",ISNUMBER(SEARCH(Query!$B$7,'Compliance Database'!$J129))),OR(Query!$B$8="All",'Compliance Database'!$G129=Query!$B$8),OR(Query!$B$9="All",'Compliance Database'!$K129=Query!$B$9),OR(Query!$B$10="",ISNUMBER(SEARCH(Query!$B$10,'Compliance Database'!$D129&amp;" "&amp;'Compliance Database'!$L129&amp;" "&amp;'Compliance Database'!$M129&amp;" "&amp;'Compliance Database'!$N129&amp;" "&amp;'Compliance Database'!$O129)))),1,0)</f>
        <v/>
      </c>
      <c r="B129">
        <f>IF($A129=1,SUM($A$2:$A129),"")</f>
        <v/>
      </c>
      <c r="C129">
        <f>IF($A129=1,SUM($A$2:$A129),0)</f>
        <v/>
      </c>
    </row>
    <row r="130">
      <c r="A130">
        <f>IF(AND(OR(Query!$B$4="All",'Compliance Database'!$A130=Query!$B$4),OR(Query!$B$5="All",'Compliance Database'!$F130=Query!$B$5),OR(Query!$B$6="All",ISNUMBER(SEARCH(Query!$B$6,'Compliance Database'!$I130))),OR(Query!$B$7="All",ISNUMBER(SEARCH(Query!$B$7,'Compliance Database'!$J130))),OR(Query!$B$8="All",'Compliance Database'!$G130=Query!$B$8),OR(Query!$B$9="All",'Compliance Database'!$K130=Query!$B$9),OR(Query!$B$10="",ISNUMBER(SEARCH(Query!$B$10,'Compliance Database'!$D130&amp;" "&amp;'Compliance Database'!$L130&amp;" "&amp;'Compliance Database'!$M130&amp;" "&amp;'Compliance Database'!$N130&amp;" "&amp;'Compliance Database'!$O130)))),1,0)</f>
        <v/>
      </c>
      <c r="B130">
        <f>IF($A130=1,SUM($A$2:$A130),"")</f>
        <v/>
      </c>
      <c r="C130">
        <f>IF($A130=1,SUM($A$2:$A130),0)</f>
        <v/>
      </c>
    </row>
    <row r="131">
      <c r="A131">
        <f>IF(AND(OR(Query!$B$4="All",'Compliance Database'!$A131=Query!$B$4),OR(Query!$B$5="All",'Compliance Database'!$F131=Query!$B$5),OR(Query!$B$6="All",ISNUMBER(SEARCH(Query!$B$6,'Compliance Database'!$I131))),OR(Query!$B$7="All",ISNUMBER(SEARCH(Query!$B$7,'Compliance Database'!$J131))),OR(Query!$B$8="All",'Compliance Database'!$G131=Query!$B$8),OR(Query!$B$9="All",'Compliance Database'!$K131=Query!$B$9),OR(Query!$B$10="",ISNUMBER(SEARCH(Query!$B$10,'Compliance Database'!$D131&amp;" "&amp;'Compliance Database'!$L131&amp;" "&amp;'Compliance Database'!$M131&amp;" "&amp;'Compliance Database'!$N131&amp;" "&amp;'Compliance Database'!$O131)))),1,0)</f>
        <v/>
      </c>
      <c r="B131">
        <f>IF($A131=1,SUM($A$2:$A131),"")</f>
        <v/>
      </c>
      <c r="C131">
        <f>IF($A131=1,SUM($A$2:$A131),0)</f>
        <v/>
      </c>
    </row>
    <row r="132">
      <c r="A132">
        <f>IF(AND(OR(Query!$B$4="All",'Compliance Database'!$A132=Query!$B$4),OR(Query!$B$5="All",'Compliance Database'!$F132=Query!$B$5),OR(Query!$B$6="All",ISNUMBER(SEARCH(Query!$B$6,'Compliance Database'!$I132))),OR(Query!$B$7="All",ISNUMBER(SEARCH(Query!$B$7,'Compliance Database'!$J132))),OR(Query!$B$8="All",'Compliance Database'!$G132=Query!$B$8),OR(Query!$B$9="All",'Compliance Database'!$K132=Query!$B$9),OR(Query!$B$10="",ISNUMBER(SEARCH(Query!$B$10,'Compliance Database'!$D132&amp;" "&amp;'Compliance Database'!$L132&amp;" "&amp;'Compliance Database'!$M132&amp;" "&amp;'Compliance Database'!$N132&amp;" "&amp;'Compliance Database'!$O132)))),1,0)</f>
        <v/>
      </c>
      <c r="B132">
        <f>IF($A132=1,SUM($A$2:$A132),"")</f>
        <v/>
      </c>
      <c r="C132">
        <f>IF($A132=1,SUM($A$2:$A132),0)</f>
        <v/>
      </c>
    </row>
    <row r="133">
      <c r="A133">
        <f>IF(AND(OR(Query!$B$4="All",'Compliance Database'!$A133=Query!$B$4),OR(Query!$B$5="All",'Compliance Database'!$F133=Query!$B$5),OR(Query!$B$6="All",ISNUMBER(SEARCH(Query!$B$6,'Compliance Database'!$I133))),OR(Query!$B$7="All",ISNUMBER(SEARCH(Query!$B$7,'Compliance Database'!$J133))),OR(Query!$B$8="All",'Compliance Database'!$G133=Query!$B$8),OR(Query!$B$9="All",'Compliance Database'!$K133=Query!$B$9),OR(Query!$B$10="",ISNUMBER(SEARCH(Query!$B$10,'Compliance Database'!$D133&amp;" "&amp;'Compliance Database'!$L133&amp;" "&amp;'Compliance Database'!$M133&amp;" "&amp;'Compliance Database'!$N133&amp;" "&amp;'Compliance Database'!$O133)))),1,0)</f>
        <v/>
      </c>
      <c r="B133">
        <f>IF($A133=1,SUM($A$2:$A133),"")</f>
        <v/>
      </c>
      <c r="C133">
        <f>IF($A133=1,SUM($A$2:$A133),0)</f>
        <v/>
      </c>
    </row>
    <row r="134">
      <c r="A134">
        <f>IF(AND(OR(Query!$B$4="All",'Compliance Database'!$A134=Query!$B$4),OR(Query!$B$5="All",'Compliance Database'!$F134=Query!$B$5),OR(Query!$B$6="All",ISNUMBER(SEARCH(Query!$B$6,'Compliance Database'!$I134))),OR(Query!$B$7="All",ISNUMBER(SEARCH(Query!$B$7,'Compliance Database'!$J134))),OR(Query!$B$8="All",'Compliance Database'!$G134=Query!$B$8),OR(Query!$B$9="All",'Compliance Database'!$K134=Query!$B$9),OR(Query!$B$10="",ISNUMBER(SEARCH(Query!$B$10,'Compliance Database'!$D134&amp;" "&amp;'Compliance Database'!$L134&amp;" "&amp;'Compliance Database'!$M134&amp;" "&amp;'Compliance Database'!$N134&amp;" "&amp;'Compliance Database'!$O134)))),1,0)</f>
        <v/>
      </c>
      <c r="B134">
        <f>IF($A134=1,SUM($A$2:$A134),"")</f>
        <v/>
      </c>
      <c r="C134">
        <f>IF($A134=1,SUM($A$2:$A134),0)</f>
        <v/>
      </c>
    </row>
    <row r="135">
      <c r="A135">
        <f>IF(AND(OR(Query!$B$4="All",'Compliance Database'!$A135=Query!$B$4),OR(Query!$B$5="All",'Compliance Database'!$F135=Query!$B$5),OR(Query!$B$6="All",ISNUMBER(SEARCH(Query!$B$6,'Compliance Database'!$I135))),OR(Query!$B$7="All",ISNUMBER(SEARCH(Query!$B$7,'Compliance Database'!$J135))),OR(Query!$B$8="All",'Compliance Database'!$G135=Query!$B$8),OR(Query!$B$9="All",'Compliance Database'!$K135=Query!$B$9),OR(Query!$B$10="",ISNUMBER(SEARCH(Query!$B$10,'Compliance Database'!$D135&amp;" "&amp;'Compliance Database'!$L135&amp;" "&amp;'Compliance Database'!$M135&amp;" "&amp;'Compliance Database'!$N135&amp;" "&amp;'Compliance Database'!$O135)))),1,0)</f>
        <v/>
      </c>
      <c r="B135">
        <f>IF($A135=1,SUM($A$2:$A135),"")</f>
        <v/>
      </c>
      <c r="C135">
        <f>IF($A135=1,SUM($A$2:$A135),0)</f>
        <v/>
      </c>
    </row>
    <row r="136">
      <c r="A136">
        <f>IF(AND(OR(Query!$B$4="All",'Compliance Database'!$A136=Query!$B$4),OR(Query!$B$5="All",'Compliance Database'!$F136=Query!$B$5),OR(Query!$B$6="All",ISNUMBER(SEARCH(Query!$B$6,'Compliance Database'!$I136))),OR(Query!$B$7="All",ISNUMBER(SEARCH(Query!$B$7,'Compliance Database'!$J136))),OR(Query!$B$8="All",'Compliance Database'!$G136=Query!$B$8),OR(Query!$B$9="All",'Compliance Database'!$K136=Query!$B$9),OR(Query!$B$10="",ISNUMBER(SEARCH(Query!$B$10,'Compliance Database'!$D136&amp;" "&amp;'Compliance Database'!$L136&amp;" "&amp;'Compliance Database'!$M136&amp;" "&amp;'Compliance Database'!$N136&amp;" "&amp;'Compliance Database'!$O136)))),1,0)</f>
        <v/>
      </c>
      <c r="B136">
        <f>IF($A136=1,SUM($A$2:$A136),"")</f>
        <v/>
      </c>
      <c r="C136">
        <f>IF($A136=1,SUM($A$2:$A136),0)</f>
        <v/>
      </c>
    </row>
    <row r="137">
      <c r="A137">
        <f>IF(AND(OR(Query!$B$4="All",'Compliance Database'!$A137=Query!$B$4),OR(Query!$B$5="All",'Compliance Database'!$F137=Query!$B$5),OR(Query!$B$6="All",ISNUMBER(SEARCH(Query!$B$6,'Compliance Database'!$I137))),OR(Query!$B$7="All",ISNUMBER(SEARCH(Query!$B$7,'Compliance Database'!$J137))),OR(Query!$B$8="All",'Compliance Database'!$G137=Query!$B$8),OR(Query!$B$9="All",'Compliance Database'!$K137=Query!$B$9),OR(Query!$B$10="",ISNUMBER(SEARCH(Query!$B$10,'Compliance Database'!$D137&amp;" "&amp;'Compliance Database'!$L137&amp;" "&amp;'Compliance Database'!$M137&amp;" "&amp;'Compliance Database'!$N137&amp;" "&amp;'Compliance Database'!$O137)))),1,0)</f>
        <v/>
      </c>
      <c r="B137">
        <f>IF($A137=1,SUM($A$2:$A137),"")</f>
        <v/>
      </c>
      <c r="C137">
        <f>IF($A137=1,SUM($A$2:$A137),0)</f>
        <v/>
      </c>
    </row>
    <row r="138">
      <c r="A138">
        <f>IF(AND(OR(Query!$B$4="All",'Compliance Database'!$A138=Query!$B$4),OR(Query!$B$5="All",'Compliance Database'!$F138=Query!$B$5),OR(Query!$B$6="All",ISNUMBER(SEARCH(Query!$B$6,'Compliance Database'!$I138))),OR(Query!$B$7="All",ISNUMBER(SEARCH(Query!$B$7,'Compliance Database'!$J138))),OR(Query!$B$8="All",'Compliance Database'!$G138=Query!$B$8),OR(Query!$B$9="All",'Compliance Database'!$K138=Query!$B$9),OR(Query!$B$10="",ISNUMBER(SEARCH(Query!$B$10,'Compliance Database'!$D138&amp;" "&amp;'Compliance Database'!$L138&amp;" "&amp;'Compliance Database'!$M138&amp;" "&amp;'Compliance Database'!$N138&amp;" "&amp;'Compliance Database'!$O138)))),1,0)</f>
        <v/>
      </c>
      <c r="B138">
        <f>IF($A138=1,SUM($A$2:$A138),"")</f>
        <v/>
      </c>
      <c r="C138">
        <f>IF($A138=1,SUM($A$2:$A138),0)</f>
        <v/>
      </c>
    </row>
    <row r="139">
      <c r="A139">
        <f>IF(AND(OR(Query!$B$4="All",'Compliance Database'!$A139=Query!$B$4),OR(Query!$B$5="All",'Compliance Database'!$F139=Query!$B$5),OR(Query!$B$6="All",ISNUMBER(SEARCH(Query!$B$6,'Compliance Database'!$I139))),OR(Query!$B$7="All",ISNUMBER(SEARCH(Query!$B$7,'Compliance Database'!$J139))),OR(Query!$B$8="All",'Compliance Database'!$G139=Query!$B$8),OR(Query!$B$9="All",'Compliance Database'!$K139=Query!$B$9),OR(Query!$B$10="",ISNUMBER(SEARCH(Query!$B$10,'Compliance Database'!$D139&amp;" "&amp;'Compliance Database'!$L139&amp;" "&amp;'Compliance Database'!$M139&amp;" "&amp;'Compliance Database'!$N139&amp;" "&amp;'Compliance Database'!$O139)))),1,0)</f>
        <v/>
      </c>
      <c r="B139">
        <f>IF($A139=1,SUM($A$2:$A139),"")</f>
        <v/>
      </c>
      <c r="C139">
        <f>IF($A139=1,SUM($A$2:$A139),0)</f>
        <v/>
      </c>
    </row>
    <row r="140">
      <c r="A140">
        <f>IF(AND(OR(Query!$B$4="All",'Compliance Database'!$A140=Query!$B$4),OR(Query!$B$5="All",'Compliance Database'!$F140=Query!$B$5),OR(Query!$B$6="All",ISNUMBER(SEARCH(Query!$B$6,'Compliance Database'!$I140))),OR(Query!$B$7="All",ISNUMBER(SEARCH(Query!$B$7,'Compliance Database'!$J140))),OR(Query!$B$8="All",'Compliance Database'!$G140=Query!$B$8),OR(Query!$B$9="All",'Compliance Database'!$K140=Query!$B$9),OR(Query!$B$10="",ISNUMBER(SEARCH(Query!$B$10,'Compliance Database'!$D140&amp;" "&amp;'Compliance Database'!$L140&amp;" "&amp;'Compliance Database'!$M140&amp;" "&amp;'Compliance Database'!$N140&amp;" "&amp;'Compliance Database'!$O140)))),1,0)</f>
        <v/>
      </c>
      <c r="B140">
        <f>IF($A140=1,SUM($A$2:$A140),"")</f>
        <v/>
      </c>
      <c r="C140">
        <f>IF($A140=1,SUM($A$2:$A140),0)</f>
        <v/>
      </c>
    </row>
    <row r="141">
      <c r="A141">
        <f>IF(AND(OR(Query!$B$4="All",'Compliance Database'!$A141=Query!$B$4),OR(Query!$B$5="All",'Compliance Database'!$F141=Query!$B$5),OR(Query!$B$6="All",ISNUMBER(SEARCH(Query!$B$6,'Compliance Database'!$I141))),OR(Query!$B$7="All",ISNUMBER(SEARCH(Query!$B$7,'Compliance Database'!$J141))),OR(Query!$B$8="All",'Compliance Database'!$G141=Query!$B$8),OR(Query!$B$9="All",'Compliance Database'!$K141=Query!$B$9),OR(Query!$B$10="",ISNUMBER(SEARCH(Query!$B$10,'Compliance Database'!$D141&amp;" "&amp;'Compliance Database'!$L141&amp;" "&amp;'Compliance Database'!$M141&amp;" "&amp;'Compliance Database'!$N141&amp;" "&amp;'Compliance Database'!$O141)))),1,0)</f>
        <v/>
      </c>
      <c r="B141">
        <f>IF($A141=1,SUM($A$2:$A141),"")</f>
        <v/>
      </c>
      <c r="C141">
        <f>IF($A141=1,SUM($A$2:$A141),0)</f>
        <v/>
      </c>
    </row>
    <row r="142">
      <c r="A142">
        <f>IF(AND(OR(Query!$B$4="All",'Compliance Database'!$A142=Query!$B$4),OR(Query!$B$5="All",'Compliance Database'!$F142=Query!$B$5),OR(Query!$B$6="All",ISNUMBER(SEARCH(Query!$B$6,'Compliance Database'!$I142))),OR(Query!$B$7="All",ISNUMBER(SEARCH(Query!$B$7,'Compliance Database'!$J142))),OR(Query!$B$8="All",'Compliance Database'!$G142=Query!$B$8),OR(Query!$B$9="All",'Compliance Database'!$K142=Query!$B$9),OR(Query!$B$10="",ISNUMBER(SEARCH(Query!$B$10,'Compliance Database'!$D142&amp;" "&amp;'Compliance Database'!$L142&amp;" "&amp;'Compliance Database'!$M142&amp;" "&amp;'Compliance Database'!$N142&amp;" "&amp;'Compliance Database'!$O142)))),1,0)</f>
        <v/>
      </c>
      <c r="B142">
        <f>IF($A142=1,SUM($A$2:$A142),"")</f>
        <v/>
      </c>
      <c r="C142">
        <f>IF($A142=1,SUM($A$2:$A142),0)</f>
        <v/>
      </c>
    </row>
    <row r="143">
      <c r="A143">
        <f>IF(AND(OR(Query!$B$4="All",'Compliance Database'!$A143=Query!$B$4),OR(Query!$B$5="All",'Compliance Database'!$F143=Query!$B$5),OR(Query!$B$6="All",ISNUMBER(SEARCH(Query!$B$6,'Compliance Database'!$I143))),OR(Query!$B$7="All",ISNUMBER(SEARCH(Query!$B$7,'Compliance Database'!$J143))),OR(Query!$B$8="All",'Compliance Database'!$G143=Query!$B$8),OR(Query!$B$9="All",'Compliance Database'!$K143=Query!$B$9),OR(Query!$B$10="",ISNUMBER(SEARCH(Query!$B$10,'Compliance Database'!$D143&amp;" "&amp;'Compliance Database'!$L143&amp;" "&amp;'Compliance Database'!$M143&amp;" "&amp;'Compliance Database'!$N143&amp;" "&amp;'Compliance Database'!$O143)))),1,0)</f>
        <v/>
      </c>
      <c r="B143">
        <f>IF($A143=1,SUM($A$2:$A143),"")</f>
        <v/>
      </c>
      <c r="C143">
        <f>IF($A143=1,SUM($A$2:$A143),0)</f>
        <v/>
      </c>
    </row>
    <row r="144">
      <c r="A144">
        <f>IF(AND(OR(Query!$B$4="All",'Compliance Database'!$A144=Query!$B$4),OR(Query!$B$5="All",'Compliance Database'!$F144=Query!$B$5),OR(Query!$B$6="All",ISNUMBER(SEARCH(Query!$B$6,'Compliance Database'!$I144))),OR(Query!$B$7="All",ISNUMBER(SEARCH(Query!$B$7,'Compliance Database'!$J144))),OR(Query!$B$8="All",'Compliance Database'!$G144=Query!$B$8),OR(Query!$B$9="All",'Compliance Database'!$K144=Query!$B$9),OR(Query!$B$10="",ISNUMBER(SEARCH(Query!$B$10,'Compliance Database'!$D144&amp;" "&amp;'Compliance Database'!$L144&amp;" "&amp;'Compliance Database'!$M144&amp;" "&amp;'Compliance Database'!$N144&amp;" "&amp;'Compliance Database'!$O144)))),1,0)</f>
        <v/>
      </c>
      <c r="B144">
        <f>IF($A144=1,SUM($A$2:$A144),"")</f>
        <v/>
      </c>
      <c r="C144">
        <f>IF($A144=1,SUM($A$2:$A144),0)</f>
        <v/>
      </c>
    </row>
    <row r="145">
      <c r="A145">
        <f>IF(AND(OR(Query!$B$4="All",'Compliance Database'!$A145=Query!$B$4),OR(Query!$B$5="All",'Compliance Database'!$F145=Query!$B$5),OR(Query!$B$6="All",ISNUMBER(SEARCH(Query!$B$6,'Compliance Database'!$I145))),OR(Query!$B$7="All",ISNUMBER(SEARCH(Query!$B$7,'Compliance Database'!$J145))),OR(Query!$B$8="All",'Compliance Database'!$G145=Query!$B$8),OR(Query!$B$9="All",'Compliance Database'!$K145=Query!$B$9),OR(Query!$B$10="",ISNUMBER(SEARCH(Query!$B$10,'Compliance Database'!$D145&amp;" "&amp;'Compliance Database'!$L145&amp;" "&amp;'Compliance Database'!$M145&amp;" "&amp;'Compliance Database'!$N145&amp;" "&amp;'Compliance Database'!$O145)))),1,0)</f>
        <v/>
      </c>
      <c r="B145">
        <f>IF($A145=1,SUM($A$2:$A145),"")</f>
        <v/>
      </c>
      <c r="C145">
        <f>IF($A145=1,SUM($A$2:$A145),0)</f>
        <v/>
      </c>
    </row>
    <row r="146">
      <c r="A146">
        <f>IF(AND(OR(Query!$B$4="All",'Compliance Database'!$A146=Query!$B$4),OR(Query!$B$5="All",'Compliance Database'!$F146=Query!$B$5),OR(Query!$B$6="All",ISNUMBER(SEARCH(Query!$B$6,'Compliance Database'!$I146))),OR(Query!$B$7="All",ISNUMBER(SEARCH(Query!$B$7,'Compliance Database'!$J146))),OR(Query!$B$8="All",'Compliance Database'!$G146=Query!$B$8),OR(Query!$B$9="All",'Compliance Database'!$K146=Query!$B$9),OR(Query!$B$10="",ISNUMBER(SEARCH(Query!$B$10,'Compliance Database'!$D146&amp;" "&amp;'Compliance Database'!$L146&amp;" "&amp;'Compliance Database'!$M146&amp;" "&amp;'Compliance Database'!$N146&amp;" "&amp;'Compliance Database'!$O146)))),1,0)</f>
        <v/>
      </c>
      <c r="B146">
        <f>IF($A146=1,SUM($A$2:$A146),"")</f>
        <v/>
      </c>
      <c r="C146">
        <f>IF($A146=1,SUM($A$2:$A146),0)</f>
        <v/>
      </c>
    </row>
    <row r="147">
      <c r="A147">
        <f>IF(AND(OR(Query!$B$4="All",'Compliance Database'!$A147=Query!$B$4),OR(Query!$B$5="All",'Compliance Database'!$F147=Query!$B$5),OR(Query!$B$6="All",ISNUMBER(SEARCH(Query!$B$6,'Compliance Database'!$I147))),OR(Query!$B$7="All",ISNUMBER(SEARCH(Query!$B$7,'Compliance Database'!$J147))),OR(Query!$B$8="All",'Compliance Database'!$G147=Query!$B$8),OR(Query!$B$9="All",'Compliance Database'!$K147=Query!$B$9),OR(Query!$B$10="",ISNUMBER(SEARCH(Query!$B$10,'Compliance Database'!$D147&amp;" "&amp;'Compliance Database'!$L147&amp;" "&amp;'Compliance Database'!$M147&amp;" "&amp;'Compliance Database'!$N147&amp;" "&amp;'Compliance Database'!$O147)))),1,0)</f>
        <v/>
      </c>
      <c r="B147">
        <f>IF($A147=1,SUM($A$2:$A147),"")</f>
        <v/>
      </c>
      <c r="C147">
        <f>IF($A147=1,SUM($A$2:$A147),0)</f>
        <v/>
      </c>
    </row>
    <row r="148">
      <c r="A148">
        <f>IF(AND(OR(Query!$B$4="All",'Compliance Database'!$A148=Query!$B$4),OR(Query!$B$5="All",'Compliance Database'!$F148=Query!$B$5),OR(Query!$B$6="All",ISNUMBER(SEARCH(Query!$B$6,'Compliance Database'!$I148))),OR(Query!$B$7="All",ISNUMBER(SEARCH(Query!$B$7,'Compliance Database'!$J148))),OR(Query!$B$8="All",'Compliance Database'!$G148=Query!$B$8),OR(Query!$B$9="All",'Compliance Database'!$K148=Query!$B$9),OR(Query!$B$10="",ISNUMBER(SEARCH(Query!$B$10,'Compliance Database'!$D148&amp;" "&amp;'Compliance Database'!$L148&amp;" "&amp;'Compliance Database'!$M148&amp;" "&amp;'Compliance Database'!$N148&amp;" "&amp;'Compliance Database'!$O148)))),1,0)</f>
        <v/>
      </c>
      <c r="B148">
        <f>IF($A148=1,SUM($A$2:$A148),"")</f>
        <v/>
      </c>
      <c r="C148">
        <f>IF($A148=1,SUM($A$2:$A148),0)</f>
        <v/>
      </c>
    </row>
    <row r="149">
      <c r="A149">
        <f>IF(AND(OR(Query!$B$4="All",'Compliance Database'!$A149=Query!$B$4),OR(Query!$B$5="All",'Compliance Database'!$F149=Query!$B$5),OR(Query!$B$6="All",ISNUMBER(SEARCH(Query!$B$6,'Compliance Database'!$I149))),OR(Query!$B$7="All",ISNUMBER(SEARCH(Query!$B$7,'Compliance Database'!$J149))),OR(Query!$B$8="All",'Compliance Database'!$G149=Query!$B$8),OR(Query!$B$9="All",'Compliance Database'!$K149=Query!$B$9),OR(Query!$B$10="",ISNUMBER(SEARCH(Query!$B$10,'Compliance Database'!$D149&amp;" "&amp;'Compliance Database'!$L149&amp;" "&amp;'Compliance Database'!$M149&amp;" "&amp;'Compliance Database'!$N149&amp;" "&amp;'Compliance Database'!$O149)))),1,0)</f>
        <v/>
      </c>
      <c r="B149">
        <f>IF($A149=1,SUM($A$2:$A149),"")</f>
        <v/>
      </c>
      <c r="C149">
        <f>IF($A149=1,SUM($A$2:$A149),0)</f>
        <v/>
      </c>
    </row>
    <row r="150">
      <c r="A150">
        <f>IF(AND(OR(Query!$B$4="All",'Compliance Database'!$A150=Query!$B$4),OR(Query!$B$5="All",'Compliance Database'!$F150=Query!$B$5),OR(Query!$B$6="All",ISNUMBER(SEARCH(Query!$B$6,'Compliance Database'!$I150))),OR(Query!$B$7="All",ISNUMBER(SEARCH(Query!$B$7,'Compliance Database'!$J150))),OR(Query!$B$8="All",'Compliance Database'!$G150=Query!$B$8),OR(Query!$B$9="All",'Compliance Database'!$K150=Query!$B$9),OR(Query!$B$10="",ISNUMBER(SEARCH(Query!$B$10,'Compliance Database'!$D150&amp;" "&amp;'Compliance Database'!$L150&amp;" "&amp;'Compliance Database'!$M150&amp;" "&amp;'Compliance Database'!$N150&amp;" "&amp;'Compliance Database'!$O150)))),1,0)</f>
        <v/>
      </c>
      <c r="B150">
        <f>IF($A150=1,SUM($A$2:$A150),"")</f>
        <v/>
      </c>
      <c r="C150">
        <f>IF($A150=1,SUM($A$2:$A150),0)</f>
        <v/>
      </c>
    </row>
    <row r="151">
      <c r="A151">
        <f>IF(AND(OR(Query!$B$4="All",'Compliance Database'!$A151=Query!$B$4),OR(Query!$B$5="All",'Compliance Database'!$F151=Query!$B$5),OR(Query!$B$6="All",ISNUMBER(SEARCH(Query!$B$6,'Compliance Database'!$I151))),OR(Query!$B$7="All",ISNUMBER(SEARCH(Query!$B$7,'Compliance Database'!$J151))),OR(Query!$B$8="All",'Compliance Database'!$G151=Query!$B$8),OR(Query!$B$9="All",'Compliance Database'!$K151=Query!$B$9),OR(Query!$B$10="",ISNUMBER(SEARCH(Query!$B$10,'Compliance Database'!$D151&amp;" "&amp;'Compliance Database'!$L151&amp;" "&amp;'Compliance Database'!$M151&amp;" "&amp;'Compliance Database'!$N151&amp;" "&amp;'Compliance Database'!$O151)))),1,0)</f>
        <v/>
      </c>
      <c r="B151">
        <f>IF($A151=1,SUM($A$2:$A151),"")</f>
        <v/>
      </c>
      <c r="C151">
        <f>IF($A151=1,SUM($A$2:$A151),0)</f>
        <v/>
      </c>
    </row>
    <row r="152">
      <c r="A152">
        <f>IF(AND(OR(Query!$B$4="All",'Compliance Database'!$A152=Query!$B$4),OR(Query!$B$5="All",'Compliance Database'!$F152=Query!$B$5),OR(Query!$B$6="All",ISNUMBER(SEARCH(Query!$B$6,'Compliance Database'!$I152))),OR(Query!$B$7="All",ISNUMBER(SEARCH(Query!$B$7,'Compliance Database'!$J152))),OR(Query!$B$8="All",'Compliance Database'!$G152=Query!$B$8),OR(Query!$B$9="All",'Compliance Database'!$K152=Query!$B$9),OR(Query!$B$10="",ISNUMBER(SEARCH(Query!$B$10,'Compliance Database'!$D152&amp;" "&amp;'Compliance Database'!$L152&amp;" "&amp;'Compliance Database'!$M152&amp;" "&amp;'Compliance Database'!$N152&amp;" "&amp;'Compliance Database'!$O152)))),1,0)</f>
        <v/>
      </c>
      <c r="B152">
        <f>IF($A152=1,SUM($A$2:$A152),"")</f>
        <v/>
      </c>
      <c r="C152">
        <f>IF($A152=1,SUM($A$2:$A152),0)</f>
        <v/>
      </c>
    </row>
    <row r="153">
      <c r="A153">
        <f>IF(AND(OR(Query!$B$4="All",'Compliance Database'!$A153=Query!$B$4),OR(Query!$B$5="All",'Compliance Database'!$F153=Query!$B$5),OR(Query!$B$6="All",ISNUMBER(SEARCH(Query!$B$6,'Compliance Database'!$I153))),OR(Query!$B$7="All",ISNUMBER(SEARCH(Query!$B$7,'Compliance Database'!$J153))),OR(Query!$B$8="All",'Compliance Database'!$G153=Query!$B$8),OR(Query!$B$9="All",'Compliance Database'!$K153=Query!$B$9),OR(Query!$B$10="",ISNUMBER(SEARCH(Query!$B$10,'Compliance Database'!$D153&amp;" "&amp;'Compliance Database'!$L153&amp;" "&amp;'Compliance Database'!$M153&amp;" "&amp;'Compliance Database'!$N153&amp;" "&amp;'Compliance Database'!$O153)))),1,0)</f>
        <v/>
      </c>
      <c r="B153">
        <f>IF($A153=1,SUM($A$2:$A153),"")</f>
        <v/>
      </c>
      <c r="C153">
        <f>IF($A153=1,SUM($A$2:$A153),0)</f>
        <v/>
      </c>
    </row>
    <row r="154">
      <c r="A154">
        <f>IF(AND(OR(Query!$B$4="All",'Compliance Database'!$A154=Query!$B$4),OR(Query!$B$5="All",'Compliance Database'!$F154=Query!$B$5),OR(Query!$B$6="All",ISNUMBER(SEARCH(Query!$B$6,'Compliance Database'!$I154))),OR(Query!$B$7="All",ISNUMBER(SEARCH(Query!$B$7,'Compliance Database'!$J154))),OR(Query!$B$8="All",'Compliance Database'!$G154=Query!$B$8),OR(Query!$B$9="All",'Compliance Database'!$K154=Query!$B$9),OR(Query!$B$10="",ISNUMBER(SEARCH(Query!$B$10,'Compliance Database'!$D154&amp;" "&amp;'Compliance Database'!$L154&amp;" "&amp;'Compliance Database'!$M154&amp;" "&amp;'Compliance Database'!$N154&amp;" "&amp;'Compliance Database'!$O154)))),1,0)</f>
        <v/>
      </c>
      <c r="B154">
        <f>IF($A154=1,SUM($A$2:$A154),"")</f>
        <v/>
      </c>
      <c r="C154">
        <f>IF($A154=1,SUM($A$2:$A154),0)</f>
        <v/>
      </c>
    </row>
    <row r="155">
      <c r="A155">
        <f>IF(AND(OR(Query!$B$4="All",'Compliance Database'!$A155=Query!$B$4),OR(Query!$B$5="All",'Compliance Database'!$F155=Query!$B$5),OR(Query!$B$6="All",ISNUMBER(SEARCH(Query!$B$6,'Compliance Database'!$I155))),OR(Query!$B$7="All",ISNUMBER(SEARCH(Query!$B$7,'Compliance Database'!$J155))),OR(Query!$B$8="All",'Compliance Database'!$G155=Query!$B$8),OR(Query!$B$9="All",'Compliance Database'!$K155=Query!$B$9),OR(Query!$B$10="",ISNUMBER(SEARCH(Query!$B$10,'Compliance Database'!$D155&amp;" "&amp;'Compliance Database'!$L155&amp;" "&amp;'Compliance Database'!$M155&amp;" "&amp;'Compliance Database'!$N155&amp;" "&amp;'Compliance Database'!$O155)))),1,0)</f>
        <v/>
      </c>
      <c r="B155">
        <f>IF($A155=1,SUM($A$2:$A155),"")</f>
        <v/>
      </c>
      <c r="C155">
        <f>IF($A155=1,SUM($A$2:$A155),0)</f>
        <v/>
      </c>
    </row>
    <row r="156">
      <c r="A156">
        <f>IF(AND(OR(Query!$B$4="All",'Compliance Database'!$A156=Query!$B$4),OR(Query!$B$5="All",'Compliance Database'!$F156=Query!$B$5),OR(Query!$B$6="All",ISNUMBER(SEARCH(Query!$B$6,'Compliance Database'!$I156))),OR(Query!$B$7="All",ISNUMBER(SEARCH(Query!$B$7,'Compliance Database'!$J156))),OR(Query!$B$8="All",'Compliance Database'!$G156=Query!$B$8),OR(Query!$B$9="All",'Compliance Database'!$K156=Query!$B$9),OR(Query!$B$10="",ISNUMBER(SEARCH(Query!$B$10,'Compliance Database'!$D156&amp;" "&amp;'Compliance Database'!$L156&amp;" "&amp;'Compliance Database'!$M156&amp;" "&amp;'Compliance Database'!$N156&amp;" "&amp;'Compliance Database'!$O156)))),1,0)</f>
        <v/>
      </c>
      <c r="B156">
        <f>IF($A156=1,SUM($A$2:$A156),"")</f>
        <v/>
      </c>
      <c r="C156">
        <f>IF($A156=1,SUM($A$2:$A156),0)</f>
        <v/>
      </c>
    </row>
    <row r="157">
      <c r="A157">
        <f>IF(AND(OR(Query!$B$4="All",'Compliance Database'!$A157=Query!$B$4),OR(Query!$B$5="All",'Compliance Database'!$F157=Query!$B$5),OR(Query!$B$6="All",ISNUMBER(SEARCH(Query!$B$6,'Compliance Database'!$I157))),OR(Query!$B$7="All",ISNUMBER(SEARCH(Query!$B$7,'Compliance Database'!$J157))),OR(Query!$B$8="All",'Compliance Database'!$G157=Query!$B$8),OR(Query!$B$9="All",'Compliance Database'!$K157=Query!$B$9),OR(Query!$B$10="",ISNUMBER(SEARCH(Query!$B$10,'Compliance Database'!$D157&amp;" "&amp;'Compliance Database'!$L157&amp;" "&amp;'Compliance Database'!$M157&amp;" "&amp;'Compliance Database'!$N157&amp;" "&amp;'Compliance Database'!$O157)))),1,0)</f>
        <v/>
      </c>
      <c r="B157">
        <f>IF($A157=1,SUM($A$2:$A157),"")</f>
        <v/>
      </c>
      <c r="C157">
        <f>IF($A157=1,SUM($A$2:$A157),0)</f>
        <v/>
      </c>
    </row>
    <row r="158">
      <c r="A158">
        <f>IF(AND(OR(Query!$B$4="All",'Compliance Database'!$A158=Query!$B$4),OR(Query!$B$5="All",'Compliance Database'!$F158=Query!$B$5),OR(Query!$B$6="All",ISNUMBER(SEARCH(Query!$B$6,'Compliance Database'!$I158))),OR(Query!$B$7="All",ISNUMBER(SEARCH(Query!$B$7,'Compliance Database'!$J158))),OR(Query!$B$8="All",'Compliance Database'!$G158=Query!$B$8),OR(Query!$B$9="All",'Compliance Database'!$K158=Query!$B$9),OR(Query!$B$10="",ISNUMBER(SEARCH(Query!$B$10,'Compliance Database'!$D158&amp;" "&amp;'Compliance Database'!$L158&amp;" "&amp;'Compliance Database'!$M158&amp;" "&amp;'Compliance Database'!$N158&amp;" "&amp;'Compliance Database'!$O158)))),1,0)</f>
        <v/>
      </c>
      <c r="B158">
        <f>IF($A158=1,SUM($A$2:$A158),"")</f>
        <v/>
      </c>
      <c r="C158">
        <f>IF($A158=1,SUM($A$2:$A158),0)</f>
        <v/>
      </c>
    </row>
    <row r="159">
      <c r="A159">
        <f>IF(AND(OR(Query!$B$4="All",'Compliance Database'!$A159=Query!$B$4),OR(Query!$B$5="All",'Compliance Database'!$F159=Query!$B$5),OR(Query!$B$6="All",ISNUMBER(SEARCH(Query!$B$6,'Compliance Database'!$I159))),OR(Query!$B$7="All",ISNUMBER(SEARCH(Query!$B$7,'Compliance Database'!$J159))),OR(Query!$B$8="All",'Compliance Database'!$G159=Query!$B$8),OR(Query!$B$9="All",'Compliance Database'!$K159=Query!$B$9),OR(Query!$B$10="",ISNUMBER(SEARCH(Query!$B$10,'Compliance Database'!$D159&amp;" "&amp;'Compliance Database'!$L159&amp;" "&amp;'Compliance Database'!$M159&amp;" "&amp;'Compliance Database'!$N159&amp;" "&amp;'Compliance Database'!$O159)))),1,0)</f>
        <v/>
      </c>
      <c r="B159">
        <f>IF($A159=1,SUM($A$2:$A159),"")</f>
        <v/>
      </c>
      <c r="C159">
        <f>IF($A159=1,SUM($A$2:$A159),0)</f>
        <v/>
      </c>
    </row>
    <row r="160">
      <c r="A160">
        <f>IF(AND(OR(Query!$B$4="All",'Compliance Database'!$A160=Query!$B$4),OR(Query!$B$5="All",'Compliance Database'!$F160=Query!$B$5),OR(Query!$B$6="All",ISNUMBER(SEARCH(Query!$B$6,'Compliance Database'!$I160))),OR(Query!$B$7="All",ISNUMBER(SEARCH(Query!$B$7,'Compliance Database'!$J160))),OR(Query!$B$8="All",'Compliance Database'!$G160=Query!$B$8),OR(Query!$B$9="All",'Compliance Database'!$K160=Query!$B$9),OR(Query!$B$10="",ISNUMBER(SEARCH(Query!$B$10,'Compliance Database'!$D160&amp;" "&amp;'Compliance Database'!$L160&amp;" "&amp;'Compliance Database'!$M160&amp;" "&amp;'Compliance Database'!$N160&amp;" "&amp;'Compliance Database'!$O160)))),1,0)</f>
        <v/>
      </c>
      <c r="B160">
        <f>IF($A160=1,SUM($A$2:$A160),"")</f>
        <v/>
      </c>
      <c r="C160">
        <f>IF($A160=1,SUM($A$2:$A160),0)</f>
        <v/>
      </c>
    </row>
    <row r="161">
      <c r="A161">
        <f>IF(AND(OR(Query!$B$4="All",'Compliance Database'!$A161=Query!$B$4),OR(Query!$B$5="All",'Compliance Database'!$F161=Query!$B$5),OR(Query!$B$6="All",ISNUMBER(SEARCH(Query!$B$6,'Compliance Database'!$I161))),OR(Query!$B$7="All",ISNUMBER(SEARCH(Query!$B$7,'Compliance Database'!$J161))),OR(Query!$B$8="All",'Compliance Database'!$G161=Query!$B$8),OR(Query!$B$9="All",'Compliance Database'!$K161=Query!$B$9),OR(Query!$B$10="",ISNUMBER(SEARCH(Query!$B$10,'Compliance Database'!$D161&amp;" "&amp;'Compliance Database'!$L161&amp;" "&amp;'Compliance Database'!$M161&amp;" "&amp;'Compliance Database'!$N161&amp;" "&amp;'Compliance Database'!$O161)))),1,0)</f>
        <v/>
      </c>
      <c r="B161">
        <f>IF($A161=1,SUM($A$2:$A161),"")</f>
        <v/>
      </c>
      <c r="C161">
        <f>IF($A161=1,SUM($A$2:$A161),0)</f>
        <v/>
      </c>
    </row>
    <row r="162">
      <c r="A162">
        <f>IF(AND(OR(Query!$B$4="All",'Compliance Database'!$A162=Query!$B$4),OR(Query!$B$5="All",'Compliance Database'!$F162=Query!$B$5),OR(Query!$B$6="All",ISNUMBER(SEARCH(Query!$B$6,'Compliance Database'!$I162))),OR(Query!$B$7="All",ISNUMBER(SEARCH(Query!$B$7,'Compliance Database'!$J162))),OR(Query!$B$8="All",'Compliance Database'!$G162=Query!$B$8),OR(Query!$B$9="All",'Compliance Database'!$K162=Query!$B$9),OR(Query!$B$10="",ISNUMBER(SEARCH(Query!$B$10,'Compliance Database'!$D162&amp;" "&amp;'Compliance Database'!$L162&amp;" "&amp;'Compliance Database'!$M162&amp;" "&amp;'Compliance Database'!$N162&amp;" "&amp;'Compliance Database'!$O162)))),1,0)</f>
        <v/>
      </c>
      <c r="B162">
        <f>IF($A162=1,SUM($A$2:$A162),"")</f>
        <v/>
      </c>
      <c r="C162">
        <f>IF($A162=1,SUM($A$2:$A162),0)</f>
        <v/>
      </c>
    </row>
    <row r="163">
      <c r="A163">
        <f>IF(AND(OR(Query!$B$4="All",'Compliance Database'!$A163=Query!$B$4),OR(Query!$B$5="All",'Compliance Database'!$F163=Query!$B$5),OR(Query!$B$6="All",ISNUMBER(SEARCH(Query!$B$6,'Compliance Database'!$I163))),OR(Query!$B$7="All",ISNUMBER(SEARCH(Query!$B$7,'Compliance Database'!$J163))),OR(Query!$B$8="All",'Compliance Database'!$G163=Query!$B$8),OR(Query!$B$9="All",'Compliance Database'!$K163=Query!$B$9),OR(Query!$B$10="",ISNUMBER(SEARCH(Query!$B$10,'Compliance Database'!$D163&amp;" "&amp;'Compliance Database'!$L163&amp;" "&amp;'Compliance Database'!$M163&amp;" "&amp;'Compliance Database'!$N163&amp;" "&amp;'Compliance Database'!$O163)))),1,0)</f>
        <v/>
      </c>
      <c r="B163">
        <f>IF($A163=1,SUM($A$2:$A163),"")</f>
        <v/>
      </c>
      <c r="C163">
        <f>IF($A163=1,SUM($A$2:$A163),0)</f>
        <v/>
      </c>
    </row>
    <row r="164">
      <c r="A164">
        <f>IF(AND(OR(Query!$B$4="All",'Compliance Database'!$A164=Query!$B$4),OR(Query!$B$5="All",'Compliance Database'!$F164=Query!$B$5),OR(Query!$B$6="All",ISNUMBER(SEARCH(Query!$B$6,'Compliance Database'!$I164))),OR(Query!$B$7="All",ISNUMBER(SEARCH(Query!$B$7,'Compliance Database'!$J164))),OR(Query!$B$8="All",'Compliance Database'!$G164=Query!$B$8),OR(Query!$B$9="All",'Compliance Database'!$K164=Query!$B$9),OR(Query!$B$10="",ISNUMBER(SEARCH(Query!$B$10,'Compliance Database'!$D164&amp;" "&amp;'Compliance Database'!$L164&amp;" "&amp;'Compliance Database'!$M164&amp;" "&amp;'Compliance Database'!$N164&amp;" "&amp;'Compliance Database'!$O164)))),1,0)</f>
        <v/>
      </c>
      <c r="B164">
        <f>IF($A164=1,SUM($A$2:$A164),"")</f>
        <v/>
      </c>
      <c r="C164">
        <f>IF($A164=1,SUM($A$2:$A164),0)</f>
        <v/>
      </c>
    </row>
    <row r="165">
      <c r="A165">
        <f>IF(AND(OR(Query!$B$4="All",'Compliance Database'!$A165=Query!$B$4),OR(Query!$B$5="All",'Compliance Database'!$F165=Query!$B$5),OR(Query!$B$6="All",ISNUMBER(SEARCH(Query!$B$6,'Compliance Database'!$I165))),OR(Query!$B$7="All",ISNUMBER(SEARCH(Query!$B$7,'Compliance Database'!$J165))),OR(Query!$B$8="All",'Compliance Database'!$G165=Query!$B$8),OR(Query!$B$9="All",'Compliance Database'!$K165=Query!$B$9),OR(Query!$B$10="",ISNUMBER(SEARCH(Query!$B$10,'Compliance Database'!$D165&amp;" "&amp;'Compliance Database'!$L165&amp;" "&amp;'Compliance Database'!$M165&amp;" "&amp;'Compliance Database'!$N165&amp;" "&amp;'Compliance Database'!$O165)))),1,0)</f>
        <v/>
      </c>
      <c r="B165">
        <f>IF($A165=1,SUM($A$2:$A165),"")</f>
        <v/>
      </c>
      <c r="C165">
        <f>IF($A165=1,SUM($A$2:$A165),0)</f>
        <v/>
      </c>
    </row>
    <row r="166">
      <c r="A166">
        <f>IF(AND(OR(Query!$B$4="All",'Compliance Database'!$A166=Query!$B$4),OR(Query!$B$5="All",'Compliance Database'!$F166=Query!$B$5),OR(Query!$B$6="All",ISNUMBER(SEARCH(Query!$B$6,'Compliance Database'!$I166))),OR(Query!$B$7="All",ISNUMBER(SEARCH(Query!$B$7,'Compliance Database'!$J166))),OR(Query!$B$8="All",'Compliance Database'!$G166=Query!$B$8),OR(Query!$B$9="All",'Compliance Database'!$K166=Query!$B$9),OR(Query!$B$10="",ISNUMBER(SEARCH(Query!$B$10,'Compliance Database'!$D166&amp;" "&amp;'Compliance Database'!$L166&amp;" "&amp;'Compliance Database'!$M166&amp;" "&amp;'Compliance Database'!$N166&amp;" "&amp;'Compliance Database'!$O166)))),1,0)</f>
        <v/>
      </c>
      <c r="B166">
        <f>IF($A166=1,SUM($A$2:$A166),"")</f>
        <v/>
      </c>
      <c r="C166">
        <f>IF($A166=1,SUM($A$2:$A166),0)</f>
        <v/>
      </c>
    </row>
    <row r="167">
      <c r="A167">
        <f>IF(AND(OR(Query!$B$4="All",'Compliance Database'!$A167=Query!$B$4),OR(Query!$B$5="All",'Compliance Database'!$F167=Query!$B$5),OR(Query!$B$6="All",ISNUMBER(SEARCH(Query!$B$6,'Compliance Database'!$I167))),OR(Query!$B$7="All",ISNUMBER(SEARCH(Query!$B$7,'Compliance Database'!$J167))),OR(Query!$B$8="All",'Compliance Database'!$G167=Query!$B$8),OR(Query!$B$9="All",'Compliance Database'!$K167=Query!$B$9),OR(Query!$B$10="",ISNUMBER(SEARCH(Query!$B$10,'Compliance Database'!$D167&amp;" "&amp;'Compliance Database'!$L167&amp;" "&amp;'Compliance Database'!$M167&amp;" "&amp;'Compliance Database'!$N167&amp;" "&amp;'Compliance Database'!$O167)))),1,0)</f>
        <v/>
      </c>
      <c r="B167">
        <f>IF($A167=1,SUM($A$2:$A167),"")</f>
        <v/>
      </c>
      <c r="C167">
        <f>IF($A167=1,SUM($A$2:$A167),0)</f>
        <v/>
      </c>
    </row>
    <row r="168">
      <c r="A168">
        <f>IF(AND(OR(Query!$B$4="All",'Compliance Database'!$A168=Query!$B$4),OR(Query!$B$5="All",'Compliance Database'!$F168=Query!$B$5),OR(Query!$B$6="All",ISNUMBER(SEARCH(Query!$B$6,'Compliance Database'!$I168))),OR(Query!$B$7="All",ISNUMBER(SEARCH(Query!$B$7,'Compliance Database'!$J168))),OR(Query!$B$8="All",'Compliance Database'!$G168=Query!$B$8),OR(Query!$B$9="All",'Compliance Database'!$K168=Query!$B$9),OR(Query!$B$10="",ISNUMBER(SEARCH(Query!$B$10,'Compliance Database'!$D168&amp;" "&amp;'Compliance Database'!$L168&amp;" "&amp;'Compliance Database'!$M168&amp;" "&amp;'Compliance Database'!$N168&amp;" "&amp;'Compliance Database'!$O168)))),1,0)</f>
        <v/>
      </c>
      <c r="B168">
        <f>IF($A168=1,SUM($A$2:$A168),"")</f>
        <v/>
      </c>
      <c r="C168">
        <f>IF($A168=1,SUM($A$2:$A168),0)</f>
        <v/>
      </c>
    </row>
    <row r="169">
      <c r="A169">
        <f>IF(AND(OR(Query!$B$4="All",'Compliance Database'!$A169=Query!$B$4),OR(Query!$B$5="All",'Compliance Database'!$F169=Query!$B$5),OR(Query!$B$6="All",ISNUMBER(SEARCH(Query!$B$6,'Compliance Database'!$I169))),OR(Query!$B$7="All",ISNUMBER(SEARCH(Query!$B$7,'Compliance Database'!$J169))),OR(Query!$B$8="All",'Compliance Database'!$G169=Query!$B$8),OR(Query!$B$9="All",'Compliance Database'!$K169=Query!$B$9),OR(Query!$B$10="",ISNUMBER(SEARCH(Query!$B$10,'Compliance Database'!$D169&amp;" "&amp;'Compliance Database'!$L169&amp;" "&amp;'Compliance Database'!$M169&amp;" "&amp;'Compliance Database'!$N169&amp;" "&amp;'Compliance Database'!$O169)))),1,0)</f>
        <v/>
      </c>
      <c r="B169">
        <f>IF($A169=1,SUM($A$2:$A169),"")</f>
        <v/>
      </c>
      <c r="C169">
        <f>IF($A169=1,SUM($A$2:$A169),0)</f>
        <v/>
      </c>
    </row>
    <row r="170">
      <c r="A170">
        <f>IF(AND(OR(Query!$B$4="All",'Compliance Database'!$A170=Query!$B$4),OR(Query!$B$5="All",'Compliance Database'!$F170=Query!$B$5),OR(Query!$B$6="All",ISNUMBER(SEARCH(Query!$B$6,'Compliance Database'!$I170))),OR(Query!$B$7="All",ISNUMBER(SEARCH(Query!$B$7,'Compliance Database'!$J170))),OR(Query!$B$8="All",'Compliance Database'!$G170=Query!$B$8),OR(Query!$B$9="All",'Compliance Database'!$K170=Query!$B$9),OR(Query!$B$10="",ISNUMBER(SEARCH(Query!$B$10,'Compliance Database'!$D170&amp;" "&amp;'Compliance Database'!$L170&amp;" "&amp;'Compliance Database'!$M170&amp;" "&amp;'Compliance Database'!$N170&amp;" "&amp;'Compliance Database'!$O170)))),1,0)</f>
        <v/>
      </c>
      <c r="B170">
        <f>IF($A170=1,SUM($A$2:$A170),"")</f>
        <v/>
      </c>
      <c r="C170">
        <f>IF($A170=1,SUM($A$2:$A170),0)</f>
        <v/>
      </c>
    </row>
    <row r="171">
      <c r="A171">
        <f>IF(AND(OR(Query!$B$4="All",'Compliance Database'!$A171=Query!$B$4),OR(Query!$B$5="All",'Compliance Database'!$F171=Query!$B$5),OR(Query!$B$6="All",ISNUMBER(SEARCH(Query!$B$6,'Compliance Database'!$I171))),OR(Query!$B$7="All",ISNUMBER(SEARCH(Query!$B$7,'Compliance Database'!$J171))),OR(Query!$B$8="All",'Compliance Database'!$G171=Query!$B$8),OR(Query!$B$9="All",'Compliance Database'!$K171=Query!$B$9),OR(Query!$B$10="",ISNUMBER(SEARCH(Query!$B$10,'Compliance Database'!$D171&amp;" "&amp;'Compliance Database'!$L171&amp;" "&amp;'Compliance Database'!$M171&amp;" "&amp;'Compliance Database'!$N171&amp;" "&amp;'Compliance Database'!$O171)))),1,0)</f>
        <v/>
      </c>
      <c r="B171">
        <f>IF($A171=1,SUM($A$2:$A171),"")</f>
        <v/>
      </c>
      <c r="C171">
        <f>IF($A171=1,SUM($A$2:$A171),0)</f>
        <v/>
      </c>
    </row>
    <row r="172">
      <c r="A172">
        <f>IF(AND(OR(Query!$B$4="All",'Compliance Database'!$A172=Query!$B$4),OR(Query!$B$5="All",'Compliance Database'!$F172=Query!$B$5),OR(Query!$B$6="All",ISNUMBER(SEARCH(Query!$B$6,'Compliance Database'!$I172))),OR(Query!$B$7="All",ISNUMBER(SEARCH(Query!$B$7,'Compliance Database'!$J172))),OR(Query!$B$8="All",'Compliance Database'!$G172=Query!$B$8),OR(Query!$B$9="All",'Compliance Database'!$K172=Query!$B$9),OR(Query!$B$10="",ISNUMBER(SEARCH(Query!$B$10,'Compliance Database'!$D172&amp;" "&amp;'Compliance Database'!$L172&amp;" "&amp;'Compliance Database'!$M172&amp;" "&amp;'Compliance Database'!$N172&amp;" "&amp;'Compliance Database'!$O172)))),1,0)</f>
        <v/>
      </c>
      <c r="B172">
        <f>IF($A172=1,SUM($A$2:$A172),"")</f>
        <v/>
      </c>
      <c r="C172">
        <f>IF($A172=1,SUM($A$2:$A172),0)</f>
        <v/>
      </c>
    </row>
    <row r="173">
      <c r="A173">
        <f>IF(AND(OR(Query!$B$4="All",'Compliance Database'!$A173=Query!$B$4),OR(Query!$B$5="All",'Compliance Database'!$F173=Query!$B$5),OR(Query!$B$6="All",ISNUMBER(SEARCH(Query!$B$6,'Compliance Database'!$I173))),OR(Query!$B$7="All",ISNUMBER(SEARCH(Query!$B$7,'Compliance Database'!$J173))),OR(Query!$B$8="All",'Compliance Database'!$G173=Query!$B$8),OR(Query!$B$9="All",'Compliance Database'!$K173=Query!$B$9),OR(Query!$B$10="",ISNUMBER(SEARCH(Query!$B$10,'Compliance Database'!$D173&amp;" "&amp;'Compliance Database'!$L173&amp;" "&amp;'Compliance Database'!$M173&amp;" "&amp;'Compliance Database'!$N173&amp;" "&amp;'Compliance Database'!$O173)))),1,0)</f>
        <v/>
      </c>
      <c r="B173">
        <f>IF($A173=1,SUM($A$2:$A173),"")</f>
        <v/>
      </c>
      <c r="C173">
        <f>IF($A173=1,SUM($A$2:$A173),0)</f>
        <v/>
      </c>
    </row>
    <row r="174">
      <c r="A174">
        <f>IF(AND(OR(Query!$B$4="All",'Compliance Database'!$A174=Query!$B$4),OR(Query!$B$5="All",'Compliance Database'!$F174=Query!$B$5),OR(Query!$B$6="All",ISNUMBER(SEARCH(Query!$B$6,'Compliance Database'!$I174))),OR(Query!$B$7="All",ISNUMBER(SEARCH(Query!$B$7,'Compliance Database'!$J174))),OR(Query!$B$8="All",'Compliance Database'!$G174=Query!$B$8),OR(Query!$B$9="All",'Compliance Database'!$K174=Query!$B$9),OR(Query!$B$10="",ISNUMBER(SEARCH(Query!$B$10,'Compliance Database'!$D174&amp;" "&amp;'Compliance Database'!$L174&amp;" "&amp;'Compliance Database'!$M174&amp;" "&amp;'Compliance Database'!$N174&amp;" "&amp;'Compliance Database'!$O174)))),1,0)</f>
        <v/>
      </c>
      <c r="B174">
        <f>IF($A174=1,SUM($A$2:$A174),"")</f>
        <v/>
      </c>
      <c r="C174">
        <f>IF($A174=1,SUM($A$2:$A174),0)</f>
        <v/>
      </c>
    </row>
    <row r="175">
      <c r="A175">
        <f>IF(AND(OR(Query!$B$4="All",'Compliance Database'!$A175=Query!$B$4),OR(Query!$B$5="All",'Compliance Database'!$F175=Query!$B$5),OR(Query!$B$6="All",ISNUMBER(SEARCH(Query!$B$6,'Compliance Database'!$I175))),OR(Query!$B$7="All",ISNUMBER(SEARCH(Query!$B$7,'Compliance Database'!$J175))),OR(Query!$B$8="All",'Compliance Database'!$G175=Query!$B$8),OR(Query!$B$9="All",'Compliance Database'!$K175=Query!$B$9),OR(Query!$B$10="",ISNUMBER(SEARCH(Query!$B$10,'Compliance Database'!$D175&amp;" "&amp;'Compliance Database'!$L175&amp;" "&amp;'Compliance Database'!$M175&amp;" "&amp;'Compliance Database'!$N175&amp;" "&amp;'Compliance Database'!$O175)))),1,0)</f>
        <v/>
      </c>
      <c r="B175">
        <f>IF($A175=1,SUM($A$2:$A175),"")</f>
        <v/>
      </c>
      <c r="C175">
        <f>IF($A175=1,SUM($A$2:$A175),0)</f>
        <v/>
      </c>
    </row>
    <row r="176">
      <c r="A176">
        <f>IF(AND(OR(Query!$B$4="All",'Compliance Database'!$A176=Query!$B$4),OR(Query!$B$5="All",'Compliance Database'!$F176=Query!$B$5),OR(Query!$B$6="All",ISNUMBER(SEARCH(Query!$B$6,'Compliance Database'!$I176))),OR(Query!$B$7="All",ISNUMBER(SEARCH(Query!$B$7,'Compliance Database'!$J176))),OR(Query!$B$8="All",'Compliance Database'!$G176=Query!$B$8),OR(Query!$B$9="All",'Compliance Database'!$K176=Query!$B$9),OR(Query!$B$10="",ISNUMBER(SEARCH(Query!$B$10,'Compliance Database'!$D176&amp;" "&amp;'Compliance Database'!$L176&amp;" "&amp;'Compliance Database'!$M176&amp;" "&amp;'Compliance Database'!$N176&amp;" "&amp;'Compliance Database'!$O176)))),1,0)</f>
        <v/>
      </c>
      <c r="B176">
        <f>IF($A176=1,SUM($A$2:$A176),"")</f>
        <v/>
      </c>
      <c r="C176">
        <f>IF($A176=1,SUM($A$2:$A176),0)</f>
        <v/>
      </c>
    </row>
    <row r="177">
      <c r="A177">
        <f>IF(AND(OR(Query!$B$4="All",'Compliance Database'!$A177=Query!$B$4),OR(Query!$B$5="All",'Compliance Database'!$F177=Query!$B$5),OR(Query!$B$6="All",ISNUMBER(SEARCH(Query!$B$6,'Compliance Database'!$I177))),OR(Query!$B$7="All",ISNUMBER(SEARCH(Query!$B$7,'Compliance Database'!$J177))),OR(Query!$B$8="All",'Compliance Database'!$G177=Query!$B$8),OR(Query!$B$9="All",'Compliance Database'!$K177=Query!$B$9),OR(Query!$B$10="",ISNUMBER(SEARCH(Query!$B$10,'Compliance Database'!$D177&amp;" "&amp;'Compliance Database'!$L177&amp;" "&amp;'Compliance Database'!$M177&amp;" "&amp;'Compliance Database'!$N177&amp;" "&amp;'Compliance Database'!$O177)))),1,0)</f>
        <v/>
      </c>
      <c r="B177">
        <f>IF($A177=1,SUM($A$2:$A177),"")</f>
        <v/>
      </c>
      <c r="C177">
        <f>IF($A177=1,SUM($A$2:$A177),0)</f>
        <v/>
      </c>
    </row>
    <row r="178">
      <c r="A178">
        <f>IF(AND(OR(Query!$B$4="All",'Compliance Database'!$A178=Query!$B$4),OR(Query!$B$5="All",'Compliance Database'!$F178=Query!$B$5),OR(Query!$B$6="All",ISNUMBER(SEARCH(Query!$B$6,'Compliance Database'!$I178))),OR(Query!$B$7="All",ISNUMBER(SEARCH(Query!$B$7,'Compliance Database'!$J178))),OR(Query!$B$8="All",'Compliance Database'!$G178=Query!$B$8),OR(Query!$B$9="All",'Compliance Database'!$K178=Query!$B$9),OR(Query!$B$10="",ISNUMBER(SEARCH(Query!$B$10,'Compliance Database'!$D178&amp;" "&amp;'Compliance Database'!$L178&amp;" "&amp;'Compliance Database'!$M178&amp;" "&amp;'Compliance Database'!$N178&amp;" "&amp;'Compliance Database'!$O178)))),1,0)</f>
        <v/>
      </c>
      <c r="B178">
        <f>IF($A178=1,SUM($A$2:$A178),"")</f>
        <v/>
      </c>
      <c r="C178">
        <f>IF($A178=1,SUM($A$2:$A178),0)</f>
        <v/>
      </c>
    </row>
    <row r="179">
      <c r="A179">
        <f>IF(AND(OR(Query!$B$4="All",'Compliance Database'!$A179=Query!$B$4),OR(Query!$B$5="All",'Compliance Database'!$F179=Query!$B$5),OR(Query!$B$6="All",ISNUMBER(SEARCH(Query!$B$6,'Compliance Database'!$I179))),OR(Query!$B$7="All",ISNUMBER(SEARCH(Query!$B$7,'Compliance Database'!$J179))),OR(Query!$B$8="All",'Compliance Database'!$G179=Query!$B$8),OR(Query!$B$9="All",'Compliance Database'!$K179=Query!$B$9),OR(Query!$B$10="",ISNUMBER(SEARCH(Query!$B$10,'Compliance Database'!$D179&amp;" "&amp;'Compliance Database'!$L179&amp;" "&amp;'Compliance Database'!$M179&amp;" "&amp;'Compliance Database'!$N179&amp;" "&amp;'Compliance Database'!$O179)))),1,0)</f>
        <v/>
      </c>
      <c r="B179">
        <f>IF($A179=1,SUM($A$2:$A179),"")</f>
        <v/>
      </c>
      <c r="C179">
        <f>IF($A179=1,SUM($A$2:$A179),0)</f>
        <v/>
      </c>
    </row>
    <row r="180">
      <c r="A180">
        <f>IF(AND(OR(Query!$B$4="All",'Compliance Database'!$A180=Query!$B$4),OR(Query!$B$5="All",'Compliance Database'!$F180=Query!$B$5),OR(Query!$B$6="All",ISNUMBER(SEARCH(Query!$B$6,'Compliance Database'!$I180))),OR(Query!$B$7="All",ISNUMBER(SEARCH(Query!$B$7,'Compliance Database'!$J180))),OR(Query!$B$8="All",'Compliance Database'!$G180=Query!$B$8),OR(Query!$B$9="All",'Compliance Database'!$K180=Query!$B$9),OR(Query!$B$10="",ISNUMBER(SEARCH(Query!$B$10,'Compliance Database'!$D180&amp;" "&amp;'Compliance Database'!$L180&amp;" "&amp;'Compliance Database'!$M180&amp;" "&amp;'Compliance Database'!$N180&amp;" "&amp;'Compliance Database'!$O180)))),1,0)</f>
        <v/>
      </c>
      <c r="B180">
        <f>IF($A180=1,SUM($A$2:$A180),"")</f>
        <v/>
      </c>
      <c r="C180">
        <f>IF($A180=1,SUM($A$2:$A180),0)</f>
        <v/>
      </c>
    </row>
    <row r="181">
      <c r="A181">
        <f>IF(AND(OR(Query!$B$4="All",'Compliance Database'!$A181=Query!$B$4),OR(Query!$B$5="All",'Compliance Database'!$F181=Query!$B$5),OR(Query!$B$6="All",ISNUMBER(SEARCH(Query!$B$6,'Compliance Database'!$I181))),OR(Query!$B$7="All",ISNUMBER(SEARCH(Query!$B$7,'Compliance Database'!$J181))),OR(Query!$B$8="All",'Compliance Database'!$G181=Query!$B$8),OR(Query!$B$9="All",'Compliance Database'!$K181=Query!$B$9),OR(Query!$B$10="",ISNUMBER(SEARCH(Query!$B$10,'Compliance Database'!$D181&amp;" "&amp;'Compliance Database'!$L181&amp;" "&amp;'Compliance Database'!$M181&amp;" "&amp;'Compliance Database'!$N181&amp;" "&amp;'Compliance Database'!$O181)))),1,0)</f>
        <v/>
      </c>
      <c r="B181">
        <f>IF($A181=1,SUM($A$2:$A181),"")</f>
        <v/>
      </c>
      <c r="C181">
        <f>IF($A181=1,SUM($A$2:$A181),0)</f>
        <v/>
      </c>
    </row>
    <row r="182">
      <c r="A182">
        <f>IF(AND(OR(Query!$B$4="All",'Compliance Database'!$A182=Query!$B$4),OR(Query!$B$5="All",'Compliance Database'!$F182=Query!$B$5),OR(Query!$B$6="All",ISNUMBER(SEARCH(Query!$B$6,'Compliance Database'!$I182))),OR(Query!$B$7="All",ISNUMBER(SEARCH(Query!$B$7,'Compliance Database'!$J182))),OR(Query!$B$8="All",'Compliance Database'!$G182=Query!$B$8),OR(Query!$B$9="All",'Compliance Database'!$K182=Query!$B$9),OR(Query!$B$10="",ISNUMBER(SEARCH(Query!$B$10,'Compliance Database'!$D182&amp;" "&amp;'Compliance Database'!$L182&amp;" "&amp;'Compliance Database'!$M182&amp;" "&amp;'Compliance Database'!$N182&amp;" "&amp;'Compliance Database'!$O182)))),1,0)</f>
        <v/>
      </c>
      <c r="B182">
        <f>IF($A182=1,SUM($A$2:$A182),"")</f>
        <v/>
      </c>
      <c r="C182">
        <f>IF($A182=1,SUM($A$2:$A182),0)</f>
        <v/>
      </c>
    </row>
    <row r="183">
      <c r="A183">
        <f>IF(AND(OR(Query!$B$4="All",'Compliance Database'!$A183=Query!$B$4),OR(Query!$B$5="All",'Compliance Database'!$F183=Query!$B$5),OR(Query!$B$6="All",ISNUMBER(SEARCH(Query!$B$6,'Compliance Database'!$I183))),OR(Query!$B$7="All",ISNUMBER(SEARCH(Query!$B$7,'Compliance Database'!$J183))),OR(Query!$B$8="All",'Compliance Database'!$G183=Query!$B$8),OR(Query!$B$9="All",'Compliance Database'!$K183=Query!$B$9),OR(Query!$B$10="",ISNUMBER(SEARCH(Query!$B$10,'Compliance Database'!$D183&amp;" "&amp;'Compliance Database'!$L183&amp;" "&amp;'Compliance Database'!$M183&amp;" "&amp;'Compliance Database'!$N183&amp;" "&amp;'Compliance Database'!$O183)))),1,0)</f>
        <v/>
      </c>
      <c r="B183">
        <f>IF($A183=1,SUM($A$2:$A183),"")</f>
        <v/>
      </c>
      <c r="C183">
        <f>IF($A183=1,SUM($A$2:$A183),0)</f>
        <v/>
      </c>
    </row>
    <row r="184">
      <c r="A184">
        <f>IF(AND(OR(Query!$B$4="All",'Compliance Database'!$A184=Query!$B$4),OR(Query!$B$5="All",'Compliance Database'!$F184=Query!$B$5),OR(Query!$B$6="All",ISNUMBER(SEARCH(Query!$B$6,'Compliance Database'!$I184))),OR(Query!$B$7="All",ISNUMBER(SEARCH(Query!$B$7,'Compliance Database'!$J184))),OR(Query!$B$8="All",'Compliance Database'!$G184=Query!$B$8),OR(Query!$B$9="All",'Compliance Database'!$K184=Query!$B$9),OR(Query!$B$10="",ISNUMBER(SEARCH(Query!$B$10,'Compliance Database'!$D184&amp;" "&amp;'Compliance Database'!$L184&amp;" "&amp;'Compliance Database'!$M184&amp;" "&amp;'Compliance Database'!$N184&amp;" "&amp;'Compliance Database'!$O184)))),1,0)</f>
        <v/>
      </c>
      <c r="B184">
        <f>IF($A184=1,SUM($A$2:$A184),"")</f>
        <v/>
      </c>
      <c r="C184">
        <f>IF($A184=1,SUM($A$2:$A184),0)</f>
        <v/>
      </c>
    </row>
    <row r="185">
      <c r="A185">
        <f>IF(AND(OR(Query!$B$4="All",'Compliance Database'!$A185=Query!$B$4),OR(Query!$B$5="All",'Compliance Database'!$F185=Query!$B$5),OR(Query!$B$6="All",ISNUMBER(SEARCH(Query!$B$6,'Compliance Database'!$I185))),OR(Query!$B$7="All",ISNUMBER(SEARCH(Query!$B$7,'Compliance Database'!$J185))),OR(Query!$B$8="All",'Compliance Database'!$G185=Query!$B$8),OR(Query!$B$9="All",'Compliance Database'!$K185=Query!$B$9),OR(Query!$B$10="",ISNUMBER(SEARCH(Query!$B$10,'Compliance Database'!$D185&amp;" "&amp;'Compliance Database'!$L185&amp;" "&amp;'Compliance Database'!$M185&amp;" "&amp;'Compliance Database'!$N185&amp;" "&amp;'Compliance Database'!$O185)))),1,0)</f>
        <v/>
      </c>
      <c r="B185">
        <f>IF($A185=1,SUM($A$2:$A185),"")</f>
        <v/>
      </c>
      <c r="C185">
        <f>IF($A185=1,SUM($A$2:$A185),0)</f>
        <v/>
      </c>
    </row>
    <row r="186">
      <c r="A186">
        <f>IF(AND(OR(Query!$B$4="All",'Compliance Database'!$A186=Query!$B$4),OR(Query!$B$5="All",'Compliance Database'!$F186=Query!$B$5),OR(Query!$B$6="All",ISNUMBER(SEARCH(Query!$B$6,'Compliance Database'!$I186))),OR(Query!$B$7="All",ISNUMBER(SEARCH(Query!$B$7,'Compliance Database'!$J186))),OR(Query!$B$8="All",'Compliance Database'!$G186=Query!$B$8),OR(Query!$B$9="All",'Compliance Database'!$K186=Query!$B$9),OR(Query!$B$10="",ISNUMBER(SEARCH(Query!$B$10,'Compliance Database'!$D186&amp;" "&amp;'Compliance Database'!$L186&amp;" "&amp;'Compliance Database'!$M186&amp;" "&amp;'Compliance Database'!$N186&amp;" "&amp;'Compliance Database'!$O186)))),1,0)</f>
        <v/>
      </c>
      <c r="B186">
        <f>IF($A186=1,SUM($A$2:$A186),"")</f>
        <v/>
      </c>
      <c r="C186">
        <f>IF($A186=1,SUM($A$2:$A186),0)</f>
        <v/>
      </c>
    </row>
    <row r="187">
      <c r="A187">
        <f>IF(AND(OR(Query!$B$4="All",'Compliance Database'!$A187=Query!$B$4),OR(Query!$B$5="All",'Compliance Database'!$F187=Query!$B$5),OR(Query!$B$6="All",ISNUMBER(SEARCH(Query!$B$6,'Compliance Database'!$I187))),OR(Query!$B$7="All",ISNUMBER(SEARCH(Query!$B$7,'Compliance Database'!$J187))),OR(Query!$B$8="All",'Compliance Database'!$G187=Query!$B$8),OR(Query!$B$9="All",'Compliance Database'!$K187=Query!$B$9),OR(Query!$B$10="",ISNUMBER(SEARCH(Query!$B$10,'Compliance Database'!$D187&amp;" "&amp;'Compliance Database'!$L187&amp;" "&amp;'Compliance Database'!$M187&amp;" "&amp;'Compliance Database'!$N187&amp;" "&amp;'Compliance Database'!$O187)))),1,0)</f>
        <v/>
      </c>
      <c r="B187">
        <f>IF($A187=1,SUM($A$2:$A187),"")</f>
        <v/>
      </c>
      <c r="C187">
        <f>IF($A187=1,SUM($A$2:$A187),0)</f>
        <v/>
      </c>
    </row>
    <row r="188">
      <c r="A188">
        <f>IF(AND(OR(Query!$B$4="All",'Compliance Database'!$A188=Query!$B$4),OR(Query!$B$5="All",'Compliance Database'!$F188=Query!$B$5),OR(Query!$B$6="All",ISNUMBER(SEARCH(Query!$B$6,'Compliance Database'!$I188))),OR(Query!$B$7="All",ISNUMBER(SEARCH(Query!$B$7,'Compliance Database'!$J188))),OR(Query!$B$8="All",'Compliance Database'!$G188=Query!$B$8),OR(Query!$B$9="All",'Compliance Database'!$K188=Query!$B$9),OR(Query!$B$10="",ISNUMBER(SEARCH(Query!$B$10,'Compliance Database'!$D188&amp;" "&amp;'Compliance Database'!$L188&amp;" "&amp;'Compliance Database'!$M188&amp;" "&amp;'Compliance Database'!$N188&amp;" "&amp;'Compliance Database'!$O188)))),1,0)</f>
        <v/>
      </c>
      <c r="B188">
        <f>IF($A188=1,SUM($A$2:$A188),"")</f>
        <v/>
      </c>
      <c r="C188">
        <f>IF($A188=1,SUM($A$2:$A188),0)</f>
        <v/>
      </c>
    </row>
    <row r="189">
      <c r="A189">
        <f>IF(AND(OR(Query!$B$4="All",'Compliance Database'!$A189=Query!$B$4),OR(Query!$B$5="All",'Compliance Database'!$F189=Query!$B$5),OR(Query!$B$6="All",ISNUMBER(SEARCH(Query!$B$6,'Compliance Database'!$I189))),OR(Query!$B$7="All",ISNUMBER(SEARCH(Query!$B$7,'Compliance Database'!$J189))),OR(Query!$B$8="All",'Compliance Database'!$G189=Query!$B$8),OR(Query!$B$9="All",'Compliance Database'!$K189=Query!$B$9),OR(Query!$B$10="",ISNUMBER(SEARCH(Query!$B$10,'Compliance Database'!$D189&amp;" "&amp;'Compliance Database'!$L189&amp;" "&amp;'Compliance Database'!$M189&amp;" "&amp;'Compliance Database'!$N189&amp;" "&amp;'Compliance Database'!$O189)))),1,0)</f>
        <v/>
      </c>
      <c r="B189">
        <f>IF($A189=1,SUM($A$2:$A189),"")</f>
        <v/>
      </c>
      <c r="C189">
        <f>IF($A189=1,SUM($A$2:$A189),0)</f>
        <v/>
      </c>
    </row>
    <row r="190">
      <c r="A190">
        <f>IF(AND(OR(Query!$B$4="All",'Compliance Database'!$A190=Query!$B$4),OR(Query!$B$5="All",'Compliance Database'!$F190=Query!$B$5),OR(Query!$B$6="All",ISNUMBER(SEARCH(Query!$B$6,'Compliance Database'!$I190))),OR(Query!$B$7="All",ISNUMBER(SEARCH(Query!$B$7,'Compliance Database'!$J190))),OR(Query!$B$8="All",'Compliance Database'!$G190=Query!$B$8),OR(Query!$B$9="All",'Compliance Database'!$K190=Query!$B$9),OR(Query!$B$10="",ISNUMBER(SEARCH(Query!$B$10,'Compliance Database'!$D190&amp;" "&amp;'Compliance Database'!$L190&amp;" "&amp;'Compliance Database'!$M190&amp;" "&amp;'Compliance Database'!$N190&amp;" "&amp;'Compliance Database'!$O190)))),1,0)</f>
        <v/>
      </c>
      <c r="B190">
        <f>IF($A190=1,SUM($A$2:$A190),"")</f>
        <v/>
      </c>
      <c r="C190">
        <f>IF($A190=1,SUM($A$2:$A190),0)</f>
        <v/>
      </c>
    </row>
    <row r="191">
      <c r="A191">
        <f>IF(AND(OR(Query!$B$4="All",'Compliance Database'!$A191=Query!$B$4),OR(Query!$B$5="All",'Compliance Database'!$F191=Query!$B$5),OR(Query!$B$6="All",ISNUMBER(SEARCH(Query!$B$6,'Compliance Database'!$I191))),OR(Query!$B$7="All",ISNUMBER(SEARCH(Query!$B$7,'Compliance Database'!$J191))),OR(Query!$B$8="All",'Compliance Database'!$G191=Query!$B$8),OR(Query!$B$9="All",'Compliance Database'!$K191=Query!$B$9),OR(Query!$B$10="",ISNUMBER(SEARCH(Query!$B$10,'Compliance Database'!$D191&amp;" "&amp;'Compliance Database'!$L191&amp;" "&amp;'Compliance Database'!$M191&amp;" "&amp;'Compliance Database'!$N191&amp;" "&amp;'Compliance Database'!$O191)))),1,0)</f>
        <v/>
      </c>
      <c r="B191">
        <f>IF($A191=1,SUM($A$2:$A191),"")</f>
        <v/>
      </c>
      <c r="C191">
        <f>IF($A191=1,SUM($A$2:$A191),0)</f>
        <v/>
      </c>
    </row>
    <row r="192">
      <c r="A192">
        <f>IF(AND(OR(Query!$B$4="All",'Compliance Database'!$A192=Query!$B$4),OR(Query!$B$5="All",'Compliance Database'!$F192=Query!$B$5),OR(Query!$B$6="All",ISNUMBER(SEARCH(Query!$B$6,'Compliance Database'!$I192))),OR(Query!$B$7="All",ISNUMBER(SEARCH(Query!$B$7,'Compliance Database'!$J192))),OR(Query!$B$8="All",'Compliance Database'!$G192=Query!$B$8),OR(Query!$B$9="All",'Compliance Database'!$K192=Query!$B$9),OR(Query!$B$10="",ISNUMBER(SEARCH(Query!$B$10,'Compliance Database'!$D192&amp;" "&amp;'Compliance Database'!$L192&amp;" "&amp;'Compliance Database'!$M192&amp;" "&amp;'Compliance Database'!$N192&amp;" "&amp;'Compliance Database'!$O192)))),1,0)</f>
        <v/>
      </c>
      <c r="B192">
        <f>IF($A192=1,SUM($A$2:$A192),"")</f>
        <v/>
      </c>
      <c r="C192">
        <f>IF($A192=1,SUM($A$2:$A192),0)</f>
        <v/>
      </c>
    </row>
    <row r="193">
      <c r="A193">
        <f>IF(AND(OR(Query!$B$4="All",'Compliance Database'!$A193=Query!$B$4),OR(Query!$B$5="All",'Compliance Database'!$F193=Query!$B$5),OR(Query!$B$6="All",ISNUMBER(SEARCH(Query!$B$6,'Compliance Database'!$I193))),OR(Query!$B$7="All",ISNUMBER(SEARCH(Query!$B$7,'Compliance Database'!$J193))),OR(Query!$B$8="All",'Compliance Database'!$G193=Query!$B$8),OR(Query!$B$9="All",'Compliance Database'!$K193=Query!$B$9),OR(Query!$B$10="",ISNUMBER(SEARCH(Query!$B$10,'Compliance Database'!$D193&amp;" "&amp;'Compliance Database'!$L193&amp;" "&amp;'Compliance Database'!$M193&amp;" "&amp;'Compliance Database'!$N193&amp;" "&amp;'Compliance Database'!$O193)))),1,0)</f>
        <v/>
      </c>
      <c r="B193">
        <f>IF($A193=1,SUM($A$2:$A193),"")</f>
        <v/>
      </c>
      <c r="C193">
        <f>IF($A193=1,SUM($A$2:$A193),0)</f>
        <v/>
      </c>
    </row>
    <row r="194">
      <c r="A194">
        <f>IF(AND(OR(Query!$B$4="All",'Compliance Database'!$A194=Query!$B$4),OR(Query!$B$5="All",'Compliance Database'!$F194=Query!$B$5),OR(Query!$B$6="All",ISNUMBER(SEARCH(Query!$B$6,'Compliance Database'!$I194))),OR(Query!$B$7="All",ISNUMBER(SEARCH(Query!$B$7,'Compliance Database'!$J194))),OR(Query!$B$8="All",'Compliance Database'!$G194=Query!$B$8),OR(Query!$B$9="All",'Compliance Database'!$K194=Query!$B$9),OR(Query!$B$10="",ISNUMBER(SEARCH(Query!$B$10,'Compliance Database'!$D194&amp;" "&amp;'Compliance Database'!$L194&amp;" "&amp;'Compliance Database'!$M194&amp;" "&amp;'Compliance Database'!$N194&amp;" "&amp;'Compliance Database'!$O194)))),1,0)</f>
        <v/>
      </c>
      <c r="B194">
        <f>IF($A194=1,SUM($A$2:$A194),"")</f>
        <v/>
      </c>
      <c r="C194">
        <f>IF($A194=1,SUM($A$2:$A194),0)</f>
        <v/>
      </c>
    </row>
    <row r="195">
      <c r="A195">
        <f>IF(AND(OR(Query!$B$4="All",'Compliance Database'!$A195=Query!$B$4),OR(Query!$B$5="All",'Compliance Database'!$F195=Query!$B$5),OR(Query!$B$6="All",ISNUMBER(SEARCH(Query!$B$6,'Compliance Database'!$I195))),OR(Query!$B$7="All",ISNUMBER(SEARCH(Query!$B$7,'Compliance Database'!$J195))),OR(Query!$B$8="All",'Compliance Database'!$G195=Query!$B$8),OR(Query!$B$9="All",'Compliance Database'!$K195=Query!$B$9),OR(Query!$B$10="",ISNUMBER(SEARCH(Query!$B$10,'Compliance Database'!$D195&amp;" "&amp;'Compliance Database'!$L195&amp;" "&amp;'Compliance Database'!$M195&amp;" "&amp;'Compliance Database'!$N195&amp;" "&amp;'Compliance Database'!$O195)))),1,0)</f>
        <v/>
      </c>
      <c r="B195">
        <f>IF($A195=1,SUM($A$2:$A195),"")</f>
        <v/>
      </c>
      <c r="C195">
        <f>IF($A195=1,SUM($A$2:$A195),0)</f>
        <v/>
      </c>
    </row>
    <row r="196">
      <c r="A196">
        <f>IF(AND(OR(Query!$B$4="All",'Compliance Database'!$A196=Query!$B$4),OR(Query!$B$5="All",'Compliance Database'!$F196=Query!$B$5),OR(Query!$B$6="All",ISNUMBER(SEARCH(Query!$B$6,'Compliance Database'!$I196))),OR(Query!$B$7="All",ISNUMBER(SEARCH(Query!$B$7,'Compliance Database'!$J196))),OR(Query!$B$8="All",'Compliance Database'!$G196=Query!$B$8),OR(Query!$B$9="All",'Compliance Database'!$K196=Query!$B$9),OR(Query!$B$10="",ISNUMBER(SEARCH(Query!$B$10,'Compliance Database'!$D196&amp;" "&amp;'Compliance Database'!$L196&amp;" "&amp;'Compliance Database'!$M196&amp;" "&amp;'Compliance Database'!$N196&amp;" "&amp;'Compliance Database'!$O196)))),1,0)</f>
        <v/>
      </c>
      <c r="B196">
        <f>IF($A196=1,SUM($A$2:$A196),"")</f>
        <v/>
      </c>
      <c r="C196">
        <f>IF($A196=1,SUM($A$2:$A196),0)</f>
        <v/>
      </c>
    </row>
    <row r="197">
      <c r="A197">
        <f>IF(AND(OR(Query!$B$4="All",'Compliance Database'!$A197=Query!$B$4),OR(Query!$B$5="All",'Compliance Database'!$F197=Query!$B$5),OR(Query!$B$6="All",ISNUMBER(SEARCH(Query!$B$6,'Compliance Database'!$I197))),OR(Query!$B$7="All",ISNUMBER(SEARCH(Query!$B$7,'Compliance Database'!$J197))),OR(Query!$B$8="All",'Compliance Database'!$G197=Query!$B$8),OR(Query!$B$9="All",'Compliance Database'!$K197=Query!$B$9),OR(Query!$B$10="",ISNUMBER(SEARCH(Query!$B$10,'Compliance Database'!$D197&amp;" "&amp;'Compliance Database'!$L197&amp;" "&amp;'Compliance Database'!$M197&amp;" "&amp;'Compliance Database'!$N197&amp;" "&amp;'Compliance Database'!$O197)))),1,0)</f>
        <v/>
      </c>
      <c r="B197">
        <f>IF($A197=1,SUM($A$2:$A197),"")</f>
        <v/>
      </c>
      <c r="C197">
        <f>IF($A197=1,SUM($A$2:$A197),0)</f>
        <v/>
      </c>
    </row>
    <row r="198">
      <c r="A198">
        <f>IF(AND(OR(Query!$B$4="All",'Compliance Database'!$A198=Query!$B$4),OR(Query!$B$5="All",'Compliance Database'!$F198=Query!$B$5),OR(Query!$B$6="All",ISNUMBER(SEARCH(Query!$B$6,'Compliance Database'!$I198))),OR(Query!$B$7="All",ISNUMBER(SEARCH(Query!$B$7,'Compliance Database'!$J198))),OR(Query!$B$8="All",'Compliance Database'!$G198=Query!$B$8),OR(Query!$B$9="All",'Compliance Database'!$K198=Query!$B$9),OR(Query!$B$10="",ISNUMBER(SEARCH(Query!$B$10,'Compliance Database'!$D198&amp;" "&amp;'Compliance Database'!$L198&amp;" "&amp;'Compliance Database'!$M198&amp;" "&amp;'Compliance Database'!$N198&amp;" "&amp;'Compliance Database'!$O198)))),1,0)</f>
        <v/>
      </c>
      <c r="B198">
        <f>IF($A198=1,SUM($A$2:$A198),"")</f>
        <v/>
      </c>
      <c r="C198">
        <f>IF($A198=1,SUM($A$2:$A198),0)</f>
        <v/>
      </c>
    </row>
    <row r="199">
      <c r="A199">
        <f>IF(AND(OR(Query!$B$4="All",'Compliance Database'!$A199=Query!$B$4),OR(Query!$B$5="All",'Compliance Database'!$F199=Query!$B$5),OR(Query!$B$6="All",ISNUMBER(SEARCH(Query!$B$6,'Compliance Database'!$I199))),OR(Query!$B$7="All",ISNUMBER(SEARCH(Query!$B$7,'Compliance Database'!$J199))),OR(Query!$B$8="All",'Compliance Database'!$G199=Query!$B$8),OR(Query!$B$9="All",'Compliance Database'!$K199=Query!$B$9),OR(Query!$B$10="",ISNUMBER(SEARCH(Query!$B$10,'Compliance Database'!$D199&amp;" "&amp;'Compliance Database'!$L199&amp;" "&amp;'Compliance Database'!$M199&amp;" "&amp;'Compliance Database'!$N199&amp;" "&amp;'Compliance Database'!$O199)))),1,0)</f>
        <v/>
      </c>
      <c r="B199">
        <f>IF($A199=1,SUM($A$2:$A199),"")</f>
        <v/>
      </c>
      <c r="C199">
        <f>IF($A199=1,SUM($A$2:$A199),0)</f>
        <v/>
      </c>
    </row>
    <row r="200">
      <c r="A200">
        <f>IF(AND(OR(Query!$B$4="All",'Compliance Database'!$A200=Query!$B$4),OR(Query!$B$5="All",'Compliance Database'!$F200=Query!$B$5),OR(Query!$B$6="All",ISNUMBER(SEARCH(Query!$B$6,'Compliance Database'!$I200))),OR(Query!$B$7="All",ISNUMBER(SEARCH(Query!$B$7,'Compliance Database'!$J200))),OR(Query!$B$8="All",'Compliance Database'!$G200=Query!$B$8),OR(Query!$B$9="All",'Compliance Database'!$K200=Query!$B$9),OR(Query!$B$10="",ISNUMBER(SEARCH(Query!$B$10,'Compliance Database'!$D200&amp;" "&amp;'Compliance Database'!$L200&amp;" "&amp;'Compliance Database'!$M200&amp;" "&amp;'Compliance Database'!$N200&amp;" "&amp;'Compliance Database'!$O200)))),1,0)</f>
        <v/>
      </c>
      <c r="B200">
        <f>IF($A200=1,SUM($A$2:$A200),"")</f>
        <v/>
      </c>
      <c r="C200">
        <f>IF($A200=1,SUM($A$2:$A200),0)</f>
        <v/>
      </c>
    </row>
    <row r="201">
      <c r="A201">
        <f>IF(AND(OR(Query!$B$4="All",'Compliance Database'!$A201=Query!$B$4),OR(Query!$B$5="All",'Compliance Database'!$F201=Query!$B$5),OR(Query!$B$6="All",ISNUMBER(SEARCH(Query!$B$6,'Compliance Database'!$I201))),OR(Query!$B$7="All",ISNUMBER(SEARCH(Query!$B$7,'Compliance Database'!$J201))),OR(Query!$B$8="All",'Compliance Database'!$G201=Query!$B$8),OR(Query!$B$9="All",'Compliance Database'!$K201=Query!$B$9),OR(Query!$B$10="",ISNUMBER(SEARCH(Query!$B$10,'Compliance Database'!$D201&amp;" "&amp;'Compliance Database'!$L201&amp;" "&amp;'Compliance Database'!$M201&amp;" "&amp;'Compliance Database'!$N201&amp;" "&amp;'Compliance Database'!$O201)))),1,0)</f>
        <v/>
      </c>
      <c r="B201">
        <f>IF($A201=1,SUM($A$2:$A201),"")</f>
        <v/>
      </c>
      <c r="C201">
        <f>IF($A201=1,SUM($A$2:$A201),0)</f>
        <v/>
      </c>
    </row>
    <row r="202">
      <c r="A202">
        <f>IF(AND(OR(Query!$B$4="All",'Compliance Database'!$A202=Query!$B$4),OR(Query!$B$5="All",'Compliance Database'!$F202=Query!$B$5),OR(Query!$B$6="All",ISNUMBER(SEARCH(Query!$B$6,'Compliance Database'!$I202))),OR(Query!$B$7="All",ISNUMBER(SEARCH(Query!$B$7,'Compliance Database'!$J202))),OR(Query!$B$8="All",'Compliance Database'!$G202=Query!$B$8),OR(Query!$B$9="All",'Compliance Database'!$K202=Query!$B$9),OR(Query!$B$10="",ISNUMBER(SEARCH(Query!$B$10,'Compliance Database'!$D202&amp;" "&amp;'Compliance Database'!$L202&amp;" "&amp;'Compliance Database'!$M202&amp;" "&amp;'Compliance Database'!$N202&amp;" "&amp;'Compliance Database'!$O202)))),1,0)</f>
        <v/>
      </c>
      <c r="B202">
        <f>IF($A202=1,SUM($A$2:$A202),"")</f>
        <v/>
      </c>
      <c r="C202">
        <f>IF($A202=1,SUM($A$2:$A202),0)</f>
        <v/>
      </c>
    </row>
    <row r="203">
      <c r="A203">
        <f>IF(AND(OR(Query!$B$4="All",'Compliance Database'!$A203=Query!$B$4),OR(Query!$B$5="All",'Compliance Database'!$F203=Query!$B$5),OR(Query!$B$6="All",ISNUMBER(SEARCH(Query!$B$6,'Compliance Database'!$I203))),OR(Query!$B$7="All",ISNUMBER(SEARCH(Query!$B$7,'Compliance Database'!$J203))),OR(Query!$B$8="All",'Compliance Database'!$G203=Query!$B$8),OR(Query!$B$9="All",'Compliance Database'!$K203=Query!$B$9),OR(Query!$B$10="",ISNUMBER(SEARCH(Query!$B$10,'Compliance Database'!$D203&amp;" "&amp;'Compliance Database'!$L203&amp;" "&amp;'Compliance Database'!$M203&amp;" "&amp;'Compliance Database'!$N203&amp;" "&amp;'Compliance Database'!$O203)))),1,0)</f>
        <v/>
      </c>
      <c r="B203">
        <f>IF($A203=1,SUM($A$2:$A203),"")</f>
        <v/>
      </c>
      <c r="C203">
        <f>IF($A203=1,SUM($A$2:$A203),0)</f>
        <v/>
      </c>
    </row>
    <row r="204">
      <c r="A204">
        <f>IF(AND(OR(Query!$B$4="All",'Compliance Database'!$A204=Query!$B$4),OR(Query!$B$5="All",'Compliance Database'!$F204=Query!$B$5),OR(Query!$B$6="All",ISNUMBER(SEARCH(Query!$B$6,'Compliance Database'!$I204))),OR(Query!$B$7="All",ISNUMBER(SEARCH(Query!$B$7,'Compliance Database'!$J204))),OR(Query!$B$8="All",'Compliance Database'!$G204=Query!$B$8),OR(Query!$B$9="All",'Compliance Database'!$K204=Query!$B$9),OR(Query!$B$10="",ISNUMBER(SEARCH(Query!$B$10,'Compliance Database'!$D204&amp;" "&amp;'Compliance Database'!$L204&amp;" "&amp;'Compliance Database'!$M204&amp;" "&amp;'Compliance Database'!$N204&amp;" "&amp;'Compliance Database'!$O204)))),1,0)</f>
        <v/>
      </c>
      <c r="B204">
        <f>IF($A204=1,SUM($A$2:$A204),"")</f>
        <v/>
      </c>
      <c r="C204">
        <f>IF($A204=1,SUM($A$2:$A204),0)</f>
        <v/>
      </c>
    </row>
    <row r="205">
      <c r="A205">
        <f>IF(AND(OR(Query!$B$4="All",'Compliance Database'!$A205=Query!$B$4),OR(Query!$B$5="All",'Compliance Database'!$F205=Query!$B$5),OR(Query!$B$6="All",ISNUMBER(SEARCH(Query!$B$6,'Compliance Database'!$I205))),OR(Query!$B$7="All",ISNUMBER(SEARCH(Query!$B$7,'Compliance Database'!$J205))),OR(Query!$B$8="All",'Compliance Database'!$G205=Query!$B$8),OR(Query!$B$9="All",'Compliance Database'!$K205=Query!$B$9),OR(Query!$B$10="",ISNUMBER(SEARCH(Query!$B$10,'Compliance Database'!$D205&amp;" "&amp;'Compliance Database'!$L205&amp;" "&amp;'Compliance Database'!$M205&amp;" "&amp;'Compliance Database'!$N205&amp;" "&amp;'Compliance Database'!$O205)))),1,0)</f>
        <v/>
      </c>
      <c r="B205">
        <f>IF($A205=1,SUM($A$2:$A205),"")</f>
        <v/>
      </c>
      <c r="C205">
        <f>IF($A205=1,SUM($A$2:$A205),0)</f>
        <v/>
      </c>
    </row>
    <row r="206">
      <c r="A206">
        <f>IF(AND(OR(Query!$B$4="All",'Compliance Database'!$A206=Query!$B$4),OR(Query!$B$5="All",'Compliance Database'!$F206=Query!$B$5),OR(Query!$B$6="All",ISNUMBER(SEARCH(Query!$B$6,'Compliance Database'!$I206))),OR(Query!$B$7="All",ISNUMBER(SEARCH(Query!$B$7,'Compliance Database'!$J206))),OR(Query!$B$8="All",'Compliance Database'!$G206=Query!$B$8),OR(Query!$B$9="All",'Compliance Database'!$K206=Query!$B$9),OR(Query!$B$10="",ISNUMBER(SEARCH(Query!$B$10,'Compliance Database'!$D206&amp;" "&amp;'Compliance Database'!$L206&amp;" "&amp;'Compliance Database'!$M206&amp;" "&amp;'Compliance Database'!$N206&amp;" "&amp;'Compliance Database'!$O206)))),1,0)</f>
        <v/>
      </c>
      <c r="B206">
        <f>IF($A206=1,SUM($A$2:$A206),"")</f>
        <v/>
      </c>
      <c r="C206">
        <f>IF($A206=1,SUM($A$2:$A206),0)</f>
        <v/>
      </c>
    </row>
    <row r="207">
      <c r="A207">
        <f>IF(AND(OR(Query!$B$4="All",'Compliance Database'!$A207=Query!$B$4),OR(Query!$B$5="All",'Compliance Database'!$F207=Query!$B$5),OR(Query!$B$6="All",ISNUMBER(SEARCH(Query!$B$6,'Compliance Database'!$I207))),OR(Query!$B$7="All",ISNUMBER(SEARCH(Query!$B$7,'Compliance Database'!$J207))),OR(Query!$B$8="All",'Compliance Database'!$G207=Query!$B$8),OR(Query!$B$9="All",'Compliance Database'!$K207=Query!$B$9),OR(Query!$B$10="",ISNUMBER(SEARCH(Query!$B$10,'Compliance Database'!$D207&amp;" "&amp;'Compliance Database'!$L207&amp;" "&amp;'Compliance Database'!$M207&amp;" "&amp;'Compliance Database'!$N207&amp;" "&amp;'Compliance Database'!$O207)))),1,0)</f>
        <v/>
      </c>
      <c r="B207">
        <f>IF($A207=1,SUM($A$2:$A207),"")</f>
        <v/>
      </c>
      <c r="C207">
        <f>IF($A207=1,SUM($A$2:$A207),0)</f>
        <v/>
      </c>
    </row>
    <row r="208">
      <c r="A208">
        <f>IF(AND(OR(Query!$B$4="All",'Compliance Database'!$A208=Query!$B$4),OR(Query!$B$5="All",'Compliance Database'!$F208=Query!$B$5),OR(Query!$B$6="All",ISNUMBER(SEARCH(Query!$B$6,'Compliance Database'!$I208))),OR(Query!$B$7="All",ISNUMBER(SEARCH(Query!$B$7,'Compliance Database'!$J208))),OR(Query!$B$8="All",'Compliance Database'!$G208=Query!$B$8),OR(Query!$B$9="All",'Compliance Database'!$K208=Query!$B$9),OR(Query!$B$10="",ISNUMBER(SEARCH(Query!$B$10,'Compliance Database'!$D208&amp;" "&amp;'Compliance Database'!$L208&amp;" "&amp;'Compliance Database'!$M208&amp;" "&amp;'Compliance Database'!$N208&amp;" "&amp;'Compliance Database'!$O208)))),1,0)</f>
        <v/>
      </c>
      <c r="B208">
        <f>IF($A208=1,SUM($A$2:$A208),"")</f>
        <v/>
      </c>
      <c r="C208">
        <f>IF($A208=1,SUM($A$2:$A208),0)</f>
        <v/>
      </c>
    </row>
    <row r="209">
      <c r="A209">
        <f>IF(AND(OR(Query!$B$4="All",'Compliance Database'!$A209=Query!$B$4),OR(Query!$B$5="All",'Compliance Database'!$F209=Query!$B$5),OR(Query!$B$6="All",ISNUMBER(SEARCH(Query!$B$6,'Compliance Database'!$I209))),OR(Query!$B$7="All",ISNUMBER(SEARCH(Query!$B$7,'Compliance Database'!$J209))),OR(Query!$B$8="All",'Compliance Database'!$G209=Query!$B$8),OR(Query!$B$9="All",'Compliance Database'!$K209=Query!$B$9),OR(Query!$B$10="",ISNUMBER(SEARCH(Query!$B$10,'Compliance Database'!$D209&amp;" "&amp;'Compliance Database'!$L209&amp;" "&amp;'Compliance Database'!$M209&amp;" "&amp;'Compliance Database'!$N209&amp;" "&amp;'Compliance Database'!$O209)))),1,0)</f>
        <v/>
      </c>
      <c r="B209">
        <f>IF($A209=1,SUM($A$2:$A209),"")</f>
        <v/>
      </c>
      <c r="C209">
        <f>IF($A209=1,SUM($A$2:$A209),0)</f>
        <v/>
      </c>
    </row>
    <row r="210">
      <c r="A210">
        <f>IF(AND(OR(Query!$B$4="All",'Compliance Database'!$A210=Query!$B$4),OR(Query!$B$5="All",'Compliance Database'!$F210=Query!$B$5),OR(Query!$B$6="All",ISNUMBER(SEARCH(Query!$B$6,'Compliance Database'!$I210))),OR(Query!$B$7="All",ISNUMBER(SEARCH(Query!$B$7,'Compliance Database'!$J210))),OR(Query!$B$8="All",'Compliance Database'!$G210=Query!$B$8),OR(Query!$B$9="All",'Compliance Database'!$K210=Query!$B$9),OR(Query!$B$10="",ISNUMBER(SEARCH(Query!$B$10,'Compliance Database'!$D210&amp;" "&amp;'Compliance Database'!$L210&amp;" "&amp;'Compliance Database'!$M210&amp;" "&amp;'Compliance Database'!$N210&amp;" "&amp;'Compliance Database'!$O210)))),1,0)</f>
        <v/>
      </c>
      <c r="B210">
        <f>IF($A210=1,SUM($A$2:$A210),"")</f>
        <v/>
      </c>
      <c r="C210">
        <f>IF($A210=1,SUM($A$2:$A210),0)</f>
        <v/>
      </c>
    </row>
    <row r="211">
      <c r="A211">
        <f>IF(AND(OR(Query!$B$4="All",'Compliance Database'!$A211=Query!$B$4),OR(Query!$B$5="All",'Compliance Database'!$F211=Query!$B$5),OR(Query!$B$6="All",ISNUMBER(SEARCH(Query!$B$6,'Compliance Database'!$I211))),OR(Query!$B$7="All",ISNUMBER(SEARCH(Query!$B$7,'Compliance Database'!$J211))),OR(Query!$B$8="All",'Compliance Database'!$G211=Query!$B$8),OR(Query!$B$9="All",'Compliance Database'!$K211=Query!$B$9),OR(Query!$B$10="",ISNUMBER(SEARCH(Query!$B$10,'Compliance Database'!$D211&amp;" "&amp;'Compliance Database'!$L211&amp;" "&amp;'Compliance Database'!$M211&amp;" "&amp;'Compliance Database'!$N211&amp;" "&amp;'Compliance Database'!$O211)))),1,0)</f>
        <v/>
      </c>
      <c r="B211">
        <f>IF($A211=1,SUM($A$2:$A211),"")</f>
        <v/>
      </c>
      <c r="C211">
        <f>IF($A211=1,SUM($A$2:$A211),0)</f>
        <v/>
      </c>
    </row>
    <row r="212">
      <c r="A212">
        <f>IF(AND(OR(Query!$B$4="All",'Compliance Database'!$A212=Query!$B$4),OR(Query!$B$5="All",'Compliance Database'!$F212=Query!$B$5),OR(Query!$B$6="All",ISNUMBER(SEARCH(Query!$B$6,'Compliance Database'!$I212))),OR(Query!$B$7="All",ISNUMBER(SEARCH(Query!$B$7,'Compliance Database'!$J212))),OR(Query!$B$8="All",'Compliance Database'!$G212=Query!$B$8),OR(Query!$B$9="All",'Compliance Database'!$K212=Query!$B$9),OR(Query!$B$10="",ISNUMBER(SEARCH(Query!$B$10,'Compliance Database'!$D212&amp;" "&amp;'Compliance Database'!$L212&amp;" "&amp;'Compliance Database'!$M212&amp;" "&amp;'Compliance Database'!$N212&amp;" "&amp;'Compliance Database'!$O212)))),1,0)</f>
        <v/>
      </c>
      <c r="B212">
        <f>IF($A212=1,SUM($A$2:$A212),"")</f>
        <v/>
      </c>
      <c r="C212">
        <f>IF($A212=1,SUM($A$2:$A212),0)</f>
        <v/>
      </c>
    </row>
    <row r="213">
      <c r="A213">
        <f>IF(AND(OR(Query!$B$4="All",'Compliance Database'!$A213=Query!$B$4),OR(Query!$B$5="All",'Compliance Database'!$F213=Query!$B$5),OR(Query!$B$6="All",ISNUMBER(SEARCH(Query!$B$6,'Compliance Database'!$I213))),OR(Query!$B$7="All",ISNUMBER(SEARCH(Query!$B$7,'Compliance Database'!$J213))),OR(Query!$B$8="All",'Compliance Database'!$G213=Query!$B$8),OR(Query!$B$9="All",'Compliance Database'!$K213=Query!$B$9),OR(Query!$B$10="",ISNUMBER(SEARCH(Query!$B$10,'Compliance Database'!$D213&amp;" "&amp;'Compliance Database'!$L213&amp;" "&amp;'Compliance Database'!$M213&amp;" "&amp;'Compliance Database'!$N213&amp;" "&amp;'Compliance Database'!$O213)))),1,0)</f>
        <v/>
      </c>
      <c r="B213">
        <f>IF($A213=1,SUM($A$2:$A213),"")</f>
        <v/>
      </c>
      <c r="C213">
        <f>IF($A213=1,SUM($A$2:$A213),0)</f>
        <v/>
      </c>
    </row>
    <row r="214">
      <c r="A214">
        <f>IF(AND(OR(Query!$B$4="All",'Compliance Database'!$A214=Query!$B$4),OR(Query!$B$5="All",'Compliance Database'!$F214=Query!$B$5),OR(Query!$B$6="All",ISNUMBER(SEARCH(Query!$B$6,'Compliance Database'!$I214))),OR(Query!$B$7="All",ISNUMBER(SEARCH(Query!$B$7,'Compliance Database'!$J214))),OR(Query!$B$8="All",'Compliance Database'!$G214=Query!$B$8),OR(Query!$B$9="All",'Compliance Database'!$K214=Query!$B$9),OR(Query!$B$10="",ISNUMBER(SEARCH(Query!$B$10,'Compliance Database'!$D214&amp;" "&amp;'Compliance Database'!$L214&amp;" "&amp;'Compliance Database'!$M214&amp;" "&amp;'Compliance Database'!$N214&amp;" "&amp;'Compliance Database'!$O214)))),1,0)</f>
        <v/>
      </c>
      <c r="B214">
        <f>IF($A214=1,SUM($A$2:$A214),"")</f>
        <v/>
      </c>
      <c r="C214">
        <f>IF($A214=1,SUM($A$2:$A214),0)</f>
        <v/>
      </c>
    </row>
    <row r="215">
      <c r="A215">
        <f>IF(AND(OR(Query!$B$4="All",'Compliance Database'!$A215=Query!$B$4),OR(Query!$B$5="All",'Compliance Database'!$F215=Query!$B$5),OR(Query!$B$6="All",ISNUMBER(SEARCH(Query!$B$6,'Compliance Database'!$I215))),OR(Query!$B$7="All",ISNUMBER(SEARCH(Query!$B$7,'Compliance Database'!$J215))),OR(Query!$B$8="All",'Compliance Database'!$G215=Query!$B$8),OR(Query!$B$9="All",'Compliance Database'!$K215=Query!$B$9),OR(Query!$B$10="",ISNUMBER(SEARCH(Query!$B$10,'Compliance Database'!$D215&amp;" "&amp;'Compliance Database'!$L215&amp;" "&amp;'Compliance Database'!$M215&amp;" "&amp;'Compliance Database'!$N215&amp;" "&amp;'Compliance Database'!$O215)))),1,0)</f>
        <v/>
      </c>
      <c r="B215">
        <f>IF($A215=1,SUM($A$2:$A215),"")</f>
        <v/>
      </c>
      <c r="C215">
        <f>IF($A215=1,SUM($A$2:$A215),0)</f>
        <v/>
      </c>
    </row>
    <row r="216">
      <c r="A216">
        <f>IF(AND(OR(Query!$B$4="All",'Compliance Database'!$A216=Query!$B$4),OR(Query!$B$5="All",'Compliance Database'!$F216=Query!$B$5),OR(Query!$B$6="All",ISNUMBER(SEARCH(Query!$B$6,'Compliance Database'!$I216))),OR(Query!$B$7="All",ISNUMBER(SEARCH(Query!$B$7,'Compliance Database'!$J216))),OR(Query!$B$8="All",'Compliance Database'!$G216=Query!$B$8),OR(Query!$B$9="All",'Compliance Database'!$K216=Query!$B$9),OR(Query!$B$10="",ISNUMBER(SEARCH(Query!$B$10,'Compliance Database'!$D216&amp;" "&amp;'Compliance Database'!$L216&amp;" "&amp;'Compliance Database'!$M216&amp;" "&amp;'Compliance Database'!$N216&amp;" "&amp;'Compliance Database'!$O216)))),1,0)</f>
        <v/>
      </c>
      <c r="B216">
        <f>IF($A216=1,SUM($A$2:$A216),"")</f>
        <v/>
      </c>
      <c r="C216">
        <f>IF($A216=1,SUM($A$2:$A216),0)</f>
        <v/>
      </c>
    </row>
    <row r="217">
      <c r="A217">
        <f>IF(AND(OR(Query!$B$4="All",'Compliance Database'!$A217=Query!$B$4),OR(Query!$B$5="All",'Compliance Database'!$F217=Query!$B$5),OR(Query!$B$6="All",ISNUMBER(SEARCH(Query!$B$6,'Compliance Database'!$I217))),OR(Query!$B$7="All",ISNUMBER(SEARCH(Query!$B$7,'Compliance Database'!$J217))),OR(Query!$B$8="All",'Compliance Database'!$G217=Query!$B$8),OR(Query!$B$9="All",'Compliance Database'!$K217=Query!$B$9),OR(Query!$B$10="",ISNUMBER(SEARCH(Query!$B$10,'Compliance Database'!$D217&amp;" "&amp;'Compliance Database'!$L217&amp;" "&amp;'Compliance Database'!$M217&amp;" "&amp;'Compliance Database'!$N217&amp;" "&amp;'Compliance Database'!$O217)))),1,0)</f>
        <v/>
      </c>
      <c r="B217">
        <f>IF($A217=1,SUM($A$2:$A217),"")</f>
        <v/>
      </c>
      <c r="C217">
        <f>IF($A217=1,SUM($A$2:$A217),0)</f>
        <v/>
      </c>
    </row>
    <row r="218">
      <c r="A218">
        <f>IF(AND(OR(Query!$B$4="All",'Compliance Database'!$A218=Query!$B$4),OR(Query!$B$5="All",'Compliance Database'!$F218=Query!$B$5),OR(Query!$B$6="All",ISNUMBER(SEARCH(Query!$B$6,'Compliance Database'!$I218))),OR(Query!$B$7="All",ISNUMBER(SEARCH(Query!$B$7,'Compliance Database'!$J218))),OR(Query!$B$8="All",'Compliance Database'!$G218=Query!$B$8),OR(Query!$B$9="All",'Compliance Database'!$K218=Query!$B$9),OR(Query!$B$10="",ISNUMBER(SEARCH(Query!$B$10,'Compliance Database'!$D218&amp;" "&amp;'Compliance Database'!$L218&amp;" "&amp;'Compliance Database'!$M218&amp;" "&amp;'Compliance Database'!$N218&amp;" "&amp;'Compliance Database'!$O218)))),1,0)</f>
        <v/>
      </c>
      <c r="B218">
        <f>IF($A218=1,SUM($A$2:$A218),"")</f>
        <v/>
      </c>
      <c r="C218">
        <f>IF($A218=1,SUM($A$2:$A218),0)</f>
        <v/>
      </c>
    </row>
    <row r="219">
      <c r="A219">
        <f>IF(AND(OR(Query!$B$4="All",'Compliance Database'!$A219=Query!$B$4),OR(Query!$B$5="All",'Compliance Database'!$F219=Query!$B$5),OR(Query!$B$6="All",ISNUMBER(SEARCH(Query!$B$6,'Compliance Database'!$I219))),OR(Query!$B$7="All",ISNUMBER(SEARCH(Query!$B$7,'Compliance Database'!$J219))),OR(Query!$B$8="All",'Compliance Database'!$G219=Query!$B$8),OR(Query!$B$9="All",'Compliance Database'!$K219=Query!$B$9),OR(Query!$B$10="",ISNUMBER(SEARCH(Query!$B$10,'Compliance Database'!$D219&amp;" "&amp;'Compliance Database'!$L219&amp;" "&amp;'Compliance Database'!$M219&amp;" "&amp;'Compliance Database'!$N219&amp;" "&amp;'Compliance Database'!$O219)))),1,0)</f>
        <v/>
      </c>
      <c r="B219">
        <f>IF($A219=1,SUM($A$2:$A219),"")</f>
        <v/>
      </c>
      <c r="C219">
        <f>IF($A219=1,SUM($A$2:$A219),0)</f>
        <v/>
      </c>
    </row>
    <row r="220">
      <c r="A220">
        <f>IF(AND(OR(Query!$B$4="All",'Compliance Database'!$A220=Query!$B$4),OR(Query!$B$5="All",'Compliance Database'!$F220=Query!$B$5),OR(Query!$B$6="All",ISNUMBER(SEARCH(Query!$B$6,'Compliance Database'!$I220))),OR(Query!$B$7="All",ISNUMBER(SEARCH(Query!$B$7,'Compliance Database'!$J220))),OR(Query!$B$8="All",'Compliance Database'!$G220=Query!$B$8),OR(Query!$B$9="All",'Compliance Database'!$K220=Query!$B$9),OR(Query!$B$10="",ISNUMBER(SEARCH(Query!$B$10,'Compliance Database'!$D220&amp;" "&amp;'Compliance Database'!$L220&amp;" "&amp;'Compliance Database'!$M220&amp;" "&amp;'Compliance Database'!$N220&amp;" "&amp;'Compliance Database'!$O220)))),1,0)</f>
        <v/>
      </c>
      <c r="B220">
        <f>IF($A220=1,SUM($A$2:$A220),"")</f>
        <v/>
      </c>
      <c r="C220">
        <f>IF($A220=1,SUM($A$2:$A220),0)</f>
        <v/>
      </c>
    </row>
    <row r="221">
      <c r="A221">
        <f>IF(AND(OR(Query!$B$4="All",'Compliance Database'!$A221=Query!$B$4),OR(Query!$B$5="All",'Compliance Database'!$F221=Query!$B$5),OR(Query!$B$6="All",ISNUMBER(SEARCH(Query!$B$6,'Compliance Database'!$I221))),OR(Query!$B$7="All",ISNUMBER(SEARCH(Query!$B$7,'Compliance Database'!$J221))),OR(Query!$B$8="All",'Compliance Database'!$G221=Query!$B$8),OR(Query!$B$9="All",'Compliance Database'!$K221=Query!$B$9),OR(Query!$B$10="",ISNUMBER(SEARCH(Query!$B$10,'Compliance Database'!$D221&amp;" "&amp;'Compliance Database'!$L221&amp;" "&amp;'Compliance Database'!$M221&amp;" "&amp;'Compliance Database'!$N221&amp;" "&amp;'Compliance Database'!$O221)))),1,0)</f>
        <v/>
      </c>
      <c r="B221">
        <f>IF($A221=1,SUM($A$2:$A221),"")</f>
        <v/>
      </c>
      <c r="C221">
        <f>IF($A221=1,SUM($A$2:$A221),0)</f>
        <v/>
      </c>
    </row>
    <row r="222">
      <c r="A222">
        <f>IF(AND(OR(Query!$B$4="All",'Compliance Database'!$A222=Query!$B$4),OR(Query!$B$5="All",'Compliance Database'!$F222=Query!$B$5),OR(Query!$B$6="All",ISNUMBER(SEARCH(Query!$B$6,'Compliance Database'!$I222))),OR(Query!$B$7="All",ISNUMBER(SEARCH(Query!$B$7,'Compliance Database'!$J222))),OR(Query!$B$8="All",'Compliance Database'!$G222=Query!$B$8),OR(Query!$B$9="All",'Compliance Database'!$K222=Query!$B$9),OR(Query!$B$10="",ISNUMBER(SEARCH(Query!$B$10,'Compliance Database'!$D222&amp;" "&amp;'Compliance Database'!$L222&amp;" "&amp;'Compliance Database'!$M222&amp;" "&amp;'Compliance Database'!$N222&amp;" "&amp;'Compliance Database'!$O222)))),1,0)</f>
        <v/>
      </c>
      <c r="B222">
        <f>IF($A222=1,SUM($A$2:$A222),"")</f>
        <v/>
      </c>
      <c r="C222">
        <f>IF($A222=1,SUM($A$2:$A222),0)</f>
        <v/>
      </c>
    </row>
    <row r="223">
      <c r="A223">
        <f>IF(AND(OR(Query!$B$4="All",'Compliance Database'!$A223=Query!$B$4),OR(Query!$B$5="All",'Compliance Database'!$F223=Query!$B$5),OR(Query!$B$6="All",ISNUMBER(SEARCH(Query!$B$6,'Compliance Database'!$I223))),OR(Query!$B$7="All",ISNUMBER(SEARCH(Query!$B$7,'Compliance Database'!$J223))),OR(Query!$B$8="All",'Compliance Database'!$G223=Query!$B$8),OR(Query!$B$9="All",'Compliance Database'!$K223=Query!$B$9),OR(Query!$B$10="",ISNUMBER(SEARCH(Query!$B$10,'Compliance Database'!$D223&amp;" "&amp;'Compliance Database'!$L223&amp;" "&amp;'Compliance Database'!$M223&amp;" "&amp;'Compliance Database'!$N223&amp;" "&amp;'Compliance Database'!$O223)))),1,0)</f>
        <v/>
      </c>
      <c r="B223">
        <f>IF($A223=1,SUM($A$2:$A223),"")</f>
        <v/>
      </c>
      <c r="C223">
        <f>IF($A223=1,SUM($A$2:$A223),0)</f>
        <v/>
      </c>
    </row>
    <row r="224">
      <c r="A224">
        <f>IF(AND(OR(Query!$B$4="All",'Compliance Database'!$A224=Query!$B$4),OR(Query!$B$5="All",'Compliance Database'!$F224=Query!$B$5),OR(Query!$B$6="All",ISNUMBER(SEARCH(Query!$B$6,'Compliance Database'!$I224))),OR(Query!$B$7="All",ISNUMBER(SEARCH(Query!$B$7,'Compliance Database'!$J224))),OR(Query!$B$8="All",'Compliance Database'!$G224=Query!$B$8),OR(Query!$B$9="All",'Compliance Database'!$K224=Query!$B$9),OR(Query!$B$10="",ISNUMBER(SEARCH(Query!$B$10,'Compliance Database'!$D224&amp;" "&amp;'Compliance Database'!$L224&amp;" "&amp;'Compliance Database'!$M224&amp;" "&amp;'Compliance Database'!$N224&amp;" "&amp;'Compliance Database'!$O224)))),1,0)</f>
        <v/>
      </c>
      <c r="B224">
        <f>IF($A224=1,SUM($A$2:$A224),"")</f>
        <v/>
      </c>
      <c r="C224">
        <f>IF($A224=1,SUM($A$2:$A224),0)</f>
        <v/>
      </c>
    </row>
    <row r="225">
      <c r="A225">
        <f>IF(AND(OR(Query!$B$4="All",'Compliance Database'!$A225=Query!$B$4),OR(Query!$B$5="All",'Compliance Database'!$F225=Query!$B$5),OR(Query!$B$6="All",ISNUMBER(SEARCH(Query!$B$6,'Compliance Database'!$I225))),OR(Query!$B$7="All",ISNUMBER(SEARCH(Query!$B$7,'Compliance Database'!$J225))),OR(Query!$B$8="All",'Compliance Database'!$G225=Query!$B$8),OR(Query!$B$9="All",'Compliance Database'!$K225=Query!$B$9),OR(Query!$B$10="",ISNUMBER(SEARCH(Query!$B$10,'Compliance Database'!$D225&amp;" "&amp;'Compliance Database'!$L225&amp;" "&amp;'Compliance Database'!$M225&amp;" "&amp;'Compliance Database'!$N225&amp;" "&amp;'Compliance Database'!$O225)))),1,0)</f>
        <v/>
      </c>
      <c r="B225">
        <f>IF($A225=1,SUM($A$2:$A225),"")</f>
        <v/>
      </c>
      <c r="C225">
        <f>IF($A225=1,SUM($A$2:$A225),0)</f>
        <v/>
      </c>
    </row>
    <row r="226">
      <c r="A226">
        <f>IF(AND(OR(Query!$B$4="All",'Compliance Database'!$A226=Query!$B$4),OR(Query!$B$5="All",'Compliance Database'!$F226=Query!$B$5),OR(Query!$B$6="All",ISNUMBER(SEARCH(Query!$B$6,'Compliance Database'!$I226))),OR(Query!$B$7="All",ISNUMBER(SEARCH(Query!$B$7,'Compliance Database'!$J226))),OR(Query!$B$8="All",'Compliance Database'!$G226=Query!$B$8),OR(Query!$B$9="All",'Compliance Database'!$K226=Query!$B$9),OR(Query!$B$10="",ISNUMBER(SEARCH(Query!$B$10,'Compliance Database'!$D226&amp;" "&amp;'Compliance Database'!$L226&amp;" "&amp;'Compliance Database'!$M226&amp;" "&amp;'Compliance Database'!$N226&amp;" "&amp;'Compliance Database'!$O226)))),1,0)</f>
        <v/>
      </c>
      <c r="B226">
        <f>IF($A226=1,SUM($A$2:$A226),"")</f>
        <v/>
      </c>
      <c r="C226">
        <f>IF($A226=1,SUM($A$2:$A226),0)</f>
        <v/>
      </c>
    </row>
    <row r="227">
      <c r="A227">
        <f>IF(AND(OR(Query!$B$4="All",'Compliance Database'!$A227=Query!$B$4),OR(Query!$B$5="All",'Compliance Database'!$F227=Query!$B$5),OR(Query!$B$6="All",ISNUMBER(SEARCH(Query!$B$6,'Compliance Database'!$I227))),OR(Query!$B$7="All",ISNUMBER(SEARCH(Query!$B$7,'Compliance Database'!$J227))),OR(Query!$B$8="All",'Compliance Database'!$G227=Query!$B$8),OR(Query!$B$9="All",'Compliance Database'!$K227=Query!$B$9),OR(Query!$B$10="",ISNUMBER(SEARCH(Query!$B$10,'Compliance Database'!$D227&amp;" "&amp;'Compliance Database'!$L227&amp;" "&amp;'Compliance Database'!$M227&amp;" "&amp;'Compliance Database'!$N227&amp;" "&amp;'Compliance Database'!$O227)))),1,0)</f>
        <v/>
      </c>
      <c r="B227">
        <f>IF($A227=1,SUM($A$2:$A227),"")</f>
        <v/>
      </c>
      <c r="C227">
        <f>IF($A227=1,SUM($A$2:$A227),0)</f>
        <v/>
      </c>
    </row>
    <row r="228">
      <c r="A228">
        <f>IF(AND(OR(Query!$B$4="All",'Compliance Database'!$A228=Query!$B$4),OR(Query!$B$5="All",'Compliance Database'!$F228=Query!$B$5),OR(Query!$B$6="All",ISNUMBER(SEARCH(Query!$B$6,'Compliance Database'!$I228))),OR(Query!$B$7="All",ISNUMBER(SEARCH(Query!$B$7,'Compliance Database'!$J228))),OR(Query!$B$8="All",'Compliance Database'!$G228=Query!$B$8),OR(Query!$B$9="All",'Compliance Database'!$K228=Query!$B$9),OR(Query!$B$10="",ISNUMBER(SEARCH(Query!$B$10,'Compliance Database'!$D228&amp;" "&amp;'Compliance Database'!$L228&amp;" "&amp;'Compliance Database'!$M228&amp;" "&amp;'Compliance Database'!$N228&amp;" "&amp;'Compliance Database'!$O228)))),1,0)</f>
        <v/>
      </c>
      <c r="B228">
        <f>IF($A228=1,SUM($A$2:$A228),"")</f>
        <v/>
      </c>
      <c r="C228">
        <f>IF($A228=1,SUM($A$2:$A228),0)</f>
        <v/>
      </c>
    </row>
    <row r="229">
      <c r="A229">
        <f>IF(AND(OR(Query!$B$4="All",'Compliance Database'!$A229=Query!$B$4),OR(Query!$B$5="All",'Compliance Database'!$F229=Query!$B$5),OR(Query!$B$6="All",ISNUMBER(SEARCH(Query!$B$6,'Compliance Database'!$I229))),OR(Query!$B$7="All",ISNUMBER(SEARCH(Query!$B$7,'Compliance Database'!$J229))),OR(Query!$B$8="All",'Compliance Database'!$G229=Query!$B$8),OR(Query!$B$9="All",'Compliance Database'!$K229=Query!$B$9),OR(Query!$B$10="",ISNUMBER(SEARCH(Query!$B$10,'Compliance Database'!$D229&amp;" "&amp;'Compliance Database'!$L229&amp;" "&amp;'Compliance Database'!$M229&amp;" "&amp;'Compliance Database'!$N229&amp;" "&amp;'Compliance Database'!$O229)))),1,0)</f>
        <v/>
      </c>
      <c r="B229">
        <f>IF($A229=1,SUM($A$2:$A229),"")</f>
        <v/>
      </c>
      <c r="C229">
        <f>IF($A229=1,SUM($A$2:$A229),0)</f>
        <v/>
      </c>
    </row>
    <row r="230">
      <c r="A230">
        <f>IF(AND(OR(Query!$B$4="All",'Compliance Database'!$A230=Query!$B$4),OR(Query!$B$5="All",'Compliance Database'!$F230=Query!$B$5),OR(Query!$B$6="All",ISNUMBER(SEARCH(Query!$B$6,'Compliance Database'!$I230))),OR(Query!$B$7="All",ISNUMBER(SEARCH(Query!$B$7,'Compliance Database'!$J230))),OR(Query!$B$8="All",'Compliance Database'!$G230=Query!$B$8),OR(Query!$B$9="All",'Compliance Database'!$K230=Query!$B$9),OR(Query!$B$10="",ISNUMBER(SEARCH(Query!$B$10,'Compliance Database'!$D230&amp;" "&amp;'Compliance Database'!$L230&amp;" "&amp;'Compliance Database'!$M230&amp;" "&amp;'Compliance Database'!$N230&amp;" "&amp;'Compliance Database'!$O230)))),1,0)</f>
        <v/>
      </c>
      <c r="B230">
        <f>IF($A230=1,SUM($A$2:$A230),"")</f>
        <v/>
      </c>
      <c r="C230">
        <f>IF($A230=1,SUM($A$2:$A230),0)</f>
        <v/>
      </c>
    </row>
    <row r="231">
      <c r="A231">
        <f>IF(AND(OR(Query!$B$4="All",'Compliance Database'!$A231=Query!$B$4),OR(Query!$B$5="All",'Compliance Database'!$F231=Query!$B$5),OR(Query!$B$6="All",ISNUMBER(SEARCH(Query!$B$6,'Compliance Database'!$I231))),OR(Query!$B$7="All",ISNUMBER(SEARCH(Query!$B$7,'Compliance Database'!$J231))),OR(Query!$B$8="All",'Compliance Database'!$G231=Query!$B$8),OR(Query!$B$9="All",'Compliance Database'!$K231=Query!$B$9),OR(Query!$B$10="",ISNUMBER(SEARCH(Query!$B$10,'Compliance Database'!$D231&amp;" "&amp;'Compliance Database'!$L231&amp;" "&amp;'Compliance Database'!$M231&amp;" "&amp;'Compliance Database'!$N231&amp;" "&amp;'Compliance Database'!$O231)))),1,0)</f>
        <v/>
      </c>
      <c r="B231">
        <f>IF($A231=1,SUM($A$2:$A231),"")</f>
        <v/>
      </c>
      <c r="C231">
        <f>IF($A231=1,SUM($A$2:$A231),0)</f>
        <v/>
      </c>
    </row>
    <row r="232">
      <c r="A232">
        <f>IF(AND(OR(Query!$B$4="All",'Compliance Database'!$A232=Query!$B$4),OR(Query!$B$5="All",'Compliance Database'!$F232=Query!$B$5),OR(Query!$B$6="All",ISNUMBER(SEARCH(Query!$B$6,'Compliance Database'!$I232))),OR(Query!$B$7="All",ISNUMBER(SEARCH(Query!$B$7,'Compliance Database'!$J232))),OR(Query!$B$8="All",'Compliance Database'!$G232=Query!$B$8),OR(Query!$B$9="All",'Compliance Database'!$K232=Query!$B$9),OR(Query!$B$10="",ISNUMBER(SEARCH(Query!$B$10,'Compliance Database'!$D232&amp;" "&amp;'Compliance Database'!$L232&amp;" "&amp;'Compliance Database'!$M232&amp;" "&amp;'Compliance Database'!$N232&amp;" "&amp;'Compliance Database'!$O232)))),1,0)</f>
        <v/>
      </c>
      <c r="B232">
        <f>IF($A232=1,SUM($A$2:$A232),"")</f>
        <v/>
      </c>
      <c r="C232">
        <f>IF($A232=1,SUM($A$2:$A232),0)</f>
        <v/>
      </c>
    </row>
    <row r="233">
      <c r="A233">
        <f>IF(AND(OR(Query!$B$4="All",'Compliance Database'!$A233=Query!$B$4),OR(Query!$B$5="All",'Compliance Database'!$F233=Query!$B$5),OR(Query!$B$6="All",ISNUMBER(SEARCH(Query!$B$6,'Compliance Database'!$I233))),OR(Query!$B$7="All",ISNUMBER(SEARCH(Query!$B$7,'Compliance Database'!$J233))),OR(Query!$B$8="All",'Compliance Database'!$G233=Query!$B$8),OR(Query!$B$9="All",'Compliance Database'!$K233=Query!$B$9),OR(Query!$B$10="",ISNUMBER(SEARCH(Query!$B$10,'Compliance Database'!$D233&amp;" "&amp;'Compliance Database'!$L233&amp;" "&amp;'Compliance Database'!$M233&amp;" "&amp;'Compliance Database'!$N233&amp;" "&amp;'Compliance Database'!$O233)))),1,0)</f>
        <v/>
      </c>
      <c r="B233">
        <f>IF($A233=1,SUM($A$2:$A233),"")</f>
        <v/>
      </c>
      <c r="C233">
        <f>IF($A233=1,SUM($A$2:$A233),0)</f>
        <v/>
      </c>
    </row>
    <row r="234">
      <c r="A234">
        <f>IF(AND(OR(Query!$B$4="All",'Compliance Database'!$A234=Query!$B$4),OR(Query!$B$5="All",'Compliance Database'!$F234=Query!$B$5),OR(Query!$B$6="All",ISNUMBER(SEARCH(Query!$B$6,'Compliance Database'!$I234))),OR(Query!$B$7="All",ISNUMBER(SEARCH(Query!$B$7,'Compliance Database'!$J234))),OR(Query!$B$8="All",'Compliance Database'!$G234=Query!$B$8),OR(Query!$B$9="All",'Compliance Database'!$K234=Query!$B$9),OR(Query!$B$10="",ISNUMBER(SEARCH(Query!$B$10,'Compliance Database'!$D234&amp;" "&amp;'Compliance Database'!$L234&amp;" "&amp;'Compliance Database'!$M234&amp;" "&amp;'Compliance Database'!$N234&amp;" "&amp;'Compliance Database'!$O234)))),1,0)</f>
        <v/>
      </c>
      <c r="B234">
        <f>IF($A234=1,SUM($A$2:$A234),"")</f>
        <v/>
      </c>
      <c r="C234">
        <f>IF($A234=1,SUM($A$2:$A234),0)</f>
        <v/>
      </c>
    </row>
    <row r="235">
      <c r="A235">
        <f>IF(AND(OR(Query!$B$4="All",'Compliance Database'!$A235=Query!$B$4),OR(Query!$B$5="All",'Compliance Database'!$F235=Query!$B$5),OR(Query!$B$6="All",ISNUMBER(SEARCH(Query!$B$6,'Compliance Database'!$I235))),OR(Query!$B$7="All",ISNUMBER(SEARCH(Query!$B$7,'Compliance Database'!$J235))),OR(Query!$B$8="All",'Compliance Database'!$G235=Query!$B$8),OR(Query!$B$9="All",'Compliance Database'!$K235=Query!$B$9),OR(Query!$B$10="",ISNUMBER(SEARCH(Query!$B$10,'Compliance Database'!$D235&amp;" "&amp;'Compliance Database'!$L235&amp;" "&amp;'Compliance Database'!$M235&amp;" "&amp;'Compliance Database'!$N235&amp;" "&amp;'Compliance Database'!$O235)))),1,0)</f>
        <v/>
      </c>
      <c r="B235">
        <f>IF($A235=1,SUM($A$2:$A235),"")</f>
        <v/>
      </c>
      <c r="C235">
        <f>IF($A235=1,SUM($A$2:$A235),0)</f>
        <v/>
      </c>
    </row>
    <row r="236">
      <c r="A236">
        <f>IF(AND(OR(Query!$B$4="All",'Compliance Database'!$A236=Query!$B$4),OR(Query!$B$5="All",'Compliance Database'!$F236=Query!$B$5),OR(Query!$B$6="All",ISNUMBER(SEARCH(Query!$B$6,'Compliance Database'!$I236))),OR(Query!$B$7="All",ISNUMBER(SEARCH(Query!$B$7,'Compliance Database'!$J236))),OR(Query!$B$8="All",'Compliance Database'!$G236=Query!$B$8),OR(Query!$B$9="All",'Compliance Database'!$K236=Query!$B$9),OR(Query!$B$10="",ISNUMBER(SEARCH(Query!$B$10,'Compliance Database'!$D236&amp;" "&amp;'Compliance Database'!$L236&amp;" "&amp;'Compliance Database'!$M236&amp;" "&amp;'Compliance Database'!$N236&amp;" "&amp;'Compliance Database'!$O236)))),1,0)</f>
        <v/>
      </c>
      <c r="B236">
        <f>IF($A236=1,SUM($A$2:$A236),"")</f>
        <v/>
      </c>
      <c r="C236">
        <f>IF($A236=1,SUM($A$2:$A236),0)</f>
        <v/>
      </c>
    </row>
    <row r="237">
      <c r="A237">
        <f>IF(AND(OR(Query!$B$4="All",'Compliance Database'!$A237=Query!$B$4),OR(Query!$B$5="All",'Compliance Database'!$F237=Query!$B$5),OR(Query!$B$6="All",ISNUMBER(SEARCH(Query!$B$6,'Compliance Database'!$I237))),OR(Query!$B$7="All",ISNUMBER(SEARCH(Query!$B$7,'Compliance Database'!$J237))),OR(Query!$B$8="All",'Compliance Database'!$G237=Query!$B$8),OR(Query!$B$9="All",'Compliance Database'!$K237=Query!$B$9),OR(Query!$B$10="",ISNUMBER(SEARCH(Query!$B$10,'Compliance Database'!$D237&amp;" "&amp;'Compliance Database'!$L237&amp;" "&amp;'Compliance Database'!$M237&amp;" "&amp;'Compliance Database'!$N237&amp;" "&amp;'Compliance Database'!$O237)))),1,0)</f>
        <v/>
      </c>
      <c r="B237">
        <f>IF($A237=1,SUM($A$2:$A237),"")</f>
        <v/>
      </c>
      <c r="C237">
        <f>IF($A237=1,SUM($A$2:$A237),0)</f>
        <v/>
      </c>
    </row>
    <row r="238">
      <c r="A238">
        <f>IF(AND(OR(Query!$B$4="All",'Compliance Database'!$A238=Query!$B$4),OR(Query!$B$5="All",'Compliance Database'!$F238=Query!$B$5),OR(Query!$B$6="All",ISNUMBER(SEARCH(Query!$B$6,'Compliance Database'!$I238))),OR(Query!$B$7="All",ISNUMBER(SEARCH(Query!$B$7,'Compliance Database'!$J238))),OR(Query!$B$8="All",'Compliance Database'!$G238=Query!$B$8),OR(Query!$B$9="All",'Compliance Database'!$K238=Query!$B$9),OR(Query!$B$10="",ISNUMBER(SEARCH(Query!$B$10,'Compliance Database'!$D238&amp;" "&amp;'Compliance Database'!$L238&amp;" "&amp;'Compliance Database'!$M238&amp;" "&amp;'Compliance Database'!$N238&amp;" "&amp;'Compliance Database'!$O238)))),1,0)</f>
        <v/>
      </c>
      <c r="B238">
        <f>IF($A238=1,SUM($A$2:$A238),"")</f>
        <v/>
      </c>
      <c r="C238">
        <f>IF($A238=1,SUM($A$2:$A238),0)</f>
        <v/>
      </c>
    </row>
    <row r="239">
      <c r="A239">
        <f>IF(AND(OR(Query!$B$4="All",'Compliance Database'!$A239=Query!$B$4),OR(Query!$B$5="All",'Compliance Database'!$F239=Query!$B$5),OR(Query!$B$6="All",ISNUMBER(SEARCH(Query!$B$6,'Compliance Database'!$I239))),OR(Query!$B$7="All",ISNUMBER(SEARCH(Query!$B$7,'Compliance Database'!$J239))),OR(Query!$B$8="All",'Compliance Database'!$G239=Query!$B$8),OR(Query!$B$9="All",'Compliance Database'!$K239=Query!$B$9),OR(Query!$B$10="",ISNUMBER(SEARCH(Query!$B$10,'Compliance Database'!$D239&amp;" "&amp;'Compliance Database'!$L239&amp;" "&amp;'Compliance Database'!$M239&amp;" "&amp;'Compliance Database'!$N239&amp;" "&amp;'Compliance Database'!$O239)))),1,0)</f>
        <v/>
      </c>
      <c r="B239">
        <f>IF($A239=1,SUM($A$2:$A239),"")</f>
        <v/>
      </c>
      <c r="C239">
        <f>IF($A239=1,SUM($A$2:$A239),0)</f>
        <v/>
      </c>
    </row>
    <row r="240">
      <c r="A240">
        <f>IF(AND(OR(Query!$B$4="All",'Compliance Database'!$A240=Query!$B$4),OR(Query!$B$5="All",'Compliance Database'!$F240=Query!$B$5),OR(Query!$B$6="All",ISNUMBER(SEARCH(Query!$B$6,'Compliance Database'!$I240))),OR(Query!$B$7="All",ISNUMBER(SEARCH(Query!$B$7,'Compliance Database'!$J240))),OR(Query!$B$8="All",'Compliance Database'!$G240=Query!$B$8),OR(Query!$B$9="All",'Compliance Database'!$K240=Query!$B$9),OR(Query!$B$10="",ISNUMBER(SEARCH(Query!$B$10,'Compliance Database'!$D240&amp;" "&amp;'Compliance Database'!$L240&amp;" "&amp;'Compliance Database'!$M240&amp;" "&amp;'Compliance Database'!$N240&amp;" "&amp;'Compliance Database'!$O240)))),1,0)</f>
        <v/>
      </c>
      <c r="B240">
        <f>IF($A240=1,SUM($A$2:$A240),"")</f>
        <v/>
      </c>
      <c r="C240">
        <f>IF($A240=1,SUM($A$2:$A240),0)</f>
        <v/>
      </c>
    </row>
    <row r="241">
      <c r="A241">
        <f>IF(AND(OR(Query!$B$4="All",'Compliance Database'!$A241=Query!$B$4),OR(Query!$B$5="All",'Compliance Database'!$F241=Query!$B$5),OR(Query!$B$6="All",ISNUMBER(SEARCH(Query!$B$6,'Compliance Database'!$I241))),OR(Query!$B$7="All",ISNUMBER(SEARCH(Query!$B$7,'Compliance Database'!$J241))),OR(Query!$B$8="All",'Compliance Database'!$G241=Query!$B$8),OR(Query!$B$9="All",'Compliance Database'!$K241=Query!$B$9),OR(Query!$B$10="",ISNUMBER(SEARCH(Query!$B$10,'Compliance Database'!$D241&amp;" "&amp;'Compliance Database'!$L241&amp;" "&amp;'Compliance Database'!$M241&amp;" "&amp;'Compliance Database'!$N241&amp;" "&amp;'Compliance Database'!$O241)))),1,0)</f>
        <v/>
      </c>
      <c r="B241">
        <f>IF($A241=1,SUM($A$2:$A241),"")</f>
        <v/>
      </c>
      <c r="C241">
        <f>IF($A241=1,SUM($A$2:$A241),0)</f>
        <v/>
      </c>
    </row>
    <row r="242">
      <c r="A242">
        <f>IF(AND(OR(Query!$B$4="All",'Compliance Database'!$A242=Query!$B$4),OR(Query!$B$5="All",'Compliance Database'!$F242=Query!$B$5),OR(Query!$B$6="All",ISNUMBER(SEARCH(Query!$B$6,'Compliance Database'!$I242))),OR(Query!$B$7="All",ISNUMBER(SEARCH(Query!$B$7,'Compliance Database'!$J242))),OR(Query!$B$8="All",'Compliance Database'!$G242=Query!$B$8),OR(Query!$B$9="All",'Compliance Database'!$K242=Query!$B$9),OR(Query!$B$10="",ISNUMBER(SEARCH(Query!$B$10,'Compliance Database'!$D242&amp;" "&amp;'Compliance Database'!$L242&amp;" "&amp;'Compliance Database'!$M242&amp;" "&amp;'Compliance Database'!$N242&amp;" "&amp;'Compliance Database'!$O242)))),1,0)</f>
        <v/>
      </c>
      <c r="B242">
        <f>IF($A242=1,SUM($A$2:$A242),"")</f>
        <v/>
      </c>
      <c r="C242">
        <f>IF($A242=1,SUM($A$2:$A242),0)</f>
        <v/>
      </c>
    </row>
    <row r="243">
      <c r="A243">
        <f>IF(AND(OR(Query!$B$4="All",'Compliance Database'!$A243=Query!$B$4),OR(Query!$B$5="All",'Compliance Database'!$F243=Query!$B$5),OR(Query!$B$6="All",ISNUMBER(SEARCH(Query!$B$6,'Compliance Database'!$I243))),OR(Query!$B$7="All",ISNUMBER(SEARCH(Query!$B$7,'Compliance Database'!$J243))),OR(Query!$B$8="All",'Compliance Database'!$G243=Query!$B$8),OR(Query!$B$9="All",'Compliance Database'!$K243=Query!$B$9),OR(Query!$B$10="",ISNUMBER(SEARCH(Query!$B$10,'Compliance Database'!$D243&amp;" "&amp;'Compliance Database'!$L243&amp;" "&amp;'Compliance Database'!$M243&amp;" "&amp;'Compliance Database'!$N243&amp;" "&amp;'Compliance Database'!$O243)))),1,0)</f>
        <v/>
      </c>
      <c r="B243">
        <f>IF($A243=1,SUM($A$2:$A243),"")</f>
        <v/>
      </c>
      <c r="C243">
        <f>IF($A243=1,SUM($A$2:$A243),0)</f>
        <v/>
      </c>
    </row>
    <row r="244">
      <c r="A244">
        <f>IF(AND(OR(Query!$B$4="All",'Compliance Database'!$A244=Query!$B$4),OR(Query!$B$5="All",'Compliance Database'!$F244=Query!$B$5),OR(Query!$B$6="All",ISNUMBER(SEARCH(Query!$B$6,'Compliance Database'!$I244))),OR(Query!$B$7="All",ISNUMBER(SEARCH(Query!$B$7,'Compliance Database'!$J244))),OR(Query!$B$8="All",'Compliance Database'!$G244=Query!$B$8),OR(Query!$B$9="All",'Compliance Database'!$K244=Query!$B$9),OR(Query!$B$10="",ISNUMBER(SEARCH(Query!$B$10,'Compliance Database'!$D244&amp;" "&amp;'Compliance Database'!$L244&amp;" "&amp;'Compliance Database'!$M244&amp;" "&amp;'Compliance Database'!$N244&amp;" "&amp;'Compliance Database'!$O244)))),1,0)</f>
        <v/>
      </c>
      <c r="B244">
        <f>IF($A244=1,SUM($A$2:$A244),"")</f>
        <v/>
      </c>
      <c r="C244">
        <f>IF($A244=1,SUM($A$2:$A244),0)</f>
        <v/>
      </c>
    </row>
    <row r="245">
      <c r="A245">
        <f>IF(AND(OR(Query!$B$4="All",'Compliance Database'!$A245=Query!$B$4),OR(Query!$B$5="All",'Compliance Database'!$F245=Query!$B$5),OR(Query!$B$6="All",ISNUMBER(SEARCH(Query!$B$6,'Compliance Database'!$I245))),OR(Query!$B$7="All",ISNUMBER(SEARCH(Query!$B$7,'Compliance Database'!$J245))),OR(Query!$B$8="All",'Compliance Database'!$G245=Query!$B$8),OR(Query!$B$9="All",'Compliance Database'!$K245=Query!$B$9),OR(Query!$B$10="",ISNUMBER(SEARCH(Query!$B$10,'Compliance Database'!$D245&amp;" "&amp;'Compliance Database'!$L245&amp;" "&amp;'Compliance Database'!$M245&amp;" "&amp;'Compliance Database'!$N245&amp;" "&amp;'Compliance Database'!$O245)))),1,0)</f>
        <v/>
      </c>
      <c r="B245">
        <f>IF($A245=1,SUM($A$2:$A245),"")</f>
        <v/>
      </c>
      <c r="C245">
        <f>IF($A245=1,SUM($A$2:$A245),0)</f>
        <v/>
      </c>
    </row>
    <row r="246">
      <c r="A246">
        <f>IF(AND(OR(Query!$B$4="All",'Compliance Database'!$A246=Query!$B$4),OR(Query!$B$5="All",'Compliance Database'!$F246=Query!$B$5),OR(Query!$B$6="All",ISNUMBER(SEARCH(Query!$B$6,'Compliance Database'!$I246))),OR(Query!$B$7="All",ISNUMBER(SEARCH(Query!$B$7,'Compliance Database'!$J246))),OR(Query!$B$8="All",'Compliance Database'!$G246=Query!$B$8),OR(Query!$B$9="All",'Compliance Database'!$K246=Query!$B$9),OR(Query!$B$10="",ISNUMBER(SEARCH(Query!$B$10,'Compliance Database'!$D246&amp;" "&amp;'Compliance Database'!$L246&amp;" "&amp;'Compliance Database'!$M246&amp;" "&amp;'Compliance Database'!$N246&amp;" "&amp;'Compliance Database'!$O246)))),1,0)</f>
        <v/>
      </c>
      <c r="B246">
        <f>IF($A246=1,SUM($A$2:$A246),"")</f>
        <v/>
      </c>
      <c r="C246">
        <f>IF($A246=1,SUM($A$2:$A246),0)</f>
        <v/>
      </c>
    </row>
    <row r="247">
      <c r="A247">
        <f>IF(AND(OR(Query!$B$4="All",'Compliance Database'!$A247=Query!$B$4),OR(Query!$B$5="All",'Compliance Database'!$F247=Query!$B$5),OR(Query!$B$6="All",ISNUMBER(SEARCH(Query!$B$6,'Compliance Database'!$I247))),OR(Query!$B$7="All",ISNUMBER(SEARCH(Query!$B$7,'Compliance Database'!$J247))),OR(Query!$B$8="All",'Compliance Database'!$G247=Query!$B$8),OR(Query!$B$9="All",'Compliance Database'!$K247=Query!$B$9),OR(Query!$B$10="",ISNUMBER(SEARCH(Query!$B$10,'Compliance Database'!$D247&amp;" "&amp;'Compliance Database'!$L247&amp;" "&amp;'Compliance Database'!$M247&amp;" "&amp;'Compliance Database'!$N247&amp;" "&amp;'Compliance Database'!$O247)))),1,0)</f>
        <v/>
      </c>
      <c r="B247">
        <f>IF($A247=1,SUM($A$2:$A247),"")</f>
        <v/>
      </c>
      <c r="C247">
        <f>IF($A247=1,SUM($A$2:$A247),0)</f>
        <v/>
      </c>
    </row>
    <row r="248">
      <c r="A248">
        <f>IF(AND(OR(Query!$B$4="All",'Compliance Database'!$A248=Query!$B$4),OR(Query!$B$5="All",'Compliance Database'!$F248=Query!$B$5),OR(Query!$B$6="All",ISNUMBER(SEARCH(Query!$B$6,'Compliance Database'!$I248))),OR(Query!$B$7="All",ISNUMBER(SEARCH(Query!$B$7,'Compliance Database'!$J248))),OR(Query!$B$8="All",'Compliance Database'!$G248=Query!$B$8),OR(Query!$B$9="All",'Compliance Database'!$K248=Query!$B$9),OR(Query!$B$10="",ISNUMBER(SEARCH(Query!$B$10,'Compliance Database'!$D248&amp;" "&amp;'Compliance Database'!$L248&amp;" "&amp;'Compliance Database'!$M248&amp;" "&amp;'Compliance Database'!$N248&amp;" "&amp;'Compliance Database'!$O248)))),1,0)</f>
        <v/>
      </c>
      <c r="B248">
        <f>IF($A248=1,SUM($A$2:$A248),"")</f>
        <v/>
      </c>
      <c r="C248">
        <f>IF($A248=1,SUM($A$2:$A248),0)</f>
        <v/>
      </c>
    </row>
    <row r="249">
      <c r="A249">
        <f>IF(AND(OR(Query!$B$4="All",'Compliance Database'!$A249=Query!$B$4),OR(Query!$B$5="All",'Compliance Database'!$F249=Query!$B$5),OR(Query!$B$6="All",ISNUMBER(SEARCH(Query!$B$6,'Compliance Database'!$I249))),OR(Query!$B$7="All",ISNUMBER(SEARCH(Query!$B$7,'Compliance Database'!$J249))),OR(Query!$B$8="All",'Compliance Database'!$G249=Query!$B$8),OR(Query!$B$9="All",'Compliance Database'!$K249=Query!$B$9),OR(Query!$B$10="",ISNUMBER(SEARCH(Query!$B$10,'Compliance Database'!$D249&amp;" "&amp;'Compliance Database'!$L249&amp;" "&amp;'Compliance Database'!$M249&amp;" "&amp;'Compliance Database'!$N249&amp;" "&amp;'Compliance Database'!$O249)))),1,0)</f>
        <v/>
      </c>
      <c r="B249">
        <f>IF($A249=1,SUM($A$2:$A249),"")</f>
        <v/>
      </c>
      <c r="C249">
        <f>IF($A249=1,SUM($A$2:$A249),0)</f>
        <v/>
      </c>
    </row>
    <row r="250">
      <c r="A250">
        <f>IF(AND(OR(Query!$B$4="All",'Compliance Database'!$A250=Query!$B$4),OR(Query!$B$5="All",'Compliance Database'!$F250=Query!$B$5),OR(Query!$B$6="All",ISNUMBER(SEARCH(Query!$B$6,'Compliance Database'!$I250))),OR(Query!$B$7="All",ISNUMBER(SEARCH(Query!$B$7,'Compliance Database'!$J250))),OR(Query!$B$8="All",'Compliance Database'!$G250=Query!$B$8),OR(Query!$B$9="All",'Compliance Database'!$K250=Query!$B$9),OR(Query!$B$10="",ISNUMBER(SEARCH(Query!$B$10,'Compliance Database'!$D250&amp;" "&amp;'Compliance Database'!$L250&amp;" "&amp;'Compliance Database'!$M250&amp;" "&amp;'Compliance Database'!$N250&amp;" "&amp;'Compliance Database'!$O250)))),1,0)</f>
        <v/>
      </c>
      <c r="B250">
        <f>IF($A250=1,SUM($A$2:$A250),"")</f>
        <v/>
      </c>
      <c r="C250">
        <f>IF($A250=1,SUM($A$2:$A250),0)</f>
        <v/>
      </c>
    </row>
    <row r="251">
      <c r="A251">
        <f>IF(AND(OR(Query!$B$4="All",'Compliance Database'!$A251=Query!$B$4),OR(Query!$B$5="All",'Compliance Database'!$F251=Query!$B$5),OR(Query!$B$6="All",ISNUMBER(SEARCH(Query!$B$6,'Compliance Database'!$I251))),OR(Query!$B$7="All",ISNUMBER(SEARCH(Query!$B$7,'Compliance Database'!$J251))),OR(Query!$B$8="All",'Compliance Database'!$G251=Query!$B$8),OR(Query!$B$9="All",'Compliance Database'!$K251=Query!$B$9),OR(Query!$B$10="",ISNUMBER(SEARCH(Query!$B$10,'Compliance Database'!$D251&amp;" "&amp;'Compliance Database'!$L251&amp;" "&amp;'Compliance Database'!$M251&amp;" "&amp;'Compliance Database'!$N251&amp;" "&amp;'Compliance Database'!$O251)))),1,0)</f>
        <v/>
      </c>
      <c r="B251">
        <f>IF($A251=1,SUM($A$2:$A251),"")</f>
        <v/>
      </c>
      <c r="C251">
        <f>IF($A251=1,SUM($A$2:$A251),0)</f>
        <v/>
      </c>
    </row>
    <row r="252">
      <c r="A252">
        <f>IF(AND(OR(Query!$B$4="All",'Compliance Database'!$A252=Query!$B$4),OR(Query!$B$5="All",'Compliance Database'!$F252=Query!$B$5),OR(Query!$B$6="All",ISNUMBER(SEARCH(Query!$B$6,'Compliance Database'!$I252))),OR(Query!$B$7="All",ISNUMBER(SEARCH(Query!$B$7,'Compliance Database'!$J252))),OR(Query!$B$8="All",'Compliance Database'!$G252=Query!$B$8),OR(Query!$B$9="All",'Compliance Database'!$K252=Query!$B$9),OR(Query!$B$10="",ISNUMBER(SEARCH(Query!$B$10,'Compliance Database'!$D252&amp;" "&amp;'Compliance Database'!$L252&amp;" "&amp;'Compliance Database'!$M252&amp;" "&amp;'Compliance Database'!$N252&amp;" "&amp;'Compliance Database'!$O252)))),1,0)</f>
        <v/>
      </c>
      <c r="B252">
        <f>IF($A252=1,SUM($A$2:$A252),"")</f>
        <v/>
      </c>
      <c r="C252">
        <f>IF($A252=1,SUM($A$2:$A252),0)</f>
        <v/>
      </c>
    </row>
    <row r="253">
      <c r="A253">
        <f>IF(AND(OR(Query!$B$4="All",'Compliance Database'!$A253=Query!$B$4),OR(Query!$B$5="All",'Compliance Database'!$F253=Query!$B$5),OR(Query!$B$6="All",ISNUMBER(SEARCH(Query!$B$6,'Compliance Database'!$I253))),OR(Query!$B$7="All",ISNUMBER(SEARCH(Query!$B$7,'Compliance Database'!$J253))),OR(Query!$B$8="All",'Compliance Database'!$G253=Query!$B$8),OR(Query!$B$9="All",'Compliance Database'!$K253=Query!$B$9),OR(Query!$B$10="",ISNUMBER(SEARCH(Query!$B$10,'Compliance Database'!$D253&amp;" "&amp;'Compliance Database'!$L253&amp;" "&amp;'Compliance Database'!$M253&amp;" "&amp;'Compliance Database'!$N253&amp;" "&amp;'Compliance Database'!$O253)))),1,0)</f>
        <v/>
      </c>
      <c r="B253">
        <f>IF($A253=1,SUM($A$2:$A253),"")</f>
        <v/>
      </c>
      <c r="C253">
        <f>IF($A253=1,SUM($A$2:$A253),0)</f>
        <v/>
      </c>
    </row>
    <row r="254">
      <c r="A254">
        <f>IF(AND(OR(Query!$B$4="All",'Compliance Database'!$A254=Query!$B$4),OR(Query!$B$5="All",'Compliance Database'!$F254=Query!$B$5),OR(Query!$B$6="All",ISNUMBER(SEARCH(Query!$B$6,'Compliance Database'!$I254))),OR(Query!$B$7="All",ISNUMBER(SEARCH(Query!$B$7,'Compliance Database'!$J254))),OR(Query!$B$8="All",'Compliance Database'!$G254=Query!$B$8),OR(Query!$B$9="All",'Compliance Database'!$K254=Query!$B$9),OR(Query!$B$10="",ISNUMBER(SEARCH(Query!$B$10,'Compliance Database'!$D254&amp;" "&amp;'Compliance Database'!$L254&amp;" "&amp;'Compliance Database'!$M254&amp;" "&amp;'Compliance Database'!$N254&amp;" "&amp;'Compliance Database'!$O254)))),1,0)</f>
        <v/>
      </c>
      <c r="B254">
        <f>IF($A254=1,SUM($A$2:$A254),"")</f>
        <v/>
      </c>
      <c r="C254">
        <f>IF($A254=1,SUM($A$2:$A254),0)</f>
        <v/>
      </c>
    </row>
    <row r="255">
      <c r="A255">
        <f>IF(AND(OR(Query!$B$4="All",'Compliance Database'!$A255=Query!$B$4),OR(Query!$B$5="All",'Compliance Database'!$F255=Query!$B$5),OR(Query!$B$6="All",ISNUMBER(SEARCH(Query!$B$6,'Compliance Database'!$I255))),OR(Query!$B$7="All",ISNUMBER(SEARCH(Query!$B$7,'Compliance Database'!$J255))),OR(Query!$B$8="All",'Compliance Database'!$G255=Query!$B$8),OR(Query!$B$9="All",'Compliance Database'!$K255=Query!$B$9),OR(Query!$B$10="",ISNUMBER(SEARCH(Query!$B$10,'Compliance Database'!$D255&amp;" "&amp;'Compliance Database'!$L255&amp;" "&amp;'Compliance Database'!$M255&amp;" "&amp;'Compliance Database'!$N255&amp;" "&amp;'Compliance Database'!$O255)))),1,0)</f>
        <v/>
      </c>
      <c r="B255">
        <f>IF($A255=1,SUM($A$2:$A255),"")</f>
        <v/>
      </c>
      <c r="C255">
        <f>IF($A255=1,SUM($A$2:$A255),0)</f>
        <v/>
      </c>
    </row>
    <row r="256">
      <c r="A256">
        <f>IF(AND(OR(Query!$B$4="All",'Compliance Database'!$A256=Query!$B$4),OR(Query!$B$5="All",'Compliance Database'!$F256=Query!$B$5),OR(Query!$B$6="All",ISNUMBER(SEARCH(Query!$B$6,'Compliance Database'!$I256))),OR(Query!$B$7="All",ISNUMBER(SEARCH(Query!$B$7,'Compliance Database'!$J256))),OR(Query!$B$8="All",'Compliance Database'!$G256=Query!$B$8),OR(Query!$B$9="All",'Compliance Database'!$K256=Query!$B$9),OR(Query!$B$10="",ISNUMBER(SEARCH(Query!$B$10,'Compliance Database'!$D256&amp;" "&amp;'Compliance Database'!$L256&amp;" "&amp;'Compliance Database'!$M256&amp;" "&amp;'Compliance Database'!$N256&amp;" "&amp;'Compliance Database'!$O256)))),1,0)</f>
        <v/>
      </c>
      <c r="B256">
        <f>IF($A256=1,SUM($A$2:$A256),"")</f>
        <v/>
      </c>
      <c r="C256">
        <f>IF($A256=1,SUM($A$2:$A256),0)</f>
        <v/>
      </c>
    </row>
    <row r="257">
      <c r="A257">
        <f>IF(AND(OR(Query!$B$4="All",'Compliance Database'!$A257=Query!$B$4),OR(Query!$B$5="All",'Compliance Database'!$F257=Query!$B$5),OR(Query!$B$6="All",ISNUMBER(SEARCH(Query!$B$6,'Compliance Database'!$I257))),OR(Query!$B$7="All",ISNUMBER(SEARCH(Query!$B$7,'Compliance Database'!$J257))),OR(Query!$B$8="All",'Compliance Database'!$G257=Query!$B$8),OR(Query!$B$9="All",'Compliance Database'!$K257=Query!$B$9),OR(Query!$B$10="",ISNUMBER(SEARCH(Query!$B$10,'Compliance Database'!$D257&amp;" "&amp;'Compliance Database'!$L257&amp;" "&amp;'Compliance Database'!$M257&amp;" "&amp;'Compliance Database'!$N257&amp;" "&amp;'Compliance Database'!$O257)))),1,0)</f>
        <v/>
      </c>
      <c r="B257">
        <f>IF($A257=1,SUM($A$2:$A257),"")</f>
        <v/>
      </c>
      <c r="C257">
        <f>IF($A257=1,SUM($A$2:$A257),0)</f>
        <v/>
      </c>
    </row>
    <row r="258">
      <c r="A258">
        <f>IF(AND(OR(Query!$B$4="All",'Compliance Database'!$A258=Query!$B$4),OR(Query!$B$5="All",'Compliance Database'!$F258=Query!$B$5),OR(Query!$B$6="All",ISNUMBER(SEARCH(Query!$B$6,'Compliance Database'!$I258))),OR(Query!$B$7="All",ISNUMBER(SEARCH(Query!$B$7,'Compliance Database'!$J258))),OR(Query!$B$8="All",'Compliance Database'!$G258=Query!$B$8),OR(Query!$B$9="All",'Compliance Database'!$K258=Query!$B$9),OR(Query!$B$10="",ISNUMBER(SEARCH(Query!$B$10,'Compliance Database'!$D258&amp;" "&amp;'Compliance Database'!$L258&amp;" "&amp;'Compliance Database'!$M258&amp;" "&amp;'Compliance Database'!$N258&amp;" "&amp;'Compliance Database'!$O258)))),1,0)</f>
        <v/>
      </c>
      <c r="B258">
        <f>IF($A258=1,SUM($A$2:$A258),"")</f>
        <v/>
      </c>
      <c r="C258">
        <f>IF($A258=1,SUM($A$2:$A258),0)</f>
        <v/>
      </c>
    </row>
    <row r="259">
      <c r="A259">
        <f>IF(AND(OR(Query!$B$4="All",'Compliance Database'!$A259=Query!$B$4),OR(Query!$B$5="All",'Compliance Database'!$F259=Query!$B$5),OR(Query!$B$6="All",ISNUMBER(SEARCH(Query!$B$6,'Compliance Database'!$I259))),OR(Query!$B$7="All",ISNUMBER(SEARCH(Query!$B$7,'Compliance Database'!$J259))),OR(Query!$B$8="All",'Compliance Database'!$G259=Query!$B$8),OR(Query!$B$9="All",'Compliance Database'!$K259=Query!$B$9),OR(Query!$B$10="",ISNUMBER(SEARCH(Query!$B$10,'Compliance Database'!$D259&amp;" "&amp;'Compliance Database'!$L259&amp;" "&amp;'Compliance Database'!$M259&amp;" "&amp;'Compliance Database'!$N259&amp;" "&amp;'Compliance Database'!$O259)))),1,0)</f>
        <v/>
      </c>
      <c r="B259">
        <f>IF($A259=1,SUM($A$2:$A259),"")</f>
        <v/>
      </c>
      <c r="C259">
        <f>IF($A259=1,SUM($A$2:$A259),0)</f>
        <v/>
      </c>
    </row>
    <row r="260">
      <c r="A260">
        <f>IF(AND(OR(Query!$B$4="All",'Compliance Database'!$A260=Query!$B$4),OR(Query!$B$5="All",'Compliance Database'!$F260=Query!$B$5),OR(Query!$B$6="All",ISNUMBER(SEARCH(Query!$B$6,'Compliance Database'!$I260))),OR(Query!$B$7="All",ISNUMBER(SEARCH(Query!$B$7,'Compliance Database'!$J260))),OR(Query!$B$8="All",'Compliance Database'!$G260=Query!$B$8),OR(Query!$B$9="All",'Compliance Database'!$K260=Query!$B$9),OR(Query!$B$10="",ISNUMBER(SEARCH(Query!$B$10,'Compliance Database'!$D260&amp;" "&amp;'Compliance Database'!$L260&amp;" "&amp;'Compliance Database'!$M260&amp;" "&amp;'Compliance Database'!$N260&amp;" "&amp;'Compliance Database'!$O260)))),1,0)</f>
        <v/>
      </c>
      <c r="B260">
        <f>IF($A260=1,SUM($A$2:$A260),"")</f>
        <v/>
      </c>
      <c r="C260">
        <f>IF($A260=1,SUM($A$2:$A260),0)</f>
        <v/>
      </c>
    </row>
    <row r="261">
      <c r="A261">
        <f>IF(AND(OR(Query!$B$4="All",'Compliance Database'!$A261=Query!$B$4),OR(Query!$B$5="All",'Compliance Database'!$F261=Query!$B$5),OR(Query!$B$6="All",ISNUMBER(SEARCH(Query!$B$6,'Compliance Database'!$I261))),OR(Query!$B$7="All",ISNUMBER(SEARCH(Query!$B$7,'Compliance Database'!$J261))),OR(Query!$B$8="All",'Compliance Database'!$G261=Query!$B$8),OR(Query!$B$9="All",'Compliance Database'!$K261=Query!$B$9),OR(Query!$B$10="",ISNUMBER(SEARCH(Query!$B$10,'Compliance Database'!$D261&amp;" "&amp;'Compliance Database'!$L261&amp;" "&amp;'Compliance Database'!$M261&amp;" "&amp;'Compliance Database'!$N261&amp;" "&amp;'Compliance Database'!$O261)))),1,0)</f>
        <v/>
      </c>
      <c r="B261">
        <f>IF($A261=1,SUM($A$2:$A261),"")</f>
        <v/>
      </c>
      <c r="C261">
        <f>IF($A261=1,SUM($A$2:$A261),0)</f>
        <v/>
      </c>
    </row>
    <row r="262">
      <c r="A262">
        <f>IF(AND(OR(Query!$B$4="All",'Compliance Database'!$A262=Query!$B$4),OR(Query!$B$5="All",'Compliance Database'!$F262=Query!$B$5),OR(Query!$B$6="All",ISNUMBER(SEARCH(Query!$B$6,'Compliance Database'!$I262))),OR(Query!$B$7="All",ISNUMBER(SEARCH(Query!$B$7,'Compliance Database'!$J262))),OR(Query!$B$8="All",'Compliance Database'!$G262=Query!$B$8),OR(Query!$B$9="All",'Compliance Database'!$K262=Query!$B$9),OR(Query!$B$10="",ISNUMBER(SEARCH(Query!$B$10,'Compliance Database'!$D262&amp;" "&amp;'Compliance Database'!$L262&amp;" "&amp;'Compliance Database'!$M262&amp;" "&amp;'Compliance Database'!$N262&amp;" "&amp;'Compliance Database'!$O262)))),1,0)</f>
        <v/>
      </c>
      <c r="B262">
        <f>IF($A262=1,SUM($A$2:$A262),"")</f>
        <v/>
      </c>
      <c r="C262">
        <f>IF($A262=1,SUM($A$2:$A262),0)</f>
        <v/>
      </c>
    </row>
    <row r="263">
      <c r="A263">
        <f>IF(AND(OR(Query!$B$4="All",'Compliance Database'!$A263=Query!$B$4),OR(Query!$B$5="All",'Compliance Database'!$F263=Query!$B$5),OR(Query!$B$6="All",ISNUMBER(SEARCH(Query!$B$6,'Compliance Database'!$I263))),OR(Query!$B$7="All",ISNUMBER(SEARCH(Query!$B$7,'Compliance Database'!$J263))),OR(Query!$B$8="All",'Compliance Database'!$G263=Query!$B$8),OR(Query!$B$9="All",'Compliance Database'!$K263=Query!$B$9),OR(Query!$B$10="",ISNUMBER(SEARCH(Query!$B$10,'Compliance Database'!$D263&amp;" "&amp;'Compliance Database'!$L263&amp;" "&amp;'Compliance Database'!$M263&amp;" "&amp;'Compliance Database'!$N263&amp;" "&amp;'Compliance Database'!$O263)))),1,0)</f>
        <v/>
      </c>
      <c r="B263">
        <f>IF($A263=1,SUM($A$2:$A263),"")</f>
        <v/>
      </c>
      <c r="C263">
        <f>IF($A263=1,SUM($A$2:$A263),0)</f>
        <v/>
      </c>
    </row>
    <row r="264">
      <c r="A264">
        <f>IF(AND(OR(Query!$B$4="All",'Compliance Database'!$A264=Query!$B$4),OR(Query!$B$5="All",'Compliance Database'!$F264=Query!$B$5),OR(Query!$B$6="All",ISNUMBER(SEARCH(Query!$B$6,'Compliance Database'!$I264))),OR(Query!$B$7="All",ISNUMBER(SEARCH(Query!$B$7,'Compliance Database'!$J264))),OR(Query!$B$8="All",'Compliance Database'!$G264=Query!$B$8),OR(Query!$B$9="All",'Compliance Database'!$K264=Query!$B$9),OR(Query!$B$10="",ISNUMBER(SEARCH(Query!$B$10,'Compliance Database'!$D264&amp;" "&amp;'Compliance Database'!$L264&amp;" "&amp;'Compliance Database'!$M264&amp;" "&amp;'Compliance Database'!$N264&amp;" "&amp;'Compliance Database'!$O264)))),1,0)</f>
        <v/>
      </c>
      <c r="B264">
        <f>IF($A264=1,SUM($A$2:$A264),"")</f>
        <v/>
      </c>
      <c r="C264">
        <f>IF($A264=1,SUM($A$2:$A264),0)</f>
        <v/>
      </c>
    </row>
    <row r="265">
      <c r="A265">
        <f>IF(AND(OR(Query!$B$4="All",'Compliance Database'!$A265=Query!$B$4),OR(Query!$B$5="All",'Compliance Database'!$F265=Query!$B$5),OR(Query!$B$6="All",ISNUMBER(SEARCH(Query!$B$6,'Compliance Database'!$I265))),OR(Query!$B$7="All",ISNUMBER(SEARCH(Query!$B$7,'Compliance Database'!$J265))),OR(Query!$B$8="All",'Compliance Database'!$G265=Query!$B$8),OR(Query!$B$9="All",'Compliance Database'!$K265=Query!$B$9),OR(Query!$B$10="",ISNUMBER(SEARCH(Query!$B$10,'Compliance Database'!$D265&amp;" "&amp;'Compliance Database'!$L265&amp;" "&amp;'Compliance Database'!$M265&amp;" "&amp;'Compliance Database'!$N265&amp;" "&amp;'Compliance Database'!$O265)))),1,0)</f>
        <v/>
      </c>
      <c r="B265">
        <f>IF($A265=1,SUM($A$2:$A265),"")</f>
        <v/>
      </c>
      <c r="C265">
        <f>IF($A265=1,SUM($A$2:$A265),0)</f>
        <v/>
      </c>
    </row>
    <row r="266">
      <c r="A266">
        <f>IF(AND(OR(Query!$B$4="All",'Compliance Database'!$A266=Query!$B$4),OR(Query!$B$5="All",'Compliance Database'!$F266=Query!$B$5),OR(Query!$B$6="All",ISNUMBER(SEARCH(Query!$B$6,'Compliance Database'!$I266))),OR(Query!$B$7="All",ISNUMBER(SEARCH(Query!$B$7,'Compliance Database'!$J266))),OR(Query!$B$8="All",'Compliance Database'!$G266=Query!$B$8),OR(Query!$B$9="All",'Compliance Database'!$K266=Query!$B$9),OR(Query!$B$10="",ISNUMBER(SEARCH(Query!$B$10,'Compliance Database'!$D266&amp;" "&amp;'Compliance Database'!$L266&amp;" "&amp;'Compliance Database'!$M266&amp;" "&amp;'Compliance Database'!$N266&amp;" "&amp;'Compliance Database'!$O266)))),1,0)</f>
        <v/>
      </c>
      <c r="B266">
        <f>IF($A266=1,SUM($A$2:$A266),"")</f>
        <v/>
      </c>
      <c r="C266">
        <f>IF($A266=1,SUM($A$2:$A266),0)</f>
        <v/>
      </c>
    </row>
    <row r="267">
      <c r="A267">
        <f>IF(AND(OR(Query!$B$4="All",'Compliance Database'!$A267=Query!$B$4),OR(Query!$B$5="All",'Compliance Database'!$F267=Query!$B$5),OR(Query!$B$6="All",ISNUMBER(SEARCH(Query!$B$6,'Compliance Database'!$I267))),OR(Query!$B$7="All",ISNUMBER(SEARCH(Query!$B$7,'Compliance Database'!$J267))),OR(Query!$B$8="All",'Compliance Database'!$G267=Query!$B$8),OR(Query!$B$9="All",'Compliance Database'!$K267=Query!$B$9),OR(Query!$B$10="",ISNUMBER(SEARCH(Query!$B$10,'Compliance Database'!$D267&amp;" "&amp;'Compliance Database'!$L267&amp;" "&amp;'Compliance Database'!$M267&amp;" "&amp;'Compliance Database'!$N267&amp;" "&amp;'Compliance Database'!$O267)))),1,0)</f>
        <v/>
      </c>
      <c r="B267">
        <f>IF($A267=1,SUM($A$2:$A267),"")</f>
        <v/>
      </c>
      <c r="C267">
        <f>IF($A267=1,SUM($A$2:$A267),0)</f>
        <v/>
      </c>
    </row>
    <row r="268">
      <c r="A268">
        <f>IF(AND(OR(Query!$B$4="All",'Compliance Database'!$A268=Query!$B$4),OR(Query!$B$5="All",'Compliance Database'!$F268=Query!$B$5),OR(Query!$B$6="All",ISNUMBER(SEARCH(Query!$B$6,'Compliance Database'!$I268))),OR(Query!$B$7="All",ISNUMBER(SEARCH(Query!$B$7,'Compliance Database'!$J268))),OR(Query!$B$8="All",'Compliance Database'!$G268=Query!$B$8),OR(Query!$B$9="All",'Compliance Database'!$K268=Query!$B$9),OR(Query!$B$10="",ISNUMBER(SEARCH(Query!$B$10,'Compliance Database'!$D268&amp;" "&amp;'Compliance Database'!$L268&amp;" "&amp;'Compliance Database'!$M268&amp;" "&amp;'Compliance Database'!$N268&amp;" "&amp;'Compliance Database'!$O268)))),1,0)</f>
        <v/>
      </c>
      <c r="B268">
        <f>IF($A268=1,SUM($A$2:$A268),"")</f>
        <v/>
      </c>
      <c r="C268">
        <f>IF($A268=1,SUM($A$2:$A268),0)</f>
        <v/>
      </c>
    </row>
    <row r="269">
      <c r="A269">
        <f>IF(AND(OR(Query!$B$4="All",'Compliance Database'!$A269=Query!$B$4),OR(Query!$B$5="All",'Compliance Database'!$F269=Query!$B$5),OR(Query!$B$6="All",ISNUMBER(SEARCH(Query!$B$6,'Compliance Database'!$I269))),OR(Query!$B$7="All",ISNUMBER(SEARCH(Query!$B$7,'Compliance Database'!$J269))),OR(Query!$B$8="All",'Compliance Database'!$G269=Query!$B$8),OR(Query!$B$9="All",'Compliance Database'!$K269=Query!$B$9),OR(Query!$B$10="",ISNUMBER(SEARCH(Query!$B$10,'Compliance Database'!$D269&amp;" "&amp;'Compliance Database'!$L269&amp;" "&amp;'Compliance Database'!$M269&amp;" "&amp;'Compliance Database'!$N269&amp;" "&amp;'Compliance Database'!$O269)))),1,0)</f>
        <v/>
      </c>
      <c r="B269">
        <f>IF($A269=1,SUM($A$2:$A269),"")</f>
        <v/>
      </c>
      <c r="C269">
        <f>IF($A269=1,SUM($A$2:$A269),0)</f>
        <v/>
      </c>
    </row>
    <row r="270">
      <c r="A270">
        <f>IF(AND(OR(Query!$B$4="All",'Compliance Database'!$A270=Query!$B$4),OR(Query!$B$5="All",'Compliance Database'!$F270=Query!$B$5),OR(Query!$B$6="All",ISNUMBER(SEARCH(Query!$B$6,'Compliance Database'!$I270))),OR(Query!$B$7="All",ISNUMBER(SEARCH(Query!$B$7,'Compliance Database'!$J270))),OR(Query!$B$8="All",'Compliance Database'!$G270=Query!$B$8),OR(Query!$B$9="All",'Compliance Database'!$K270=Query!$B$9),OR(Query!$B$10="",ISNUMBER(SEARCH(Query!$B$10,'Compliance Database'!$D270&amp;" "&amp;'Compliance Database'!$L270&amp;" "&amp;'Compliance Database'!$M270&amp;" "&amp;'Compliance Database'!$N270&amp;" "&amp;'Compliance Database'!$O270)))),1,0)</f>
        <v/>
      </c>
      <c r="B270">
        <f>IF($A270=1,SUM($A$2:$A270),"")</f>
        <v/>
      </c>
      <c r="C270">
        <f>IF($A270=1,SUM($A$2:$A270),0)</f>
        <v/>
      </c>
    </row>
    <row r="271">
      <c r="A271">
        <f>IF(AND(OR(Query!$B$4="All",'Compliance Database'!$A271=Query!$B$4),OR(Query!$B$5="All",'Compliance Database'!$F271=Query!$B$5),OR(Query!$B$6="All",ISNUMBER(SEARCH(Query!$B$6,'Compliance Database'!$I271))),OR(Query!$B$7="All",ISNUMBER(SEARCH(Query!$B$7,'Compliance Database'!$J271))),OR(Query!$B$8="All",'Compliance Database'!$G271=Query!$B$8),OR(Query!$B$9="All",'Compliance Database'!$K271=Query!$B$9),OR(Query!$B$10="",ISNUMBER(SEARCH(Query!$B$10,'Compliance Database'!$D271&amp;" "&amp;'Compliance Database'!$L271&amp;" "&amp;'Compliance Database'!$M271&amp;" "&amp;'Compliance Database'!$N271&amp;" "&amp;'Compliance Database'!$O271)))),1,0)</f>
        <v/>
      </c>
      <c r="B271">
        <f>IF($A271=1,SUM($A$2:$A271),"")</f>
        <v/>
      </c>
      <c r="C271">
        <f>IF($A271=1,SUM($A$2:$A271),0)</f>
        <v/>
      </c>
    </row>
    <row r="272">
      <c r="A272">
        <f>IF(AND(OR(Query!$B$4="All",'Compliance Database'!$A272=Query!$B$4),OR(Query!$B$5="All",'Compliance Database'!$F272=Query!$B$5),OR(Query!$B$6="All",ISNUMBER(SEARCH(Query!$B$6,'Compliance Database'!$I272))),OR(Query!$B$7="All",ISNUMBER(SEARCH(Query!$B$7,'Compliance Database'!$J272))),OR(Query!$B$8="All",'Compliance Database'!$G272=Query!$B$8),OR(Query!$B$9="All",'Compliance Database'!$K272=Query!$B$9),OR(Query!$B$10="",ISNUMBER(SEARCH(Query!$B$10,'Compliance Database'!$D272&amp;" "&amp;'Compliance Database'!$L272&amp;" "&amp;'Compliance Database'!$M272&amp;" "&amp;'Compliance Database'!$N272&amp;" "&amp;'Compliance Database'!$O272)))),1,0)</f>
        <v/>
      </c>
      <c r="B272">
        <f>IF($A272=1,SUM($A$2:$A272),"")</f>
        <v/>
      </c>
      <c r="C272">
        <f>IF($A272=1,SUM($A$2:$A272),0)</f>
        <v/>
      </c>
    </row>
    <row r="273">
      <c r="A273">
        <f>IF(AND(OR(Query!$B$4="All",'Compliance Database'!$A273=Query!$B$4),OR(Query!$B$5="All",'Compliance Database'!$F273=Query!$B$5),OR(Query!$B$6="All",ISNUMBER(SEARCH(Query!$B$6,'Compliance Database'!$I273))),OR(Query!$B$7="All",ISNUMBER(SEARCH(Query!$B$7,'Compliance Database'!$J273))),OR(Query!$B$8="All",'Compliance Database'!$G273=Query!$B$8),OR(Query!$B$9="All",'Compliance Database'!$K273=Query!$B$9),OR(Query!$B$10="",ISNUMBER(SEARCH(Query!$B$10,'Compliance Database'!$D273&amp;" "&amp;'Compliance Database'!$L273&amp;" "&amp;'Compliance Database'!$M273&amp;" "&amp;'Compliance Database'!$N273&amp;" "&amp;'Compliance Database'!$O273)))),1,0)</f>
        <v/>
      </c>
      <c r="B273">
        <f>IF($A273=1,SUM($A$2:$A273),"")</f>
        <v/>
      </c>
      <c r="C273">
        <f>IF($A273=1,SUM($A$2:$A273),0)</f>
        <v/>
      </c>
    </row>
    <row r="274">
      <c r="A274">
        <f>IF(AND(OR(Query!$B$4="All",'Compliance Database'!$A274=Query!$B$4),OR(Query!$B$5="All",'Compliance Database'!$F274=Query!$B$5),OR(Query!$B$6="All",ISNUMBER(SEARCH(Query!$B$6,'Compliance Database'!$I274))),OR(Query!$B$7="All",ISNUMBER(SEARCH(Query!$B$7,'Compliance Database'!$J274))),OR(Query!$B$8="All",'Compliance Database'!$G274=Query!$B$8),OR(Query!$B$9="All",'Compliance Database'!$K274=Query!$B$9),OR(Query!$B$10="",ISNUMBER(SEARCH(Query!$B$10,'Compliance Database'!$D274&amp;" "&amp;'Compliance Database'!$L274&amp;" "&amp;'Compliance Database'!$M274&amp;" "&amp;'Compliance Database'!$N274&amp;" "&amp;'Compliance Database'!$O274)))),1,0)</f>
        <v/>
      </c>
      <c r="B274">
        <f>IF($A274=1,SUM($A$2:$A274),"")</f>
        <v/>
      </c>
      <c r="C274">
        <f>IF($A274=1,SUM($A$2:$A274),0)</f>
        <v/>
      </c>
    </row>
    <row r="275">
      <c r="A275">
        <f>IF(AND(OR(Query!$B$4="All",'Compliance Database'!$A275=Query!$B$4),OR(Query!$B$5="All",'Compliance Database'!$F275=Query!$B$5),OR(Query!$B$6="All",ISNUMBER(SEARCH(Query!$B$6,'Compliance Database'!$I275))),OR(Query!$B$7="All",ISNUMBER(SEARCH(Query!$B$7,'Compliance Database'!$J275))),OR(Query!$B$8="All",'Compliance Database'!$G275=Query!$B$8),OR(Query!$B$9="All",'Compliance Database'!$K275=Query!$B$9),OR(Query!$B$10="",ISNUMBER(SEARCH(Query!$B$10,'Compliance Database'!$D275&amp;" "&amp;'Compliance Database'!$L275&amp;" "&amp;'Compliance Database'!$M275&amp;" "&amp;'Compliance Database'!$N275&amp;" "&amp;'Compliance Database'!$O275)))),1,0)</f>
        <v/>
      </c>
      <c r="B275">
        <f>IF($A275=1,SUM($A$2:$A275),"")</f>
        <v/>
      </c>
      <c r="C275">
        <f>IF($A275=1,SUM($A$2:$A275),0)</f>
        <v/>
      </c>
    </row>
    <row r="276">
      <c r="A276">
        <f>IF(AND(OR(Query!$B$4="All",'Compliance Database'!$A276=Query!$B$4),OR(Query!$B$5="All",'Compliance Database'!$F276=Query!$B$5),OR(Query!$B$6="All",ISNUMBER(SEARCH(Query!$B$6,'Compliance Database'!$I276))),OR(Query!$B$7="All",ISNUMBER(SEARCH(Query!$B$7,'Compliance Database'!$J276))),OR(Query!$B$8="All",'Compliance Database'!$G276=Query!$B$8),OR(Query!$B$9="All",'Compliance Database'!$K276=Query!$B$9),OR(Query!$B$10="",ISNUMBER(SEARCH(Query!$B$10,'Compliance Database'!$D276&amp;" "&amp;'Compliance Database'!$L276&amp;" "&amp;'Compliance Database'!$M276&amp;" "&amp;'Compliance Database'!$N276&amp;" "&amp;'Compliance Database'!$O276)))),1,0)</f>
        <v/>
      </c>
      <c r="B276">
        <f>IF($A276=1,SUM($A$2:$A276),"")</f>
        <v/>
      </c>
      <c r="C276">
        <f>IF($A276=1,SUM($A$2:$A276),0)</f>
        <v/>
      </c>
    </row>
    <row r="277">
      <c r="A277">
        <f>IF(AND(OR(Query!$B$4="All",'Compliance Database'!$A277=Query!$B$4),OR(Query!$B$5="All",'Compliance Database'!$F277=Query!$B$5),OR(Query!$B$6="All",ISNUMBER(SEARCH(Query!$B$6,'Compliance Database'!$I277))),OR(Query!$B$7="All",ISNUMBER(SEARCH(Query!$B$7,'Compliance Database'!$J277))),OR(Query!$B$8="All",'Compliance Database'!$G277=Query!$B$8),OR(Query!$B$9="All",'Compliance Database'!$K277=Query!$B$9),OR(Query!$B$10="",ISNUMBER(SEARCH(Query!$B$10,'Compliance Database'!$D277&amp;" "&amp;'Compliance Database'!$L277&amp;" "&amp;'Compliance Database'!$M277&amp;" "&amp;'Compliance Database'!$N277&amp;" "&amp;'Compliance Database'!$O277)))),1,0)</f>
        <v/>
      </c>
      <c r="B277">
        <f>IF($A277=1,SUM($A$2:$A277),"")</f>
        <v/>
      </c>
      <c r="C277">
        <f>IF($A277=1,SUM($A$2:$A277),0)</f>
        <v/>
      </c>
    </row>
    <row r="278">
      <c r="A278">
        <f>IF(AND(OR(Query!$B$4="All",'Compliance Database'!$A278=Query!$B$4),OR(Query!$B$5="All",'Compliance Database'!$F278=Query!$B$5),OR(Query!$B$6="All",ISNUMBER(SEARCH(Query!$B$6,'Compliance Database'!$I278))),OR(Query!$B$7="All",ISNUMBER(SEARCH(Query!$B$7,'Compliance Database'!$J278))),OR(Query!$B$8="All",'Compliance Database'!$G278=Query!$B$8),OR(Query!$B$9="All",'Compliance Database'!$K278=Query!$B$9),OR(Query!$B$10="",ISNUMBER(SEARCH(Query!$B$10,'Compliance Database'!$D278&amp;" "&amp;'Compliance Database'!$L278&amp;" "&amp;'Compliance Database'!$M278&amp;" "&amp;'Compliance Database'!$N278&amp;" "&amp;'Compliance Database'!$O278)))),1,0)</f>
        <v/>
      </c>
      <c r="B278">
        <f>IF($A278=1,SUM($A$2:$A278),"")</f>
        <v/>
      </c>
      <c r="C278">
        <f>IF($A278=1,SUM($A$2:$A278),0)</f>
        <v/>
      </c>
    </row>
    <row r="279">
      <c r="A279">
        <f>IF(AND(OR(Query!$B$4="All",'Compliance Database'!$A279=Query!$B$4),OR(Query!$B$5="All",'Compliance Database'!$F279=Query!$B$5),OR(Query!$B$6="All",ISNUMBER(SEARCH(Query!$B$6,'Compliance Database'!$I279))),OR(Query!$B$7="All",ISNUMBER(SEARCH(Query!$B$7,'Compliance Database'!$J279))),OR(Query!$B$8="All",'Compliance Database'!$G279=Query!$B$8),OR(Query!$B$9="All",'Compliance Database'!$K279=Query!$B$9),OR(Query!$B$10="",ISNUMBER(SEARCH(Query!$B$10,'Compliance Database'!$D279&amp;" "&amp;'Compliance Database'!$L279&amp;" "&amp;'Compliance Database'!$M279&amp;" "&amp;'Compliance Database'!$N279&amp;" "&amp;'Compliance Database'!$O279)))),1,0)</f>
        <v/>
      </c>
      <c r="B279">
        <f>IF($A279=1,SUM($A$2:$A279),"")</f>
        <v/>
      </c>
      <c r="C279">
        <f>IF($A279=1,SUM($A$2:$A279),0)</f>
        <v/>
      </c>
    </row>
    <row r="280">
      <c r="A280">
        <f>IF(AND(OR(Query!$B$4="All",'Compliance Database'!$A280=Query!$B$4),OR(Query!$B$5="All",'Compliance Database'!$F280=Query!$B$5),OR(Query!$B$6="All",ISNUMBER(SEARCH(Query!$B$6,'Compliance Database'!$I280))),OR(Query!$B$7="All",ISNUMBER(SEARCH(Query!$B$7,'Compliance Database'!$J280))),OR(Query!$B$8="All",'Compliance Database'!$G280=Query!$B$8),OR(Query!$B$9="All",'Compliance Database'!$K280=Query!$B$9),OR(Query!$B$10="",ISNUMBER(SEARCH(Query!$B$10,'Compliance Database'!$D280&amp;" "&amp;'Compliance Database'!$L280&amp;" "&amp;'Compliance Database'!$M280&amp;" "&amp;'Compliance Database'!$N280&amp;" "&amp;'Compliance Database'!$O280)))),1,0)</f>
        <v/>
      </c>
      <c r="B280">
        <f>IF($A280=1,SUM($A$2:$A280),"")</f>
        <v/>
      </c>
      <c r="C280">
        <f>IF($A280=1,SUM($A$2:$A280),0)</f>
        <v/>
      </c>
    </row>
    <row r="281">
      <c r="A281">
        <f>IF(AND(OR(Query!$B$4="All",'Compliance Database'!$A281=Query!$B$4),OR(Query!$B$5="All",'Compliance Database'!$F281=Query!$B$5),OR(Query!$B$6="All",ISNUMBER(SEARCH(Query!$B$6,'Compliance Database'!$I281))),OR(Query!$B$7="All",ISNUMBER(SEARCH(Query!$B$7,'Compliance Database'!$J281))),OR(Query!$B$8="All",'Compliance Database'!$G281=Query!$B$8),OR(Query!$B$9="All",'Compliance Database'!$K281=Query!$B$9),OR(Query!$B$10="",ISNUMBER(SEARCH(Query!$B$10,'Compliance Database'!$D281&amp;" "&amp;'Compliance Database'!$L281&amp;" "&amp;'Compliance Database'!$M281&amp;" "&amp;'Compliance Database'!$N281&amp;" "&amp;'Compliance Database'!$O281)))),1,0)</f>
        <v/>
      </c>
      <c r="B281">
        <f>IF($A281=1,SUM($A$2:$A281),"")</f>
        <v/>
      </c>
      <c r="C281">
        <f>IF($A281=1,SUM($A$2:$A281),0)</f>
        <v/>
      </c>
    </row>
    <row r="282">
      <c r="A282">
        <f>IF(AND(OR(Query!$B$4="All",'Compliance Database'!$A282=Query!$B$4),OR(Query!$B$5="All",'Compliance Database'!$F282=Query!$B$5),OR(Query!$B$6="All",ISNUMBER(SEARCH(Query!$B$6,'Compliance Database'!$I282))),OR(Query!$B$7="All",ISNUMBER(SEARCH(Query!$B$7,'Compliance Database'!$J282))),OR(Query!$B$8="All",'Compliance Database'!$G282=Query!$B$8),OR(Query!$B$9="All",'Compliance Database'!$K282=Query!$B$9),OR(Query!$B$10="",ISNUMBER(SEARCH(Query!$B$10,'Compliance Database'!$D282&amp;" "&amp;'Compliance Database'!$L282&amp;" "&amp;'Compliance Database'!$M282&amp;" "&amp;'Compliance Database'!$N282&amp;" "&amp;'Compliance Database'!$O282)))),1,0)</f>
        <v/>
      </c>
      <c r="B282">
        <f>IF($A282=1,SUM($A$2:$A282),"")</f>
        <v/>
      </c>
      <c r="C282">
        <f>IF($A282=1,SUM($A$2:$A282),0)</f>
        <v/>
      </c>
    </row>
    <row r="283">
      <c r="A283">
        <f>IF(AND(OR(Query!$B$4="All",'Compliance Database'!$A283=Query!$B$4),OR(Query!$B$5="All",'Compliance Database'!$F283=Query!$B$5),OR(Query!$B$6="All",ISNUMBER(SEARCH(Query!$B$6,'Compliance Database'!$I283))),OR(Query!$B$7="All",ISNUMBER(SEARCH(Query!$B$7,'Compliance Database'!$J283))),OR(Query!$B$8="All",'Compliance Database'!$G283=Query!$B$8),OR(Query!$B$9="All",'Compliance Database'!$K283=Query!$B$9),OR(Query!$B$10="",ISNUMBER(SEARCH(Query!$B$10,'Compliance Database'!$D283&amp;" "&amp;'Compliance Database'!$L283&amp;" "&amp;'Compliance Database'!$M283&amp;" "&amp;'Compliance Database'!$N283&amp;" "&amp;'Compliance Database'!$O283)))),1,0)</f>
        <v/>
      </c>
      <c r="B283">
        <f>IF($A283=1,SUM($A$2:$A283),"")</f>
        <v/>
      </c>
      <c r="C283">
        <f>IF($A283=1,SUM($A$2:$A283),0)</f>
        <v/>
      </c>
    </row>
    <row r="284">
      <c r="A284">
        <f>IF(AND(OR(Query!$B$4="All",'Compliance Database'!$A284=Query!$B$4),OR(Query!$B$5="All",'Compliance Database'!$F284=Query!$B$5),OR(Query!$B$6="All",ISNUMBER(SEARCH(Query!$B$6,'Compliance Database'!$I284))),OR(Query!$B$7="All",ISNUMBER(SEARCH(Query!$B$7,'Compliance Database'!$J284))),OR(Query!$B$8="All",'Compliance Database'!$G284=Query!$B$8),OR(Query!$B$9="All",'Compliance Database'!$K284=Query!$B$9),OR(Query!$B$10="",ISNUMBER(SEARCH(Query!$B$10,'Compliance Database'!$D284&amp;" "&amp;'Compliance Database'!$L284&amp;" "&amp;'Compliance Database'!$M284&amp;" "&amp;'Compliance Database'!$N284&amp;" "&amp;'Compliance Database'!$O284)))),1,0)</f>
        <v/>
      </c>
      <c r="B284">
        <f>IF($A284=1,SUM($A$2:$A284),"")</f>
        <v/>
      </c>
      <c r="C284">
        <f>IF($A284=1,SUM($A$2:$A284),0)</f>
        <v/>
      </c>
    </row>
    <row r="285">
      <c r="A285">
        <f>IF(AND(OR(Query!$B$4="All",'Compliance Database'!$A285=Query!$B$4),OR(Query!$B$5="All",'Compliance Database'!$F285=Query!$B$5),OR(Query!$B$6="All",ISNUMBER(SEARCH(Query!$B$6,'Compliance Database'!$I285))),OR(Query!$B$7="All",ISNUMBER(SEARCH(Query!$B$7,'Compliance Database'!$J285))),OR(Query!$B$8="All",'Compliance Database'!$G285=Query!$B$8),OR(Query!$B$9="All",'Compliance Database'!$K285=Query!$B$9),OR(Query!$B$10="",ISNUMBER(SEARCH(Query!$B$10,'Compliance Database'!$D285&amp;" "&amp;'Compliance Database'!$L285&amp;" "&amp;'Compliance Database'!$M285&amp;" "&amp;'Compliance Database'!$N285&amp;" "&amp;'Compliance Database'!$O285)))),1,0)</f>
        <v/>
      </c>
      <c r="B285">
        <f>IF($A285=1,SUM($A$2:$A285),"")</f>
        <v/>
      </c>
      <c r="C285">
        <f>IF($A285=1,SUM($A$2:$A285),0)</f>
        <v/>
      </c>
    </row>
    <row r="286">
      <c r="A286">
        <f>IF(AND(OR(Query!$B$4="All",'Compliance Database'!$A286=Query!$B$4),OR(Query!$B$5="All",'Compliance Database'!$F286=Query!$B$5),OR(Query!$B$6="All",ISNUMBER(SEARCH(Query!$B$6,'Compliance Database'!$I286))),OR(Query!$B$7="All",ISNUMBER(SEARCH(Query!$B$7,'Compliance Database'!$J286))),OR(Query!$B$8="All",'Compliance Database'!$G286=Query!$B$8),OR(Query!$B$9="All",'Compliance Database'!$K286=Query!$B$9),OR(Query!$B$10="",ISNUMBER(SEARCH(Query!$B$10,'Compliance Database'!$D286&amp;" "&amp;'Compliance Database'!$L286&amp;" "&amp;'Compliance Database'!$M286&amp;" "&amp;'Compliance Database'!$N286&amp;" "&amp;'Compliance Database'!$O286)))),1,0)</f>
        <v/>
      </c>
      <c r="B286">
        <f>IF($A286=1,SUM($A$2:$A286),"")</f>
        <v/>
      </c>
      <c r="C286">
        <f>IF($A286=1,SUM($A$2:$A286),0)</f>
        <v/>
      </c>
    </row>
    <row r="287">
      <c r="A287">
        <f>IF(AND(OR(Query!$B$4="All",'Compliance Database'!$A287=Query!$B$4),OR(Query!$B$5="All",'Compliance Database'!$F287=Query!$B$5),OR(Query!$B$6="All",ISNUMBER(SEARCH(Query!$B$6,'Compliance Database'!$I287))),OR(Query!$B$7="All",ISNUMBER(SEARCH(Query!$B$7,'Compliance Database'!$J287))),OR(Query!$B$8="All",'Compliance Database'!$G287=Query!$B$8),OR(Query!$B$9="All",'Compliance Database'!$K287=Query!$B$9),OR(Query!$B$10="",ISNUMBER(SEARCH(Query!$B$10,'Compliance Database'!$D287&amp;" "&amp;'Compliance Database'!$L287&amp;" "&amp;'Compliance Database'!$M287&amp;" "&amp;'Compliance Database'!$N287&amp;" "&amp;'Compliance Database'!$O287)))),1,0)</f>
        <v/>
      </c>
      <c r="B287">
        <f>IF($A287=1,SUM($A$2:$A287),"")</f>
        <v/>
      </c>
      <c r="C287">
        <f>IF($A287=1,SUM($A$2:$A287),0)</f>
        <v/>
      </c>
    </row>
    <row r="288">
      <c r="A288">
        <f>IF(AND(OR(Query!$B$4="All",'Compliance Database'!$A288=Query!$B$4),OR(Query!$B$5="All",'Compliance Database'!$F288=Query!$B$5),OR(Query!$B$6="All",ISNUMBER(SEARCH(Query!$B$6,'Compliance Database'!$I288))),OR(Query!$B$7="All",ISNUMBER(SEARCH(Query!$B$7,'Compliance Database'!$J288))),OR(Query!$B$8="All",'Compliance Database'!$G288=Query!$B$8),OR(Query!$B$9="All",'Compliance Database'!$K288=Query!$B$9),OR(Query!$B$10="",ISNUMBER(SEARCH(Query!$B$10,'Compliance Database'!$D288&amp;" "&amp;'Compliance Database'!$L288&amp;" "&amp;'Compliance Database'!$M288&amp;" "&amp;'Compliance Database'!$N288&amp;" "&amp;'Compliance Database'!$O288)))),1,0)</f>
        <v/>
      </c>
      <c r="B288">
        <f>IF($A288=1,SUM($A$2:$A288),"")</f>
        <v/>
      </c>
      <c r="C288">
        <f>IF($A288=1,SUM($A$2:$A288),0)</f>
        <v/>
      </c>
    </row>
    <row r="289">
      <c r="A289">
        <f>IF(AND(OR(Query!$B$4="All",'Compliance Database'!$A289=Query!$B$4),OR(Query!$B$5="All",'Compliance Database'!$F289=Query!$B$5),OR(Query!$B$6="All",ISNUMBER(SEARCH(Query!$B$6,'Compliance Database'!$I289))),OR(Query!$B$7="All",ISNUMBER(SEARCH(Query!$B$7,'Compliance Database'!$J289))),OR(Query!$B$8="All",'Compliance Database'!$G289=Query!$B$8),OR(Query!$B$9="All",'Compliance Database'!$K289=Query!$B$9),OR(Query!$B$10="",ISNUMBER(SEARCH(Query!$B$10,'Compliance Database'!$D289&amp;" "&amp;'Compliance Database'!$L289&amp;" "&amp;'Compliance Database'!$M289&amp;" "&amp;'Compliance Database'!$N289&amp;" "&amp;'Compliance Database'!$O289)))),1,0)</f>
        <v/>
      </c>
      <c r="B289">
        <f>IF($A289=1,SUM($A$2:$A289),"")</f>
        <v/>
      </c>
      <c r="C289">
        <f>IF($A289=1,SUM($A$2:$A289),0)</f>
        <v/>
      </c>
    </row>
    <row r="290">
      <c r="A290">
        <f>IF(AND(OR(Query!$B$4="All",'Compliance Database'!$A290=Query!$B$4),OR(Query!$B$5="All",'Compliance Database'!$F290=Query!$B$5),OR(Query!$B$6="All",ISNUMBER(SEARCH(Query!$B$6,'Compliance Database'!$I290))),OR(Query!$B$7="All",ISNUMBER(SEARCH(Query!$B$7,'Compliance Database'!$J290))),OR(Query!$B$8="All",'Compliance Database'!$G290=Query!$B$8),OR(Query!$B$9="All",'Compliance Database'!$K290=Query!$B$9),OR(Query!$B$10="",ISNUMBER(SEARCH(Query!$B$10,'Compliance Database'!$D290&amp;" "&amp;'Compliance Database'!$L290&amp;" "&amp;'Compliance Database'!$M290&amp;" "&amp;'Compliance Database'!$N290&amp;" "&amp;'Compliance Database'!$O290)))),1,0)</f>
        <v/>
      </c>
      <c r="B290">
        <f>IF($A290=1,SUM($A$2:$A290),"")</f>
        <v/>
      </c>
      <c r="C290">
        <f>IF($A290=1,SUM($A$2:$A290),0)</f>
        <v/>
      </c>
    </row>
    <row r="291">
      <c r="A291">
        <f>IF(AND(OR(Query!$B$4="All",'Compliance Database'!$A291=Query!$B$4),OR(Query!$B$5="All",'Compliance Database'!$F291=Query!$B$5),OR(Query!$B$6="All",ISNUMBER(SEARCH(Query!$B$6,'Compliance Database'!$I291))),OR(Query!$B$7="All",ISNUMBER(SEARCH(Query!$B$7,'Compliance Database'!$J291))),OR(Query!$B$8="All",'Compliance Database'!$G291=Query!$B$8),OR(Query!$B$9="All",'Compliance Database'!$K291=Query!$B$9),OR(Query!$B$10="",ISNUMBER(SEARCH(Query!$B$10,'Compliance Database'!$D291&amp;" "&amp;'Compliance Database'!$L291&amp;" "&amp;'Compliance Database'!$M291&amp;" "&amp;'Compliance Database'!$N291&amp;" "&amp;'Compliance Database'!$O291)))),1,0)</f>
        <v/>
      </c>
      <c r="B291">
        <f>IF($A291=1,SUM($A$2:$A291),"")</f>
        <v/>
      </c>
      <c r="C291">
        <f>IF($A291=1,SUM($A$2:$A291),0)</f>
        <v/>
      </c>
    </row>
    <row r="292">
      <c r="A292">
        <f>IF(AND(OR(Query!$B$4="All",'Compliance Database'!$A292=Query!$B$4),OR(Query!$B$5="All",'Compliance Database'!$F292=Query!$B$5),OR(Query!$B$6="All",ISNUMBER(SEARCH(Query!$B$6,'Compliance Database'!$I292))),OR(Query!$B$7="All",ISNUMBER(SEARCH(Query!$B$7,'Compliance Database'!$J292))),OR(Query!$B$8="All",'Compliance Database'!$G292=Query!$B$8),OR(Query!$B$9="All",'Compliance Database'!$K292=Query!$B$9),OR(Query!$B$10="",ISNUMBER(SEARCH(Query!$B$10,'Compliance Database'!$D292&amp;" "&amp;'Compliance Database'!$L292&amp;" "&amp;'Compliance Database'!$M292&amp;" "&amp;'Compliance Database'!$N292&amp;" "&amp;'Compliance Database'!$O292)))),1,0)</f>
        <v/>
      </c>
      <c r="B292">
        <f>IF($A292=1,SUM($A$2:$A292),"")</f>
        <v/>
      </c>
      <c r="C292">
        <f>IF($A292=1,SUM($A$2:$A292),0)</f>
        <v/>
      </c>
    </row>
    <row r="293">
      <c r="A293">
        <f>IF(AND(OR(Query!$B$4="All",'Compliance Database'!$A293=Query!$B$4),OR(Query!$B$5="All",'Compliance Database'!$F293=Query!$B$5),OR(Query!$B$6="All",ISNUMBER(SEARCH(Query!$B$6,'Compliance Database'!$I293))),OR(Query!$B$7="All",ISNUMBER(SEARCH(Query!$B$7,'Compliance Database'!$J293))),OR(Query!$B$8="All",'Compliance Database'!$G293=Query!$B$8),OR(Query!$B$9="All",'Compliance Database'!$K293=Query!$B$9),OR(Query!$B$10="",ISNUMBER(SEARCH(Query!$B$10,'Compliance Database'!$D293&amp;" "&amp;'Compliance Database'!$L293&amp;" "&amp;'Compliance Database'!$M293&amp;" "&amp;'Compliance Database'!$N293&amp;" "&amp;'Compliance Database'!$O293)))),1,0)</f>
        <v/>
      </c>
      <c r="B293">
        <f>IF($A293=1,SUM($A$2:$A293),"")</f>
        <v/>
      </c>
      <c r="C293">
        <f>IF($A293=1,SUM($A$2:$A293),0)</f>
        <v/>
      </c>
    </row>
    <row r="294">
      <c r="A294">
        <f>IF(AND(OR(Query!$B$4="All",'Compliance Database'!$A294=Query!$B$4),OR(Query!$B$5="All",'Compliance Database'!$F294=Query!$B$5),OR(Query!$B$6="All",ISNUMBER(SEARCH(Query!$B$6,'Compliance Database'!$I294))),OR(Query!$B$7="All",ISNUMBER(SEARCH(Query!$B$7,'Compliance Database'!$J294))),OR(Query!$B$8="All",'Compliance Database'!$G294=Query!$B$8),OR(Query!$B$9="All",'Compliance Database'!$K294=Query!$B$9),OR(Query!$B$10="",ISNUMBER(SEARCH(Query!$B$10,'Compliance Database'!$D294&amp;" "&amp;'Compliance Database'!$L294&amp;" "&amp;'Compliance Database'!$M294&amp;" "&amp;'Compliance Database'!$N294&amp;" "&amp;'Compliance Database'!$O294)))),1,0)</f>
        <v/>
      </c>
      <c r="B294">
        <f>IF($A294=1,SUM($A$2:$A294),"")</f>
        <v/>
      </c>
      <c r="C294">
        <f>IF($A294=1,SUM($A$2:$A294),0)</f>
        <v/>
      </c>
    </row>
    <row r="295">
      <c r="A295">
        <f>IF(AND(OR(Query!$B$4="All",'Compliance Database'!$A295=Query!$B$4),OR(Query!$B$5="All",'Compliance Database'!$F295=Query!$B$5),OR(Query!$B$6="All",ISNUMBER(SEARCH(Query!$B$6,'Compliance Database'!$I295))),OR(Query!$B$7="All",ISNUMBER(SEARCH(Query!$B$7,'Compliance Database'!$J295))),OR(Query!$B$8="All",'Compliance Database'!$G295=Query!$B$8),OR(Query!$B$9="All",'Compliance Database'!$K295=Query!$B$9),OR(Query!$B$10="",ISNUMBER(SEARCH(Query!$B$10,'Compliance Database'!$D295&amp;" "&amp;'Compliance Database'!$L295&amp;" "&amp;'Compliance Database'!$M295&amp;" "&amp;'Compliance Database'!$N295&amp;" "&amp;'Compliance Database'!$O295)))),1,0)</f>
        <v/>
      </c>
      <c r="B295">
        <f>IF($A295=1,SUM($A$2:$A295),"")</f>
        <v/>
      </c>
      <c r="C295">
        <f>IF($A295=1,SUM($A$2:$A295),0)</f>
        <v/>
      </c>
    </row>
    <row r="296">
      <c r="A296">
        <f>IF(AND(OR(Query!$B$4="All",'Compliance Database'!$A296=Query!$B$4),OR(Query!$B$5="All",'Compliance Database'!$F296=Query!$B$5),OR(Query!$B$6="All",ISNUMBER(SEARCH(Query!$B$6,'Compliance Database'!$I296))),OR(Query!$B$7="All",ISNUMBER(SEARCH(Query!$B$7,'Compliance Database'!$J296))),OR(Query!$B$8="All",'Compliance Database'!$G296=Query!$B$8),OR(Query!$B$9="All",'Compliance Database'!$K296=Query!$B$9),OR(Query!$B$10="",ISNUMBER(SEARCH(Query!$B$10,'Compliance Database'!$D296&amp;" "&amp;'Compliance Database'!$L296&amp;" "&amp;'Compliance Database'!$M296&amp;" "&amp;'Compliance Database'!$N296&amp;" "&amp;'Compliance Database'!$O296)))),1,0)</f>
        <v/>
      </c>
      <c r="B296">
        <f>IF($A296=1,SUM($A$2:$A296),"")</f>
        <v/>
      </c>
      <c r="C296">
        <f>IF($A296=1,SUM($A$2:$A296),0)</f>
        <v/>
      </c>
    </row>
    <row r="297">
      <c r="A297">
        <f>IF(AND(OR(Query!$B$4="All",'Compliance Database'!$A297=Query!$B$4),OR(Query!$B$5="All",'Compliance Database'!$F297=Query!$B$5),OR(Query!$B$6="All",ISNUMBER(SEARCH(Query!$B$6,'Compliance Database'!$I297))),OR(Query!$B$7="All",ISNUMBER(SEARCH(Query!$B$7,'Compliance Database'!$J297))),OR(Query!$B$8="All",'Compliance Database'!$G297=Query!$B$8),OR(Query!$B$9="All",'Compliance Database'!$K297=Query!$B$9),OR(Query!$B$10="",ISNUMBER(SEARCH(Query!$B$10,'Compliance Database'!$D297&amp;" "&amp;'Compliance Database'!$L297&amp;" "&amp;'Compliance Database'!$M297&amp;" "&amp;'Compliance Database'!$N297&amp;" "&amp;'Compliance Database'!$O297)))),1,0)</f>
        <v/>
      </c>
      <c r="B297">
        <f>IF($A297=1,SUM($A$2:$A297),"")</f>
        <v/>
      </c>
      <c r="C297">
        <f>IF($A297=1,SUM($A$2:$A297),0)</f>
        <v/>
      </c>
    </row>
    <row r="298">
      <c r="A298">
        <f>IF(AND(OR(Query!$B$4="All",'Compliance Database'!$A298=Query!$B$4),OR(Query!$B$5="All",'Compliance Database'!$F298=Query!$B$5),OR(Query!$B$6="All",ISNUMBER(SEARCH(Query!$B$6,'Compliance Database'!$I298))),OR(Query!$B$7="All",ISNUMBER(SEARCH(Query!$B$7,'Compliance Database'!$J298))),OR(Query!$B$8="All",'Compliance Database'!$G298=Query!$B$8),OR(Query!$B$9="All",'Compliance Database'!$K298=Query!$B$9),OR(Query!$B$10="",ISNUMBER(SEARCH(Query!$B$10,'Compliance Database'!$D298&amp;" "&amp;'Compliance Database'!$L298&amp;" "&amp;'Compliance Database'!$M298&amp;" "&amp;'Compliance Database'!$N298&amp;" "&amp;'Compliance Database'!$O298)))),1,0)</f>
        <v/>
      </c>
      <c r="B298">
        <f>IF($A298=1,SUM($A$2:$A298),"")</f>
        <v/>
      </c>
      <c r="C298">
        <f>IF($A298=1,SUM($A$2:$A298),0)</f>
        <v/>
      </c>
    </row>
    <row r="299">
      <c r="A299">
        <f>IF(AND(OR(Query!$B$4="All",'Compliance Database'!$A299=Query!$B$4),OR(Query!$B$5="All",'Compliance Database'!$F299=Query!$B$5),OR(Query!$B$6="All",ISNUMBER(SEARCH(Query!$B$6,'Compliance Database'!$I299))),OR(Query!$B$7="All",ISNUMBER(SEARCH(Query!$B$7,'Compliance Database'!$J299))),OR(Query!$B$8="All",'Compliance Database'!$G299=Query!$B$8),OR(Query!$B$9="All",'Compliance Database'!$K299=Query!$B$9),OR(Query!$B$10="",ISNUMBER(SEARCH(Query!$B$10,'Compliance Database'!$D299&amp;" "&amp;'Compliance Database'!$L299&amp;" "&amp;'Compliance Database'!$M299&amp;" "&amp;'Compliance Database'!$N299&amp;" "&amp;'Compliance Database'!$O299)))),1,0)</f>
        <v/>
      </c>
      <c r="B299">
        <f>IF($A299=1,SUM($A$2:$A299),"")</f>
        <v/>
      </c>
      <c r="C299">
        <f>IF($A299=1,SUM($A$2:$A299),0)</f>
        <v/>
      </c>
    </row>
    <row r="300">
      <c r="A300">
        <f>IF(AND(OR(Query!$B$4="All",'Compliance Database'!$A300=Query!$B$4),OR(Query!$B$5="All",'Compliance Database'!$F300=Query!$B$5),OR(Query!$B$6="All",ISNUMBER(SEARCH(Query!$B$6,'Compliance Database'!$I300))),OR(Query!$B$7="All",ISNUMBER(SEARCH(Query!$B$7,'Compliance Database'!$J300))),OR(Query!$B$8="All",'Compliance Database'!$G300=Query!$B$8),OR(Query!$B$9="All",'Compliance Database'!$K300=Query!$B$9),OR(Query!$B$10="",ISNUMBER(SEARCH(Query!$B$10,'Compliance Database'!$D300&amp;" "&amp;'Compliance Database'!$L300&amp;" "&amp;'Compliance Database'!$M300&amp;" "&amp;'Compliance Database'!$N300&amp;" "&amp;'Compliance Database'!$O300)))),1,0)</f>
        <v/>
      </c>
      <c r="B300">
        <f>IF($A300=1,SUM($A$2:$A300),"")</f>
        <v/>
      </c>
      <c r="C300">
        <f>IF($A300=1,SUM($A$2:$A300),0)</f>
        <v/>
      </c>
    </row>
    <row r="301">
      <c r="A301">
        <f>IF(AND(OR(Query!$B$4="All",'Compliance Database'!$A301=Query!$B$4),OR(Query!$B$5="All",'Compliance Database'!$F301=Query!$B$5),OR(Query!$B$6="All",ISNUMBER(SEARCH(Query!$B$6,'Compliance Database'!$I301))),OR(Query!$B$7="All",ISNUMBER(SEARCH(Query!$B$7,'Compliance Database'!$J301))),OR(Query!$B$8="All",'Compliance Database'!$G301=Query!$B$8),OR(Query!$B$9="All",'Compliance Database'!$K301=Query!$B$9),OR(Query!$B$10="",ISNUMBER(SEARCH(Query!$B$10,'Compliance Database'!$D301&amp;" "&amp;'Compliance Database'!$L301&amp;" "&amp;'Compliance Database'!$M301&amp;" "&amp;'Compliance Database'!$N301&amp;" "&amp;'Compliance Database'!$O301)))),1,0)</f>
        <v/>
      </c>
      <c r="B301">
        <f>IF($A301=1,SUM($A$2:$A301),"")</f>
        <v/>
      </c>
      <c r="C301">
        <f>IF($A301=1,SUM($A$2:$A301),0)</f>
        <v/>
      </c>
    </row>
    <row r="302">
      <c r="A302">
        <f>IF(AND(OR(Query!$B$4="All",'Compliance Database'!$A302=Query!$B$4),OR(Query!$B$5="All",'Compliance Database'!$F302=Query!$B$5),OR(Query!$B$6="All",ISNUMBER(SEARCH(Query!$B$6,'Compliance Database'!$I302))),OR(Query!$B$7="All",ISNUMBER(SEARCH(Query!$B$7,'Compliance Database'!$J302))),OR(Query!$B$8="All",'Compliance Database'!$G302=Query!$B$8),OR(Query!$B$9="All",'Compliance Database'!$K302=Query!$B$9),OR(Query!$B$10="",ISNUMBER(SEARCH(Query!$B$10,'Compliance Database'!$D302&amp;" "&amp;'Compliance Database'!$L302&amp;" "&amp;'Compliance Database'!$M302&amp;" "&amp;'Compliance Database'!$N302&amp;" "&amp;'Compliance Database'!$O302)))),1,0)</f>
        <v/>
      </c>
      <c r="B302">
        <f>IF($A302=1,SUM($A$2:$A302),"")</f>
        <v/>
      </c>
      <c r="C302">
        <f>IF($A302=1,SUM($A$2:$A302),0)</f>
        <v/>
      </c>
    </row>
    <row r="303">
      <c r="A303">
        <f>IF(AND(OR(Query!$B$4="All",'Compliance Database'!$A303=Query!$B$4),OR(Query!$B$5="All",'Compliance Database'!$F303=Query!$B$5),OR(Query!$B$6="All",ISNUMBER(SEARCH(Query!$B$6,'Compliance Database'!$I303))),OR(Query!$B$7="All",ISNUMBER(SEARCH(Query!$B$7,'Compliance Database'!$J303))),OR(Query!$B$8="All",'Compliance Database'!$G303=Query!$B$8),OR(Query!$B$9="All",'Compliance Database'!$K303=Query!$B$9),OR(Query!$B$10="",ISNUMBER(SEARCH(Query!$B$10,'Compliance Database'!$D303&amp;" "&amp;'Compliance Database'!$L303&amp;" "&amp;'Compliance Database'!$M303&amp;" "&amp;'Compliance Database'!$N303&amp;" "&amp;'Compliance Database'!$O303)))),1,0)</f>
        <v/>
      </c>
      <c r="B303">
        <f>IF($A303=1,SUM($A$2:$A303),"")</f>
        <v/>
      </c>
      <c r="C303">
        <f>IF($A303=1,SUM($A$2:$A303),0)</f>
        <v/>
      </c>
    </row>
    <row r="304">
      <c r="A304">
        <f>IF(AND(OR(Query!$B$4="All",'Compliance Database'!$A304=Query!$B$4),OR(Query!$B$5="All",'Compliance Database'!$F304=Query!$B$5),OR(Query!$B$6="All",ISNUMBER(SEARCH(Query!$B$6,'Compliance Database'!$I304))),OR(Query!$B$7="All",ISNUMBER(SEARCH(Query!$B$7,'Compliance Database'!$J304))),OR(Query!$B$8="All",'Compliance Database'!$G304=Query!$B$8),OR(Query!$B$9="All",'Compliance Database'!$K304=Query!$B$9),OR(Query!$B$10="",ISNUMBER(SEARCH(Query!$B$10,'Compliance Database'!$D304&amp;" "&amp;'Compliance Database'!$L304&amp;" "&amp;'Compliance Database'!$M304&amp;" "&amp;'Compliance Database'!$N304&amp;" "&amp;'Compliance Database'!$O304)))),1,0)</f>
        <v/>
      </c>
      <c r="B304">
        <f>IF($A304=1,SUM($A$2:$A304),"")</f>
        <v/>
      </c>
      <c r="C304">
        <f>IF($A304=1,SUM($A$2:$A304),0)</f>
        <v/>
      </c>
    </row>
    <row r="305">
      <c r="A305">
        <f>IF(AND(OR(Query!$B$4="All",'Compliance Database'!$A305=Query!$B$4),OR(Query!$B$5="All",'Compliance Database'!$F305=Query!$B$5),OR(Query!$B$6="All",ISNUMBER(SEARCH(Query!$B$6,'Compliance Database'!$I305))),OR(Query!$B$7="All",ISNUMBER(SEARCH(Query!$B$7,'Compliance Database'!$J305))),OR(Query!$B$8="All",'Compliance Database'!$G305=Query!$B$8),OR(Query!$B$9="All",'Compliance Database'!$K305=Query!$B$9),OR(Query!$B$10="",ISNUMBER(SEARCH(Query!$B$10,'Compliance Database'!$D305&amp;" "&amp;'Compliance Database'!$L305&amp;" "&amp;'Compliance Database'!$M305&amp;" "&amp;'Compliance Database'!$N305&amp;" "&amp;'Compliance Database'!$O305)))),1,0)</f>
        <v/>
      </c>
      <c r="B305">
        <f>IF($A305=1,SUM($A$2:$A305),"")</f>
        <v/>
      </c>
      <c r="C305">
        <f>IF($A305=1,SUM($A$2:$A305),0)</f>
        <v/>
      </c>
    </row>
    <row r="306">
      <c r="A306">
        <f>IF(AND(OR(Query!$B$4="All",'Compliance Database'!$A306=Query!$B$4),OR(Query!$B$5="All",'Compliance Database'!$F306=Query!$B$5),OR(Query!$B$6="All",ISNUMBER(SEARCH(Query!$B$6,'Compliance Database'!$I306))),OR(Query!$B$7="All",ISNUMBER(SEARCH(Query!$B$7,'Compliance Database'!$J306))),OR(Query!$B$8="All",'Compliance Database'!$G306=Query!$B$8),OR(Query!$B$9="All",'Compliance Database'!$K306=Query!$B$9),OR(Query!$B$10="",ISNUMBER(SEARCH(Query!$B$10,'Compliance Database'!$D306&amp;" "&amp;'Compliance Database'!$L306&amp;" "&amp;'Compliance Database'!$M306&amp;" "&amp;'Compliance Database'!$N306&amp;" "&amp;'Compliance Database'!$O306)))),1,0)</f>
        <v/>
      </c>
      <c r="B306">
        <f>IF($A306=1,SUM($A$2:$A306),"")</f>
        <v/>
      </c>
      <c r="C306">
        <f>IF($A306=1,SUM($A$2:$A306),0)</f>
        <v/>
      </c>
    </row>
    <row r="307">
      <c r="A307">
        <f>IF(AND(OR(Query!$B$4="All",'Compliance Database'!$A307=Query!$B$4),OR(Query!$B$5="All",'Compliance Database'!$F307=Query!$B$5),OR(Query!$B$6="All",ISNUMBER(SEARCH(Query!$B$6,'Compliance Database'!$I307))),OR(Query!$B$7="All",ISNUMBER(SEARCH(Query!$B$7,'Compliance Database'!$J307))),OR(Query!$B$8="All",'Compliance Database'!$G307=Query!$B$8),OR(Query!$B$9="All",'Compliance Database'!$K307=Query!$B$9),OR(Query!$B$10="",ISNUMBER(SEARCH(Query!$B$10,'Compliance Database'!$D307&amp;" "&amp;'Compliance Database'!$L307&amp;" "&amp;'Compliance Database'!$M307&amp;" "&amp;'Compliance Database'!$N307&amp;" "&amp;'Compliance Database'!$O307)))),1,0)</f>
        <v/>
      </c>
      <c r="B307">
        <f>IF($A307=1,SUM($A$2:$A307),"")</f>
        <v/>
      </c>
      <c r="C307">
        <f>IF($A307=1,SUM($A$2:$A307),0)</f>
        <v/>
      </c>
    </row>
    <row r="308">
      <c r="A308">
        <f>IF(AND(OR(Query!$B$4="All",'Compliance Database'!$A308=Query!$B$4),OR(Query!$B$5="All",'Compliance Database'!$F308=Query!$B$5),OR(Query!$B$6="All",ISNUMBER(SEARCH(Query!$B$6,'Compliance Database'!$I308))),OR(Query!$B$7="All",ISNUMBER(SEARCH(Query!$B$7,'Compliance Database'!$J308))),OR(Query!$B$8="All",'Compliance Database'!$G308=Query!$B$8),OR(Query!$B$9="All",'Compliance Database'!$K308=Query!$B$9),OR(Query!$B$10="",ISNUMBER(SEARCH(Query!$B$10,'Compliance Database'!$D308&amp;" "&amp;'Compliance Database'!$L308&amp;" "&amp;'Compliance Database'!$M308&amp;" "&amp;'Compliance Database'!$N308&amp;" "&amp;'Compliance Database'!$O308)))),1,0)</f>
        <v/>
      </c>
      <c r="B308">
        <f>IF($A308=1,SUM($A$2:$A308),"")</f>
        <v/>
      </c>
      <c r="C308">
        <f>IF($A308=1,SUM($A$2:$A308),0)</f>
        <v/>
      </c>
    </row>
    <row r="309">
      <c r="A309">
        <f>IF(AND(OR(Query!$B$4="All",'Compliance Database'!$A309=Query!$B$4),OR(Query!$B$5="All",'Compliance Database'!$F309=Query!$B$5),OR(Query!$B$6="All",ISNUMBER(SEARCH(Query!$B$6,'Compliance Database'!$I309))),OR(Query!$B$7="All",ISNUMBER(SEARCH(Query!$B$7,'Compliance Database'!$J309))),OR(Query!$B$8="All",'Compliance Database'!$G309=Query!$B$8),OR(Query!$B$9="All",'Compliance Database'!$K309=Query!$B$9),OR(Query!$B$10="",ISNUMBER(SEARCH(Query!$B$10,'Compliance Database'!$D309&amp;" "&amp;'Compliance Database'!$L309&amp;" "&amp;'Compliance Database'!$M309&amp;" "&amp;'Compliance Database'!$N309&amp;" "&amp;'Compliance Database'!$O309)))),1,0)</f>
        <v/>
      </c>
      <c r="B309">
        <f>IF($A309=1,SUM($A$2:$A309),"")</f>
        <v/>
      </c>
      <c r="C309">
        <f>IF($A309=1,SUM($A$2:$A309),0)</f>
        <v/>
      </c>
    </row>
    <row r="310">
      <c r="A310">
        <f>IF(AND(OR(Query!$B$4="All",'Compliance Database'!$A310=Query!$B$4),OR(Query!$B$5="All",'Compliance Database'!$F310=Query!$B$5),OR(Query!$B$6="All",ISNUMBER(SEARCH(Query!$B$6,'Compliance Database'!$I310))),OR(Query!$B$7="All",ISNUMBER(SEARCH(Query!$B$7,'Compliance Database'!$J310))),OR(Query!$B$8="All",'Compliance Database'!$G310=Query!$B$8),OR(Query!$B$9="All",'Compliance Database'!$K310=Query!$B$9),OR(Query!$B$10="",ISNUMBER(SEARCH(Query!$B$10,'Compliance Database'!$D310&amp;" "&amp;'Compliance Database'!$L310&amp;" "&amp;'Compliance Database'!$M310&amp;" "&amp;'Compliance Database'!$N310&amp;" "&amp;'Compliance Database'!$O310)))),1,0)</f>
        <v/>
      </c>
      <c r="B310">
        <f>IF($A310=1,SUM($A$2:$A310),"")</f>
        <v/>
      </c>
      <c r="C310">
        <f>IF($A310=1,SUM($A$2:$A310),0)</f>
        <v/>
      </c>
    </row>
    <row r="311">
      <c r="A311">
        <f>IF(AND(OR(Query!$B$4="All",'Compliance Database'!$A311=Query!$B$4),OR(Query!$B$5="All",'Compliance Database'!$F311=Query!$B$5),OR(Query!$B$6="All",ISNUMBER(SEARCH(Query!$B$6,'Compliance Database'!$I311))),OR(Query!$B$7="All",ISNUMBER(SEARCH(Query!$B$7,'Compliance Database'!$J311))),OR(Query!$B$8="All",'Compliance Database'!$G311=Query!$B$8),OR(Query!$B$9="All",'Compliance Database'!$K311=Query!$B$9),OR(Query!$B$10="",ISNUMBER(SEARCH(Query!$B$10,'Compliance Database'!$D311&amp;" "&amp;'Compliance Database'!$L311&amp;" "&amp;'Compliance Database'!$M311&amp;" "&amp;'Compliance Database'!$N311&amp;" "&amp;'Compliance Database'!$O311)))),1,0)</f>
        <v/>
      </c>
      <c r="B311">
        <f>IF($A311=1,SUM($A$2:$A311),"")</f>
        <v/>
      </c>
      <c r="C311">
        <f>IF($A311=1,SUM($A$2:$A311),0)</f>
        <v/>
      </c>
    </row>
    <row r="312">
      <c r="A312">
        <f>IF(AND(OR(Query!$B$4="All",'Compliance Database'!$A312=Query!$B$4),OR(Query!$B$5="All",'Compliance Database'!$F312=Query!$B$5),OR(Query!$B$6="All",ISNUMBER(SEARCH(Query!$B$6,'Compliance Database'!$I312))),OR(Query!$B$7="All",ISNUMBER(SEARCH(Query!$B$7,'Compliance Database'!$J312))),OR(Query!$B$8="All",'Compliance Database'!$G312=Query!$B$8),OR(Query!$B$9="All",'Compliance Database'!$K312=Query!$B$9),OR(Query!$B$10="",ISNUMBER(SEARCH(Query!$B$10,'Compliance Database'!$D312&amp;" "&amp;'Compliance Database'!$L312&amp;" "&amp;'Compliance Database'!$M312&amp;" "&amp;'Compliance Database'!$N312&amp;" "&amp;'Compliance Database'!$O312)))),1,0)</f>
        <v/>
      </c>
      <c r="B312">
        <f>IF($A312=1,SUM($A$2:$A312),"")</f>
        <v/>
      </c>
      <c r="C312">
        <f>IF($A312=1,SUM($A$2:$A312),0)</f>
        <v/>
      </c>
    </row>
    <row r="313">
      <c r="A313">
        <f>IF(AND(OR(Query!$B$4="All",'Compliance Database'!$A313=Query!$B$4),OR(Query!$B$5="All",'Compliance Database'!$F313=Query!$B$5),OR(Query!$B$6="All",ISNUMBER(SEARCH(Query!$B$6,'Compliance Database'!$I313))),OR(Query!$B$7="All",ISNUMBER(SEARCH(Query!$B$7,'Compliance Database'!$J313))),OR(Query!$B$8="All",'Compliance Database'!$G313=Query!$B$8),OR(Query!$B$9="All",'Compliance Database'!$K313=Query!$B$9),OR(Query!$B$10="",ISNUMBER(SEARCH(Query!$B$10,'Compliance Database'!$D313&amp;" "&amp;'Compliance Database'!$L313&amp;" "&amp;'Compliance Database'!$M313&amp;" "&amp;'Compliance Database'!$N313&amp;" "&amp;'Compliance Database'!$O313)))),1,0)</f>
        <v/>
      </c>
      <c r="B313">
        <f>IF($A313=1,SUM($A$2:$A313),"")</f>
        <v/>
      </c>
      <c r="C313">
        <f>IF($A313=1,SUM($A$2:$A313),0)</f>
        <v/>
      </c>
    </row>
    <row r="314">
      <c r="A314">
        <f>IF(AND(OR(Query!$B$4="All",'Compliance Database'!$A314=Query!$B$4),OR(Query!$B$5="All",'Compliance Database'!$F314=Query!$B$5),OR(Query!$B$6="All",ISNUMBER(SEARCH(Query!$B$6,'Compliance Database'!$I314))),OR(Query!$B$7="All",ISNUMBER(SEARCH(Query!$B$7,'Compliance Database'!$J314))),OR(Query!$B$8="All",'Compliance Database'!$G314=Query!$B$8),OR(Query!$B$9="All",'Compliance Database'!$K314=Query!$B$9),OR(Query!$B$10="",ISNUMBER(SEARCH(Query!$B$10,'Compliance Database'!$D314&amp;" "&amp;'Compliance Database'!$L314&amp;" "&amp;'Compliance Database'!$M314&amp;" "&amp;'Compliance Database'!$N314&amp;" "&amp;'Compliance Database'!$O314)))),1,0)</f>
        <v/>
      </c>
      <c r="B314">
        <f>IF($A314=1,SUM($A$2:$A314),"")</f>
        <v/>
      </c>
      <c r="C314">
        <f>IF($A314=1,SUM($A$2:$A314),0)</f>
        <v/>
      </c>
    </row>
    <row r="315">
      <c r="A315">
        <f>IF(AND(OR(Query!$B$4="All",'Compliance Database'!$A315=Query!$B$4),OR(Query!$B$5="All",'Compliance Database'!$F315=Query!$B$5),OR(Query!$B$6="All",ISNUMBER(SEARCH(Query!$B$6,'Compliance Database'!$I315))),OR(Query!$B$7="All",ISNUMBER(SEARCH(Query!$B$7,'Compliance Database'!$J315))),OR(Query!$B$8="All",'Compliance Database'!$G315=Query!$B$8),OR(Query!$B$9="All",'Compliance Database'!$K315=Query!$B$9),OR(Query!$B$10="",ISNUMBER(SEARCH(Query!$B$10,'Compliance Database'!$D315&amp;" "&amp;'Compliance Database'!$L315&amp;" "&amp;'Compliance Database'!$M315&amp;" "&amp;'Compliance Database'!$N315&amp;" "&amp;'Compliance Database'!$O315)))),1,0)</f>
        <v/>
      </c>
      <c r="B315">
        <f>IF($A315=1,SUM($A$2:$A315),"")</f>
        <v/>
      </c>
      <c r="C315">
        <f>IF($A315=1,SUM($A$2:$A315),0)</f>
        <v/>
      </c>
    </row>
    <row r="316">
      <c r="A316">
        <f>IF(AND(OR(Query!$B$4="All",'Compliance Database'!$A316=Query!$B$4),OR(Query!$B$5="All",'Compliance Database'!$F316=Query!$B$5),OR(Query!$B$6="All",ISNUMBER(SEARCH(Query!$B$6,'Compliance Database'!$I316))),OR(Query!$B$7="All",ISNUMBER(SEARCH(Query!$B$7,'Compliance Database'!$J316))),OR(Query!$B$8="All",'Compliance Database'!$G316=Query!$B$8),OR(Query!$B$9="All",'Compliance Database'!$K316=Query!$B$9),OR(Query!$B$10="",ISNUMBER(SEARCH(Query!$B$10,'Compliance Database'!$D316&amp;" "&amp;'Compliance Database'!$L316&amp;" "&amp;'Compliance Database'!$M316&amp;" "&amp;'Compliance Database'!$N316&amp;" "&amp;'Compliance Database'!$O316)))),1,0)</f>
        <v/>
      </c>
      <c r="B316">
        <f>IF($A316=1,SUM($A$2:$A316),"")</f>
        <v/>
      </c>
      <c r="C316">
        <f>IF($A316=1,SUM($A$2:$A316),0)</f>
        <v/>
      </c>
    </row>
    <row r="317">
      <c r="A317">
        <f>IF(AND(OR(Query!$B$4="All",'Compliance Database'!$A317=Query!$B$4),OR(Query!$B$5="All",'Compliance Database'!$F317=Query!$B$5),OR(Query!$B$6="All",ISNUMBER(SEARCH(Query!$B$6,'Compliance Database'!$I317))),OR(Query!$B$7="All",ISNUMBER(SEARCH(Query!$B$7,'Compliance Database'!$J317))),OR(Query!$B$8="All",'Compliance Database'!$G317=Query!$B$8),OR(Query!$B$9="All",'Compliance Database'!$K317=Query!$B$9),OR(Query!$B$10="",ISNUMBER(SEARCH(Query!$B$10,'Compliance Database'!$D317&amp;" "&amp;'Compliance Database'!$L317&amp;" "&amp;'Compliance Database'!$M317&amp;" "&amp;'Compliance Database'!$N317&amp;" "&amp;'Compliance Database'!$O317)))),1,0)</f>
        <v/>
      </c>
      <c r="B317">
        <f>IF($A317=1,SUM($A$2:$A317),"")</f>
        <v/>
      </c>
      <c r="C317">
        <f>IF($A317=1,SUM($A$2:$A317),0)</f>
        <v/>
      </c>
    </row>
    <row r="318">
      <c r="A318">
        <f>IF(AND(OR(Query!$B$4="All",'Compliance Database'!$A318=Query!$B$4),OR(Query!$B$5="All",'Compliance Database'!$F318=Query!$B$5),OR(Query!$B$6="All",ISNUMBER(SEARCH(Query!$B$6,'Compliance Database'!$I318))),OR(Query!$B$7="All",ISNUMBER(SEARCH(Query!$B$7,'Compliance Database'!$J318))),OR(Query!$B$8="All",'Compliance Database'!$G318=Query!$B$8),OR(Query!$B$9="All",'Compliance Database'!$K318=Query!$B$9),OR(Query!$B$10="",ISNUMBER(SEARCH(Query!$B$10,'Compliance Database'!$D318&amp;" "&amp;'Compliance Database'!$L318&amp;" "&amp;'Compliance Database'!$M318&amp;" "&amp;'Compliance Database'!$N318&amp;" "&amp;'Compliance Database'!$O318)))),1,0)</f>
        <v/>
      </c>
      <c r="B318">
        <f>IF($A318=1,SUM($A$2:$A318),"")</f>
        <v/>
      </c>
      <c r="C318">
        <f>IF($A318=1,SUM($A$2:$A318),0)</f>
        <v/>
      </c>
    </row>
    <row r="319">
      <c r="A319">
        <f>IF(AND(OR(Query!$B$4="All",'Compliance Database'!$A319=Query!$B$4),OR(Query!$B$5="All",'Compliance Database'!$F319=Query!$B$5),OR(Query!$B$6="All",ISNUMBER(SEARCH(Query!$B$6,'Compliance Database'!$I319))),OR(Query!$B$7="All",ISNUMBER(SEARCH(Query!$B$7,'Compliance Database'!$J319))),OR(Query!$B$8="All",'Compliance Database'!$G319=Query!$B$8),OR(Query!$B$9="All",'Compliance Database'!$K319=Query!$B$9),OR(Query!$B$10="",ISNUMBER(SEARCH(Query!$B$10,'Compliance Database'!$D319&amp;" "&amp;'Compliance Database'!$L319&amp;" "&amp;'Compliance Database'!$M319&amp;" "&amp;'Compliance Database'!$N319&amp;" "&amp;'Compliance Database'!$O319)))),1,0)</f>
        <v/>
      </c>
      <c r="B319">
        <f>IF($A319=1,SUM($A$2:$A319),"")</f>
        <v/>
      </c>
      <c r="C319">
        <f>IF($A319=1,SUM($A$2:$A319),0)</f>
        <v/>
      </c>
    </row>
    <row r="320">
      <c r="A320">
        <f>IF(AND(OR(Query!$B$4="All",'Compliance Database'!$A320=Query!$B$4),OR(Query!$B$5="All",'Compliance Database'!$F320=Query!$B$5),OR(Query!$B$6="All",ISNUMBER(SEARCH(Query!$B$6,'Compliance Database'!$I320))),OR(Query!$B$7="All",ISNUMBER(SEARCH(Query!$B$7,'Compliance Database'!$J320))),OR(Query!$B$8="All",'Compliance Database'!$G320=Query!$B$8),OR(Query!$B$9="All",'Compliance Database'!$K320=Query!$B$9),OR(Query!$B$10="",ISNUMBER(SEARCH(Query!$B$10,'Compliance Database'!$D320&amp;" "&amp;'Compliance Database'!$L320&amp;" "&amp;'Compliance Database'!$M320&amp;" "&amp;'Compliance Database'!$N320&amp;" "&amp;'Compliance Database'!$O320)))),1,0)</f>
        <v/>
      </c>
      <c r="B320">
        <f>IF($A320=1,SUM($A$2:$A320),"")</f>
        <v/>
      </c>
      <c r="C320">
        <f>IF($A320=1,SUM($A$2:$A320),0)</f>
        <v/>
      </c>
    </row>
    <row r="321">
      <c r="A321">
        <f>IF(AND(OR(Query!$B$4="All",'Compliance Database'!$A321=Query!$B$4),OR(Query!$B$5="All",'Compliance Database'!$F321=Query!$B$5),OR(Query!$B$6="All",ISNUMBER(SEARCH(Query!$B$6,'Compliance Database'!$I321))),OR(Query!$B$7="All",ISNUMBER(SEARCH(Query!$B$7,'Compliance Database'!$J321))),OR(Query!$B$8="All",'Compliance Database'!$G321=Query!$B$8),OR(Query!$B$9="All",'Compliance Database'!$K321=Query!$B$9),OR(Query!$B$10="",ISNUMBER(SEARCH(Query!$B$10,'Compliance Database'!$D321&amp;" "&amp;'Compliance Database'!$L321&amp;" "&amp;'Compliance Database'!$M321&amp;" "&amp;'Compliance Database'!$N321&amp;" "&amp;'Compliance Database'!$O321)))),1,0)</f>
        <v/>
      </c>
      <c r="B321">
        <f>IF($A321=1,SUM($A$2:$A321),"")</f>
        <v/>
      </c>
      <c r="C321">
        <f>IF($A321=1,SUM($A$2:$A321),0)</f>
        <v/>
      </c>
    </row>
    <row r="322">
      <c r="A322">
        <f>IF(AND(OR(Query!$B$4="All",'Compliance Database'!$A322=Query!$B$4),OR(Query!$B$5="All",'Compliance Database'!$F322=Query!$B$5),OR(Query!$B$6="All",ISNUMBER(SEARCH(Query!$B$6,'Compliance Database'!$I322))),OR(Query!$B$7="All",ISNUMBER(SEARCH(Query!$B$7,'Compliance Database'!$J322))),OR(Query!$B$8="All",'Compliance Database'!$G322=Query!$B$8),OR(Query!$B$9="All",'Compliance Database'!$K322=Query!$B$9),OR(Query!$B$10="",ISNUMBER(SEARCH(Query!$B$10,'Compliance Database'!$D322&amp;" "&amp;'Compliance Database'!$L322&amp;" "&amp;'Compliance Database'!$M322&amp;" "&amp;'Compliance Database'!$N322&amp;" "&amp;'Compliance Database'!$O322)))),1,0)</f>
        <v/>
      </c>
      <c r="B322">
        <f>IF($A322=1,SUM($A$2:$A322),"")</f>
        <v/>
      </c>
      <c r="C322">
        <f>IF($A322=1,SUM($A$2:$A322),0)</f>
        <v/>
      </c>
    </row>
    <row r="323">
      <c r="A323">
        <f>IF(AND(OR(Query!$B$4="All",'Compliance Database'!$A323=Query!$B$4),OR(Query!$B$5="All",'Compliance Database'!$F323=Query!$B$5),OR(Query!$B$6="All",ISNUMBER(SEARCH(Query!$B$6,'Compliance Database'!$I323))),OR(Query!$B$7="All",ISNUMBER(SEARCH(Query!$B$7,'Compliance Database'!$J323))),OR(Query!$B$8="All",'Compliance Database'!$G323=Query!$B$8),OR(Query!$B$9="All",'Compliance Database'!$K323=Query!$B$9),OR(Query!$B$10="",ISNUMBER(SEARCH(Query!$B$10,'Compliance Database'!$D323&amp;" "&amp;'Compliance Database'!$L323&amp;" "&amp;'Compliance Database'!$M323&amp;" "&amp;'Compliance Database'!$N323&amp;" "&amp;'Compliance Database'!$O323)))),1,0)</f>
        <v/>
      </c>
      <c r="B323">
        <f>IF($A323=1,SUM($A$2:$A323),"")</f>
        <v/>
      </c>
      <c r="C323">
        <f>IF($A323=1,SUM($A$2:$A323),0)</f>
        <v/>
      </c>
    </row>
    <row r="324">
      <c r="A324">
        <f>IF(AND(OR(Query!$B$4="All",'Compliance Database'!$A324=Query!$B$4),OR(Query!$B$5="All",'Compliance Database'!$F324=Query!$B$5),OR(Query!$B$6="All",ISNUMBER(SEARCH(Query!$B$6,'Compliance Database'!$I324))),OR(Query!$B$7="All",ISNUMBER(SEARCH(Query!$B$7,'Compliance Database'!$J324))),OR(Query!$B$8="All",'Compliance Database'!$G324=Query!$B$8),OR(Query!$B$9="All",'Compliance Database'!$K324=Query!$B$9),OR(Query!$B$10="",ISNUMBER(SEARCH(Query!$B$10,'Compliance Database'!$D324&amp;" "&amp;'Compliance Database'!$L324&amp;" "&amp;'Compliance Database'!$M324&amp;" "&amp;'Compliance Database'!$N324&amp;" "&amp;'Compliance Database'!$O324)))),1,0)</f>
        <v/>
      </c>
      <c r="B324">
        <f>IF($A324=1,SUM($A$2:$A324),"")</f>
        <v/>
      </c>
      <c r="C324">
        <f>IF($A324=1,SUM($A$2:$A324),0)</f>
        <v/>
      </c>
    </row>
    <row r="325">
      <c r="A325">
        <f>IF(AND(OR(Query!$B$4="All",'Compliance Database'!$A325=Query!$B$4),OR(Query!$B$5="All",'Compliance Database'!$F325=Query!$B$5),OR(Query!$B$6="All",ISNUMBER(SEARCH(Query!$B$6,'Compliance Database'!$I325))),OR(Query!$B$7="All",ISNUMBER(SEARCH(Query!$B$7,'Compliance Database'!$J325))),OR(Query!$B$8="All",'Compliance Database'!$G325=Query!$B$8),OR(Query!$B$9="All",'Compliance Database'!$K325=Query!$B$9),OR(Query!$B$10="",ISNUMBER(SEARCH(Query!$B$10,'Compliance Database'!$D325&amp;" "&amp;'Compliance Database'!$L325&amp;" "&amp;'Compliance Database'!$M325&amp;" "&amp;'Compliance Database'!$N325&amp;" "&amp;'Compliance Database'!$O325)))),1,0)</f>
        <v/>
      </c>
      <c r="B325">
        <f>IF($A325=1,SUM($A$2:$A325),"")</f>
        <v/>
      </c>
      <c r="C325">
        <f>IF($A325=1,SUM($A$2:$A325),0)</f>
        <v/>
      </c>
    </row>
    <row r="326">
      <c r="A326">
        <f>IF(AND(OR(Query!$B$4="All",'Compliance Database'!$A326=Query!$B$4),OR(Query!$B$5="All",'Compliance Database'!$F326=Query!$B$5),OR(Query!$B$6="All",ISNUMBER(SEARCH(Query!$B$6,'Compliance Database'!$I326))),OR(Query!$B$7="All",ISNUMBER(SEARCH(Query!$B$7,'Compliance Database'!$J326))),OR(Query!$B$8="All",'Compliance Database'!$G326=Query!$B$8),OR(Query!$B$9="All",'Compliance Database'!$K326=Query!$B$9),OR(Query!$B$10="",ISNUMBER(SEARCH(Query!$B$10,'Compliance Database'!$D326&amp;" "&amp;'Compliance Database'!$L326&amp;" "&amp;'Compliance Database'!$M326&amp;" "&amp;'Compliance Database'!$N326&amp;" "&amp;'Compliance Database'!$O326)))),1,0)</f>
        <v/>
      </c>
      <c r="B326">
        <f>IF($A326=1,SUM($A$2:$A326),"")</f>
        <v/>
      </c>
      <c r="C326">
        <f>IF($A326=1,SUM($A$2:$A326),0)</f>
        <v/>
      </c>
    </row>
    <row r="327">
      <c r="A327">
        <f>IF(AND(OR(Query!$B$4="All",'Compliance Database'!$A327=Query!$B$4),OR(Query!$B$5="All",'Compliance Database'!$F327=Query!$B$5),OR(Query!$B$6="All",ISNUMBER(SEARCH(Query!$B$6,'Compliance Database'!$I327))),OR(Query!$B$7="All",ISNUMBER(SEARCH(Query!$B$7,'Compliance Database'!$J327))),OR(Query!$B$8="All",'Compliance Database'!$G327=Query!$B$8),OR(Query!$B$9="All",'Compliance Database'!$K327=Query!$B$9),OR(Query!$B$10="",ISNUMBER(SEARCH(Query!$B$10,'Compliance Database'!$D327&amp;" "&amp;'Compliance Database'!$L327&amp;" "&amp;'Compliance Database'!$M327&amp;" "&amp;'Compliance Database'!$N327&amp;" "&amp;'Compliance Database'!$O327)))),1,0)</f>
        <v/>
      </c>
      <c r="B327">
        <f>IF($A327=1,SUM($A$2:$A327),"")</f>
        <v/>
      </c>
      <c r="C327">
        <f>IF($A327=1,SUM($A$2:$A327),0)</f>
        <v/>
      </c>
    </row>
    <row r="328">
      <c r="A328">
        <f>IF(AND(OR(Query!$B$4="All",'Compliance Database'!$A328=Query!$B$4),OR(Query!$B$5="All",'Compliance Database'!$F328=Query!$B$5),OR(Query!$B$6="All",ISNUMBER(SEARCH(Query!$B$6,'Compliance Database'!$I328))),OR(Query!$B$7="All",ISNUMBER(SEARCH(Query!$B$7,'Compliance Database'!$J328))),OR(Query!$B$8="All",'Compliance Database'!$G328=Query!$B$8),OR(Query!$B$9="All",'Compliance Database'!$K328=Query!$B$9),OR(Query!$B$10="",ISNUMBER(SEARCH(Query!$B$10,'Compliance Database'!$D328&amp;" "&amp;'Compliance Database'!$L328&amp;" "&amp;'Compliance Database'!$M328&amp;" "&amp;'Compliance Database'!$N328&amp;" "&amp;'Compliance Database'!$O328)))),1,0)</f>
        <v/>
      </c>
      <c r="B328">
        <f>IF($A328=1,SUM($A$2:$A328),"")</f>
        <v/>
      </c>
      <c r="C328">
        <f>IF($A328=1,SUM($A$2:$A328),0)</f>
        <v/>
      </c>
    </row>
    <row r="329">
      <c r="A329">
        <f>IF(AND(OR(Query!$B$4="All",'Compliance Database'!$A329=Query!$B$4),OR(Query!$B$5="All",'Compliance Database'!$F329=Query!$B$5),OR(Query!$B$6="All",ISNUMBER(SEARCH(Query!$B$6,'Compliance Database'!$I329))),OR(Query!$B$7="All",ISNUMBER(SEARCH(Query!$B$7,'Compliance Database'!$J329))),OR(Query!$B$8="All",'Compliance Database'!$G329=Query!$B$8),OR(Query!$B$9="All",'Compliance Database'!$K329=Query!$B$9),OR(Query!$B$10="",ISNUMBER(SEARCH(Query!$B$10,'Compliance Database'!$D329&amp;" "&amp;'Compliance Database'!$L329&amp;" "&amp;'Compliance Database'!$M329&amp;" "&amp;'Compliance Database'!$N329&amp;" "&amp;'Compliance Database'!$O329)))),1,0)</f>
        <v/>
      </c>
      <c r="B329">
        <f>IF($A329=1,SUM($A$2:$A329),"")</f>
        <v/>
      </c>
      <c r="C329">
        <f>IF($A329=1,SUM($A$2:$A329),0)</f>
        <v/>
      </c>
    </row>
    <row r="330">
      <c r="A330">
        <f>IF(AND(OR(Query!$B$4="All",'Compliance Database'!$A330=Query!$B$4),OR(Query!$B$5="All",'Compliance Database'!$F330=Query!$B$5),OR(Query!$B$6="All",ISNUMBER(SEARCH(Query!$B$6,'Compliance Database'!$I330))),OR(Query!$B$7="All",ISNUMBER(SEARCH(Query!$B$7,'Compliance Database'!$J330))),OR(Query!$B$8="All",'Compliance Database'!$G330=Query!$B$8),OR(Query!$B$9="All",'Compliance Database'!$K330=Query!$B$9),OR(Query!$B$10="",ISNUMBER(SEARCH(Query!$B$10,'Compliance Database'!$D330&amp;" "&amp;'Compliance Database'!$L330&amp;" "&amp;'Compliance Database'!$M330&amp;" "&amp;'Compliance Database'!$N330&amp;" "&amp;'Compliance Database'!$O330)))),1,0)</f>
        <v/>
      </c>
      <c r="B330">
        <f>IF($A330=1,SUM($A$2:$A330),"")</f>
        <v/>
      </c>
      <c r="C330">
        <f>IF($A330=1,SUM($A$2:$A330),0)</f>
        <v/>
      </c>
    </row>
    <row r="331">
      <c r="A331">
        <f>IF(AND(OR(Query!$B$4="All",'Compliance Database'!$A331=Query!$B$4),OR(Query!$B$5="All",'Compliance Database'!$F331=Query!$B$5),OR(Query!$B$6="All",ISNUMBER(SEARCH(Query!$B$6,'Compliance Database'!$I331))),OR(Query!$B$7="All",ISNUMBER(SEARCH(Query!$B$7,'Compliance Database'!$J331))),OR(Query!$B$8="All",'Compliance Database'!$G331=Query!$B$8),OR(Query!$B$9="All",'Compliance Database'!$K331=Query!$B$9),OR(Query!$B$10="",ISNUMBER(SEARCH(Query!$B$10,'Compliance Database'!$D331&amp;" "&amp;'Compliance Database'!$L331&amp;" "&amp;'Compliance Database'!$M331&amp;" "&amp;'Compliance Database'!$N331&amp;" "&amp;'Compliance Database'!$O331)))),1,0)</f>
        <v/>
      </c>
      <c r="B331">
        <f>IF($A331=1,SUM($A$2:$A331),"")</f>
        <v/>
      </c>
      <c r="C331">
        <f>IF($A331=1,SUM($A$2:$A331),0)</f>
        <v/>
      </c>
    </row>
    <row r="332">
      <c r="A332">
        <f>IF(AND(OR(Query!$B$4="All",'Compliance Database'!$A332=Query!$B$4),OR(Query!$B$5="All",'Compliance Database'!$F332=Query!$B$5),OR(Query!$B$6="All",ISNUMBER(SEARCH(Query!$B$6,'Compliance Database'!$I332))),OR(Query!$B$7="All",ISNUMBER(SEARCH(Query!$B$7,'Compliance Database'!$J332))),OR(Query!$B$8="All",'Compliance Database'!$G332=Query!$B$8),OR(Query!$B$9="All",'Compliance Database'!$K332=Query!$B$9),OR(Query!$B$10="",ISNUMBER(SEARCH(Query!$B$10,'Compliance Database'!$D332&amp;" "&amp;'Compliance Database'!$L332&amp;" "&amp;'Compliance Database'!$M332&amp;" "&amp;'Compliance Database'!$N332&amp;" "&amp;'Compliance Database'!$O332)))),1,0)</f>
        <v/>
      </c>
      <c r="B332">
        <f>IF($A332=1,SUM($A$2:$A332),"")</f>
        <v/>
      </c>
      <c r="C332">
        <f>IF($A332=1,SUM($A$2:$A332),0)</f>
        <v/>
      </c>
    </row>
    <row r="333">
      <c r="A333">
        <f>IF(AND(OR(Query!$B$4="All",'Compliance Database'!$A333=Query!$B$4),OR(Query!$B$5="All",'Compliance Database'!$F333=Query!$B$5),OR(Query!$B$6="All",ISNUMBER(SEARCH(Query!$B$6,'Compliance Database'!$I333))),OR(Query!$B$7="All",ISNUMBER(SEARCH(Query!$B$7,'Compliance Database'!$J333))),OR(Query!$B$8="All",'Compliance Database'!$G333=Query!$B$8),OR(Query!$B$9="All",'Compliance Database'!$K333=Query!$B$9),OR(Query!$B$10="",ISNUMBER(SEARCH(Query!$B$10,'Compliance Database'!$D333&amp;" "&amp;'Compliance Database'!$L333&amp;" "&amp;'Compliance Database'!$M333&amp;" "&amp;'Compliance Database'!$N333&amp;" "&amp;'Compliance Database'!$O333)))),1,0)</f>
        <v/>
      </c>
      <c r="B333">
        <f>IF($A333=1,SUM($A$2:$A333),"")</f>
        <v/>
      </c>
      <c r="C333">
        <f>IF($A333=1,SUM($A$2:$A333),0)</f>
        <v/>
      </c>
    </row>
    <row r="334">
      <c r="A334">
        <f>IF(AND(OR(Query!$B$4="All",'Compliance Database'!$A334=Query!$B$4),OR(Query!$B$5="All",'Compliance Database'!$F334=Query!$B$5),OR(Query!$B$6="All",ISNUMBER(SEARCH(Query!$B$6,'Compliance Database'!$I334))),OR(Query!$B$7="All",ISNUMBER(SEARCH(Query!$B$7,'Compliance Database'!$J334))),OR(Query!$B$8="All",'Compliance Database'!$G334=Query!$B$8),OR(Query!$B$9="All",'Compliance Database'!$K334=Query!$B$9),OR(Query!$B$10="",ISNUMBER(SEARCH(Query!$B$10,'Compliance Database'!$D334&amp;" "&amp;'Compliance Database'!$L334&amp;" "&amp;'Compliance Database'!$M334&amp;" "&amp;'Compliance Database'!$N334&amp;" "&amp;'Compliance Database'!$O334)))),1,0)</f>
        <v/>
      </c>
      <c r="B334">
        <f>IF($A334=1,SUM($A$2:$A334),"")</f>
        <v/>
      </c>
      <c r="C334">
        <f>IF($A334=1,SUM($A$2:$A334),0)</f>
        <v/>
      </c>
    </row>
    <row r="335">
      <c r="A335">
        <f>IF(AND(OR(Query!$B$4="All",'Compliance Database'!$A335=Query!$B$4),OR(Query!$B$5="All",'Compliance Database'!$F335=Query!$B$5),OR(Query!$B$6="All",ISNUMBER(SEARCH(Query!$B$6,'Compliance Database'!$I335))),OR(Query!$B$7="All",ISNUMBER(SEARCH(Query!$B$7,'Compliance Database'!$J335))),OR(Query!$B$8="All",'Compliance Database'!$G335=Query!$B$8),OR(Query!$B$9="All",'Compliance Database'!$K335=Query!$B$9),OR(Query!$B$10="",ISNUMBER(SEARCH(Query!$B$10,'Compliance Database'!$D335&amp;" "&amp;'Compliance Database'!$L335&amp;" "&amp;'Compliance Database'!$M335&amp;" "&amp;'Compliance Database'!$N335&amp;" "&amp;'Compliance Database'!$O335)))),1,0)</f>
        <v/>
      </c>
      <c r="B335">
        <f>IF($A335=1,SUM($A$2:$A335),"")</f>
        <v/>
      </c>
      <c r="C335">
        <f>IF($A335=1,SUM($A$2:$A335),0)</f>
        <v/>
      </c>
    </row>
    <row r="336">
      <c r="A336">
        <f>IF(AND(OR(Query!$B$4="All",'Compliance Database'!$A336=Query!$B$4),OR(Query!$B$5="All",'Compliance Database'!$F336=Query!$B$5),OR(Query!$B$6="All",ISNUMBER(SEARCH(Query!$B$6,'Compliance Database'!$I336))),OR(Query!$B$7="All",ISNUMBER(SEARCH(Query!$B$7,'Compliance Database'!$J336))),OR(Query!$B$8="All",'Compliance Database'!$G336=Query!$B$8),OR(Query!$B$9="All",'Compliance Database'!$K336=Query!$B$9),OR(Query!$B$10="",ISNUMBER(SEARCH(Query!$B$10,'Compliance Database'!$D336&amp;" "&amp;'Compliance Database'!$L336&amp;" "&amp;'Compliance Database'!$M336&amp;" "&amp;'Compliance Database'!$N336&amp;" "&amp;'Compliance Database'!$O336)))),1,0)</f>
        <v/>
      </c>
      <c r="B336">
        <f>IF($A336=1,SUM($A$2:$A336),"")</f>
        <v/>
      </c>
      <c r="C336">
        <f>IF($A336=1,SUM($A$2:$A336),0)</f>
        <v/>
      </c>
    </row>
    <row r="337">
      <c r="A337">
        <f>IF(AND(OR(Query!$B$4="All",'Compliance Database'!$A337=Query!$B$4),OR(Query!$B$5="All",'Compliance Database'!$F337=Query!$B$5),OR(Query!$B$6="All",ISNUMBER(SEARCH(Query!$B$6,'Compliance Database'!$I337))),OR(Query!$B$7="All",ISNUMBER(SEARCH(Query!$B$7,'Compliance Database'!$J337))),OR(Query!$B$8="All",'Compliance Database'!$G337=Query!$B$8),OR(Query!$B$9="All",'Compliance Database'!$K337=Query!$B$9),OR(Query!$B$10="",ISNUMBER(SEARCH(Query!$B$10,'Compliance Database'!$D337&amp;" "&amp;'Compliance Database'!$L337&amp;" "&amp;'Compliance Database'!$M337&amp;" "&amp;'Compliance Database'!$N337&amp;" "&amp;'Compliance Database'!$O337)))),1,0)</f>
        <v/>
      </c>
      <c r="B337">
        <f>IF($A337=1,SUM($A$2:$A337),"")</f>
        <v/>
      </c>
      <c r="C337">
        <f>IF($A337=1,SUM($A$2:$A337),0)</f>
        <v/>
      </c>
    </row>
    <row r="338">
      <c r="A338">
        <f>IF(AND(OR(Query!$B$4="All",'Compliance Database'!$A338=Query!$B$4),OR(Query!$B$5="All",'Compliance Database'!$F338=Query!$B$5),OR(Query!$B$6="All",ISNUMBER(SEARCH(Query!$B$6,'Compliance Database'!$I338))),OR(Query!$B$7="All",ISNUMBER(SEARCH(Query!$B$7,'Compliance Database'!$J338))),OR(Query!$B$8="All",'Compliance Database'!$G338=Query!$B$8),OR(Query!$B$9="All",'Compliance Database'!$K338=Query!$B$9),OR(Query!$B$10="",ISNUMBER(SEARCH(Query!$B$10,'Compliance Database'!$D338&amp;" "&amp;'Compliance Database'!$L338&amp;" "&amp;'Compliance Database'!$M338&amp;" "&amp;'Compliance Database'!$N338&amp;" "&amp;'Compliance Database'!$O338)))),1,0)</f>
        <v/>
      </c>
      <c r="B338">
        <f>IF($A338=1,SUM($A$2:$A338),"")</f>
        <v/>
      </c>
      <c r="C338">
        <f>IF($A338=1,SUM($A$2:$A338),0)</f>
        <v/>
      </c>
    </row>
    <row r="339">
      <c r="A339">
        <f>IF(AND(OR(Query!$B$4="All",'Compliance Database'!$A339=Query!$B$4),OR(Query!$B$5="All",'Compliance Database'!$F339=Query!$B$5),OR(Query!$B$6="All",ISNUMBER(SEARCH(Query!$B$6,'Compliance Database'!$I339))),OR(Query!$B$7="All",ISNUMBER(SEARCH(Query!$B$7,'Compliance Database'!$J339))),OR(Query!$B$8="All",'Compliance Database'!$G339=Query!$B$8),OR(Query!$B$9="All",'Compliance Database'!$K339=Query!$B$9),OR(Query!$B$10="",ISNUMBER(SEARCH(Query!$B$10,'Compliance Database'!$D339&amp;" "&amp;'Compliance Database'!$L339&amp;" "&amp;'Compliance Database'!$M339&amp;" "&amp;'Compliance Database'!$N339&amp;" "&amp;'Compliance Database'!$O339)))),1,0)</f>
        <v/>
      </c>
      <c r="B339">
        <f>IF($A339=1,SUM($A$2:$A339),"")</f>
        <v/>
      </c>
      <c r="C339">
        <f>IF($A339=1,SUM($A$2:$A339),0)</f>
        <v/>
      </c>
    </row>
    <row r="340">
      <c r="A340">
        <f>IF(AND(OR(Query!$B$4="All",'Compliance Database'!$A340=Query!$B$4),OR(Query!$B$5="All",'Compliance Database'!$F340=Query!$B$5),OR(Query!$B$6="All",ISNUMBER(SEARCH(Query!$B$6,'Compliance Database'!$I340))),OR(Query!$B$7="All",ISNUMBER(SEARCH(Query!$B$7,'Compliance Database'!$J340))),OR(Query!$B$8="All",'Compliance Database'!$G340=Query!$B$8),OR(Query!$B$9="All",'Compliance Database'!$K340=Query!$B$9),OR(Query!$B$10="",ISNUMBER(SEARCH(Query!$B$10,'Compliance Database'!$D340&amp;" "&amp;'Compliance Database'!$L340&amp;" "&amp;'Compliance Database'!$M340&amp;" "&amp;'Compliance Database'!$N340&amp;" "&amp;'Compliance Database'!$O340)))),1,0)</f>
        <v/>
      </c>
      <c r="B340">
        <f>IF($A340=1,SUM($A$2:$A340),"")</f>
        <v/>
      </c>
      <c r="C340">
        <f>IF($A340=1,SUM($A$2:$A340),0)</f>
        <v/>
      </c>
    </row>
    <row r="341">
      <c r="A341">
        <f>IF(AND(OR(Query!$B$4="All",'Compliance Database'!$A341=Query!$B$4),OR(Query!$B$5="All",'Compliance Database'!$F341=Query!$B$5),OR(Query!$B$6="All",ISNUMBER(SEARCH(Query!$B$6,'Compliance Database'!$I341))),OR(Query!$B$7="All",ISNUMBER(SEARCH(Query!$B$7,'Compliance Database'!$J341))),OR(Query!$B$8="All",'Compliance Database'!$G341=Query!$B$8),OR(Query!$B$9="All",'Compliance Database'!$K341=Query!$B$9),OR(Query!$B$10="",ISNUMBER(SEARCH(Query!$B$10,'Compliance Database'!$D341&amp;" "&amp;'Compliance Database'!$L341&amp;" "&amp;'Compliance Database'!$M341&amp;" "&amp;'Compliance Database'!$N341&amp;" "&amp;'Compliance Database'!$O341)))),1,0)</f>
        <v/>
      </c>
      <c r="B341">
        <f>IF($A341=1,SUM($A$2:$A341),"")</f>
        <v/>
      </c>
      <c r="C341">
        <f>IF($A341=1,SUM($A$2:$A341),0)</f>
        <v/>
      </c>
    </row>
    <row r="342">
      <c r="A342">
        <f>IF(AND(OR(Query!$B$4="All",'Compliance Database'!$A342=Query!$B$4),OR(Query!$B$5="All",'Compliance Database'!$F342=Query!$B$5),OR(Query!$B$6="All",ISNUMBER(SEARCH(Query!$B$6,'Compliance Database'!$I342))),OR(Query!$B$7="All",ISNUMBER(SEARCH(Query!$B$7,'Compliance Database'!$J342))),OR(Query!$B$8="All",'Compliance Database'!$G342=Query!$B$8),OR(Query!$B$9="All",'Compliance Database'!$K342=Query!$B$9),OR(Query!$B$10="",ISNUMBER(SEARCH(Query!$B$10,'Compliance Database'!$D342&amp;" "&amp;'Compliance Database'!$L342&amp;" "&amp;'Compliance Database'!$M342&amp;" "&amp;'Compliance Database'!$N342&amp;" "&amp;'Compliance Database'!$O342)))),1,0)</f>
        <v/>
      </c>
      <c r="B342">
        <f>IF($A342=1,SUM($A$2:$A342),"")</f>
        <v/>
      </c>
      <c r="C342">
        <f>IF($A342=1,SUM($A$2:$A342),0)</f>
        <v/>
      </c>
    </row>
    <row r="343">
      <c r="A343">
        <f>IF(AND(OR(Query!$B$4="All",'Compliance Database'!$A343=Query!$B$4),OR(Query!$B$5="All",'Compliance Database'!$F343=Query!$B$5),OR(Query!$B$6="All",ISNUMBER(SEARCH(Query!$B$6,'Compliance Database'!$I343))),OR(Query!$B$7="All",ISNUMBER(SEARCH(Query!$B$7,'Compliance Database'!$J343))),OR(Query!$B$8="All",'Compliance Database'!$G343=Query!$B$8),OR(Query!$B$9="All",'Compliance Database'!$K343=Query!$B$9),OR(Query!$B$10="",ISNUMBER(SEARCH(Query!$B$10,'Compliance Database'!$D343&amp;" "&amp;'Compliance Database'!$L343&amp;" "&amp;'Compliance Database'!$M343&amp;" "&amp;'Compliance Database'!$N343&amp;" "&amp;'Compliance Database'!$O343)))),1,0)</f>
        <v/>
      </c>
      <c r="B343">
        <f>IF($A343=1,SUM($A$2:$A343),"")</f>
        <v/>
      </c>
      <c r="C343">
        <f>IF($A343=1,SUM($A$2:$A343),0)</f>
        <v/>
      </c>
    </row>
    <row r="344">
      <c r="A344">
        <f>IF(AND(OR(Query!$B$4="All",'Compliance Database'!$A344=Query!$B$4),OR(Query!$B$5="All",'Compliance Database'!$F344=Query!$B$5),OR(Query!$B$6="All",ISNUMBER(SEARCH(Query!$B$6,'Compliance Database'!$I344))),OR(Query!$B$7="All",ISNUMBER(SEARCH(Query!$B$7,'Compliance Database'!$J344))),OR(Query!$B$8="All",'Compliance Database'!$G344=Query!$B$8),OR(Query!$B$9="All",'Compliance Database'!$K344=Query!$B$9),OR(Query!$B$10="",ISNUMBER(SEARCH(Query!$B$10,'Compliance Database'!$D344&amp;" "&amp;'Compliance Database'!$L344&amp;" "&amp;'Compliance Database'!$M344&amp;" "&amp;'Compliance Database'!$N344&amp;" "&amp;'Compliance Database'!$O344)))),1,0)</f>
        <v/>
      </c>
      <c r="B344">
        <f>IF($A344=1,SUM($A$2:$A344),"")</f>
        <v/>
      </c>
      <c r="C344">
        <f>IF($A344=1,SUM($A$2:$A344),0)</f>
        <v/>
      </c>
    </row>
    <row r="345">
      <c r="A345">
        <f>IF(AND(OR(Query!$B$4="All",'Compliance Database'!$A345=Query!$B$4),OR(Query!$B$5="All",'Compliance Database'!$F345=Query!$B$5),OR(Query!$B$6="All",ISNUMBER(SEARCH(Query!$B$6,'Compliance Database'!$I345))),OR(Query!$B$7="All",ISNUMBER(SEARCH(Query!$B$7,'Compliance Database'!$J345))),OR(Query!$B$8="All",'Compliance Database'!$G345=Query!$B$8),OR(Query!$B$9="All",'Compliance Database'!$K345=Query!$B$9),OR(Query!$B$10="",ISNUMBER(SEARCH(Query!$B$10,'Compliance Database'!$D345&amp;" "&amp;'Compliance Database'!$L345&amp;" "&amp;'Compliance Database'!$M345&amp;" "&amp;'Compliance Database'!$N345&amp;" "&amp;'Compliance Database'!$O345)))),1,0)</f>
        <v/>
      </c>
      <c r="B345">
        <f>IF($A345=1,SUM($A$2:$A345),"")</f>
        <v/>
      </c>
      <c r="C345">
        <f>IF($A345=1,SUM($A$2:$A345),0)</f>
        <v/>
      </c>
    </row>
    <row r="346">
      <c r="A346">
        <f>IF(AND(OR(Query!$B$4="All",'Compliance Database'!$A346=Query!$B$4),OR(Query!$B$5="All",'Compliance Database'!$F346=Query!$B$5),OR(Query!$B$6="All",ISNUMBER(SEARCH(Query!$B$6,'Compliance Database'!$I346))),OR(Query!$B$7="All",ISNUMBER(SEARCH(Query!$B$7,'Compliance Database'!$J346))),OR(Query!$B$8="All",'Compliance Database'!$G346=Query!$B$8),OR(Query!$B$9="All",'Compliance Database'!$K346=Query!$B$9),OR(Query!$B$10="",ISNUMBER(SEARCH(Query!$B$10,'Compliance Database'!$D346&amp;" "&amp;'Compliance Database'!$L346&amp;" "&amp;'Compliance Database'!$M346&amp;" "&amp;'Compliance Database'!$N346&amp;" "&amp;'Compliance Database'!$O346)))),1,0)</f>
        <v/>
      </c>
      <c r="B346">
        <f>IF($A346=1,SUM($A$2:$A346),"")</f>
        <v/>
      </c>
      <c r="C346">
        <f>IF($A346=1,SUM($A$2:$A346),0)</f>
        <v/>
      </c>
    </row>
    <row r="347">
      <c r="A347">
        <f>IF(AND(OR(Query!$B$4="All",'Compliance Database'!$A347=Query!$B$4),OR(Query!$B$5="All",'Compliance Database'!$F347=Query!$B$5),OR(Query!$B$6="All",ISNUMBER(SEARCH(Query!$B$6,'Compliance Database'!$I347))),OR(Query!$B$7="All",ISNUMBER(SEARCH(Query!$B$7,'Compliance Database'!$J347))),OR(Query!$B$8="All",'Compliance Database'!$G347=Query!$B$8),OR(Query!$B$9="All",'Compliance Database'!$K347=Query!$B$9),OR(Query!$B$10="",ISNUMBER(SEARCH(Query!$B$10,'Compliance Database'!$D347&amp;" "&amp;'Compliance Database'!$L347&amp;" "&amp;'Compliance Database'!$M347&amp;" "&amp;'Compliance Database'!$N347&amp;" "&amp;'Compliance Database'!$O347)))),1,0)</f>
        <v/>
      </c>
      <c r="B347">
        <f>IF($A347=1,SUM($A$2:$A347),"")</f>
        <v/>
      </c>
      <c r="C347">
        <f>IF($A347=1,SUM($A$2:$A347),0)</f>
        <v/>
      </c>
    </row>
    <row r="348">
      <c r="A348">
        <f>IF(AND(OR(Query!$B$4="All",'Compliance Database'!$A348=Query!$B$4),OR(Query!$B$5="All",'Compliance Database'!$F348=Query!$B$5),OR(Query!$B$6="All",ISNUMBER(SEARCH(Query!$B$6,'Compliance Database'!$I348))),OR(Query!$B$7="All",ISNUMBER(SEARCH(Query!$B$7,'Compliance Database'!$J348))),OR(Query!$B$8="All",'Compliance Database'!$G348=Query!$B$8),OR(Query!$B$9="All",'Compliance Database'!$K348=Query!$B$9),OR(Query!$B$10="",ISNUMBER(SEARCH(Query!$B$10,'Compliance Database'!$D348&amp;" "&amp;'Compliance Database'!$L348&amp;" "&amp;'Compliance Database'!$M348&amp;" "&amp;'Compliance Database'!$N348&amp;" "&amp;'Compliance Database'!$O348)))),1,0)</f>
        <v/>
      </c>
      <c r="B348">
        <f>IF($A348=1,SUM($A$2:$A348),"")</f>
        <v/>
      </c>
      <c r="C348">
        <f>IF($A348=1,SUM($A$2:$A348),0)</f>
        <v/>
      </c>
    </row>
    <row r="349">
      <c r="A349">
        <f>IF(AND(OR(Query!$B$4="All",'Compliance Database'!$A349=Query!$B$4),OR(Query!$B$5="All",'Compliance Database'!$F349=Query!$B$5),OR(Query!$B$6="All",ISNUMBER(SEARCH(Query!$B$6,'Compliance Database'!$I349))),OR(Query!$B$7="All",ISNUMBER(SEARCH(Query!$B$7,'Compliance Database'!$J349))),OR(Query!$B$8="All",'Compliance Database'!$G349=Query!$B$8),OR(Query!$B$9="All",'Compliance Database'!$K349=Query!$B$9),OR(Query!$B$10="",ISNUMBER(SEARCH(Query!$B$10,'Compliance Database'!$D349&amp;" "&amp;'Compliance Database'!$L349&amp;" "&amp;'Compliance Database'!$M349&amp;" "&amp;'Compliance Database'!$N349&amp;" "&amp;'Compliance Database'!$O349)))),1,0)</f>
        <v/>
      </c>
      <c r="B349">
        <f>IF($A349=1,SUM($A$2:$A349),"")</f>
        <v/>
      </c>
      <c r="C349">
        <f>IF($A349=1,SUM($A$2:$A349),0)</f>
        <v/>
      </c>
    </row>
    <row r="350">
      <c r="A350">
        <f>IF(AND(OR(Query!$B$4="All",'Compliance Database'!$A350=Query!$B$4),OR(Query!$B$5="All",'Compliance Database'!$F350=Query!$B$5),OR(Query!$B$6="All",ISNUMBER(SEARCH(Query!$B$6,'Compliance Database'!$I350))),OR(Query!$B$7="All",ISNUMBER(SEARCH(Query!$B$7,'Compliance Database'!$J350))),OR(Query!$B$8="All",'Compliance Database'!$G350=Query!$B$8),OR(Query!$B$9="All",'Compliance Database'!$K350=Query!$B$9),OR(Query!$B$10="",ISNUMBER(SEARCH(Query!$B$10,'Compliance Database'!$D350&amp;" "&amp;'Compliance Database'!$L350&amp;" "&amp;'Compliance Database'!$M350&amp;" "&amp;'Compliance Database'!$N350&amp;" "&amp;'Compliance Database'!$O350)))),1,0)</f>
        <v/>
      </c>
      <c r="B350">
        <f>IF($A350=1,SUM($A$2:$A350),"")</f>
        <v/>
      </c>
      <c r="C350">
        <f>IF($A350=1,SUM($A$2:$A350),0)</f>
        <v/>
      </c>
    </row>
    <row r="351">
      <c r="A351">
        <f>IF(AND(OR(Query!$B$4="All",'Compliance Database'!$A351=Query!$B$4),OR(Query!$B$5="All",'Compliance Database'!$F351=Query!$B$5),OR(Query!$B$6="All",ISNUMBER(SEARCH(Query!$B$6,'Compliance Database'!$I351))),OR(Query!$B$7="All",ISNUMBER(SEARCH(Query!$B$7,'Compliance Database'!$J351))),OR(Query!$B$8="All",'Compliance Database'!$G351=Query!$B$8),OR(Query!$B$9="All",'Compliance Database'!$K351=Query!$B$9),OR(Query!$B$10="",ISNUMBER(SEARCH(Query!$B$10,'Compliance Database'!$D351&amp;" "&amp;'Compliance Database'!$L351&amp;" "&amp;'Compliance Database'!$M351&amp;" "&amp;'Compliance Database'!$N351&amp;" "&amp;'Compliance Database'!$O351)))),1,0)</f>
        <v/>
      </c>
      <c r="B351">
        <f>IF($A351=1,SUM($A$2:$A351),"")</f>
        <v/>
      </c>
      <c r="C351">
        <f>IF($A351=1,SUM($A$2:$A351),0)</f>
        <v/>
      </c>
    </row>
    <row r="352">
      <c r="A352">
        <f>IF(AND(OR(Query!$B$4="All",'Compliance Database'!$A352=Query!$B$4),OR(Query!$B$5="All",'Compliance Database'!$F352=Query!$B$5),OR(Query!$B$6="All",ISNUMBER(SEARCH(Query!$B$6,'Compliance Database'!$I352))),OR(Query!$B$7="All",ISNUMBER(SEARCH(Query!$B$7,'Compliance Database'!$J352))),OR(Query!$B$8="All",'Compliance Database'!$G352=Query!$B$8),OR(Query!$B$9="All",'Compliance Database'!$K352=Query!$B$9),OR(Query!$B$10="",ISNUMBER(SEARCH(Query!$B$10,'Compliance Database'!$D352&amp;" "&amp;'Compliance Database'!$L352&amp;" "&amp;'Compliance Database'!$M352&amp;" "&amp;'Compliance Database'!$N352&amp;" "&amp;'Compliance Database'!$O352)))),1,0)</f>
        <v/>
      </c>
      <c r="B352">
        <f>IF($A352=1,SUM($A$2:$A352),"")</f>
        <v/>
      </c>
      <c r="C352">
        <f>IF($A352=1,SUM($A$2:$A352),0)</f>
        <v/>
      </c>
    </row>
    <row r="353">
      <c r="A353">
        <f>IF(AND(OR(Query!$B$4="All",'Compliance Database'!$A353=Query!$B$4),OR(Query!$B$5="All",'Compliance Database'!$F353=Query!$B$5),OR(Query!$B$6="All",ISNUMBER(SEARCH(Query!$B$6,'Compliance Database'!$I353))),OR(Query!$B$7="All",ISNUMBER(SEARCH(Query!$B$7,'Compliance Database'!$J353))),OR(Query!$B$8="All",'Compliance Database'!$G353=Query!$B$8),OR(Query!$B$9="All",'Compliance Database'!$K353=Query!$B$9),OR(Query!$B$10="",ISNUMBER(SEARCH(Query!$B$10,'Compliance Database'!$D353&amp;" "&amp;'Compliance Database'!$L353&amp;" "&amp;'Compliance Database'!$M353&amp;" "&amp;'Compliance Database'!$N353&amp;" "&amp;'Compliance Database'!$O353)))),1,0)</f>
        <v/>
      </c>
      <c r="B353">
        <f>IF($A353=1,SUM($A$2:$A353),"")</f>
        <v/>
      </c>
      <c r="C353">
        <f>IF($A353=1,SUM($A$2:$A353),0)</f>
        <v/>
      </c>
    </row>
    <row r="354">
      <c r="A354">
        <f>IF(AND(OR(Query!$B$4="All",'Compliance Database'!$A354=Query!$B$4),OR(Query!$B$5="All",'Compliance Database'!$F354=Query!$B$5),OR(Query!$B$6="All",ISNUMBER(SEARCH(Query!$B$6,'Compliance Database'!$I354))),OR(Query!$B$7="All",ISNUMBER(SEARCH(Query!$B$7,'Compliance Database'!$J354))),OR(Query!$B$8="All",'Compliance Database'!$G354=Query!$B$8),OR(Query!$B$9="All",'Compliance Database'!$K354=Query!$B$9),OR(Query!$B$10="",ISNUMBER(SEARCH(Query!$B$10,'Compliance Database'!$D354&amp;" "&amp;'Compliance Database'!$L354&amp;" "&amp;'Compliance Database'!$M354&amp;" "&amp;'Compliance Database'!$N354&amp;" "&amp;'Compliance Database'!$O354)))),1,0)</f>
        <v/>
      </c>
      <c r="B354">
        <f>IF($A354=1,SUM($A$2:$A354),"")</f>
        <v/>
      </c>
      <c r="C354">
        <f>IF($A354=1,SUM($A$2:$A354),0)</f>
        <v/>
      </c>
    </row>
    <row r="355">
      <c r="A355">
        <f>IF(AND(OR(Query!$B$4="All",'Compliance Database'!$A355=Query!$B$4),OR(Query!$B$5="All",'Compliance Database'!$F355=Query!$B$5),OR(Query!$B$6="All",ISNUMBER(SEARCH(Query!$B$6,'Compliance Database'!$I355))),OR(Query!$B$7="All",ISNUMBER(SEARCH(Query!$B$7,'Compliance Database'!$J355))),OR(Query!$B$8="All",'Compliance Database'!$G355=Query!$B$8),OR(Query!$B$9="All",'Compliance Database'!$K355=Query!$B$9),OR(Query!$B$10="",ISNUMBER(SEARCH(Query!$B$10,'Compliance Database'!$D355&amp;" "&amp;'Compliance Database'!$L355&amp;" "&amp;'Compliance Database'!$M355&amp;" "&amp;'Compliance Database'!$N355&amp;" "&amp;'Compliance Database'!$O355)))),1,0)</f>
        <v/>
      </c>
      <c r="B355">
        <f>IF($A355=1,SUM($A$2:$A355),"")</f>
        <v/>
      </c>
      <c r="C355">
        <f>IF($A355=1,SUM($A$2:$A355),0)</f>
        <v/>
      </c>
    </row>
    <row r="356">
      <c r="A356">
        <f>IF(AND(OR(Query!$B$4="All",'Compliance Database'!$A356=Query!$B$4),OR(Query!$B$5="All",'Compliance Database'!$F356=Query!$B$5),OR(Query!$B$6="All",ISNUMBER(SEARCH(Query!$B$6,'Compliance Database'!$I356))),OR(Query!$B$7="All",ISNUMBER(SEARCH(Query!$B$7,'Compliance Database'!$J356))),OR(Query!$B$8="All",'Compliance Database'!$G356=Query!$B$8),OR(Query!$B$9="All",'Compliance Database'!$K356=Query!$B$9),OR(Query!$B$10="",ISNUMBER(SEARCH(Query!$B$10,'Compliance Database'!$D356&amp;" "&amp;'Compliance Database'!$L356&amp;" "&amp;'Compliance Database'!$M356&amp;" "&amp;'Compliance Database'!$N356&amp;" "&amp;'Compliance Database'!$O356)))),1,0)</f>
        <v/>
      </c>
      <c r="B356">
        <f>IF($A356=1,SUM($A$2:$A356),"")</f>
        <v/>
      </c>
      <c r="C356">
        <f>IF($A356=1,SUM($A$2:$A356),0)</f>
        <v/>
      </c>
    </row>
    <row r="357">
      <c r="A357">
        <f>IF(AND(OR(Query!$B$4="All",'Compliance Database'!$A357=Query!$B$4),OR(Query!$B$5="All",'Compliance Database'!$F357=Query!$B$5),OR(Query!$B$6="All",ISNUMBER(SEARCH(Query!$B$6,'Compliance Database'!$I357))),OR(Query!$B$7="All",ISNUMBER(SEARCH(Query!$B$7,'Compliance Database'!$J357))),OR(Query!$B$8="All",'Compliance Database'!$G357=Query!$B$8),OR(Query!$B$9="All",'Compliance Database'!$K357=Query!$B$9),OR(Query!$B$10="",ISNUMBER(SEARCH(Query!$B$10,'Compliance Database'!$D357&amp;" "&amp;'Compliance Database'!$L357&amp;" "&amp;'Compliance Database'!$M357&amp;" "&amp;'Compliance Database'!$N357&amp;" "&amp;'Compliance Database'!$O357)))),1,0)</f>
        <v/>
      </c>
      <c r="B357">
        <f>IF($A357=1,SUM($A$2:$A357),"")</f>
        <v/>
      </c>
      <c r="C357">
        <f>IF($A357=1,SUM($A$2:$A357),0)</f>
        <v/>
      </c>
    </row>
    <row r="358">
      <c r="A358">
        <f>IF(AND(OR(Query!$B$4="All",'Compliance Database'!$A358=Query!$B$4),OR(Query!$B$5="All",'Compliance Database'!$F358=Query!$B$5),OR(Query!$B$6="All",ISNUMBER(SEARCH(Query!$B$6,'Compliance Database'!$I358))),OR(Query!$B$7="All",ISNUMBER(SEARCH(Query!$B$7,'Compliance Database'!$J358))),OR(Query!$B$8="All",'Compliance Database'!$G358=Query!$B$8),OR(Query!$B$9="All",'Compliance Database'!$K358=Query!$B$9),OR(Query!$B$10="",ISNUMBER(SEARCH(Query!$B$10,'Compliance Database'!$D358&amp;" "&amp;'Compliance Database'!$L358&amp;" "&amp;'Compliance Database'!$M358&amp;" "&amp;'Compliance Database'!$N358&amp;" "&amp;'Compliance Database'!$O358)))),1,0)</f>
        <v/>
      </c>
      <c r="B358">
        <f>IF($A358=1,SUM($A$2:$A358),"")</f>
        <v/>
      </c>
      <c r="C358">
        <f>IF($A358=1,SUM($A$2:$A358),0)</f>
        <v/>
      </c>
    </row>
    <row r="359">
      <c r="A359">
        <f>IF(AND(OR(Query!$B$4="All",'Compliance Database'!$A359=Query!$B$4),OR(Query!$B$5="All",'Compliance Database'!$F359=Query!$B$5),OR(Query!$B$6="All",ISNUMBER(SEARCH(Query!$B$6,'Compliance Database'!$I359))),OR(Query!$B$7="All",ISNUMBER(SEARCH(Query!$B$7,'Compliance Database'!$J359))),OR(Query!$B$8="All",'Compliance Database'!$G359=Query!$B$8),OR(Query!$B$9="All",'Compliance Database'!$K359=Query!$B$9),OR(Query!$B$10="",ISNUMBER(SEARCH(Query!$B$10,'Compliance Database'!$D359&amp;" "&amp;'Compliance Database'!$L359&amp;" "&amp;'Compliance Database'!$M359&amp;" "&amp;'Compliance Database'!$N359&amp;" "&amp;'Compliance Database'!$O359)))),1,0)</f>
        <v/>
      </c>
      <c r="B359">
        <f>IF($A359=1,SUM($A$2:$A359),"")</f>
        <v/>
      </c>
      <c r="C359">
        <f>IF($A359=1,SUM($A$2:$A359),0)</f>
        <v/>
      </c>
    </row>
    <row r="360">
      <c r="A360">
        <f>IF(AND(OR(Query!$B$4="All",'Compliance Database'!$A360=Query!$B$4),OR(Query!$B$5="All",'Compliance Database'!$F360=Query!$B$5),OR(Query!$B$6="All",ISNUMBER(SEARCH(Query!$B$6,'Compliance Database'!$I360))),OR(Query!$B$7="All",ISNUMBER(SEARCH(Query!$B$7,'Compliance Database'!$J360))),OR(Query!$B$8="All",'Compliance Database'!$G360=Query!$B$8),OR(Query!$B$9="All",'Compliance Database'!$K360=Query!$B$9),OR(Query!$B$10="",ISNUMBER(SEARCH(Query!$B$10,'Compliance Database'!$D360&amp;" "&amp;'Compliance Database'!$L360&amp;" "&amp;'Compliance Database'!$M360&amp;" "&amp;'Compliance Database'!$N360&amp;" "&amp;'Compliance Database'!$O360)))),1,0)</f>
        <v/>
      </c>
      <c r="B360">
        <f>IF($A360=1,SUM($A$2:$A360),"")</f>
        <v/>
      </c>
      <c r="C360">
        <f>IF($A360=1,SUM($A$2:$A360),0)</f>
        <v/>
      </c>
    </row>
    <row r="361">
      <c r="A361">
        <f>IF(AND(OR(Query!$B$4="All",'Compliance Database'!$A361=Query!$B$4),OR(Query!$B$5="All",'Compliance Database'!$F361=Query!$B$5),OR(Query!$B$6="All",ISNUMBER(SEARCH(Query!$B$6,'Compliance Database'!$I361))),OR(Query!$B$7="All",ISNUMBER(SEARCH(Query!$B$7,'Compliance Database'!$J361))),OR(Query!$B$8="All",'Compliance Database'!$G361=Query!$B$8),OR(Query!$B$9="All",'Compliance Database'!$K361=Query!$B$9),OR(Query!$B$10="",ISNUMBER(SEARCH(Query!$B$10,'Compliance Database'!$D361&amp;" "&amp;'Compliance Database'!$L361&amp;" "&amp;'Compliance Database'!$M361&amp;" "&amp;'Compliance Database'!$N361&amp;" "&amp;'Compliance Database'!$O361)))),1,0)</f>
        <v/>
      </c>
      <c r="B361">
        <f>IF($A361=1,SUM($A$2:$A361),"")</f>
        <v/>
      </c>
      <c r="C361">
        <f>IF($A361=1,SUM($A$2:$A361),0)</f>
        <v/>
      </c>
    </row>
    <row r="362">
      <c r="A362">
        <f>IF(AND(OR(Query!$B$4="All",'Compliance Database'!$A362=Query!$B$4),OR(Query!$B$5="All",'Compliance Database'!$F362=Query!$B$5),OR(Query!$B$6="All",ISNUMBER(SEARCH(Query!$B$6,'Compliance Database'!$I362))),OR(Query!$B$7="All",ISNUMBER(SEARCH(Query!$B$7,'Compliance Database'!$J362))),OR(Query!$B$8="All",'Compliance Database'!$G362=Query!$B$8),OR(Query!$B$9="All",'Compliance Database'!$K362=Query!$B$9),OR(Query!$B$10="",ISNUMBER(SEARCH(Query!$B$10,'Compliance Database'!$D362&amp;" "&amp;'Compliance Database'!$L362&amp;" "&amp;'Compliance Database'!$M362&amp;" "&amp;'Compliance Database'!$N362&amp;" "&amp;'Compliance Database'!$O362)))),1,0)</f>
        <v/>
      </c>
      <c r="B362">
        <f>IF($A362=1,SUM($A$2:$A362),"")</f>
        <v/>
      </c>
      <c r="C362">
        <f>IF($A362=1,SUM($A$2:$A362),0)</f>
        <v/>
      </c>
    </row>
    <row r="363">
      <c r="A363">
        <f>IF(AND(OR(Query!$B$4="All",'Compliance Database'!$A363=Query!$B$4),OR(Query!$B$5="All",'Compliance Database'!$F363=Query!$B$5),OR(Query!$B$6="All",ISNUMBER(SEARCH(Query!$B$6,'Compliance Database'!$I363))),OR(Query!$B$7="All",ISNUMBER(SEARCH(Query!$B$7,'Compliance Database'!$J363))),OR(Query!$B$8="All",'Compliance Database'!$G363=Query!$B$8),OR(Query!$B$9="All",'Compliance Database'!$K363=Query!$B$9),OR(Query!$B$10="",ISNUMBER(SEARCH(Query!$B$10,'Compliance Database'!$D363&amp;" "&amp;'Compliance Database'!$L363&amp;" "&amp;'Compliance Database'!$M363&amp;" "&amp;'Compliance Database'!$N363&amp;" "&amp;'Compliance Database'!$O363)))),1,0)</f>
        <v/>
      </c>
      <c r="B363">
        <f>IF($A363=1,SUM($A$2:$A363),"")</f>
        <v/>
      </c>
      <c r="C363">
        <f>IF($A363=1,SUM($A$2:$A363),0)</f>
        <v/>
      </c>
    </row>
    <row r="364">
      <c r="A364">
        <f>IF(AND(OR(Query!$B$4="All",'Compliance Database'!$A364=Query!$B$4),OR(Query!$B$5="All",'Compliance Database'!$F364=Query!$B$5),OR(Query!$B$6="All",ISNUMBER(SEARCH(Query!$B$6,'Compliance Database'!$I364))),OR(Query!$B$7="All",ISNUMBER(SEARCH(Query!$B$7,'Compliance Database'!$J364))),OR(Query!$B$8="All",'Compliance Database'!$G364=Query!$B$8),OR(Query!$B$9="All",'Compliance Database'!$K364=Query!$B$9),OR(Query!$B$10="",ISNUMBER(SEARCH(Query!$B$10,'Compliance Database'!$D364&amp;" "&amp;'Compliance Database'!$L364&amp;" "&amp;'Compliance Database'!$M364&amp;" "&amp;'Compliance Database'!$N364&amp;" "&amp;'Compliance Database'!$O364)))),1,0)</f>
        <v/>
      </c>
      <c r="B364">
        <f>IF($A364=1,SUM($A$2:$A364),"")</f>
        <v/>
      </c>
      <c r="C364">
        <f>IF($A364=1,SUM($A$2:$A364),0)</f>
        <v/>
      </c>
    </row>
    <row r="365">
      <c r="A365">
        <f>IF(AND(OR(Query!$B$4="All",'Compliance Database'!$A365=Query!$B$4),OR(Query!$B$5="All",'Compliance Database'!$F365=Query!$B$5),OR(Query!$B$6="All",ISNUMBER(SEARCH(Query!$B$6,'Compliance Database'!$I365))),OR(Query!$B$7="All",ISNUMBER(SEARCH(Query!$B$7,'Compliance Database'!$J365))),OR(Query!$B$8="All",'Compliance Database'!$G365=Query!$B$8),OR(Query!$B$9="All",'Compliance Database'!$K365=Query!$B$9),OR(Query!$B$10="",ISNUMBER(SEARCH(Query!$B$10,'Compliance Database'!$D365&amp;" "&amp;'Compliance Database'!$L365&amp;" "&amp;'Compliance Database'!$M365&amp;" "&amp;'Compliance Database'!$N365&amp;" "&amp;'Compliance Database'!$O365)))),1,0)</f>
        <v/>
      </c>
      <c r="B365">
        <f>IF($A365=1,SUM($A$2:$A365),"")</f>
        <v/>
      </c>
      <c r="C365">
        <f>IF($A365=1,SUM($A$2:$A365),0)</f>
        <v/>
      </c>
    </row>
    <row r="366">
      <c r="A366">
        <f>IF(AND(OR(Query!$B$4="All",'Compliance Database'!$A366=Query!$B$4),OR(Query!$B$5="All",'Compliance Database'!$F366=Query!$B$5),OR(Query!$B$6="All",ISNUMBER(SEARCH(Query!$B$6,'Compliance Database'!$I366))),OR(Query!$B$7="All",ISNUMBER(SEARCH(Query!$B$7,'Compliance Database'!$J366))),OR(Query!$B$8="All",'Compliance Database'!$G366=Query!$B$8),OR(Query!$B$9="All",'Compliance Database'!$K366=Query!$B$9),OR(Query!$B$10="",ISNUMBER(SEARCH(Query!$B$10,'Compliance Database'!$D366&amp;" "&amp;'Compliance Database'!$L366&amp;" "&amp;'Compliance Database'!$M366&amp;" "&amp;'Compliance Database'!$N366&amp;" "&amp;'Compliance Database'!$O366)))),1,0)</f>
        <v/>
      </c>
      <c r="B366">
        <f>IF($A366=1,SUM($A$2:$A366),"")</f>
        <v/>
      </c>
      <c r="C366">
        <f>IF($A366=1,SUM($A$2:$A366),0)</f>
        <v/>
      </c>
    </row>
    <row r="367">
      <c r="A367">
        <f>IF(AND(OR(Query!$B$4="All",'Compliance Database'!$A367=Query!$B$4),OR(Query!$B$5="All",'Compliance Database'!$F367=Query!$B$5),OR(Query!$B$6="All",ISNUMBER(SEARCH(Query!$B$6,'Compliance Database'!$I367))),OR(Query!$B$7="All",ISNUMBER(SEARCH(Query!$B$7,'Compliance Database'!$J367))),OR(Query!$B$8="All",'Compliance Database'!$G367=Query!$B$8),OR(Query!$B$9="All",'Compliance Database'!$K367=Query!$B$9),OR(Query!$B$10="",ISNUMBER(SEARCH(Query!$B$10,'Compliance Database'!$D367&amp;" "&amp;'Compliance Database'!$L367&amp;" "&amp;'Compliance Database'!$M367&amp;" "&amp;'Compliance Database'!$N367&amp;" "&amp;'Compliance Database'!$O367)))),1,0)</f>
        <v/>
      </c>
      <c r="B367">
        <f>IF($A367=1,SUM($A$2:$A367),"")</f>
        <v/>
      </c>
      <c r="C367">
        <f>IF($A367=1,SUM($A$2:$A367),0)</f>
        <v/>
      </c>
    </row>
    <row r="368">
      <c r="A368">
        <f>IF(AND(OR(Query!$B$4="All",'Compliance Database'!$A368=Query!$B$4),OR(Query!$B$5="All",'Compliance Database'!$F368=Query!$B$5),OR(Query!$B$6="All",ISNUMBER(SEARCH(Query!$B$6,'Compliance Database'!$I368))),OR(Query!$B$7="All",ISNUMBER(SEARCH(Query!$B$7,'Compliance Database'!$J368))),OR(Query!$B$8="All",'Compliance Database'!$G368=Query!$B$8),OR(Query!$B$9="All",'Compliance Database'!$K368=Query!$B$9),OR(Query!$B$10="",ISNUMBER(SEARCH(Query!$B$10,'Compliance Database'!$D368&amp;" "&amp;'Compliance Database'!$L368&amp;" "&amp;'Compliance Database'!$M368&amp;" "&amp;'Compliance Database'!$N368&amp;" "&amp;'Compliance Database'!$O368)))),1,0)</f>
        <v/>
      </c>
      <c r="B368">
        <f>IF($A368=1,SUM($A$2:$A368),"")</f>
        <v/>
      </c>
      <c r="C368">
        <f>IF($A368=1,SUM($A$2:$A368),0)</f>
        <v/>
      </c>
    </row>
    <row r="369">
      <c r="A369">
        <f>IF(AND(OR(Query!$B$4="All",'Compliance Database'!$A369=Query!$B$4),OR(Query!$B$5="All",'Compliance Database'!$F369=Query!$B$5),OR(Query!$B$6="All",ISNUMBER(SEARCH(Query!$B$6,'Compliance Database'!$I369))),OR(Query!$B$7="All",ISNUMBER(SEARCH(Query!$B$7,'Compliance Database'!$J369))),OR(Query!$B$8="All",'Compliance Database'!$G369=Query!$B$8),OR(Query!$B$9="All",'Compliance Database'!$K369=Query!$B$9),OR(Query!$B$10="",ISNUMBER(SEARCH(Query!$B$10,'Compliance Database'!$D369&amp;" "&amp;'Compliance Database'!$L369&amp;" "&amp;'Compliance Database'!$M369&amp;" "&amp;'Compliance Database'!$N369&amp;" "&amp;'Compliance Database'!$O369)))),1,0)</f>
        <v/>
      </c>
      <c r="B369">
        <f>IF($A369=1,SUM($A$2:$A369),"")</f>
        <v/>
      </c>
      <c r="C369">
        <f>IF($A369=1,SUM($A$2:$A369),0)</f>
        <v/>
      </c>
    </row>
    <row r="370">
      <c r="A370">
        <f>IF(AND(OR(Query!$B$4="All",'Compliance Database'!$A370=Query!$B$4),OR(Query!$B$5="All",'Compliance Database'!$F370=Query!$B$5),OR(Query!$B$6="All",ISNUMBER(SEARCH(Query!$B$6,'Compliance Database'!$I370))),OR(Query!$B$7="All",ISNUMBER(SEARCH(Query!$B$7,'Compliance Database'!$J370))),OR(Query!$B$8="All",'Compliance Database'!$G370=Query!$B$8),OR(Query!$B$9="All",'Compliance Database'!$K370=Query!$B$9),OR(Query!$B$10="",ISNUMBER(SEARCH(Query!$B$10,'Compliance Database'!$D370&amp;" "&amp;'Compliance Database'!$L370&amp;" "&amp;'Compliance Database'!$M370&amp;" "&amp;'Compliance Database'!$N370&amp;" "&amp;'Compliance Database'!$O370)))),1,0)</f>
        <v/>
      </c>
      <c r="B370">
        <f>IF($A370=1,SUM($A$2:$A370),"")</f>
        <v/>
      </c>
      <c r="C370">
        <f>IF($A370=1,SUM($A$2:$A370),0)</f>
        <v/>
      </c>
    </row>
    <row r="371">
      <c r="A371">
        <f>IF(AND(OR(Query!$B$4="All",'Compliance Database'!$A371=Query!$B$4),OR(Query!$B$5="All",'Compliance Database'!$F371=Query!$B$5),OR(Query!$B$6="All",ISNUMBER(SEARCH(Query!$B$6,'Compliance Database'!$I371))),OR(Query!$B$7="All",ISNUMBER(SEARCH(Query!$B$7,'Compliance Database'!$J371))),OR(Query!$B$8="All",'Compliance Database'!$G371=Query!$B$8),OR(Query!$B$9="All",'Compliance Database'!$K371=Query!$B$9),OR(Query!$B$10="",ISNUMBER(SEARCH(Query!$B$10,'Compliance Database'!$D371&amp;" "&amp;'Compliance Database'!$L371&amp;" "&amp;'Compliance Database'!$M371&amp;" "&amp;'Compliance Database'!$N371&amp;" "&amp;'Compliance Database'!$O371)))),1,0)</f>
        <v/>
      </c>
      <c r="B371">
        <f>IF($A371=1,SUM($A$2:$A371),"")</f>
        <v/>
      </c>
      <c r="C371">
        <f>IF($A371=1,SUM($A$2:$A371),0)</f>
        <v/>
      </c>
    </row>
    <row r="372">
      <c r="A372">
        <f>IF(AND(OR(Query!$B$4="All",'Compliance Database'!$A372=Query!$B$4),OR(Query!$B$5="All",'Compliance Database'!$F372=Query!$B$5),OR(Query!$B$6="All",ISNUMBER(SEARCH(Query!$B$6,'Compliance Database'!$I372))),OR(Query!$B$7="All",ISNUMBER(SEARCH(Query!$B$7,'Compliance Database'!$J372))),OR(Query!$B$8="All",'Compliance Database'!$G372=Query!$B$8),OR(Query!$B$9="All",'Compliance Database'!$K372=Query!$B$9),OR(Query!$B$10="",ISNUMBER(SEARCH(Query!$B$10,'Compliance Database'!$D372&amp;" "&amp;'Compliance Database'!$L372&amp;" "&amp;'Compliance Database'!$M372&amp;" "&amp;'Compliance Database'!$N372&amp;" "&amp;'Compliance Database'!$O372)))),1,0)</f>
        <v/>
      </c>
      <c r="B372">
        <f>IF($A372=1,SUM($A$2:$A372),"")</f>
        <v/>
      </c>
      <c r="C372">
        <f>IF($A372=1,SUM($A$2:$A372),0)</f>
        <v/>
      </c>
    </row>
    <row r="373">
      <c r="A373">
        <f>IF(AND(OR(Query!$B$4="All",'Compliance Database'!$A373=Query!$B$4),OR(Query!$B$5="All",'Compliance Database'!$F373=Query!$B$5),OR(Query!$B$6="All",ISNUMBER(SEARCH(Query!$B$6,'Compliance Database'!$I373))),OR(Query!$B$7="All",ISNUMBER(SEARCH(Query!$B$7,'Compliance Database'!$J373))),OR(Query!$B$8="All",'Compliance Database'!$G373=Query!$B$8),OR(Query!$B$9="All",'Compliance Database'!$K373=Query!$B$9),OR(Query!$B$10="",ISNUMBER(SEARCH(Query!$B$10,'Compliance Database'!$D373&amp;" "&amp;'Compliance Database'!$L373&amp;" "&amp;'Compliance Database'!$M373&amp;" "&amp;'Compliance Database'!$N373&amp;" "&amp;'Compliance Database'!$O373)))),1,0)</f>
        <v/>
      </c>
      <c r="B373">
        <f>IF($A373=1,SUM($A$2:$A373),"")</f>
        <v/>
      </c>
      <c r="C373">
        <f>IF($A373=1,SUM($A$2:$A373),0)</f>
        <v/>
      </c>
    </row>
    <row r="374">
      <c r="A374">
        <f>IF(AND(OR(Query!$B$4="All",'Compliance Database'!$A374=Query!$B$4),OR(Query!$B$5="All",'Compliance Database'!$F374=Query!$B$5),OR(Query!$B$6="All",ISNUMBER(SEARCH(Query!$B$6,'Compliance Database'!$I374))),OR(Query!$B$7="All",ISNUMBER(SEARCH(Query!$B$7,'Compliance Database'!$J374))),OR(Query!$B$8="All",'Compliance Database'!$G374=Query!$B$8),OR(Query!$B$9="All",'Compliance Database'!$K374=Query!$B$9),OR(Query!$B$10="",ISNUMBER(SEARCH(Query!$B$10,'Compliance Database'!$D374&amp;" "&amp;'Compliance Database'!$L374&amp;" "&amp;'Compliance Database'!$M374&amp;" "&amp;'Compliance Database'!$N374&amp;" "&amp;'Compliance Database'!$O374)))),1,0)</f>
        <v/>
      </c>
      <c r="B374">
        <f>IF($A374=1,SUM($A$2:$A374),"")</f>
        <v/>
      </c>
      <c r="C374">
        <f>IF($A374=1,SUM($A$2:$A374),0)</f>
        <v/>
      </c>
    </row>
    <row r="375">
      <c r="A375">
        <f>IF(AND(OR(Query!$B$4="All",'Compliance Database'!$A375=Query!$B$4),OR(Query!$B$5="All",'Compliance Database'!$F375=Query!$B$5),OR(Query!$B$6="All",ISNUMBER(SEARCH(Query!$B$6,'Compliance Database'!$I375))),OR(Query!$B$7="All",ISNUMBER(SEARCH(Query!$B$7,'Compliance Database'!$J375))),OR(Query!$B$8="All",'Compliance Database'!$G375=Query!$B$8),OR(Query!$B$9="All",'Compliance Database'!$K375=Query!$B$9),OR(Query!$B$10="",ISNUMBER(SEARCH(Query!$B$10,'Compliance Database'!$D375&amp;" "&amp;'Compliance Database'!$L375&amp;" "&amp;'Compliance Database'!$M375&amp;" "&amp;'Compliance Database'!$N375&amp;" "&amp;'Compliance Database'!$O375)))),1,0)</f>
        <v/>
      </c>
      <c r="B375">
        <f>IF($A375=1,SUM($A$2:$A375),"")</f>
        <v/>
      </c>
      <c r="C375">
        <f>IF($A375=1,SUM($A$2:$A375),0)</f>
        <v/>
      </c>
    </row>
    <row r="376">
      <c r="A376">
        <f>IF(AND(OR(Query!$B$4="All",'Compliance Database'!$A376=Query!$B$4),OR(Query!$B$5="All",'Compliance Database'!$F376=Query!$B$5),OR(Query!$B$6="All",ISNUMBER(SEARCH(Query!$B$6,'Compliance Database'!$I376))),OR(Query!$B$7="All",ISNUMBER(SEARCH(Query!$B$7,'Compliance Database'!$J376))),OR(Query!$B$8="All",'Compliance Database'!$G376=Query!$B$8),OR(Query!$B$9="All",'Compliance Database'!$K376=Query!$B$9),OR(Query!$B$10="",ISNUMBER(SEARCH(Query!$B$10,'Compliance Database'!$D376&amp;" "&amp;'Compliance Database'!$L376&amp;" "&amp;'Compliance Database'!$M376&amp;" "&amp;'Compliance Database'!$N376&amp;" "&amp;'Compliance Database'!$O376)))),1,0)</f>
        <v/>
      </c>
      <c r="B376">
        <f>IF($A376=1,SUM($A$2:$A376),"")</f>
        <v/>
      </c>
      <c r="C376">
        <f>IF($A376=1,SUM($A$2:$A376),0)</f>
        <v/>
      </c>
    </row>
    <row r="377">
      <c r="A377">
        <f>IF(AND(OR(Query!$B$4="All",'Compliance Database'!$A377=Query!$B$4),OR(Query!$B$5="All",'Compliance Database'!$F377=Query!$B$5),OR(Query!$B$6="All",ISNUMBER(SEARCH(Query!$B$6,'Compliance Database'!$I377))),OR(Query!$B$7="All",ISNUMBER(SEARCH(Query!$B$7,'Compliance Database'!$J377))),OR(Query!$B$8="All",'Compliance Database'!$G377=Query!$B$8),OR(Query!$B$9="All",'Compliance Database'!$K377=Query!$B$9),OR(Query!$B$10="",ISNUMBER(SEARCH(Query!$B$10,'Compliance Database'!$D377&amp;" "&amp;'Compliance Database'!$L377&amp;" "&amp;'Compliance Database'!$M377&amp;" "&amp;'Compliance Database'!$N377&amp;" "&amp;'Compliance Database'!$O377)))),1,0)</f>
        <v/>
      </c>
      <c r="B377">
        <f>IF($A377=1,SUM($A$2:$A377),"")</f>
        <v/>
      </c>
      <c r="C377">
        <f>IF($A377=1,SUM($A$2:$A377),0)</f>
        <v/>
      </c>
    </row>
    <row r="378">
      <c r="A378">
        <f>IF(AND(OR(Query!$B$4="All",'Compliance Database'!$A378=Query!$B$4),OR(Query!$B$5="All",'Compliance Database'!$F378=Query!$B$5),OR(Query!$B$6="All",ISNUMBER(SEARCH(Query!$B$6,'Compliance Database'!$I378))),OR(Query!$B$7="All",ISNUMBER(SEARCH(Query!$B$7,'Compliance Database'!$J378))),OR(Query!$B$8="All",'Compliance Database'!$G378=Query!$B$8),OR(Query!$B$9="All",'Compliance Database'!$K378=Query!$B$9),OR(Query!$B$10="",ISNUMBER(SEARCH(Query!$B$10,'Compliance Database'!$D378&amp;" "&amp;'Compliance Database'!$L378&amp;" "&amp;'Compliance Database'!$M378&amp;" "&amp;'Compliance Database'!$N378&amp;" "&amp;'Compliance Database'!$O378)))),1,0)</f>
        <v/>
      </c>
      <c r="B378">
        <f>IF($A378=1,SUM($A$2:$A378),"")</f>
        <v/>
      </c>
      <c r="C378">
        <f>IF($A378=1,SUM($A$2:$A378),0)</f>
        <v/>
      </c>
    </row>
    <row r="379">
      <c r="A379">
        <f>IF(AND(OR(Query!$B$4="All",'Compliance Database'!$A379=Query!$B$4),OR(Query!$B$5="All",'Compliance Database'!$F379=Query!$B$5),OR(Query!$B$6="All",ISNUMBER(SEARCH(Query!$B$6,'Compliance Database'!$I379))),OR(Query!$B$7="All",ISNUMBER(SEARCH(Query!$B$7,'Compliance Database'!$J379))),OR(Query!$B$8="All",'Compliance Database'!$G379=Query!$B$8),OR(Query!$B$9="All",'Compliance Database'!$K379=Query!$B$9),OR(Query!$B$10="",ISNUMBER(SEARCH(Query!$B$10,'Compliance Database'!$D379&amp;" "&amp;'Compliance Database'!$L379&amp;" "&amp;'Compliance Database'!$M379&amp;" "&amp;'Compliance Database'!$N379&amp;" "&amp;'Compliance Database'!$O379)))),1,0)</f>
        <v/>
      </c>
      <c r="B379">
        <f>IF($A379=1,SUM($A$2:$A379),"")</f>
        <v/>
      </c>
      <c r="C379">
        <f>IF($A379=1,SUM($A$2:$A379),0)</f>
        <v/>
      </c>
    </row>
    <row r="380">
      <c r="A380">
        <f>IF(AND(OR(Query!$B$4="All",'Compliance Database'!$A380=Query!$B$4),OR(Query!$B$5="All",'Compliance Database'!$F380=Query!$B$5),OR(Query!$B$6="All",ISNUMBER(SEARCH(Query!$B$6,'Compliance Database'!$I380))),OR(Query!$B$7="All",ISNUMBER(SEARCH(Query!$B$7,'Compliance Database'!$J380))),OR(Query!$B$8="All",'Compliance Database'!$G380=Query!$B$8),OR(Query!$B$9="All",'Compliance Database'!$K380=Query!$B$9),OR(Query!$B$10="",ISNUMBER(SEARCH(Query!$B$10,'Compliance Database'!$D380&amp;" "&amp;'Compliance Database'!$L380&amp;" "&amp;'Compliance Database'!$M380&amp;" "&amp;'Compliance Database'!$N380&amp;" "&amp;'Compliance Database'!$O380)))),1,0)</f>
        <v/>
      </c>
      <c r="B380">
        <f>IF($A380=1,SUM($A$2:$A380),"")</f>
        <v/>
      </c>
      <c r="C380">
        <f>IF($A380=1,SUM($A$2:$A380),0)</f>
        <v/>
      </c>
    </row>
    <row r="381">
      <c r="A381">
        <f>IF(AND(OR(Query!$B$4="All",'Compliance Database'!$A381=Query!$B$4),OR(Query!$B$5="All",'Compliance Database'!$F381=Query!$B$5),OR(Query!$B$6="All",ISNUMBER(SEARCH(Query!$B$6,'Compliance Database'!$I381))),OR(Query!$B$7="All",ISNUMBER(SEARCH(Query!$B$7,'Compliance Database'!$J381))),OR(Query!$B$8="All",'Compliance Database'!$G381=Query!$B$8),OR(Query!$B$9="All",'Compliance Database'!$K381=Query!$B$9),OR(Query!$B$10="",ISNUMBER(SEARCH(Query!$B$10,'Compliance Database'!$D381&amp;" "&amp;'Compliance Database'!$L381&amp;" "&amp;'Compliance Database'!$M381&amp;" "&amp;'Compliance Database'!$N381&amp;" "&amp;'Compliance Database'!$O381)))),1,0)</f>
        <v/>
      </c>
      <c r="B381">
        <f>IF($A381=1,SUM($A$2:$A381),"")</f>
        <v/>
      </c>
      <c r="C381">
        <f>IF($A381=1,SUM($A$2:$A381),0)</f>
        <v/>
      </c>
    </row>
    <row r="382">
      <c r="A382">
        <f>IF(AND(OR(Query!$B$4="All",'Compliance Database'!$A382=Query!$B$4),OR(Query!$B$5="All",'Compliance Database'!$F382=Query!$B$5),OR(Query!$B$6="All",ISNUMBER(SEARCH(Query!$B$6,'Compliance Database'!$I382))),OR(Query!$B$7="All",ISNUMBER(SEARCH(Query!$B$7,'Compliance Database'!$J382))),OR(Query!$B$8="All",'Compliance Database'!$G382=Query!$B$8),OR(Query!$B$9="All",'Compliance Database'!$K382=Query!$B$9),OR(Query!$B$10="",ISNUMBER(SEARCH(Query!$B$10,'Compliance Database'!$D382&amp;" "&amp;'Compliance Database'!$L382&amp;" "&amp;'Compliance Database'!$M382&amp;" "&amp;'Compliance Database'!$N382&amp;" "&amp;'Compliance Database'!$O382)))),1,0)</f>
        <v/>
      </c>
      <c r="B382">
        <f>IF($A382=1,SUM($A$2:$A382),"")</f>
        <v/>
      </c>
      <c r="C382">
        <f>IF($A382=1,SUM($A$2:$A382),0)</f>
        <v/>
      </c>
    </row>
    <row r="383">
      <c r="A383">
        <f>IF(AND(OR(Query!$B$4="All",'Compliance Database'!$A383=Query!$B$4),OR(Query!$B$5="All",'Compliance Database'!$F383=Query!$B$5),OR(Query!$B$6="All",ISNUMBER(SEARCH(Query!$B$6,'Compliance Database'!$I383))),OR(Query!$B$7="All",ISNUMBER(SEARCH(Query!$B$7,'Compliance Database'!$J383))),OR(Query!$B$8="All",'Compliance Database'!$G383=Query!$B$8),OR(Query!$B$9="All",'Compliance Database'!$K383=Query!$B$9),OR(Query!$B$10="",ISNUMBER(SEARCH(Query!$B$10,'Compliance Database'!$D383&amp;" "&amp;'Compliance Database'!$L383&amp;" "&amp;'Compliance Database'!$M383&amp;" "&amp;'Compliance Database'!$N383&amp;" "&amp;'Compliance Database'!$O383)))),1,0)</f>
        <v/>
      </c>
      <c r="B383">
        <f>IF($A383=1,SUM($A$2:$A383),"")</f>
        <v/>
      </c>
      <c r="C383">
        <f>IF($A383=1,SUM($A$2:$A383),0)</f>
        <v/>
      </c>
    </row>
    <row r="384">
      <c r="A384">
        <f>IF(AND(OR(Query!$B$4="All",'Compliance Database'!$A384=Query!$B$4),OR(Query!$B$5="All",'Compliance Database'!$F384=Query!$B$5),OR(Query!$B$6="All",ISNUMBER(SEARCH(Query!$B$6,'Compliance Database'!$I384))),OR(Query!$B$7="All",ISNUMBER(SEARCH(Query!$B$7,'Compliance Database'!$J384))),OR(Query!$B$8="All",'Compliance Database'!$G384=Query!$B$8),OR(Query!$B$9="All",'Compliance Database'!$K384=Query!$B$9),OR(Query!$B$10="",ISNUMBER(SEARCH(Query!$B$10,'Compliance Database'!$D384&amp;" "&amp;'Compliance Database'!$L384&amp;" "&amp;'Compliance Database'!$M384&amp;" "&amp;'Compliance Database'!$N384&amp;" "&amp;'Compliance Database'!$O384)))),1,0)</f>
        <v/>
      </c>
      <c r="B384">
        <f>IF($A384=1,SUM($A$2:$A384),"")</f>
        <v/>
      </c>
      <c r="C384">
        <f>IF($A384=1,SUM($A$2:$A384),0)</f>
        <v/>
      </c>
    </row>
    <row r="385">
      <c r="A385">
        <f>IF(AND(OR(Query!$B$4="All",'Compliance Database'!$A385=Query!$B$4),OR(Query!$B$5="All",'Compliance Database'!$F385=Query!$B$5),OR(Query!$B$6="All",ISNUMBER(SEARCH(Query!$B$6,'Compliance Database'!$I385))),OR(Query!$B$7="All",ISNUMBER(SEARCH(Query!$B$7,'Compliance Database'!$J385))),OR(Query!$B$8="All",'Compliance Database'!$G385=Query!$B$8),OR(Query!$B$9="All",'Compliance Database'!$K385=Query!$B$9),OR(Query!$B$10="",ISNUMBER(SEARCH(Query!$B$10,'Compliance Database'!$D385&amp;" "&amp;'Compliance Database'!$L385&amp;" "&amp;'Compliance Database'!$M385&amp;" "&amp;'Compliance Database'!$N385&amp;" "&amp;'Compliance Database'!$O385)))),1,0)</f>
        <v/>
      </c>
      <c r="B385">
        <f>IF($A385=1,SUM($A$2:$A385),"")</f>
        <v/>
      </c>
      <c r="C385">
        <f>IF($A385=1,SUM($A$2:$A385),0)</f>
        <v/>
      </c>
    </row>
    <row r="386">
      <c r="A386">
        <f>IF(AND(OR(Query!$B$4="All",'Compliance Database'!$A386=Query!$B$4),OR(Query!$B$5="All",'Compliance Database'!$F386=Query!$B$5),OR(Query!$B$6="All",ISNUMBER(SEARCH(Query!$B$6,'Compliance Database'!$I386))),OR(Query!$B$7="All",ISNUMBER(SEARCH(Query!$B$7,'Compliance Database'!$J386))),OR(Query!$B$8="All",'Compliance Database'!$G386=Query!$B$8),OR(Query!$B$9="All",'Compliance Database'!$K386=Query!$B$9),OR(Query!$B$10="",ISNUMBER(SEARCH(Query!$B$10,'Compliance Database'!$D386&amp;" "&amp;'Compliance Database'!$L386&amp;" "&amp;'Compliance Database'!$M386&amp;" "&amp;'Compliance Database'!$N386&amp;" "&amp;'Compliance Database'!$O386)))),1,0)</f>
        <v/>
      </c>
      <c r="B386">
        <f>IF($A386=1,SUM($A$2:$A386),"")</f>
        <v/>
      </c>
      <c r="C386">
        <f>IF($A386=1,SUM($A$2:$A386),0)</f>
        <v/>
      </c>
    </row>
    <row r="387">
      <c r="A387">
        <f>IF(AND(OR(Query!$B$4="All",'Compliance Database'!$A387=Query!$B$4),OR(Query!$B$5="All",'Compliance Database'!$F387=Query!$B$5),OR(Query!$B$6="All",ISNUMBER(SEARCH(Query!$B$6,'Compliance Database'!$I387))),OR(Query!$B$7="All",ISNUMBER(SEARCH(Query!$B$7,'Compliance Database'!$J387))),OR(Query!$B$8="All",'Compliance Database'!$G387=Query!$B$8),OR(Query!$B$9="All",'Compliance Database'!$K387=Query!$B$9),OR(Query!$B$10="",ISNUMBER(SEARCH(Query!$B$10,'Compliance Database'!$D387&amp;" "&amp;'Compliance Database'!$L387&amp;" "&amp;'Compliance Database'!$M387&amp;" "&amp;'Compliance Database'!$N387&amp;" "&amp;'Compliance Database'!$O387)))),1,0)</f>
        <v/>
      </c>
      <c r="B387">
        <f>IF($A387=1,SUM($A$2:$A387),"")</f>
        <v/>
      </c>
      <c r="C387">
        <f>IF($A387=1,SUM($A$2:$A387),0)</f>
        <v/>
      </c>
    </row>
    <row r="388">
      <c r="A388">
        <f>IF(AND(OR(Query!$B$4="All",'Compliance Database'!$A388=Query!$B$4),OR(Query!$B$5="All",'Compliance Database'!$F388=Query!$B$5),OR(Query!$B$6="All",ISNUMBER(SEARCH(Query!$B$6,'Compliance Database'!$I388))),OR(Query!$B$7="All",ISNUMBER(SEARCH(Query!$B$7,'Compliance Database'!$J388))),OR(Query!$B$8="All",'Compliance Database'!$G388=Query!$B$8),OR(Query!$B$9="All",'Compliance Database'!$K388=Query!$B$9),OR(Query!$B$10="",ISNUMBER(SEARCH(Query!$B$10,'Compliance Database'!$D388&amp;" "&amp;'Compliance Database'!$L388&amp;" "&amp;'Compliance Database'!$M388&amp;" "&amp;'Compliance Database'!$N388&amp;" "&amp;'Compliance Database'!$O388)))),1,0)</f>
        <v/>
      </c>
      <c r="B388">
        <f>IF($A388=1,SUM($A$2:$A388),"")</f>
        <v/>
      </c>
      <c r="C388">
        <f>IF($A388=1,SUM($A$2:$A388),0)</f>
        <v/>
      </c>
    </row>
    <row r="389">
      <c r="A389">
        <f>IF(AND(OR(Query!$B$4="All",'Compliance Database'!$A389=Query!$B$4),OR(Query!$B$5="All",'Compliance Database'!$F389=Query!$B$5),OR(Query!$B$6="All",ISNUMBER(SEARCH(Query!$B$6,'Compliance Database'!$I389))),OR(Query!$B$7="All",ISNUMBER(SEARCH(Query!$B$7,'Compliance Database'!$J389))),OR(Query!$B$8="All",'Compliance Database'!$G389=Query!$B$8),OR(Query!$B$9="All",'Compliance Database'!$K389=Query!$B$9),OR(Query!$B$10="",ISNUMBER(SEARCH(Query!$B$10,'Compliance Database'!$D389&amp;" "&amp;'Compliance Database'!$L389&amp;" "&amp;'Compliance Database'!$M389&amp;" "&amp;'Compliance Database'!$N389&amp;" "&amp;'Compliance Database'!$O389)))),1,0)</f>
        <v/>
      </c>
      <c r="B389">
        <f>IF($A389=1,SUM($A$2:$A389),"")</f>
        <v/>
      </c>
      <c r="C389">
        <f>IF($A389=1,SUM($A$2:$A389),0)</f>
        <v/>
      </c>
    </row>
    <row r="390">
      <c r="A390">
        <f>IF(AND(OR(Query!$B$4="All",'Compliance Database'!$A390=Query!$B$4),OR(Query!$B$5="All",'Compliance Database'!$F390=Query!$B$5),OR(Query!$B$6="All",ISNUMBER(SEARCH(Query!$B$6,'Compliance Database'!$I390))),OR(Query!$B$7="All",ISNUMBER(SEARCH(Query!$B$7,'Compliance Database'!$J390))),OR(Query!$B$8="All",'Compliance Database'!$G390=Query!$B$8),OR(Query!$B$9="All",'Compliance Database'!$K390=Query!$B$9),OR(Query!$B$10="",ISNUMBER(SEARCH(Query!$B$10,'Compliance Database'!$D390&amp;" "&amp;'Compliance Database'!$L390&amp;" "&amp;'Compliance Database'!$M390&amp;" "&amp;'Compliance Database'!$N390&amp;" "&amp;'Compliance Database'!$O390)))),1,0)</f>
        <v/>
      </c>
      <c r="B390">
        <f>IF($A390=1,SUM($A$2:$A390),"")</f>
        <v/>
      </c>
      <c r="C390">
        <f>IF($A390=1,SUM($A$2:$A390),0)</f>
        <v/>
      </c>
    </row>
    <row r="391">
      <c r="A391">
        <f>IF(AND(OR(Query!$B$4="All",'Compliance Database'!$A391=Query!$B$4),OR(Query!$B$5="All",'Compliance Database'!$F391=Query!$B$5),OR(Query!$B$6="All",ISNUMBER(SEARCH(Query!$B$6,'Compliance Database'!$I391))),OR(Query!$B$7="All",ISNUMBER(SEARCH(Query!$B$7,'Compliance Database'!$J391))),OR(Query!$B$8="All",'Compliance Database'!$G391=Query!$B$8),OR(Query!$B$9="All",'Compliance Database'!$K391=Query!$B$9),OR(Query!$B$10="",ISNUMBER(SEARCH(Query!$B$10,'Compliance Database'!$D391&amp;" "&amp;'Compliance Database'!$L391&amp;" "&amp;'Compliance Database'!$M391&amp;" "&amp;'Compliance Database'!$N391&amp;" "&amp;'Compliance Database'!$O391)))),1,0)</f>
        <v/>
      </c>
      <c r="B391">
        <f>IF($A391=1,SUM($A$2:$A391),"")</f>
        <v/>
      </c>
      <c r="C391">
        <f>IF($A391=1,SUM($A$2:$A391),0)</f>
        <v/>
      </c>
    </row>
    <row r="392">
      <c r="A392">
        <f>IF(AND(OR(Query!$B$4="All",'Compliance Database'!$A392=Query!$B$4),OR(Query!$B$5="All",'Compliance Database'!$F392=Query!$B$5),OR(Query!$B$6="All",ISNUMBER(SEARCH(Query!$B$6,'Compliance Database'!$I392))),OR(Query!$B$7="All",ISNUMBER(SEARCH(Query!$B$7,'Compliance Database'!$J392))),OR(Query!$B$8="All",'Compliance Database'!$G392=Query!$B$8),OR(Query!$B$9="All",'Compliance Database'!$K392=Query!$B$9),OR(Query!$B$10="",ISNUMBER(SEARCH(Query!$B$10,'Compliance Database'!$D392&amp;" "&amp;'Compliance Database'!$L392&amp;" "&amp;'Compliance Database'!$M392&amp;" "&amp;'Compliance Database'!$N392&amp;" "&amp;'Compliance Database'!$O392)))),1,0)</f>
        <v/>
      </c>
      <c r="B392">
        <f>IF($A392=1,SUM($A$2:$A392),"")</f>
        <v/>
      </c>
      <c r="C392">
        <f>IF($A392=1,SUM($A$2:$A392),0)</f>
        <v/>
      </c>
    </row>
    <row r="393">
      <c r="A393">
        <f>IF(AND(OR(Query!$B$4="All",'Compliance Database'!$A393=Query!$B$4),OR(Query!$B$5="All",'Compliance Database'!$F393=Query!$B$5),OR(Query!$B$6="All",ISNUMBER(SEARCH(Query!$B$6,'Compliance Database'!$I393))),OR(Query!$B$7="All",ISNUMBER(SEARCH(Query!$B$7,'Compliance Database'!$J393))),OR(Query!$B$8="All",'Compliance Database'!$G393=Query!$B$8),OR(Query!$B$9="All",'Compliance Database'!$K393=Query!$B$9),OR(Query!$B$10="",ISNUMBER(SEARCH(Query!$B$10,'Compliance Database'!$D393&amp;" "&amp;'Compliance Database'!$L393&amp;" "&amp;'Compliance Database'!$M393&amp;" "&amp;'Compliance Database'!$N393&amp;" "&amp;'Compliance Database'!$O393)))),1,0)</f>
        <v/>
      </c>
      <c r="B393">
        <f>IF($A393=1,SUM($A$2:$A393),"")</f>
        <v/>
      </c>
      <c r="C393">
        <f>IF($A393=1,SUM($A$2:$A393),0)</f>
        <v/>
      </c>
    </row>
    <row r="394">
      <c r="A394">
        <f>IF(AND(OR(Query!$B$4="All",'Compliance Database'!$A394=Query!$B$4),OR(Query!$B$5="All",'Compliance Database'!$F394=Query!$B$5),OR(Query!$B$6="All",ISNUMBER(SEARCH(Query!$B$6,'Compliance Database'!$I394))),OR(Query!$B$7="All",ISNUMBER(SEARCH(Query!$B$7,'Compliance Database'!$J394))),OR(Query!$B$8="All",'Compliance Database'!$G394=Query!$B$8),OR(Query!$B$9="All",'Compliance Database'!$K394=Query!$B$9),OR(Query!$B$10="",ISNUMBER(SEARCH(Query!$B$10,'Compliance Database'!$D394&amp;" "&amp;'Compliance Database'!$L394&amp;" "&amp;'Compliance Database'!$M394&amp;" "&amp;'Compliance Database'!$N394&amp;" "&amp;'Compliance Database'!$O394)))),1,0)</f>
        <v/>
      </c>
      <c r="B394">
        <f>IF($A394=1,SUM($A$2:$A394),"")</f>
        <v/>
      </c>
      <c r="C394">
        <f>IF($A394=1,SUM($A$2:$A394),0)</f>
        <v/>
      </c>
    </row>
    <row r="395">
      <c r="A395">
        <f>IF(AND(OR(Query!$B$4="All",'Compliance Database'!$A395=Query!$B$4),OR(Query!$B$5="All",'Compliance Database'!$F395=Query!$B$5),OR(Query!$B$6="All",ISNUMBER(SEARCH(Query!$B$6,'Compliance Database'!$I395))),OR(Query!$B$7="All",ISNUMBER(SEARCH(Query!$B$7,'Compliance Database'!$J395))),OR(Query!$B$8="All",'Compliance Database'!$G395=Query!$B$8),OR(Query!$B$9="All",'Compliance Database'!$K395=Query!$B$9),OR(Query!$B$10="",ISNUMBER(SEARCH(Query!$B$10,'Compliance Database'!$D395&amp;" "&amp;'Compliance Database'!$L395&amp;" "&amp;'Compliance Database'!$M395&amp;" "&amp;'Compliance Database'!$N395&amp;" "&amp;'Compliance Database'!$O395)))),1,0)</f>
        <v/>
      </c>
      <c r="B395">
        <f>IF($A395=1,SUM($A$2:$A395),"")</f>
        <v/>
      </c>
      <c r="C395">
        <f>IF($A395=1,SUM($A$2:$A395),0)</f>
        <v/>
      </c>
    </row>
    <row r="396">
      <c r="A396">
        <f>IF(AND(OR(Query!$B$4="All",'Compliance Database'!$A396=Query!$B$4),OR(Query!$B$5="All",'Compliance Database'!$F396=Query!$B$5),OR(Query!$B$6="All",ISNUMBER(SEARCH(Query!$B$6,'Compliance Database'!$I396))),OR(Query!$B$7="All",ISNUMBER(SEARCH(Query!$B$7,'Compliance Database'!$J396))),OR(Query!$B$8="All",'Compliance Database'!$G396=Query!$B$8),OR(Query!$B$9="All",'Compliance Database'!$K396=Query!$B$9),OR(Query!$B$10="",ISNUMBER(SEARCH(Query!$B$10,'Compliance Database'!$D396&amp;" "&amp;'Compliance Database'!$L396&amp;" "&amp;'Compliance Database'!$M396&amp;" "&amp;'Compliance Database'!$N396&amp;" "&amp;'Compliance Database'!$O396)))),1,0)</f>
        <v/>
      </c>
      <c r="B396">
        <f>IF($A396=1,SUM($A$2:$A396),"")</f>
        <v/>
      </c>
      <c r="C396">
        <f>IF($A396=1,SUM($A$2:$A396),0)</f>
        <v/>
      </c>
    </row>
    <row r="397">
      <c r="A397">
        <f>IF(AND(OR(Query!$B$4="All",'Compliance Database'!$A397=Query!$B$4),OR(Query!$B$5="All",'Compliance Database'!$F397=Query!$B$5),OR(Query!$B$6="All",ISNUMBER(SEARCH(Query!$B$6,'Compliance Database'!$I397))),OR(Query!$B$7="All",ISNUMBER(SEARCH(Query!$B$7,'Compliance Database'!$J397))),OR(Query!$B$8="All",'Compliance Database'!$G397=Query!$B$8),OR(Query!$B$9="All",'Compliance Database'!$K397=Query!$B$9),OR(Query!$B$10="",ISNUMBER(SEARCH(Query!$B$10,'Compliance Database'!$D397&amp;" "&amp;'Compliance Database'!$L397&amp;" "&amp;'Compliance Database'!$M397&amp;" "&amp;'Compliance Database'!$N397&amp;" "&amp;'Compliance Database'!$O397)))),1,0)</f>
        <v/>
      </c>
      <c r="B397">
        <f>IF($A397=1,SUM($A$2:$A397),"")</f>
        <v/>
      </c>
      <c r="C397">
        <f>IF($A397=1,SUM($A$2:$A397),0)</f>
        <v/>
      </c>
    </row>
    <row r="398">
      <c r="A398">
        <f>IF(AND(OR(Query!$B$4="All",'Compliance Database'!$A398=Query!$B$4),OR(Query!$B$5="All",'Compliance Database'!$F398=Query!$B$5),OR(Query!$B$6="All",ISNUMBER(SEARCH(Query!$B$6,'Compliance Database'!$I398))),OR(Query!$B$7="All",ISNUMBER(SEARCH(Query!$B$7,'Compliance Database'!$J398))),OR(Query!$B$8="All",'Compliance Database'!$G398=Query!$B$8),OR(Query!$B$9="All",'Compliance Database'!$K398=Query!$B$9),OR(Query!$B$10="",ISNUMBER(SEARCH(Query!$B$10,'Compliance Database'!$D398&amp;" "&amp;'Compliance Database'!$L398&amp;" "&amp;'Compliance Database'!$M398&amp;" "&amp;'Compliance Database'!$N398&amp;" "&amp;'Compliance Database'!$O398)))),1,0)</f>
        <v/>
      </c>
      <c r="B398">
        <f>IF($A398=1,SUM($A$2:$A398),"")</f>
        <v/>
      </c>
      <c r="C398">
        <f>IF($A398=1,SUM($A$2:$A398),0)</f>
        <v/>
      </c>
    </row>
    <row r="399">
      <c r="A399">
        <f>IF(AND(OR(Query!$B$4="All",'Compliance Database'!$A399=Query!$B$4),OR(Query!$B$5="All",'Compliance Database'!$F399=Query!$B$5),OR(Query!$B$6="All",ISNUMBER(SEARCH(Query!$B$6,'Compliance Database'!$I399))),OR(Query!$B$7="All",ISNUMBER(SEARCH(Query!$B$7,'Compliance Database'!$J399))),OR(Query!$B$8="All",'Compliance Database'!$G399=Query!$B$8),OR(Query!$B$9="All",'Compliance Database'!$K399=Query!$B$9),OR(Query!$B$10="",ISNUMBER(SEARCH(Query!$B$10,'Compliance Database'!$D399&amp;" "&amp;'Compliance Database'!$L399&amp;" "&amp;'Compliance Database'!$M399&amp;" "&amp;'Compliance Database'!$N399&amp;" "&amp;'Compliance Database'!$O399)))),1,0)</f>
        <v/>
      </c>
      <c r="B399">
        <f>IF($A399=1,SUM($A$2:$A399),"")</f>
        <v/>
      </c>
      <c r="C399">
        <f>IF($A399=1,SUM($A$2:$A399),0)</f>
        <v/>
      </c>
    </row>
    <row r="400">
      <c r="A400">
        <f>IF(AND(OR(Query!$B$4="All",'Compliance Database'!$A400=Query!$B$4),OR(Query!$B$5="All",'Compliance Database'!$F400=Query!$B$5),OR(Query!$B$6="All",ISNUMBER(SEARCH(Query!$B$6,'Compliance Database'!$I400))),OR(Query!$B$7="All",ISNUMBER(SEARCH(Query!$B$7,'Compliance Database'!$J400))),OR(Query!$B$8="All",'Compliance Database'!$G400=Query!$B$8),OR(Query!$B$9="All",'Compliance Database'!$K400=Query!$B$9),OR(Query!$B$10="",ISNUMBER(SEARCH(Query!$B$10,'Compliance Database'!$D400&amp;" "&amp;'Compliance Database'!$L400&amp;" "&amp;'Compliance Database'!$M400&amp;" "&amp;'Compliance Database'!$N400&amp;" "&amp;'Compliance Database'!$O400)))),1,0)</f>
        <v/>
      </c>
      <c r="B400">
        <f>IF($A400=1,SUM($A$2:$A400),"")</f>
        <v/>
      </c>
      <c r="C400">
        <f>IF($A400=1,SUM($A$2:$A400),0)</f>
        <v/>
      </c>
    </row>
    <row r="401">
      <c r="A401">
        <f>IF(AND(OR(Query!$B$4="All",'Compliance Database'!$A401=Query!$B$4),OR(Query!$B$5="All",'Compliance Database'!$F401=Query!$B$5),OR(Query!$B$6="All",ISNUMBER(SEARCH(Query!$B$6,'Compliance Database'!$I401))),OR(Query!$B$7="All",ISNUMBER(SEARCH(Query!$B$7,'Compliance Database'!$J401))),OR(Query!$B$8="All",'Compliance Database'!$G401=Query!$B$8),OR(Query!$B$9="All",'Compliance Database'!$K401=Query!$B$9),OR(Query!$B$10="",ISNUMBER(SEARCH(Query!$B$10,'Compliance Database'!$D401&amp;" "&amp;'Compliance Database'!$L401&amp;" "&amp;'Compliance Database'!$M401&amp;" "&amp;'Compliance Database'!$N401&amp;" "&amp;'Compliance Database'!$O401)))),1,0)</f>
        <v/>
      </c>
      <c r="B401">
        <f>IF($A401=1,SUM($A$2:$A401),"")</f>
        <v/>
      </c>
      <c r="C401">
        <f>IF($A401=1,SUM($A$2:$A401),0)</f>
        <v/>
      </c>
    </row>
    <row r="402">
      <c r="A402">
        <f>IF(AND(OR(Query!$B$4="All",'Compliance Database'!$A402=Query!$B$4),OR(Query!$B$5="All",'Compliance Database'!$F402=Query!$B$5),OR(Query!$B$6="All",ISNUMBER(SEARCH(Query!$B$6,'Compliance Database'!$I402))),OR(Query!$B$7="All",ISNUMBER(SEARCH(Query!$B$7,'Compliance Database'!$J402))),OR(Query!$B$8="All",'Compliance Database'!$G402=Query!$B$8),OR(Query!$B$9="All",'Compliance Database'!$K402=Query!$B$9),OR(Query!$B$10="",ISNUMBER(SEARCH(Query!$B$10,'Compliance Database'!$D402&amp;" "&amp;'Compliance Database'!$L402&amp;" "&amp;'Compliance Database'!$M402&amp;" "&amp;'Compliance Database'!$N402&amp;" "&amp;'Compliance Database'!$O402)))),1,0)</f>
        <v/>
      </c>
      <c r="B402">
        <f>IF($A402=1,SUM($A$2:$A402),"")</f>
        <v/>
      </c>
      <c r="C402">
        <f>IF($A402=1,SUM($A$2:$A402),0)</f>
        <v/>
      </c>
    </row>
    <row r="403">
      <c r="A403">
        <f>IF(AND(OR(Query!$B$4="All",'Compliance Database'!$A403=Query!$B$4),OR(Query!$B$5="All",'Compliance Database'!$F403=Query!$B$5),OR(Query!$B$6="All",ISNUMBER(SEARCH(Query!$B$6,'Compliance Database'!$I403))),OR(Query!$B$7="All",ISNUMBER(SEARCH(Query!$B$7,'Compliance Database'!$J403))),OR(Query!$B$8="All",'Compliance Database'!$G403=Query!$B$8),OR(Query!$B$9="All",'Compliance Database'!$K403=Query!$B$9),OR(Query!$B$10="",ISNUMBER(SEARCH(Query!$B$10,'Compliance Database'!$D403&amp;" "&amp;'Compliance Database'!$L403&amp;" "&amp;'Compliance Database'!$M403&amp;" "&amp;'Compliance Database'!$N403&amp;" "&amp;'Compliance Database'!$O403)))),1,0)</f>
        <v/>
      </c>
      <c r="B403">
        <f>IF($A403=1,SUM($A$2:$A403),"")</f>
        <v/>
      </c>
      <c r="C403">
        <f>IF($A403=1,SUM($A$2:$A403),0)</f>
        <v/>
      </c>
    </row>
    <row r="404">
      <c r="A404">
        <f>IF(AND(OR(Query!$B$4="All",'Compliance Database'!$A404=Query!$B$4),OR(Query!$B$5="All",'Compliance Database'!$F404=Query!$B$5),OR(Query!$B$6="All",ISNUMBER(SEARCH(Query!$B$6,'Compliance Database'!$I404))),OR(Query!$B$7="All",ISNUMBER(SEARCH(Query!$B$7,'Compliance Database'!$J404))),OR(Query!$B$8="All",'Compliance Database'!$G404=Query!$B$8),OR(Query!$B$9="All",'Compliance Database'!$K404=Query!$B$9),OR(Query!$B$10="",ISNUMBER(SEARCH(Query!$B$10,'Compliance Database'!$D404&amp;" "&amp;'Compliance Database'!$L404&amp;" "&amp;'Compliance Database'!$M404&amp;" "&amp;'Compliance Database'!$N404&amp;" "&amp;'Compliance Database'!$O404)))),1,0)</f>
        <v/>
      </c>
      <c r="B404">
        <f>IF($A404=1,SUM($A$2:$A404),"")</f>
        <v/>
      </c>
      <c r="C404">
        <f>IF($A404=1,SUM($A$2:$A404),0)</f>
        <v/>
      </c>
    </row>
    <row r="405">
      <c r="A405">
        <f>IF(AND(OR(Query!$B$4="All",'Compliance Database'!$A405=Query!$B$4),OR(Query!$B$5="All",'Compliance Database'!$F405=Query!$B$5),OR(Query!$B$6="All",ISNUMBER(SEARCH(Query!$B$6,'Compliance Database'!$I405))),OR(Query!$B$7="All",ISNUMBER(SEARCH(Query!$B$7,'Compliance Database'!$J405))),OR(Query!$B$8="All",'Compliance Database'!$G405=Query!$B$8),OR(Query!$B$9="All",'Compliance Database'!$K405=Query!$B$9),OR(Query!$B$10="",ISNUMBER(SEARCH(Query!$B$10,'Compliance Database'!$D405&amp;" "&amp;'Compliance Database'!$L405&amp;" "&amp;'Compliance Database'!$M405&amp;" "&amp;'Compliance Database'!$N405&amp;" "&amp;'Compliance Database'!$O405)))),1,0)</f>
        <v/>
      </c>
      <c r="B405">
        <f>IF($A405=1,SUM($A$2:$A405),"")</f>
        <v/>
      </c>
      <c r="C405">
        <f>IF($A405=1,SUM($A$2:$A405),0)</f>
        <v/>
      </c>
    </row>
    <row r="406">
      <c r="A406">
        <f>IF(AND(OR(Query!$B$4="All",'Compliance Database'!$A406=Query!$B$4),OR(Query!$B$5="All",'Compliance Database'!$F406=Query!$B$5),OR(Query!$B$6="All",ISNUMBER(SEARCH(Query!$B$6,'Compliance Database'!$I406))),OR(Query!$B$7="All",ISNUMBER(SEARCH(Query!$B$7,'Compliance Database'!$J406))),OR(Query!$B$8="All",'Compliance Database'!$G406=Query!$B$8),OR(Query!$B$9="All",'Compliance Database'!$K406=Query!$B$9),OR(Query!$B$10="",ISNUMBER(SEARCH(Query!$B$10,'Compliance Database'!$D406&amp;" "&amp;'Compliance Database'!$L406&amp;" "&amp;'Compliance Database'!$M406&amp;" "&amp;'Compliance Database'!$N406&amp;" "&amp;'Compliance Database'!$O406)))),1,0)</f>
        <v/>
      </c>
      <c r="B406">
        <f>IF($A406=1,SUM($A$2:$A406),"")</f>
        <v/>
      </c>
      <c r="C406">
        <f>IF($A406=1,SUM($A$2:$A406),0)</f>
        <v/>
      </c>
    </row>
    <row r="407">
      <c r="A407">
        <f>IF(AND(OR(Query!$B$4="All",'Compliance Database'!$A407=Query!$B$4),OR(Query!$B$5="All",'Compliance Database'!$F407=Query!$B$5),OR(Query!$B$6="All",ISNUMBER(SEARCH(Query!$B$6,'Compliance Database'!$I407))),OR(Query!$B$7="All",ISNUMBER(SEARCH(Query!$B$7,'Compliance Database'!$J407))),OR(Query!$B$8="All",'Compliance Database'!$G407=Query!$B$8),OR(Query!$B$9="All",'Compliance Database'!$K407=Query!$B$9),OR(Query!$B$10="",ISNUMBER(SEARCH(Query!$B$10,'Compliance Database'!$D407&amp;" "&amp;'Compliance Database'!$L407&amp;" "&amp;'Compliance Database'!$M407&amp;" "&amp;'Compliance Database'!$N407&amp;" "&amp;'Compliance Database'!$O407)))),1,0)</f>
        <v/>
      </c>
      <c r="B407">
        <f>IF($A407=1,SUM($A$2:$A407),"")</f>
        <v/>
      </c>
      <c r="C407">
        <f>IF($A407=1,SUM($A$2:$A407),0)</f>
        <v/>
      </c>
    </row>
    <row r="408">
      <c r="A408">
        <f>IF(AND(OR(Query!$B$4="All",'Compliance Database'!$A408=Query!$B$4),OR(Query!$B$5="All",'Compliance Database'!$F408=Query!$B$5),OR(Query!$B$6="All",ISNUMBER(SEARCH(Query!$B$6,'Compliance Database'!$I408))),OR(Query!$B$7="All",ISNUMBER(SEARCH(Query!$B$7,'Compliance Database'!$J408))),OR(Query!$B$8="All",'Compliance Database'!$G408=Query!$B$8),OR(Query!$B$9="All",'Compliance Database'!$K408=Query!$B$9),OR(Query!$B$10="",ISNUMBER(SEARCH(Query!$B$10,'Compliance Database'!$D408&amp;" "&amp;'Compliance Database'!$L408&amp;" "&amp;'Compliance Database'!$M408&amp;" "&amp;'Compliance Database'!$N408&amp;" "&amp;'Compliance Database'!$O408)))),1,0)</f>
        <v/>
      </c>
      <c r="B408">
        <f>IF($A408=1,SUM($A$2:$A408),"")</f>
        <v/>
      </c>
      <c r="C408">
        <f>IF($A408=1,SUM($A$2:$A408),0)</f>
        <v/>
      </c>
    </row>
    <row r="409">
      <c r="A409">
        <f>IF(AND(OR(Query!$B$4="All",'Compliance Database'!$A409=Query!$B$4),OR(Query!$B$5="All",'Compliance Database'!$F409=Query!$B$5),OR(Query!$B$6="All",ISNUMBER(SEARCH(Query!$B$6,'Compliance Database'!$I409))),OR(Query!$B$7="All",ISNUMBER(SEARCH(Query!$B$7,'Compliance Database'!$J409))),OR(Query!$B$8="All",'Compliance Database'!$G409=Query!$B$8),OR(Query!$B$9="All",'Compliance Database'!$K409=Query!$B$9),OR(Query!$B$10="",ISNUMBER(SEARCH(Query!$B$10,'Compliance Database'!$D409&amp;" "&amp;'Compliance Database'!$L409&amp;" "&amp;'Compliance Database'!$M409&amp;" "&amp;'Compliance Database'!$N409&amp;" "&amp;'Compliance Database'!$O409)))),1,0)</f>
        <v/>
      </c>
      <c r="B409">
        <f>IF($A409=1,SUM($A$2:$A409),"")</f>
        <v/>
      </c>
      <c r="C409">
        <f>IF($A409=1,SUM($A$2:$A409),0)</f>
        <v/>
      </c>
    </row>
    <row r="410">
      <c r="A410">
        <f>IF(AND(OR(Query!$B$4="All",'Compliance Database'!$A410=Query!$B$4),OR(Query!$B$5="All",'Compliance Database'!$F410=Query!$B$5),OR(Query!$B$6="All",ISNUMBER(SEARCH(Query!$B$6,'Compliance Database'!$I410))),OR(Query!$B$7="All",ISNUMBER(SEARCH(Query!$B$7,'Compliance Database'!$J410))),OR(Query!$B$8="All",'Compliance Database'!$G410=Query!$B$8),OR(Query!$B$9="All",'Compliance Database'!$K410=Query!$B$9),OR(Query!$B$10="",ISNUMBER(SEARCH(Query!$B$10,'Compliance Database'!$D410&amp;" "&amp;'Compliance Database'!$L410&amp;" "&amp;'Compliance Database'!$M410&amp;" "&amp;'Compliance Database'!$N410&amp;" "&amp;'Compliance Database'!$O410)))),1,0)</f>
        <v/>
      </c>
      <c r="B410">
        <f>IF($A410=1,SUM($A$2:$A410),"")</f>
        <v/>
      </c>
      <c r="C410">
        <f>IF($A410=1,SUM($A$2:$A410),0)</f>
        <v/>
      </c>
    </row>
    <row r="411">
      <c r="A411">
        <f>IF(AND(OR(Query!$B$4="All",'Compliance Database'!$A411=Query!$B$4),OR(Query!$B$5="All",'Compliance Database'!$F411=Query!$B$5),OR(Query!$B$6="All",ISNUMBER(SEARCH(Query!$B$6,'Compliance Database'!$I411))),OR(Query!$B$7="All",ISNUMBER(SEARCH(Query!$B$7,'Compliance Database'!$J411))),OR(Query!$B$8="All",'Compliance Database'!$G411=Query!$B$8),OR(Query!$B$9="All",'Compliance Database'!$K411=Query!$B$9),OR(Query!$B$10="",ISNUMBER(SEARCH(Query!$B$10,'Compliance Database'!$D411&amp;" "&amp;'Compliance Database'!$L411&amp;" "&amp;'Compliance Database'!$M411&amp;" "&amp;'Compliance Database'!$N411&amp;" "&amp;'Compliance Database'!$O411)))),1,0)</f>
        <v/>
      </c>
      <c r="B411">
        <f>IF($A411=1,SUM($A$2:$A411),"")</f>
        <v/>
      </c>
      <c r="C411">
        <f>IF($A411=1,SUM($A$2:$A411),0)</f>
        <v/>
      </c>
    </row>
    <row r="412">
      <c r="A412">
        <f>IF(AND(OR(Query!$B$4="All",'Compliance Database'!$A412=Query!$B$4),OR(Query!$B$5="All",'Compliance Database'!$F412=Query!$B$5),OR(Query!$B$6="All",ISNUMBER(SEARCH(Query!$B$6,'Compliance Database'!$I412))),OR(Query!$B$7="All",ISNUMBER(SEARCH(Query!$B$7,'Compliance Database'!$J412))),OR(Query!$B$8="All",'Compliance Database'!$G412=Query!$B$8),OR(Query!$B$9="All",'Compliance Database'!$K412=Query!$B$9),OR(Query!$B$10="",ISNUMBER(SEARCH(Query!$B$10,'Compliance Database'!$D412&amp;" "&amp;'Compliance Database'!$L412&amp;" "&amp;'Compliance Database'!$M412&amp;" "&amp;'Compliance Database'!$N412&amp;" "&amp;'Compliance Database'!$O412)))),1,0)</f>
        <v/>
      </c>
      <c r="B412">
        <f>IF($A412=1,SUM($A$2:$A412),"")</f>
        <v/>
      </c>
      <c r="C412">
        <f>IF($A412=1,SUM($A$2:$A412),0)</f>
        <v/>
      </c>
    </row>
    <row r="413">
      <c r="A413">
        <f>IF(AND(OR(Query!$B$4="All",'Compliance Database'!$A413=Query!$B$4),OR(Query!$B$5="All",'Compliance Database'!$F413=Query!$B$5),OR(Query!$B$6="All",ISNUMBER(SEARCH(Query!$B$6,'Compliance Database'!$I413))),OR(Query!$B$7="All",ISNUMBER(SEARCH(Query!$B$7,'Compliance Database'!$J413))),OR(Query!$B$8="All",'Compliance Database'!$G413=Query!$B$8),OR(Query!$B$9="All",'Compliance Database'!$K413=Query!$B$9),OR(Query!$B$10="",ISNUMBER(SEARCH(Query!$B$10,'Compliance Database'!$D413&amp;" "&amp;'Compliance Database'!$L413&amp;" "&amp;'Compliance Database'!$M413&amp;" "&amp;'Compliance Database'!$N413&amp;" "&amp;'Compliance Database'!$O413)))),1,0)</f>
        <v/>
      </c>
      <c r="B413">
        <f>IF($A413=1,SUM($A$2:$A413),"")</f>
        <v/>
      </c>
      <c r="C413">
        <f>IF($A413=1,SUM($A$2:$A413),0)</f>
        <v/>
      </c>
    </row>
    <row r="414">
      <c r="A414">
        <f>IF(AND(OR(Query!$B$4="All",'Compliance Database'!$A414=Query!$B$4),OR(Query!$B$5="All",'Compliance Database'!$F414=Query!$B$5),OR(Query!$B$6="All",ISNUMBER(SEARCH(Query!$B$6,'Compliance Database'!$I414))),OR(Query!$B$7="All",ISNUMBER(SEARCH(Query!$B$7,'Compliance Database'!$J414))),OR(Query!$B$8="All",'Compliance Database'!$G414=Query!$B$8),OR(Query!$B$9="All",'Compliance Database'!$K414=Query!$B$9),OR(Query!$B$10="",ISNUMBER(SEARCH(Query!$B$10,'Compliance Database'!$D414&amp;" "&amp;'Compliance Database'!$L414&amp;" "&amp;'Compliance Database'!$M414&amp;" "&amp;'Compliance Database'!$N414&amp;" "&amp;'Compliance Database'!$O414)))),1,0)</f>
        <v/>
      </c>
      <c r="B414">
        <f>IF($A414=1,SUM($A$2:$A414),"")</f>
        <v/>
      </c>
      <c r="C414">
        <f>IF($A414=1,SUM($A$2:$A414),0)</f>
        <v/>
      </c>
    </row>
    <row r="415">
      <c r="A415">
        <f>IF(AND(OR(Query!$B$4="All",'Compliance Database'!$A415=Query!$B$4),OR(Query!$B$5="All",'Compliance Database'!$F415=Query!$B$5),OR(Query!$B$6="All",ISNUMBER(SEARCH(Query!$B$6,'Compliance Database'!$I415))),OR(Query!$B$7="All",ISNUMBER(SEARCH(Query!$B$7,'Compliance Database'!$J415))),OR(Query!$B$8="All",'Compliance Database'!$G415=Query!$B$8),OR(Query!$B$9="All",'Compliance Database'!$K415=Query!$B$9),OR(Query!$B$10="",ISNUMBER(SEARCH(Query!$B$10,'Compliance Database'!$D415&amp;" "&amp;'Compliance Database'!$L415&amp;" "&amp;'Compliance Database'!$M415&amp;" "&amp;'Compliance Database'!$N415&amp;" "&amp;'Compliance Database'!$O415)))),1,0)</f>
        <v/>
      </c>
      <c r="B415">
        <f>IF($A415=1,SUM($A$2:$A415),"")</f>
        <v/>
      </c>
      <c r="C415">
        <f>IF($A415=1,SUM($A$2:$A415),0)</f>
        <v/>
      </c>
    </row>
    <row r="416">
      <c r="A416">
        <f>IF(AND(OR(Query!$B$4="All",'Compliance Database'!$A416=Query!$B$4),OR(Query!$B$5="All",'Compliance Database'!$F416=Query!$B$5),OR(Query!$B$6="All",ISNUMBER(SEARCH(Query!$B$6,'Compliance Database'!$I416))),OR(Query!$B$7="All",ISNUMBER(SEARCH(Query!$B$7,'Compliance Database'!$J416))),OR(Query!$B$8="All",'Compliance Database'!$G416=Query!$B$8),OR(Query!$B$9="All",'Compliance Database'!$K416=Query!$B$9),OR(Query!$B$10="",ISNUMBER(SEARCH(Query!$B$10,'Compliance Database'!$D416&amp;" "&amp;'Compliance Database'!$L416&amp;" "&amp;'Compliance Database'!$M416&amp;" "&amp;'Compliance Database'!$N416&amp;" "&amp;'Compliance Database'!$O416)))),1,0)</f>
        <v/>
      </c>
      <c r="B416">
        <f>IF($A416=1,SUM($A$2:$A416),"")</f>
        <v/>
      </c>
      <c r="C416">
        <f>IF($A416=1,SUM($A$2:$A416),0)</f>
        <v/>
      </c>
    </row>
    <row r="417">
      <c r="A417">
        <f>IF(AND(OR(Query!$B$4="All",'Compliance Database'!$A417=Query!$B$4),OR(Query!$B$5="All",'Compliance Database'!$F417=Query!$B$5),OR(Query!$B$6="All",ISNUMBER(SEARCH(Query!$B$6,'Compliance Database'!$I417))),OR(Query!$B$7="All",ISNUMBER(SEARCH(Query!$B$7,'Compliance Database'!$J417))),OR(Query!$B$8="All",'Compliance Database'!$G417=Query!$B$8),OR(Query!$B$9="All",'Compliance Database'!$K417=Query!$B$9),OR(Query!$B$10="",ISNUMBER(SEARCH(Query!$B$10,'Compliance Database'!$D417&amp;" "&amp;'Compliance Database'!$L417&amp;" "&amp;'Compliance Database'!$M417&amp;" "&amp;'Compliance Database'!$N417&amp;" "&amp;'Compliance Database'!$O417)))),1,0)</f>
        <v/>
      </c>
      <c r="B417">
        <f>IF($A417=1,SUM($A$2:$A417),"")</f>
        <v/>
      </c>
      <c r="C417">
        <f>IF($A417=1,SUM($A$2:$A417),0)</f>
        <v/>
      </c>
    </row>
    <row r="418">
      <c r="A418">
        <f>IF(AND(OR(Query!$B$4="All",'Compliance Database'!$A418=Query!$B$4),OR(Query!$B$5="All",'Compliance Database'!$F418=Query!$B$5),OR(Query!$B$6="All",ISNUMBER(SEARCH(Query!$B$6,'Compliance Database'!$I418))),OR(Query!$B$7="All",ISNUMBER(SEARCH(Query!$B$7,'Compliance Database'!$J418))),OR(Query!$B$8="All",'Compliance Database'!$G418=Query!$B$8),OR(Query!$B$9="All",'Compliance Database'!$K418=Query!$B$9),OR(Query!$B$10="",ISNUMBER(SEARCH(Query!$B$10,'Compliance Database'!$D418&amp;" "&amp;'Compliance Database'!$L418&amp;" "&amp;'Compliance Database'!$M418&amp;" "&amp;'Compliance Database'!$N418&amp;" "&amp;'Compliance Database'!$O418)))),1,0)</f>
        <v/>
      </c>
      <c r="B418">
        <f>IF($A418=1,SUM($A$2:$A418),"")</f>
        <v/>
      </c>
      <c r="C418">
        <f>IF($A418=1,SUM($A$2:$A418),0)</f>
        <v/>
      </c>
    </row>
    <row r="419">
      <c r="A419">
        <f>IF(AND(OR(Query!$B$4="All",'Compliance Database'!$A419=Query!$B$4),OR(Query!$B$5="All",'Compliance Database'!$F419=Query!$B$5),OR(Query!$B$6="All",ISNUMBER(SEARCH(Query!$B$6,'Compliance Database'!$I419))),OR(Query!$B$7="All",ISNUMBER(SEARCH(Query!$B$7,'Compliance Database'!$J419))),OR(Query!$B$8="All",'Compliance Database'!$G419=Query!$B$8),OR(Query!$B$9="All",'Compliance Database'!$K419=Query!$B$9),OR(Query!$B$10="",ISNUMBER(SEARCH(Query!$B$10,'Compliance Database'!$D419&amp;" "&amp;'Compliance Database'!$L419&amp;" "&amp;'Compliance Database'!$M419&amp;" "&amp;'Compliance Database'!$N419&amp;" "&amp;'Compliance Database'!$O419)))),1,0)</f>
        <v/>
      </c>
      <c r="B419">
        <f>IF($A419=1,SUM($A$2:$A419),"")</f>
        <v/>
      </c>
      <c r="C419">
        <f>IF($A419=1,SUM($A$2:$A419),0)</f>
        <v/>
      </c>
    </row>
    <row r="420">
      <c r="A420">
        <f>IF(AND(OR(Query!$B$4="All",'Compliance Database'!$A420=Query!$B$4),OR(Query!$B$5="All",'Compliance Database'!$F420=Query!$B$5),OR(Query!$B$6="All",ISNUMBER(SEARCH(Query!$B$6,'Compliance Database'!$I420))),OR(Query!$B$7="All",ISNUMBER(SEARCH(Query!$B$7,'Compliance Database'!$J420))),OR(Query!$B$8="All",'Compliance Database'!$G420=Query!$B$8),OR(Query!$B$9="All",'Compliance Database'!$K420=Query!$B$9),OR(Query!$B$10="",ISNUMBER(SEARCH(Query!$B$10,'Compliance Database'!$D420&amp;" "&amp;'Compliance Database'!$L420&amp;" "&amp;'Compliance Database'!$M420&amp;" "&amp;'Compliance Database'!$N420&amp;" "&amp;'Compliance Database'!$O420)))),1,0)</f>
        <v/>
      </c>
      <c r="B420">
        <f>IF($A420=1,SUM($A$2:$A420),"")</f>
        <v/>
      </c>
      <c r="C420">
        <f>IF($A420=1,SUM($A$2:$A420),0)</f>
        <v/>
      </c>
    </row>
    <row r="421">
      <c r="A421">
        <f>IF(AND(OR(Query!$B$4="All",'Compliance Database'!$A421=Query!$B$4),OR(Query!$B$5="All",'Compliance Database'!$F421=Query!$B$5),OR(Query!$B$6="All",ISNUMBER(SEARCH(Query!$B$6,'Compliance Database'!$I421))),OR(Query!$B$7="All",ISNUMBER(SEARCH(Query!$B$7,'Compliance Database'!$J421))),OR(Query!$B$8="All",'Compliance Database'!$G421=Query!$B$8),OR(Query!$B$9="All",'Compliance Database'!$K421=Query!$B$9),OR(Query!$B$10="",ISNUMBER(SEARCH(Query!$B$10,'Compliance Database'!$D421&amp;" "&amp;'Compliance Database'!$L421&amp;" "&amp;'Compliance Database'!$M421&amp;" "&amp;'Compliance Database'!$N421&amp;" "&amp;'Compliance Database'!$O421)))),1,0)</f>
        <v/>
      </c>
      <c r="B421">
        <f>IF($A421=1,SUM($A$2:$A421),"")</f>
        <v/>
      </c>
      <c r="C421">
        <f>IF($A421=1,SUM($A$2:$A421),0)</f>
        <v/>
      </c>
    </row>
    <row r="422">
      <c r="A422">
        <f>IF(AND(OR(Query!$B$4="All",'Compliance Database'!$A422=Query!$B$4),OR(Query!$B$5="All",'Compliance Database'!$F422=Query!$B$5),OR(Query!$B$6="All",ISNUMBER(SEARCH(Query!$B$6,'Compliance Database'!$I422))),OR(Query!$B$7="All",ISNUMBER(SEARCH(Query!$B$7,'Compliance Database'!$J422))),OR(Query!$B$8="All",'Compliance Database'!$G422=Query!$B$8),OR(Query!$B$9="All",'Compliance Database'!$K422=Query!$B$9),OR(Query!$B$10="",ISNUMBER(SEARCH(Query!$B$10,'Compliance Database'!$D422&amp;" "&amp;'Compliance Database'!$L422&amp;" "&amp;'Compliance Database'!$M422&amp;" "&amp;'Compliance Database'!$N422&amp;" "&amp;'Compliance Database'!$O422)))),1,0)</f>
        <v/>
      </c>
      <c r="B422">
        <f>IF($A422=1,SUM($A$2:$A422),"")</f>
        <v/>
      </c>
      <c r="C422">
        <f>IF($A422=1,SUM($A$2:$A422),0)</f>
        <v/>
      </c>
    </row>
    <row r="423">
      <c r="A423">
        <f>IF(AND(OR(Query!$B$4="All",'Compliance Database'!$A423=Query!$B$4),OR(Query!$B$5="All",'Compliance Database'!$F423=Query!$B$5),OR(Query!$B$6="All",ISNUMBER(SEARCH(Query!$B$6,'Compliance Database'!$I423))),OR(Query!$B$7="All",ISNUMBER(SEARCH(Query!$B$7,'Compliance Database'!$J423))),OR(Query!$B$8="All",'Compliance Database'!$G423=Query!$B$8),OR(Query!$B$9="All",'Compliance Database'!$K423=Query!$B$9),OR(Query!$B$10="",ISNUMBER(SEARCH(Query!$B$10,'Compliance Database'!$D423&amp;" "&amp;'Compliance Database'!$L423&amp;" "&amp;'Compliance Database'!$M423&amp;" "&amp;'Compliance Database'!$N423&amp;" "&amp;'Compliance Database'!$O423)))),1,0)</f>
        <v/>
      </c>
      <c r="B423">
        <f>IF($A423=1,SUM($A$2:$A423),"")</f>
        <v/>
      </c>
      <c r="C423">
        <f>IF($A423=1,SUM($A$2:$A423),0)</f>
        <v/>
      </c>
    </row>
    <row r="424">
      <c r="A424">
        <f>IF(AND(OR(Query!$B$4="All",'Compliance Database'!$A424=Query!$B$4),OR(Query!$B$5="All",'Compliance Database'!$F424=Query!$B$5),OR(Query!$B$6="All",ISNUMBER(SEARCH(Query!$B$6,'Compliance Database'!$I424))),OR(Query!$B$7="All",ISNUMBER(SEARCH(Query!$B$7,'Compliance Database'!$J424))),OR(Query!$B$8="All",'Compliance Database'!$G424=Query!$B$8),OR(Query!$B$9="All",'Compliance Database'!$K424=Query!$B$9),OR(Query!$B$10="",ISNUMBER(SEARCH(Query!$B$10,'Compliance Database'!$D424&amp;" "&amp;'Compliance Database'!$L424&amp;" "&amp;'Compliance Database'!$M424&amp;" "&amp;'Compliance Database'!$N424&amp;" "&amp;'Compliance Database'!$O424)))),1,0)</f>
        <v/>
      </c>
      <c r="B424">
        <f>IF($A424=1,SUM($A$2:$A424),"")</f>
        <v/>
      </c>
      <c r="C424">
        <f>IF($A424=1,SUM($A$2:$A424),0)</f>
        <v/>
      </c>
    </row>
    <row r="425">
      <c r="A425">
        <f>IF(AND(OR(Query!$B$4="All",'Compliance Database'!$A425=Query!$B$4),OR(Query!$B$5="All",'Compliance Database'!$F425=Query!$B$5),OR(Query!$B$6="All",ISNUMBER(SEARCH(Query!$B$6,'Compliance Database'!$I425))),OR(Query!$B$7="All",ISNUMBER(SEARCH(Query!$B$7,'Compliance Database'!$J425))),OR(Query!$B$8="All",'Compliance Database'!$G425=Query!$B$8),OR(Query!$B$9="All",'Compliance Database'!$K425=Query!$B$9),OR(Query!$B$10="",ISNUMBER(SEARCH(Query!$B$10,'Compliance Database'!$D425&amp;" "&amp;'Compliance Database'!$L425&amp;" "&amp;'Compliance Database'!$M425&amp;" "&amp;'Compliance Database'!$N425&amp;" "&amp;'Compliance Database'!$O425)))),1,0)</f>
        <v/>
      </c>
      <c r="B425">
        <f>IF($A425=1,SUM($A$2:$A425),"")</f>
        <v/>
      </c>
      <c r="C425">
        <f>IF($A425=1,SUM($A$2:$A425),0)</f>
        <v/>
      </c>
    </row>
    <row r="426">
      <c r="A426">
        <f>IF(AND(OR(Query!$B$4="All",'Compliance Database'!$A426=Query!$B$4),OR(Query!$B$5="All",'Compliance Database'!$F426=Query!$B$5),OR(Query!$B$6="All",ISNUMBER(SEARCH(Query!$B$6,'Compliance Database'!$I426))),OR(Query!$B$7="All",ISNUMBER(SEARCH(Query!$B$7,'Compliance Database'!$J426))),OR(Query!$B$8="All",'Compliance Database'!$G426=Query!$B$8),OR(Query!$B$9="All",'Compliance Database'!$K426=Query!$B$9),OR(Query!$B$10="",ISNUMBER(SEARCH(Query!$B$10,'Compliance Database'!$D426&amp;" "&amp;'Compliance Database'!$L426&amp;" "&amp;'Compliance Database'!$M426&amp;" "&amp;'Compliance Database'!$N426&amp;" "&amp;'Compliance Database'!$O426)))),1,0)</f>
        <v/>
      </c>
      <c r="B426">
        <f>IF($A426=1,SUM($A$2:$A426),"")</f>
        <v/>
      </c>
      <c r="C426">
        <f>IF($A426=1,SUM($A$2:$A426),0)</f>
        <v/>
      </c>
    </row>
    <row r="427">
      <c r="A427">
        <f>IF(AND(OR(Query!$B$4="All",'Compliance Database'!$A427=Query!$B$4),OR(Query!$B$5="All",'Compliance Database'!$F427=Query!$B$5),OR(Query!$B$6="All",ISNUMBER(SEARCH(Query!$B$6,'Compliance Database'!$I427))),OR(Query!$B$7="All",ISNUMBER(SEARCH(Query!$B$7,'Compliance Database'!$J427))),OR(Query!$B$8="All",'Compliance Database'!$G427=Query!$B$8),OR(Query!$B$9="All",'Compliance Database'!$K427=Query!$B$9),OR(Query!$B$10="",ISNUMBER(SEARCH(Query!$B$10,'Compliance Database'!$D427&amp;" "&amp;'Compliance Database'!$L427&amp;" "&amp;'Compliance Database'!$M427&amp;" "&amp;'Compliance Database'!$N427&amp;" "&amp;'Compliance Database'!$O427)))),1,0)</f>
        <v/>
      </c>
      <c r="B427">
        <f>IF($A427=1,SUM($A$2:$A427),"")</f>
        <v/>
      </c>
      <c r="C427">
        <f>IF($A427=1,SUM($A$2:$A427),0)</f>
        <v/>
      </c>
    </row>
    <row r="428">
      <c r="A428">
        <f>IF(AND(OR(Query!$B$4="All",'Compliance Database'!$A428=Query!$B$4),OR(Query!$B$5="All",'Compliance Database'!$F428=Query!$B$5),OR(Query!$B$6="All",ISNUMBER(SEARCH(Query!$B$6,'Compliance Database'!$I428))),OR(Query!$B$7="All",ISNUMBER(SEARCH(Query!$B$7,'Compliance Database'!$J428))),OR(Query!$B$8="All",'Compliance Database'!$G428=Query!$B$8),OR(Query!$B$9="All",'Compliance Database'!$K428=Query!$B$9),OR(Query!$B$10="",ISNUMBER(SEARCH(Query!$B$10,'Compliance Database'!$D428&amp;" "&amp;'Compliance Database'!$L428&amp;" "&amp;'Compliance Database'!$M428&amp;" "&amp;'Compliance Database'!$N428&amp;" "&amp;'Compliance Database'!$O428)))),1,0)</f>
        <v/>
      </c>
      <c r="B428">
        <f>IF($A428=1,SUM($A$2:$A428),"")</f>
        <v/>
      </c>
      <c r="C428">
        <f>IF($A428=1,SUM($A$2:$A428),0)</f>
        <v/>
      </c>
    </row>
    <row r="429">
      <c r="A429">
        <f>IF(AND(OR(Query!$B$4="All",'Compliance Database'!$A429=Query!$B$4),OR(Query!$B$5="All",'Compliance Database'!$F429=Query!$B$5),OR(Query!$B$6="All",ISNUMBER(SEARCH(Query!$B$6,'Compliance Database'!$I429))),OR(Query!$B$7="All",ISNUMBER(SEARCH(Query!$B$7,'Compliance Database'!$J429))),OR(Query!$B$8="All",'Compliance Database'!$G429=Query!$B$8),OR(Query!$B$9="All",'Compliance Database'!$K429=Query!$B$9),OR(Query!$B$10="",ISNUMBER(SEARCH(Query!$B$10,'Compliance Database'!$D429&amp;" "&amp;'Compliance Database'!$L429&amp;" "&amp;'Compliance Database'!$M429&amp;" "&amp;'Compliance Database'!$N429&amp;" "&amp;'Compliance Database'!$O429)))),1,0)</f>
        <v/>
      </c>
      <c r="B429">
        <f>IF($A429=1,SUM($A$2:$A429),"")</f>
        <v/>
      </c>
      <c r="C429">
        <f>IF($A429=1,SUM($A$2:$A429),0)</f>
        <v/>
      </c>
    </row>
    <row r="430">
      <c r="A430">
        <f>IF(AND(OR(Query!$B$4="All",'Compliance Database'!$A430=Query!$B$4),OR(Query!$B$5="All",'Compliance Database'!$F430=Query!$B$5),OR(Query!$B$6="All",ISNUMBER(SEARCH(Query!$B$6,'Compliance Database'!$I430))),OR(Query!$B$7="All",ISNUMBER(SEARCH(Query!$B$7,'Compliance Database'!$J430))),OR(Query!$B$8="All",'Compliance Database'!$G430=Query!$B$8),OR(Query!$B$9="All",'Compliance Database'!$K430=Query!$B$9),OR(Query!$B$10="",ISNUMBER(SEARCH(Query!$B$10,'Compliance Database'!$D430&amp;" "&amp;'Compliance Database'!$L430&amp;" "&amp;'Compliance Database'!$M430&amp;" "&amp;'Compliance Database'!$N430&amp;" "&amp;'Compliance Database'!$O430)))),1,0)</f>
        <v/>
      </c>
      <c r="B430">
        <f>IF($A430=1,SUM($A$2:$A430),"")</f>
        <v/>
      </c>
      <c r="C430">
        <f>IF($A430=1,SUM($A$2:$A430),0)</f>
        <v/>
      </c>
    </row>
    <row r="431">
      <c r="A431">
        <f>IF(AND(OR(Query!$B$4="All",'Compliance Database'!$A431=Query!$B$4),OR(Query!$B$5="All",'Compliance Database'!$F431=Query!$B$5),OR(Query!$B$6="All",ISNUMBER(SEARCH(Query!$B$6,'Compliance Database'!$I431))),OR(Query!$B$7="All",ISNUMBER(SEARCH(Query!$B$7,'Compliance Database'!$J431))),OR(Query!$B$8="All",'Compliance Database'!$G431=Query!$B$8),OR(Query!$B$9="All",'Compliance Database'!$K431=Query!$B$9),OR(Query!$B$10="",ISNUMBER(SEARCH(Query!$B$10,'Compliance Database'!$D431&amp;" "&amp;'Compliance Database'!$L431&amp;" "&amp;'Compliance Database'!$M431&amp;" "&amp;'Compliance Database'!$N431&amp;" "&amp;'Compliance Database'!$O431)))),1,0)</f>
        <v/>
      </c>
      <c r="B431">
        <f>IF($A431=1,SUM($A$2:$A431),"")</f>
        <v/>
      </c>
      <c r="C431">
        <f>IF($A431=1,SUM($A$2:$A431),0)</f>
        <v/>
      </c>
    </row>
    <row r="432">
      <c r="A432">
        <f>IF(AND(OR(Query!$B$4="All",'Compliance Database'!$A432=Query!$B$4),OR(Query!$B$5="All",'Compliance Database'!$F432=Query!$B$5),OR(Query!$B$6="All",ISNUMBER(SEARCH(Query!$B$6,'Compliance Database'!$I432))),OR(Query!$B$7="All",ISNUMBER(SEARCH(Query!$B$7,'Compliance Database'!$J432))),OR(Query!$B$8="All",'Compliance Database'!$G432=Query!$B$8),OR(Query!$B$9="All",'Compliance Database'!$K432=Query!$B$9),OR(Query!$B$10="",ISNUMBER(SEARCH(Query!$B$10,'Compliance Database'!$D432&amp;" "&amp;'Compliance Database'!$L432&amp;" "&amp;'Compliance Database'!$M432&amp;" "&amp;'Compliance Database'!$N432&amp;" "&amp;'Compliance Database'!$O432)))),1,0)</f>
        <v/>
      </c>
      <c r="B432">
        <f>IF($A432=1,SUM($A$2:$A432),"")</f>
        <v/>
      </c>
      <c r="C432">
        <f>IF($A432=1,SUM($A$2:$A432),0)</f>
        <v/>
      </c>
    </row>
    <row r="433">
      <c r="A433">
        <f>IF(AND(OR(Query!$B$4="All",'Compliance Database'!$A433=Query!$B$4),OR(Query!$B$5="All",'Compliance Database'!$F433=Query!$B$5),OR(Query!$B$6="All",ISNUMBER(SEARCH(Query!$B$6,'Compliance Database'!$I433))),OR(Query!$B$7="All",ISNUMBER(SEARCH(Query!$B$7,'Compliance Database'!$J433))),OR(Query!$B$8="All",'Compliance Database'!$G433=Query!$B$8),OR(Query!$B$9="All",'Compliance Database'!$K433=Query!$B$9),OR(Query!$B$10="",ISNUMBER(SEARCH(Query!$B$10,'Compliance Database'!$D433&amp;" "&amp;'Compliance Database'!$L433&amp;" "&amp;'Compliance Database'!$M433&amp;" "&amp;'Compliance Database'!$N433&amp;" "&amp;'Compliance Database'!$O433)))),1,0)</f>
        <v/>
      </c>
      <c r="B433">
        <f>IF($A433=1,SUM($A$2:$A433),"")</f>
        <v/>
      </c>
      <c r="C433">
        <f>IF($A433=1,SUM($A$2:$A433),0)</f>
        <v/>
      </c>
    </row>
    <row r="434">
      <c r="A434">
        <f>IF(AND(OR(Query!$B$4="All",'Compliance Database'!$A434=Query!$B$4),OR(Query!$B$5="All",'Compliance Database'!$F434=Query!$B$5),OR(Query!$B$6="All",ISNUMBER(SEARCH(Query!$B$6,'Compliance Database'!$I434))),OR(Query!$B$7="All",ISNUMBER(SEARCH(Query!$B$7,'Compliance Database'!$J434))),OR(Query!$B$8="All",'Compliance Database'!$G434=Query!$B$8),OR(Query!$B$9="All",'Compliance Database'!$K434=Query!$B$9),OR(Query!$B$10="",ISNUMBER(SEARCH(Query!$B$10,'Compliance Database'!$D434&amp;" "&amp;'Compliance Database'!$L434&amp;" "&amp;'Compliance Database'!$M434&amp;" "&amp;'Compliance Database'!$N434&amp;" "&amp;'Compliance Database'!$O434)))),1,0)</f>
        <v/>
      </c>
      <c r="B434">
        <f>IF($A434=1,SUM($A$2:$A434),"")</f>
        <v/>
      </c>
      <c r="C434">
        <f>IF($A434=1,SUM($A$2:$A434),0)</f>
        <v/>
      </c>
    </row>
    <row r="435">
      <c r="A435">
        <f>IF(AND(OR(Query!$B$4="All",'Compliance Database'!$A435=Query!$B$4),OR(Query!$B$5="All",'Compliance Database'!$F435=Query!$B$5),OR(Query!$B$6="All",ISNUMBER(SEARCH(Query!$B$6,'Compliance Database'!$I435))),OR(Query!$B$7="All",ISNUMBER(SEARCH(Query!$B$7,'Compliance Database'!$J435))),OR(Query!$B$8="All",'Compliance Database'!$G435=Query!$B$8),OR(Query!$B$9="All",'Compliance Database'!$K435=Query!$B$9),OR(Query!$B$10="",ISNUMBER(SEARCH(Query!$B$10,'Compliance Database'!$D435&amp;" "&amp;'Compliance Database'!$L435&amp;" "&amp;'Compliance Database'!$M435&amp;" "&amp;'Compliance Database'!$N435&amp;" "&amp;'Compliance Database'!$O435)))),1,0)</f>
        <v/>
      </c>
      <c r="B435">
        <f>IF($A435=1,SUM($A$2:$A435),"")</f>
        <v/>
      </c>
      <c r="C435">
        <f>IF($A435=1,SUM($A$2:$A435),0)</f>
        <v/>
      </c>
    </row>
    <row r="436">
      <c r="A436">
        <f>IF(AND(OR(Query!$B$4="All",'Compliance Database'!$A436=Query!$B$4),OR(Query!$B$5="All",'Compliance Database'!$F436=Query!$B$5),OR(Query!$B$6="All",ISNUMBER(SEARCH(Query!$B$6,'Compliance Database'!$I436))),OR(Query!$B$7="All",ISNUMBER(SEARCH(Query!$B$7,'Compliance Database'!$J436))),OR(Query!$B$8="All",'Compliance Database'!$G436=Query!$B$8),OR(Query!$B$9="All",'Compliance Database'!$K436=Query!$B$9),OR(Query!$B$10="",ISNUMBER(SEARCH(Query!$B$10,'Compliance Database'!$D436&amp;" "&amp;'Compliance Database'!$L436&amp;" "&amp;'Compliance Database'!$M436&amp;" "&amp;'Compliance Database'!$N436&amp;" "&amp;'Compliance Database'!$O436)))),1,0)</f>
        <v/>
      </c>
      <c r="B436">
        <f>IF($A436=1,SUM($A$2:$A436),"")</f>
        <v/>
      </c>
      <c r="C436">
        <f>IF($A436=1,SUM($A$2:$A436),0)</f>
        <v/>
      </c>
    </row>
    <row r="437">
      <c r="A437">
        <f>IF(AND(OR(Query!$B$4="All",'Compliance Database'!$A437=Query!$B$4),OR(Query!$B$5="All",'Compliance Database'!$F437=Query!$B$5),OR(Query!$B$6="All",ISNUMBER(SEARCH(Query!$B$6,'Compliance Database'!$I437))),OR(Query!$B$7="All",ISNUMBER(SEARCH(Query!$B$7,'Compliance Database'!$J437))),OR(Query!$B$8="All",'Compliance Database'!$G437=Query!$B$8),OR(Query!$B$9="All",'Compliance Database'!$K437=Query!$B$9),OR(Query!$B$10="",ISNUMBER(SEARCH(Query!$B$10,'Compliance Database'!$D437&amp;" "&amp;'Compliance Database'!$L437&amp;" "&amp;'Compliance Database'!$M437&amp;" "&amp;'Compliance Database'!$N437&amp;" "&amp;'Compliance Database'!$O437)))),1,0)</f>
        <v/>
      </c>
      <c r="B437">
        <f>IF($A437=1,SUM($A$2:$A437),"")</f>
        <v/>
      </c>
      <c r="C437">
        <f>IF($A437=1,SUM($A$2:$A437),0)</f>
        <v/>
      </c>
    </row>
    <row r="438">
      <c r="A438">
        <f>IF(AND(OR(Query!$B$4="All",'Compliance Database'!$A438=Query!$B$4),OR(Query!$B$5="All",'Compliance Database'!$F438=Query!$B$5),OR(Query!$B$6="All",ISNUMBER(SEARCH(Query!$B$6,'Compliance Database'!$I438))),OR(Query!$B$7="All",ISNUMBER(SEARCH(Query!$B$7,'Compliance Database'!$J438))),OR(Query!$B$8="All",'Compliance Database'!$G438=Query!$B$8),OR(Query!$B$9="All",'Compliance Database'!$K438=Query!$B$9),OR(Query!$B$10="",ISNUMBER(SEARCH(Query!$B$10,'Compliance Database'!$D438&amp;" "&amp;'Compliance Database'!$L438&amp;" "&amp;'Compliance Database'!$M438&amp;" "&amp;'Compliance Database'!$N438&amp;" "&amp;'Compliance Database'!$O438)))),1,0)</f>
        <v/>
      </c>
      <c r="B438">
        <f>IF($A438=1,SUM($A$2:$A438),"")</f>
        <v/>
      </c>
      <c r="C438">
        <f>IF($A438=1,SUM($A$2:$A438),0)</f>
        <v/>
      </c>
    </row>
    <row r="439">
      <c r="A439">
        <f>IF(AND(OR(Query!$B$4="All",'Compliance Database'!$A439=Query!$B$4),OR(Query!$B$5="All",'Compliance Database'!$F439=Query!$B$5),OR(Query!$B$6="All",ISNUMBER(SEARCH(Query!$B$6,'Compliance Database'!$I439))),OR(Query!$B$7="All",ISNUMBER(SEARCH(Query!$B$7,'Compliance Database'!$J439))),OR(Query!$B$8="All",'Compliance Database'!$G439=Query!$B$8),OR(Query!$B$9="All",'Compliance Database'!$K439=Query!$B$9),OR(Query!$B$10="",ISNUMBER(SEARCH(Query!$B$10,'Compliance Database'!$D439&amp;" "&amp;'Compliance Database'!$L439&amp;" "&amp;'Compliance Database'!$M439&amp;" "&amp;'Compliance Database'!$N439&amp;" "&amp;'Compliance Database'!$O439)))),1,0)</f>
        <v/>
      </c>
      <c r="B439">
        <f>IF($A439=1,SUM($A$2:$A439),"")</f>
        <v/>
      </c>
      <c r="C439">
        <f>IF($A439=1,SUM($A$2:$A439),0)</f>
        <v/>
      </c>
    </row>
    <row r="440">
      <c r="A440">
        <f>IF(AND(OR(Query!$B$4="All",'Compliance Database'!$A440=Query!$B$4),OR(Query!$B$5="All",'Compliance Database'!$F440=Query!$B$5),OR(Query!$B$6="All",ISNUMBER(SEARCH(Query!$B$6,'Compliance Database'!$I440))),OR(Query!$B$7="All",ISNUMBER(SEARCH(Query!$B$7,'Compliance Database'!$J440))),OR(Query!$B$8="All",'Compliance Database'!$G440=Query!$B$8),OR(Query!$B$9="All",'Compliance Database'!$K440=Query!$B$9),OR(Query!$B$10="",ISNUMBER(SEARCH(Query!$B$10,'Compliance Database'!$D440&amp;" "&amp;'Compliance Database'!$L440&amp;" "&amp;'Compliance Database'!$M440&amp;" "&amp;'Compliance Database'!$N440&amp;" "&amp;'Compliance Database'!$O440)))),1,0)</f>
        <v/>
      </c>
      <c r="B440">
        <f>IF($A440=1,SUM($A$2:$A440),"")</f>
        <v/>
      </c>
      <c r="C440">
        <f>IF($A440=1,SUM($A$2:$A440),0)</f>
        <v/>
      </c>
    </row>
    <row r="441">
      <c r="A441">
        <f>IF(AND(OR(Query!$B$4="All",'Compliance Database'!$A441=Query!$B$4),OR(Query!$B$5="All",'Compliance Database'!$F441=Query!$B$5),OR(Query!$B$6="All",ISNUMBER(SEARCH(Query!$B$6,'Compliance Database'!$I441))),OR(Query!$B$7="All",ISNUMBER(SEARCH(Query!$B$7,'Compliance Database'!$J441))),OR(Query!$B$8="All",'Compliance Database'!$G441=Query!$B$8),OR(Query!$B$9="All",'Compliance Database'!$K441=Query!$B$9),OR(Query!$B$10="",ISNUMBER(SEARCH(Query!$B$10,'Compliance Database'!$D441&amp;" "&amp;'Compliance Database'!$L441&amp;" "&amp;'Compliance Database'!$M441&amp;" "&amp;'Compliance Database'!$N441&amp;" "&amp;'Compliance Database'!$O441)))),1,0)</f>
        <v/>
      </c>
      <c r="B441">
        <f>IF($A441=1,SUM($A$2:$A441),"")</f>
        <v/>
      </c>
      <c r="C441">
        <f>IF($A441=1,SUM($A$2:$A441),0)</f>
        <v/>
      </c>
    </row>
    <row r="442">
      <c r="A442">
        <f>IF(AND(OR(Query!$B$4="All",'Compliance Database'!$A442=Query!$B$4),OR(Query!$B$5="All",'Compliance Database'!$F442=Query!$B$5),OR(Query!$B$6="All",ISNUMBER(SEARCH(Query!$B$6,'Compliance Database'!$I442))),OR(Query!$B$7="All",ISNUMBER(SEARCH(Query!$B$7,'Compliance Database'!$J442))),OR(Query!$B$8="All",'Compliance Database'!$G442=Query!$B$8),OR(Query!$B$9="All",'Compliance Database'!$K442=Query!$B$9),OR(Query!$B$10="",ISNUMBER(SEARCH(Query!$B$10,'Compliance Database'!$D442&amp;" "&amp;'Compliance Database'!$L442&amp;" "&amp;'Compliance Database'!$M442&amp;" "&amp;'Compliance Database'!$N442&amp;" "&amp;'Compliance Database'!$O442)))),1,0)</f>
        <v/>
      </c>
      <c r="B442">
        <f>IF($A442=1,SUM($A$2:$A442),"")</f>
        <v/>
      </c>
      <c r="C442">
        <f>IF($A442=1,SUM($A$2:$A442),0)</f>
        <v/>
      </c>
    </row>
    <row r="443">
      <c r="A443">
        <f>IF(AND(OR(Query!$B$4="All",'Compliance Database'!$A443=Query!$B$4),OR(Query!$B$5="All",'Compliance Database'!$F443=Query!$B$5),OR(Query!$B$6="All",ISNUMBER(SEARCH(Query!$B$6,'Compliance Database'!$I443))),OR(Query!$B$7="All",ISNUMBER(SEARCH(Query!$B$7,'Compliance Database'!$J443))),OR(Query!$B$8="All",'Compliance Database'!$G443=Query!$B$8),OR(Query!$B$9="All",'Compliance Database'!$K443=Query!$B$9),OR(Query!$B$10="",ISNUMBER(SEARCH(Query!$B$10,'Compliance Database'!$D443&amp;" "&amp;'Compliance Database'!$L443&amp;" "&amp;'Compliance Database'!$M443&amp;" "&amp;'Compliance Database'!$N443&amp;" "&amp;'Compliance Database'!$O443)))),1,0)</f>
        <v/>
      </c>
      <c r="B443">
        <f>IF($A443=1,SUM($A$2:$A443),"")</f>
        <v/>
      </c>
      <c r="C443">
        <f>IF($A443=1,SUM($A$2:$A443),0)</f>
        <v/>
      </c>
    </row>
    <row r="444">
      <c r="A444">
        <f>IF(AND(OR(Query!$B$4="All",'Compliance Database'!$A444=Query!$B$4),OR(Query!$B$5="All",'Compliance Database'!$F444=Query!$B$5),OR(Query!$B$6="All",ISNUMBER(SEARCH(Query!$B$6,'Compliance Database'!$I444))),OR(Query!$B$7="All",ISNUMBER(SEARCH(Query!$B$7,'Compliance Database'!$J444))),OR(Query!$B$8="All",'Compliance Database'!$G444=Query!$B$8),OR(Query!$B$9="All",'Compliance Database'!$K444=Query!$B$9),OR(Query!$B$10="",ISNUMBER(SEARCH(Query!$B$10,'Compliance Database'!$D444&amp;" "&amp;'Compliance Database'!$L444&amp;" "&amp;'Compliance Database'!$M444&amp;" "&amp;'Compliance Database'!$N444&amp;" "&amp;'Compliance Database'!$O444)))),1,0)</f>
        <v/>
      </c>
      <c r="B444">
        <f>IF($A444=1,SUM($A$2:$A444),"")</f>
        <v/>
      </c>
      <c r="C444">
        <f>IF($A444=1,SUM($A$2:$A444),0)</f>
        <v/>
      </c>
    </row>
    <row r="445">
      <c r="A445">
        <f>IF(AND(OR(Query!$B$4="All",'Compliance Database'!$A445=Query!$B$4),OR(Query!$B$5="All",'Compliance Database'!$F445=Query!$B$5),OR(Query!$B$6="All",ISNUMBER(SEARCH(Query!$B$6,'Compliance Database'!$I445))),OR(Query!$B$7="All",ISNUMBER(SEARCH(Query!$B$7,'Compliance Database'!$J445))),OR(Query!$B$8="All",'Compliance Database'!$G445=Query!$B$8),OR(Query!$B$9="All",'Compliance Database'!$K445=Query!$B$9),OR(Query!$B$10="",ISNUMBER(SEARCH(Query!$B$10,'Compliance Database'!$D445&amp;" "&amp;'Compliance Database'!$L445&amp;" "&amp;'Compliance Database'!$M445&amp;" "&amp;'Compliance Database'!$N445&amp;" "&amp;'Compliance Database'!$O445)))),1,0)</f>
        <v/>
      </c>
      <c r="B445">
        <f>IF($A445=1,SUM($A$2:$A445),"")</f>
        <v/>
      </c>
      <c r="C445">
        <f>IF($A445=1,SUM($A$2:$A445),0)</f>
        <v/>
      </c>
    </row>
    <row r="446">
      <c r="A446">
        <f>IF(AND(OR(Query!$B$4="All",'Compliance Database'!$A446=Query!$B$4),OR(Query!$B$5="All",'Compliance Database'!$F446=Query!$B$5),OR(Query!$B$6="All",ISNUMBER(SEARCH(Query!$B$6,'Compliance Database'!$I446))),OR(Query!$B$7="All",ISNUMBER(SEARCH(Query!$B$7,'Compliance Database'!$J446))),OR(Query!$B$8="All",'Compliance Database'!$G446=Query!$B$8),OR(Query!$B$9="All",'Compliance Database'!$K446=Query!$B$9),OR(Query!$B$10="",ISNUMBER(SEARCH(Query!$B$10,'Compliance Database'!$D446&amp;" "&amp;'Compliance Database'!$L446&amp;" "&amp;'Compliance Database'!$M446&amp;" "&amp;'Compliance Database'!$N446&amp;" "&amp;'Compliance Database'!$O446)))),1,0)</f>
        <v/>
      </c>
      <c r="B446">
        <f>IF($A446=1,SUM($A$2:$A446),"")</f>
        <v/>
      </c>
      <c r="C446">
        <f>IF($A446=1,SUM($A$2:$A446),0)</f>
        <v/>
      </c>
    </row>
    <row r="447">
      <c r="A447">
        <f>IF(AND(OR(Query!$B$4="All",'Compliance Database'!$A447=Query!$B$4),OR(Query!$B$5="All",'Compliance Database'!$F447=Query!$B$5),OR(Query!$B$6="All",ISNUMBER(SEARCH(Query!$B$6,'Compliance Database'!$I447))),OR(Query!$B$7="All",ISNUMBER(SEARCH(Query!$B$7,'Compliance Database'!$J447))),OR(Query!$B$8="All",'Compliance Database'!$G447=Query!$B$8),OR(Query!$B$9="All",'Compliance Database'!$K447=Query!$B$9),OR(Query!$B$10="",ISNUMBER(SEARCH(Query!$B$10,'Compliance Database'!$D447&amp;" "&amp;'Compliance Database'!$L447&amp;" "&amp;'Compliance Database'!$M447&amp;" "&amp;'Compliance Database'!$N447&amp;" "&amp;'Compliance Database'!$O447)))),1,0)</f>
        <v/>
      </c>
      <c r="B447">
        <f>IF($A447=1,SUM($A$2:$A447),"")</f>
        <v/>
      </c>
      <c r="C447">
        <f>IF($A447=1,SUM($A$2:$A447),0)</f>
        <v/>
      </c>
    </row>
    <row r="448">
      <c r="A448">
        <f>IF(AND(OR(Query!$B$4="All",'Compliance Database'!$A448=Query!$B$4),OR(Query!$B$5="All",'Compliance Database'!$F448=Query!$B$5),OR(Query!$B$6="All",ISNUMBER(SEARCH(Query!$B$6,'Compliance Database'!$I448))),OR(Query!$B$7="All",ISNUMBER(SEARCH(Query!$B$7,'Compliance Database'!$J448))),OR(Query!$B$8="All",'Compliance Database'!$G448=Query!$B$8),OR(Query!$B$9="All",'Compliance Database'!$K448=Query!$B$9),OR(Query!$B$10="",ISNUMBER(SEARCH(Query!$B$10,'Compliance Database'!$D448&amp;" "&amp;'Compliance Database'!$L448&amp;" "&amp;'Compliance Database'!$M448&amp;" "&amp;'Compliance Database'!$N448&amp;" "&amp;'Compliance Database'!$O448)))),1,0)</f>
        <v/>
      </c>
      <c r="B448">
        <f>IF($A448=1,SUM($A$2:$A448),"")</f>
        <v/>
      </c>
      <c r="C448">
        <f>IF($A448=1,SUM($A$2:$A448),0)</f>
        <v/>
      </c>
    </row>
    <row r="449">
      <c r="A449">
        <f>IF(AND(OR(Query!$B$4="All",'Compliance Database'!$A449=Query!$B$4),OR(Query!$B$5="All",'Compliance Database'!$F449=Query!$B$5),OR(Query!$B$6="All",ISNUMBER(SEARCH(Query!$B$6,'Compliance Database'!$I449))),OR(Query!$B$7="All",ISNUMBER(SEARCH(Query!$B$7,'Compliance Database'!$J449))),OR(Query!$B$8="All",'Compliance Database'!$G449=Query!$B$8),OR(Query!$B$9="All",'Compliance Database'!$K449=Query!$B$9),OR(Query!$B$10="",ISNUMBER(SEARCH(Query!$B$10,'Compliance Database'!$D449&amp;" "&amp;'Compliance Database'!$L449&amp;" "&amp;'Compliance Database'!$M449&amp;" "&amp;'Compliance Database'!$N449&amp;" "&amp;'Compliance Database'!$O449)))),1,0)</f>
        <v/>
      </c>
      <c r="B449">
        <f>IF($A449=1,SUM($A$2:$A449),"")</f>
        <v/>
      </c>
      <c r="C449">
        <f>IF($A449=1,SUM($A$2:$A449),0)</f>
        <v/>
      </c>
    </row>
    <row r="450">
      <c r="A450">
        <f>IF(AND(OR(Query!$B$4="All",'Compliance Database'!$A450=Query!$B$4),OR(Query!$B$5="All",'Compliance Database'!$F450=Query!$B$5),OR(Query!$B$6="All",ISNUMBER(SEARCH(Query!$B$6,'Compliance Database'!$I450))),OR(Query!$B$7="All",ISNUMBER(SEARCH(Query!$B$7,'Compliance Database'!$J450))),OR(Query!$B$8="All",'Compliance Database'!$G450=Query!$B$8),OR(Query!$B$9="All",'Compliance Database'!$K450=Query!$B$9),OR(Query!$B$10="",ISNUMBER(SEARCH(Query!$B$10,'Compliance Database'!$D450&amp;" "&amp;'Compliance Database'!$L450&amp;" "&amp;'Compliance Database'!$M450&amp;" "&amp;'Compliance Database'!$N450&amp;" "&amp;'Compliance Database'!$O450)))),1,0)</f>
        <v/>
      </c>
      <c r="B450">
        <f>IF($A450=1,SUM($A$2:$A450),"")</f>
        <v/>
      </c>
      <c r="C450">
        <f>IF($A450=1,SUM($A$2:$A450),0)</f>
        <v/>
      </c>
    </row>
    <row r="451">
      <c r="A451">
        <f>IF(AND(OR(Query!$B$4="All",'Compliance Database'!$A451=Query!$B$4),OR(Query!$B$5="All",'Compliance Database'!$F451=Query!$B$5),OR(Query!$B$6="All",ISNUMBER(SEARCH(Query!$B$6,'Compliance Database'!$I451))),OR(Query!$B$7="All",ISNUMBER(SEARCH(Query!$B$7,'Compliance Database'!$J451))),OR(Query!$B$8="All",'Compliance Database'!$G451=Query!$B$8),OR(Query!$B$9="All",'Compliance Database'!$K451=Query!$B$9),OR(Query!$B$10="",ISNUMBER(SEARCH(Query!$B$10,'Compliance Database'!$D451&amp;" "&amp;'Compliance Database'!$L451&amp;" "&amp;'Compliance Database'!$M451&amp;" "&amp;'Compliance Database'!$N451&amp;" "&amp;'Compliance Database'!$O451)))),1,0)</f>
        <v/>
      </c>
      <c r="B451">
        <f>IF($A451=1,SUM($A$2:$A451),"")</f>
        <v/>
      </c>
      <c r="C451">
        <f>IF($A451=1,SUM($A$2:$A451),0)</f>
        <v/>
      </c>
    </row>
    <row r="452">
      <c r="A452">
        <f>IF(AND(OR(Query!$B$4="All",'Compliance Database'!$A452=Query!$B$4),OR(Query!$B$5="All",'Compliance Database'!$F452=Query!$B$5),OR(Query!$B$6="All",ISNUMBER(SEARCH(Query!$B$6,'Compliance Database'!$I452))),OR(Query!$B$7="All",ISNUMBER(SEARCH(Query!$B$7,'Compliance Database'!$J452))),OR(Query!$B$8="All",'Compliance Database'!$G452=Query!$B$8),OR(Query!$B$9="All",'Compliance Database'!$K452=Query!$B$9),OR(Query!$B$10="",ISNUMBER(SEARCH(Query!$B$10,'Compliance Database'!$D452&amp;" "&amp;'Compliance Database'!$L452&amp;" "&amp;'Compliance Database'!$M452&amp;" "&amp;'Compliance Database'!$N452&amp;" "&amp;'Compliance Database'!$O452)))),1,0)</f>
        <v/>
      </c>
      <c r="B452">
        <f>IF($A452=1,SUM($A$2:$A452),"")</f>
        <v/>
      </c>
      <c r="C452">
        <f>IF($A452=1,SUM($A$2:$A452),0)</f>
        <v/>
      </c>
    </row>
    <row r="453">
      <c r="A453">
        <f>IF(AND(OR(Query!$B$4="All",'Compliance Database'!$A453=Query!$B$4),OR(Query!$B$5="All",'Compliance Database'!$F453=Query!$B$5),OR(Query!$B$6="All",ISNUMBER(SEARCH(Query!$B$6,'Compliance Database'!$I453))),OR(Query!$B$7="All",ISNUMBER(SEARCH(Query!$B$7,'Compliance Database'!$J453))),OR(Query!$B$8="All",'Compliance Database'!$G453=Query!$B$8),OR(Query!$B$9="All",'Compliance Database'!$K453=Query!$B$9),OR(Query!$B$10="",ISNUMBER(SEARCH(Query!$B$10,'Compliance Database'!$D453&amp;" "&amp;'Compliance Database'!$L453&amp;" "&amp;'Compliance Database'!$M453&amp;" "&amp;'Compliance Database'!$N453&amp;" "&amp;'Compliance Database'!$O453)))),1,0)</f>
        <v/>
      </c>
      <c r="B453">
        <f>IF($A453=1,SUM($A$2:$A453),"")</f>
        <v/>
      </c>
      <c r="C453">
        <f>IF($A453=1,SUM($A$2:$A453),0)</f>
        <v/>
      </c>
    </row>
    <row r="454">
      <c r="A454">
        <f>IF(AND(OR(Query!$B$4="All",'Compliance Database'!$A454=Query!$B$4),OR(Query!$B$5="All",'Compliance Database'!$F454=Query!$B$5),OR(Query!$B$6="All",ISNUMBER(SEARCH(Query!$B$6,'Compliance Database'!$I454))),OR(Query!$B$7="All",ISNUMBER(SEARCH(Query!$B$7,'Compliance Database'!$J454))),OR(Query!$B$8="All",'Compliance Database'!$G454=Query!$B$8),OR(Query!$B$9="All",'Compliance Database'!$K454=Query!$B$9),OR(Query!$B$10="",ISNUMBER(SEARCH(Query!$B$10,'Compliance Database'!$D454&amp;" "&amp;'Compliance Database'!$L454&amp;" "&amp;'Compliance Database'!$M454&amp;" "&amp;'Compliance Database'!$N454&amp;" "&amp;'Compliance Database'!$O454)))),1,0)</f>
        <v/>
      </c>
      <c r="B454">
        <f>IF($A454=1,SUM($A$2:$A454),"")</f>
        <v/>
      </c>
      <c r="C454">
        <f>IF($A454=1,SUM($A$2:$A454),0)</f>
        <v/>
      </c>
    </row>
    <row r="455">
      <c r="A455">
        <f>IF(AND(OR(Query!$B$4="All",'Compliance Database'!$A455=Query!$B$4),OR(Query!$B$5="All",'Compliance Database'!$F455=Query!$B$5),OR(Query!$B$6="All",ISNUMBER(SEARCH(Query!$B$6,'Compliance Database'!$I455))),OR(Query!$B$7="All",ISNUMBER(SEARCH(Query!$B$7,'Compliance Database'!$J455))),OR(Query!$B$8="All",'Compliance Database'!$G455=Query!$B$8),OR(Query!$B$9="All",'Compliance Database'!$K455=Query!$B$9),OR(Query!$B$10="",ISNUMBER(SEARCH(Query!$B$10,'Compliance Database'!$D455&amp;" "&amp;'Compliance Database'!$L455&amp;" "&amp;'Compliance Database'!$M455&amp;" "&amp;'Compliance Database'!$N455&amp;" "&amp;'Compliance Database'!$O455)))),1,0)</f>
        <v/>
      </c>
      <c r="B455">
        <f>IF($A455=1,SUM($A$2:$A455),"")</f>
        <v/>
      </c>
      <c r="C455">
        <f>IF($A455=1,SUM($A$2:$A455),0)</f>
        <v/>
      </c>
    </row>
    <row r="456">
      <c r="A456">
        <f>IF(AND(OR(Query!$B$4="All",'Compliance Database'!$A456=Query!$B$4),OR(Query!$B$5="All",'Compliance Database'!$F456=Query!$B$5),OR(Query!$B$6="All",ISNUMBER(SEARCH(Query!$B$6,'Compliance Database'!$I456))),OR(Query!$B$7="All",ISNUMBER(SEARCH(Query!$B$7,'Compliance Database'!$J456))),OR(Query!$B$8="All",'Compliance Database'!$G456=Query!$B$8),OR(Query!$B$9="All",'Compliance Database'!$K456=Query!$B$9),OR(Query!$B$10="",ISNUMBER(SEARCH(Query!$B$10,'Compliance Database'!$D456&amp;" "&amp;'Compliance Database'!$L456&amp;" "&amp;'Compliance Database'!$M456&amp;" "&amp;'Compliance Database'!$N456&amp;" "&amp;'Compliance Database'!$O456)))),1,0)</f>
        <v/>
      </c>
      <c r="B456">
        <f>IF($A456=1,SUM($A$2:$A456),"")</f>
        <v/>
      </c>
      <c r="C456">
        <f>IF($A456=1,SUM($A$2:$A456),0)</f>
        <v/>
      </c>
    </row>
    <row r="457">
      <c r="A457">
        <f>IF(AND(OR(Query!$B$4="All",'Compliance Database'!$A457=Query!$B$4),OR(Query!$B$5="All",'Compliance Database'!$F457=Query!$B$5),OR(Query!$B$6="All",ISNUMBER(SEARCH(Query!$B$6,'Compliance Database'!$I457))),OR(Query!$B$7="All",ISNUMBER(SEARCH(Query!$B$7,'Compliance Database'!$J457))),OR(Query!$B$8="All",'Compliance Database'!$G457=Query!$B$8),OR(Query!$B$9="All",'Compliance Database'!$K457=Query!$B$9),OR(Query!$B$10="",ISNUMBER(SEARCH(Query!$B$10,'Compliance Database'!$D457&amp;" "&amp;'Compliance Database'!$L457&amp;" "&amp;'Compliance Database'!$M457&amp;" "&amp;'Compliance Database'!$N457&amp;" "&amp;'Compliance Database'!$O457)))),1,0)</f>
        <v/>
      </c>
      <c r="B457">
        <f>IF($A457=1,SUM($A$2:$A457),"")</f>
        <v/>
      </c>
      <c r="C457">
        <f>IF($A457=1,SUM($A$2:$A457),0)</f>
        <v/>
      </c>
    </row>
    <row r="458">
      <c r="A458">
        <f>IF(AND(OR(Query!$B$4="All",'Compliance Database'!$A458=Query!$B$4),OR(Query!$B$5="All",'Compliance Database'!$F458=Query!$B$5),OR(Query!$B$6="All",ISNUMBER(SEARCH(Query!$B$6,'Compliance Database'!$I458))),OR(Query!$B$7="All",ISNUMBER(SEARCH(Query!$B$7,'Compliance Database'!$J458))),OR(Query!$B$8="All",'Compliance Database'!$G458=Query!$B$8),OR(Query!$B$9="All",'Compliance Database'!$K458=Query!$B$9),OR(Query!$B$10="",ISNUMBER(SEARCH(Query!$B$10,'Compliance Database'!$D458&amp;" "&amp;'Compliance Database'!$L458&amp;" "&amp;'Compliance Database'!$M458&amp;" "&amp;'Compliance Database'!$N458&amp;" "&amp;'Compliance Database'!$O458)))),1,0)</f>
        <v/>
      </c>
      <c r="B458">
        <f>IF($A458=1,SUM($A$2:$A458),"")</f>
        <v/>
      </c>
      <c r="C458">
        <f>IF($A458=1,SUM($A$2:$A458),0)</f>
        <v/>
      </c>
    </row>
    <row r="459">
      <c r="A459">
        <f>IF(AND(OR(Query!$B$4="All",'Compliance Database'!$A459=Query!$B$4),OR(Query!$B$5="All",'Compliance Database'!$F459=Query!$B$5),OR(Query!$B$6="All",ISNUMBER(SEARCH(Query!$B$6,'Compliance Database'!$I459))),OR(Query!$B$7="All",ISNUMBER(SEARCH(Query!$B$7,'Compliance Database'!$J459))),OR(Query!$B$8="All",'Compliance Database'!$G459=Query!$B$8),OR(Query!$B$9="All",'Compliance Database'!$K459=Query!$B$9),OR(Query!$B$10="",ISNUMBER(SEARCH(Query!$B$10,'Compliance Database'!$D459&amp;" "&amp;'Compliance Database'!$L459&amp;" "&amp;'Compliance Database'!$M459&amp;" "&amp;'Compliance Database'!$N459&amp;" "&amp;'Compliance Database'!$O459)))),1,0)</f>
        <v/>
      </c>
      <c r="B459">
        <f>IF($A459=1,SUM($A$2:$A459),"")</f>
        <v/>
      </c>
      <c r="C459">
        <f>IF($A459=1,SUM($A$2:$A459),0)</f>
        <v/>
      </c>
    </row>
    <row r="460">
      <c r="A460">
        <f>IF(AND(OR(Query!$B$4="All",'Compliance Database'!$A460=Query!$B$4),OR(Query!$B$5="All",'Compliance Database'!$F460=Query!$B$5),OR(Query!$B$6="All",ISNUMBER(SEARCH(Query!$B$6,'Compliance Database'!$I460))),OR(Query!$B$7="All",ISNUMBER(SEARCH(Query!$B$7,'Compliance Database'!$J460))),OR(Query!$B$8="All",'Compliance Database'!$G460=Query!$B$8),OR(Query!$B$9="All",'Compliance Database'!$K460=Query!$B$9),OR(Query!$B$10="",ISNUMBER(SEARCH(Query!$B$10,'Compliance Database'!$D460&amp;" "&amp;'Compliance Database'!$L460&amp;" "&amp;'Compliance Database'!$M460&amp;" "&amp;'Compliance Database'!$N460&amp;" "&amp;'Compliance Database'!$O460)))),1,0)</f>
        <v/>
      </c>
      <c r="B460">
        <f>IF($A460=1,SUM($A$2:$A460),"")</f>
        <v/>
      </c>
      <c r="C460">
        <f>IF($A460=1,SUM($A$2:$A460),0)</f>
        <v/>
      </c>
    </row>
    <row r="461">
      <c r="A461">
        <f>IF(AND(OR(Query!$B$4="All",'Compliance Database'!$A461=Query!$B$4),OR(Query!$B$5="All",'Compliance Database'!$F461=Query!$B$5),OR(Query!$B$6="All",ISNUMBER(SEARCH(Query!$B$6,'Compliance Database'!$I461))),OR(Query!$B$7="All",ISNUMBER(SEARCH(Query!$B$7,'Compliance Database'!$J461))),OR(Query!$B$8="All",'Compliance Database'!$G461=Query!$B$8),OR(Query!$B$9="All",'Compliance Database'!$K461=Query!$B$9),OR(Query!$B$10="",ISNUMBER(SEARCH(Query!$B$10,'Compliance Database'!$D461&amp;" "&amp;'Compliance Database'!$L461&amp;" "&amp;'Compliance Database'!$M461&amp;" "&amp;'Compliance Database'!$N461&amp;" "&amp;'Compliance Database'!$O461)))),1,0)</f>
        <v/>
      </c>
      <c r="B461">
        <f>IF($A461=1,SUM($A$2:$A461),"")</f>
        <v/>
      </c>
      <c r="C461">
        <f>IF($A461=1,SUM($A$2:$A461),0)</f>
        <v/>
      </c>
    </row>
    <row r="462">
      <c r="A462">
        <f>IF(AND(OR(Query!$B$4="All",'Compliance Database'!$A462=Query!$B$4),OR(Query!$B$5="All",'Compliance Database'!$F462=Query!$B$5),OR(Query!$B$6="All",ISNUMBER(SEARCH(Query!$B$6,'Compliance Database'!$I462))),OR(Query!$B$7="All",ISNUMBER(SEARCH(Query!$B$7,'Compliance Database'!$J462))),OR(Query!$B$8="All",'Compliance Database'!$G462=Query!$B$8),OR(Query!$B$9="All",'Compliance Database'!$K462=Query!$B$9),OR(Query!$B$10="",ISNUMBER(SEARCH(Query!$B$10,'Compliance Database'!$D462&amp;" "&amp;'Compliance Database'!$L462&amp;" "&amp;'Compliance Database'!$M462&amp;" "&amp;'Compliance Database'!$N462&amp;" "&amp;'Compliance Database'!$O462)))),1,0)</f>
        <v/>
      </c>
      <c r="B462">
        <f>IF($A462=1,SUM($A$2:$A462),"")</f>
        <v/>
      </c>
      <c r="C462">
        <f>IF($A462=1,SUM($A$2:$A462),0)</f>
        <v/>
      </c>
    </row>
    <row r="463">
      <c r="A463">
        <f>IF(AND(OR(Query!$B$4="All",'Compliance Database'!$A463=Query!$B$4),OR(Query!$B$5="All",'Compliance Database'!$F463=Query!$B$5),OR(Query!$B$6="All",ISNUMBER(SEARCH(Query!$B$6,'Compliance Database'!$I463))),OR(Query!$B$7="All",ISNUMBER(SEARCH(Query!$B$7,'Compliance Database'!$J463))),OR(Query!$B$8="All",'Compliance Database'!$G463=Query!$B$8),OR(Query!$B$9="All",'Compliance Database'!$K463=Query!$B$9),OR(Query!$B$10="",ISNUMBER(SEARCH(Query!$B$10,'Compliance Database'!$D463&amp;" "&amp;'Compliance Database'!$L463&amp;" "&amp;'Compliance Database'!$M463&amp;" "&amp;'Compliance Database'!$N463&amp;" "&amp;'Compliance Database'!$O463)))),1,0)</f>
        <v/>
      </c>
      <c r="B463">
        <f>IF($A463=1,SUM($A$2:$A463),"")</f>
        <v/>
      </c>
      <c r="C463">
        <f>IF($A463=1,SUM($A$2:$A463),0)</f>
        <v/>
      </c>
    </row>
    <row r="464">
      <c r="A464">
        <f>IF(AND(OR(Query!$B$4="All",'Compliance Database'!$A464=Query!$B$4),OR(Query!$B$5="All",'Compliance Database'!$F464=Query!$B$5),OR(Query!$B$6="All",ISNUMBER(SEARCH(Query!$B$6,'Compliance Database'!$I464))),OR(Query!$B$7="All",ISNUMBER(SEARCH(Query!$B$7,'Compliance Database'!$J464))),OR(Query!$B$8="All",'Compliance Database'!$G464=Query!$B$8),OR(Query!$B$9="All",'Compliance Database'!$K464=Query!$B$9),OR(Query!$B$10="",ISNUMBER(SEARCH(Query!$B$10,'Compliance Database'!$D464&amp;" "&amp;'Compliance Database'!$L464&amp;" "&amp;'Compliance Database'!$M464&amp;" "&amp;'Compliance Database'!$N464&amp;" "&amp;'Compliance Database'!$O464)))),1,0)</f>
        <v/>
      </c>
      <c r="B464">
        <f>IF($A464=1,SUM($A$2:$A464),"")</f>
        <v/>
      </c>
      <c r="C464">
        <f>IF($A464=1,SUM($A$2:$A464),0)</f>
        <v/>
      </c>
    </row>
    <row r="465">
      <c r="A465">
        <f>IF(AND(OR(Query!$B$4="All",'Compliance Database'!$A465=Query!$B$4),OR(Query!$B$5="All",'Compliance Database'!$F465=Query!$B$5),OR(Query!$B$6="All",ISNUMBER(SEARCH(Query!$B$6,'Compliance Database'!$I465))),OR(Query!$B$7="All",ISNUMBER(SEARCH(Query!$B$7,'Compliance Database'!$J465))),OR(Query!$B$8="All",'Compliance Database'!$G465=Query!$B$8),OR(Query!$B$9="All",'Compliance Database'!$K465=Query!$B$9),OR(Query!$B$10="",ISNUMBER(SEARCH(Query!$B$10,'Compliance Database'!$D465&amp;" "&amp;'Compliance Database'!$L465&amp;" "&amp;'Compliance Database'!$M465&amp;" "&amp;'Compliance Database'!$N465&amp;" "&amp;'Compliance Database'!$O465)))),1,0)</f>
        <v/>
      </c>
      <c r="B465">
        <f>IF($A465=1,SUM($A$2:$A465),"")</f>
        <v/>
      </c>
      <c r="C465">
        <f>IF($A465=1,SUM($A$2:$A465),0)</f>
        <v/>
      </c>
    </row>
    <row r="466">
      <c r="A466">
        <f>IF(AND(OR(Query!$B$4="All",'Compliance Database'!$A466=Query!$B$4),OR(Query!$B$5="All",'Compliance Database'!$F466=Query!$B$5),OR(Query!$B$6="All",ISNUMBER(SEARCH(Query!$B$6,'Compliance Database'!$I466))),OR(Query!$B$7="All",ISNUMBER(SEARCH(Query!$B$7,'Compliance Database'!$J466))),OR(Query!$B$8="All",'Compliance Database'!$G466=Query!$B$8),OR(Query!$B$9="All",'Compliance Database'!$K466=Query!$B$9),OR(Query!$B$10="",ISNUMBER(SEARCH(Query!$B$10,'Compliance Database'!$D466&amp;" "&amp;'Compliance Database'!$L466&amp;" "&amp;'Compliance Database'!$M466&amp;" "&amp;'Compliance Database'!$N466&amp;" "&amp;'Compliance Database'!$O466)))),1,0)</f>
        <v/>
      </c>
      <c r="B466">
        <f>IF($A466=1,SUM($A$2:$A466),"")</f>
        <v/>
      </c>
      <c r="C466">
        <f>IF($A466=1,SUM($A$2:$A466),0)</f>
        <v/>
      </c>
    </row>
    <row r="467">
      <c r="A467">
        <f>IF(AND(OR(Query!$B$4="All",'Compliance Database'!$A467=Query!$B$4),OR(Query!$B$5="All",'Compliance Database'!$F467=Query!$B$5),OR(Query!$B$6="All",ISNUMBER(SEARCH(Query!$B$6,'Compliance Database'!$I467))),OR(Query!$B$7="All",ISNUMBER(SEARCH(Query!$B$7,'Compliance Database'!$J467))),OR(Query!$B$8="All",'Compliance Database'!$G467=Query!$B$8),OR(Query!$B$9="All",'Compliance Database'!$K467=Query!$B$9),OR(Query!$B$10="",ISNUMBER(SEARCH(Query!$B$10,'Compliance Database'!$D467&amp;" "&amp;'Compliance Database'!$L467&amp;" "&amp;'Compliance Database'!$M467&amp;" "&amp;'Compliance Database'!$N467&amp;" "&amp;'Compliance Database'!$O467)))),1,0)</f>
        <v/>
      </c>
      <c r="B467">
        <f>IF($A467=1,SUM($A$2:$A467),"")</f>
        <v/>
      </c>
      <c r="C467">
        <f>IF($A467=1,SUM($A$2:$A467),0)</f>
        <v/>
      </c>
    </row>
    <row r="468">
      <c r="A468">
        <f>IF(AND(OR(Query!$B$4="All",'Compliance Database'!$A468=Query!$B$4),OR(Query!$B$5="All",'Compliance Database'!$F468=Query!$B$5),OR(Query!$B$6="All",ISNUMBER(SEARCH(Query!$B$6,'Compliance Database'!$I468))),OR(Query!$B$7="All",ISNUMBER(SEARCH(Query!$B$7,'Compliance Database'!$J468))),OR(Query!$B$8="All",'Compliance Database'!$G468=Query!$B$8),OR(Query!$B$9="All",'Compliance Database'!$K468=Query!$B$9),OR(Query!$B$10="",ISNUMBER(SEARCH(Query!$B$10,'Compliance Database'!$D468&amp;" "&amp;'Compliance Database'!$L468&amp;" "&amp;'Compliance Database'!$M468&amp;" "&amp;'Compliance Database'!$N468&amp;" "&amp;'Compliance Database'!$O468)))),1,0)</f>
        <v/>
      </c>
      <c r="B468">
        <f>IF($A468=1,SUM($A$2:$A468),"")</f>
        <v/>
      </c>
      <c r="C468">
        <f>IF($A468=1,SUM($A$2:$A468),0)</f>
        <v/>
      </c>
    </row>
    <row r="469">
      <c r="A469">
        <f>IF(AND(OR(Query!$B$4="All",'Compliance Database'!$A469=Query!$B$4),OR(Query!$B$5="All",'Compliance Database'!$F469=Query!$B$5),OR(Query!$B$6="All",ISNUMBER(SEARCH(Query!$B$6,'Compliance Database'!$I469))),OR(Query!$B$7="All",ISNUMBER(SEARCH(Query!$B$7,'Compliance Database'!$J469))),OR(Query!$B$8="All",'Compliance Database'!$G469=Query!$B$8),OR(Query!$B$9="All",'Compliance Database'!$K469=Query!$B$9),OR(Query!$B$10="",ISNUMBER(SEARCH(Query!$B$10,'Compliance Database'!$D469&amp;" "&amp;'Compliance Database'!$L469&amp;" "&amp;'Compliance Database'!$M469&amp;" "&amp;'Compliance Database'!$N469&amp;" "&amp;'Compliance Database'!$O469)))),1,0)</f>
        <v/>
      </c>
      <c r="B469">
        <f>IF($A469=1,SUM($A$2:$A469),"")</f>
        <v/>
      </c>
      <c r="C469">
        <f>IF($A469=1,SUM($A$2:$A469),0)</f>
        <v/>
      </c>
    </row>
    <row r="470">
      <c r="A470">
        <f>IF(AND(OR(Query!$B$4="All",'Compliance Database'!$A470=Query!$B$4),OR(Query!$B$5="All",'Compliance Database'!$F470=Query!$B$5),OR(Query!$B$6="All",ISNUMBER(SEARCH(Query!$B$6,'Compliance Database'!$I470))),OR(Query!$B$7="All",ISNUMBER(SEARCH(Query!$B$7,'Compliance Database'!$J470))),OR(Query!$B$8="All",'Compliance Database'!$G470=Query!$B$8),OR(Query!$B$9="All",'Compliance Database'!$K470=Query!$B$9),OR(Query!$B$10="",ISNUMBER(SEARCH(Query!$B$10,'Compliance Database'!$D470&amp;" "&amp;'Compliance Database'!$L470&amp;" "&amp;'Compliance Database'!$M470&amp;" "&amp;'Compliance Database'!$N470&amp;" "&amp;'Compliance Database'!$O470)))),1,0)</f>
        <v/>
      </c>
      <c r="B470">
        <f>IF($A470=1,SUM($A$2:$A470),"")</f>
        <v/>
      </c>
      <c r="C470">
        <f>IF($A470=1,SUM($A$2:$A470),0)</f>
        <v/>
      </c>
    </row>
    <row r="471">
      <c r="A471">
        <f>IF(AND(OR(Query!$B$4="All",'Compliance Database'!$A471=Query!$B$4),OR(Query!$B$5="All",'Compliance Database'!$F471=Query!$B$5),OR(Query!$B$6="All",ISNUMBER(SEARCH(Query!$B$6,'Compliance Database'!$I471))),OR(Query!$B$7="All",ISNUMBER(SEARCH(Query!$B$7,'Compliance Database'!$J471))),OR(Query!$B$8="All",'Compliance Database'!$G471=Query!$B$8),OR(Query!$B$9="All",'Compliance Database'!$K471=Query!$B$9),OR(Query!$B$10="",ISNUMBER(SEARCH(Query!$B$10,'Compliance Database'!$D471&amp;" "&amp;'Compliance Database'!$L471&amp;" "&amp;'Compliance Database'!$M471&amp;" "&amp;'Compliance Database'!$N471&amp;" "&amp;'Compliance Database'!$O471)))),1,0)</f>
        <v/>
      </c>
      <c r="B471">
        <f>IF($A471=1,SUM($A$2:$A471),"")</f>
        <v/>
      </c>
      <c r="C471">
        <f>IF($A471=1,SUM($A$2:$A471),0)</f>
        <v/>
      </c>
    </row>
    <row r="472">
      <c r="A472">
        <f>IF(AND(OR(Query!$B$4="All",'Compliance Database'!$A472=Query!$B$4),OR(Query!$B$5="All",'Compliance Database'!$F472=Query!$B$5),OR(Query!$B$6="All",ISNUMBER(SEARCH(Query!$B$6,'Compliance Database'!$I472))),OR(Query!$B$7="All",ISNUMBER(SEARCH(Query!$B$7,'Compliance Database'!$J472))),OR(Query!$B$8="All",'Compliance Database'!$G472=Query!$B$8),OR(Query!$B$9="All",'Compliance Database'!$K472=Query!$B$9),OR(Query!$B$10="",ISNUMBER(SEARCH(Query!$B$10,'Compliance Database'!$D472&amp;" "&amp;'Compliance Database'!$L472&amp;" "&amp;'Compliance Database'!$M472&amp;" "&amp;'Compliance Database'!$N472&amp;" "&amp;'Compliance Database'!$O472)))),1,0)</f>
        <v/>
      </c>
      <c r="B472">
        <f>IF($A472=1,SUM($A$2:$A472),"")</f>
        <v/>
      </c>
      <c r="C472">
        <f>IF($A472=1,SUM($A$2:$A472),0)</f>
        <v/>
      </c>
    </row>
    <row r="473">
      <c r="A473">
        <f>IF(AND(OR(Query!$B$4="All",'Compliance Database'!$A473=Query!$B$4),OR(Query!$B$5="All",'Compliance Database'!$F473=Query!$B$5),OR(Query!$B$6="All",ISNUMBER(SEARCH(Query!$B$6,'Compliance Database'!$I473))),OR(Query!$B$7="All",ISNUMBER(SEARCH(Query!$B$7,'Compliance Database'!$J473))),OR(Query!$B$8="All",'Compliance Database'!$G473=Query!$B$8),OR(Query!$B$9="All",'Compliance Database'!$K473=Query!$B$9),OR(Query!$B$10="",ISNUMBER(SEARCH(Query!$B$10,'Compliance Database'!$D473&amp;" "&amp;'Compliance Database'!$L473&amp;" "&amp;'Compliance Database'!$M473&amp;" "&amp;'Compliance Database'!$N473&amp;" "&amp;'Compliance Database'!$O473)))),1,0)</f>
        <v/>
      </c>
      <c r="B473">
        <f>IF($A473=1,SUM($A$2:$A473),"")</f>
        <v/>
      </c>
      <c r="C473">
        <f>IF($A473=1,SUM($A$2:$A473),0)</f>
        <v/>
      </c>
    </row>
    <row r="474">
      <c r="A474">
        <f>IF(AND(OR(Query!$B$4="All",'Compliance Database'!$A474=Query!$B$4),OR(Query!$B$5="All",'Compliance Database'!$F474=Query!$B$5),OR(Query!$B$6="All",ISNUMBER(SEARCH(Query!$B$6,'Compliance Database'!$I474))),OR(Query!$B$7="All",ISNUMBER(SEARCH(Query!$B$7,'Compliance Database'!$J474))),OR(Query!$B$8="All",'Compliance Database'!$G474=Query!$B$8),OR(Query!$B$9="All",'Compliance Database'!$K474=Query!$B$9),OR(Query!$B$10="",ISNUMBER(SEARCH(Query!$B$10,'Compliance Database'!$D474&amp;" "&amp;'Compliance Database'!$L474&amp;" "&amp;'Compliance Database'!$M474&amp;" "&amp;'Compliance Database'!$N474&amp;" "&amp;'Compliance Database'!$O474)))),1,0)</f>
        <v/>
      </c>
      <c r="B474">
        <f>IF($A474=1,SUM($A$2:$A474),"")</f>
        <v/>
      </c>
      <c r="C474">
        <f>IF($A474=1,SUM($A$2:$A474),0)</f>
        <v/>
      </c>
    </row>
    <row r="475">
      <c r="A475">
        <f>IF(AND(OR(Query!$B$4="All",'Compliance Database'!$A475=Query!$B$4),OR(Query!$B$5="All",'Compliance Database'!$F475=Query!$B$5),OR(Query!$B$6="All",ISNUMBER(SEARCH(Query!$B$6,'Compliance Database'!$I475))),OR(Query!$B$7="All",ISNUMBER(SEARCH(Query!$B$7,'Compliance Database'!$J475))),OR(Query!$B$8="All",'Compliance Database'!$G475=Query!$B$8),OR(Query!$B$9="All",'Compliance Database'!$K475=Query!$B$9),OR(Query!$B$10="",ISNUMBER(SEARCH(Query!$B$10,'Compliance Database'!$D475&amp;" "&amp;'Compliance Database'!$L475&amp;" "&amp;'Compliance Database'!$M475&amp;" "&amp;'Compliance Database'!$N475&amp;" "&amp;'Compliance Database'!$O475)))),1,0)</f>
        <v/>
      </c>
      <c r="B475">
        <f>IF($A475=1,SUM($A$2:$A475),"")</f>
        <v/>
      </c>
      <c r="C475">
        <f>IF($A475=1,SUM($A$2:$A475),0)</f>
        <v/>
      </c>
    </row>
    <row r="476">
      <c r="A476">
        <f>IF(AND(OR(Query!$B$4="All",'Compliance Database'!$A476=Query!$B$4),OR(Query!$B$5="All",'Compliance Database'!$F476=Query!$B$5),OR(Query!$B$6="All",ISNUMBER(SEARCH(Query!$B$6,'Compliance Database'!$I476))),OR(Query!$B$7="All",ISNUMBER(SEARCH(Query!$B$7,'Compliance Database'!$J476))),OR(Query!$B$8="All",'Compliance Database'!$G476=Query!$B$8),OR(Query!$B$9="All",'Compliance Database'!$K476=Query!$B$9),OR(Query!$B$10="",ISNUMBER(SEARCH(Query!$B$10,'Compliance Database'!$D476&amp;" "&amp;'Compliance Database'!$L476&amp;" "&amp;'Compliance Database'!$M476&amp;" "&amp;'Compliance Database'!$N476&amp;" "&amp;'Compliance Database'!$O476)))),1,0)</f>
        <v/>
      </c>
      <c r="B476">
        <f>IF($A476=1,SUM($A$2:$A476),"")</f>
        <v/>
      </c>
      <c r="C476">
        <f>IF($A476=1,SUM($A$2:$A476),0)</f>
        <v/>
      </c>
    </row>
    <row r="477">
      <c r="A477">
        <f>IF(AND(OR(Query!$B$4="All",'Compliance Database'!$A477=Query!$B$4),OR(Query!$B$5="All",'Compliance Database'!$F477=Query!$B$5),OR(Query!$B$6="All",ISNUMBER(SEARCH(Query!$B$6,'Compliance Database'!$I477))),OR(Query!$B$7="All",ISNUMBER(SEARCH(Query!$B$7,'Compliance Database'!$J477))),OR(Query!$B$8="All",'Compliance Database'!$G477=Query!$B$8),OR(Query!$B$9="All",'Compliance Database'!$K477=Query!$B$9),OR(Query!$B$10="",ISNUMBER(SEARCH(Query!$B$10,'Compliance Database'!$D477&amp;" "&amp;'Compliance Database'!$L477&amp;" "&amp;'Compliance Database'!$M477&amp;" "&amp;'Compliance Database'!$N477&amp;" "&amp;'Compliance Database'!$O477)))),1,0)</f>
        <v/>
      </c>
      <c r="B477">
        <f>IF($A477=1,SUM($A$2:$A477),"")</f>
        <v/>
      </c>
      <c r="C477">
        <f>IF($A477=1,SUM($A$2:$A477),0)</f>
        <v/>
      </c>
    </row>
    <row r="478">
      <c r="A478">
        <f>IF(AND(OR(Query!$B$4="All",'Compliance Database'!$A478=Query!$B$4),OR(Query!$B$5="All",'Compliance Database'!$F478=Query!$B$5),OR(Query!$B$6="All",ISNUMBER(SEARCH(Query!$B$6,'Compliance Database'!$I478))),OR(Query!$B$7="All",ISNUMBER(SEARCH(Query!$B$7,'Compliance Database'!$J478))),OR(Query!$B$8="All",'Compliance Database'!$G478=Query!$B$8),OR(Query!$B$9="All",'Compliance Database'!$K478=Query!$B$9),OR(Query!$B$10="",ISNUMBER(SEARCH(Query!$B$10,'Compliance Database'!$D478&amp;" "&amp;'Compliance Database'!$L478&amp;" "&amp;'Compliance Database'!$M478&amp;" "&amp;'Compliance Database'!$N478&amp;" "&amp;'Compliance Database'!$O478)))),1,0)</f>
        <v/>
      </c>
      <c r="B478">
        <f>IF($A478=1,SUM($A$2:$A478),"")</f>
        <v/>
      </c>
      <c r="C478">
        <f>IF($A478=1,SUM($A$2:$A478),0)</f>
        <v/>
      </c>
    </row>
    <row r="479">
      <c r="A479">
        <f>IF(AND(OR(Query!$B$4="All",'Compliance Database'!$A479=Query!$B$4),OR(Query!$B$5="All",'Compliance Database'!$F479=Query!$B$5),OR(Query!$B$6="All",ISNUMBER(SEARCH(Query!$B$6,'Compliance Database'!$I479))),OR(Query!$B$7="All",ISNUMBER(SEARCH(Query!$B$7,'Compliance Database'!$J479))),OR(Query!$B$8="All",'Compliance Database'!$G479=Query!$B$8),OR(Query!$B$9="All",'Compliance Database'!$K479=Query!$B$9),OR(Query!$B$10="",ISNUMBER(SEARCH(Query!$B$10,'Compliance Database'!$D479&amp;" "&amp;'Compliance Database'!$L479&amp;" "&amp;'Compliance Database'!$M479&amp;" "&amp;'Compliance Database'!$N479&amp;" "&amp;'Compliance Database'!$O479)))),1,0)</f>
        <v/>
      </c>
      <c r="B479">
        <f>IF($A479=1,SUM($A$2:$A479),"")</f>
        <v/>
      </c>
      <c r="C479">
        <f>IF($A479=1,SUM($A$2:$A479),0)</f>
        <v/>
      </c>
    </row>
    <row r="480">
      <c r="A480">
        <f>IF(AND(OR(Query!$B$4="All",'Compliance Database'!$A480=Query!$B$4),OR(Query!$B$5="All",'Compliance Database'!$F480=Query!$B$5),OR(Query!$B$6="All",ISNUMBER(SEARCH(Query!$B$6,'Compliance Database'!$I480))),OR(Query!$B$7="All",ISNUMBER(SEARCH(Query!$B$7,'Compliance Database'!$J480))),OR(Query!$B$8="All",'Compliance Database'!$G480=Query!$B$8),OR(Query!$B$9="All",'Compliance Database'!$K480=Query!$B$9),OR(Query!$B$10="",ISNUMBER(SEARCH(Query!$B$10,'Compliance Database'!$D480&amp;" "&amp;'Compliance Database'!$L480&amp;" "&amp;'Compliance Database'!$M480&amp;" "&amp;'Compliance Database'!$N480&amp;" "&amp;'Compliance Database'!$O480)))),1,0)</f>
        <v/>
      </c>
      <c r="B480">
        <f>IF($A480=1,SUM($A$2:$A480),"")</f>
        <v/>
      </c>
      <c r="C480">
        <f>IF($A480=1,SUM($A$2:$A480),0)</f>
        <v/>
      </c>
    </row>
    <row r="481">
      <c r="A481">
        <f>IF(AND(OR(Query!$B$4="All",'Compliance Database'!$A481=Query!$B$4),OR(Query!$B$5="All",'Compliance Database'!$F481=Query!$B$5),OR(Query!$B$6="All",ISNUMBER(SEARCH(Query!$B$6,'Compliance Database'!$I481))),OR(Query!$B$7="All",ISNUMBER(SEARCH(Query!$B$7,'Compliance Database'!$J481))),OR(Query!$B$8="All",'Compliance Database'!$G481=Query!$B$8),OR(Query!$B$9="All",'Compliance Database'!$K481=Query!$B$9),OR(Query!$B$10="",ISNUMBER(SEARCH(Query!$B$10,'Compliance Database'!$D481&amp;" "&amp;'Compliance Database'!$L481&amp;" "&amp;'Compliance Database'!$M481&amp;" "&amp;'Compliance Database'!$N481&amp;" "&amp;'Compliance Database'!$O481)))),1,0)</f>
        <v/>
      </c>
      <c r="B481">
        <f>IF($A481=1,SUM($A$2:$A481),"")</f>
        <v/>
      </c>
      <c r="C481">
        <f>IF($A481=1,SUM($A$2:$A481),0)</f>
        <v/>
      </c>
    </row>
    <row r="482">
      <c r="A482">
        <f>IF(AND(OR(Query!$B$4="All",'Compliance Database'!$A482=Query!$B$4),OR(Query!$B$5="All",'Compliance Database'!$F482=Query!$B$5),OR(Query!$B$6="All",ISNUMBER(SEARCH(Query!$B$6,'Compliance Database'!$I482))),OR(Query!$B$7="All",ISNUMBER(SEARCH(Query!$B$7,'Compliance Database'!$J482))),OR(Query!$B$8="All",'Compliance Database'!$G482=Query!$B$8),OR(Query!$B$9="All",'Compliance Database'!$K482=Query!$B$9),OR(Query!$B$10="",ISNUMBER(SEARCH(Query!$B$10,'Compliance Database'!$D482&amp;" "&amp;'Compliance Database'!$L482&amp;" "&amp;'Compliance Database'!$M482&amp;" "&amp;'Compliance Database'!$N482&amp;" "&amp;'Compliance Database'!$O482)))),1,0)</f>
        <v/>
      </c>
      <c r="B482">
        <f>IF($A482=1,SUM($A$2:$A482),"")</f>
        <v/>
      </c>
      <c r="C482">
        <f>IF($A482=1,SUM($A$2:$A482),0)</f>
        <v/>
      </c>
    </row>
    <row r="483">
      <c r="A483">
        <f>IF(AND(OR(Query!$B$4="All",'Compliance Database'!$A483=Query!$B$4),OR(Query!$B$5="All",'Compliance Database'!$F483=Query!$B$5),OR(Query!$B$6="All",ISNUMBER(SEARCH(Query!$B$6,'Compliance Database'!$I483))),OR(Query!$B$7="All",ISNUMBER(SEARCH(Query!$B$7,'Compliance Database'!$J483))),OR(Query!$B$8="All",'Compliance Database'!$G483=Query!$B$8),OR(Query!$B$9="All",'Compliance Database'!$K483=Query!$B$9),OR(Query!$B$10="",ISNUMBER(SEARCH(Query!$B$10,'Compliance Database'!$D483&amp;" "&amp;'Compliance Database'!$L483&amp;" "&amp;'Compliance Database'!$M483&amp;" "&amp;'Compliance Database'!$N483&amp;" "&amp;'Compliance Database'!$O483)))),1,0)</f>
        <v/>
      </c>
      <c r="B483">
        <f>IF($A483=1,SUM($A$2:$A483),"")</f>
        <v/>
      </c>
      <c r="C483">
        <f>IF($A483=1,SUM($A$2:$A483),0)</f>
        <v/>
      </c>
    </row>
    <row r="484">
      <c r="A484">
        <f>IF(AND(OR(Query!$B$4="All",'Compliance Database'!$A484=Query!$B$4),OR(Query!$B$5="All",'Compliance Database'!$F484=Query!$B$5),OR(Query!$B$6="All",ISNUMBER(SEARCH(Query!$B$6,'Compliance Database'!$I484))),OR(Query!$B$7="All",ISNUMBER(SEARCH(Query!$B$7,'Compliance Database'!$J484))),OR(Query!$B$8="All",'Compliance Database'!$G484=Query!$B$8),OR(Query!$B$9="All",'Compliance Database'!$K484=Query!$B$9),OR(Query!$B$10="",ISNUMBER(SEARCH(Query!$B$10,'Compliance Database'!$D484&amp;" "&amp;'Compliance Database'!$L484&amp;" "&amp;'Compliance Database'!$M484&amp;" "&amp;'Compliance Database'!$N484&amp;" "&amp;'Compliance Database'!$O484)))),1,0)</f>
        <v/>
      </c>
      <c r="B484">
        <f>IF($A484=1,SUM($A$2:$A484),"")</f>
        <v/>
      </c>
      <c r="C484">
        <f>IF($A484=1,SUM($A$2:$A484),0)</f>
        <v/>
      </c>
    </row>
    <row r="485">
      <c r="A485">
        <f>IF(AND(OR(Query!$B$4="All",'Compliance Database'!$A485=Query!$B$4),OR(Query!$B$5="All",'Compliance Database'!$F485=Query!$B$5),OR(Query!$B$6="All",ISNUMBER(SEARCH(Query!$B$6,'Compliance Database'!$I485))),OR(Query!$B$7="All",ISNUMBER(SEARCH(Query!$B$7,'Compliance Database'!$J485))),OR(Query!$B$8="All",'Compliance Database'!$G485=Query!$B$8),OR(Query!$B$9="All",'Compliance Database'!$K485=Query!$B$9),OR(Query!$B$10="",ISNUMBER(SEARCH(Query!$B$10,'Compliance Database'!$D485&amp;" "&amp;'Compliance Database'!$L485&amp;" "&amp;'Compliance Database'!$M485&amp;" "&amp;'Compliance Database'!$N485&amp;" "&amp;'Compliance Database'!$O485)))),1,0)</f>
        <v/>
      </c>
      <c r="B485">
        <f>IF($A485=1,SUM($A$2:$A485),"")</f>
        <v/>
      </c>
      <c r="C485">
        <f>IF($A485=1,SUM($A$2:$A485),0)</f>
        <v/>
      </c>
    </row>
    <row r="486">
      <c r="A486">
        <f>IF(AND(OR(Query!$B$4="All",'Compliance Database'!$A486=Query!$B$4),OR(Query!$B$5="All",'Compliance Database'!$F486=Query!$B$5),OR(Query!$B$6="All",ISNUMBER(SEARCH(Query!$B$6,'Compliance Database'!$I486))),OR(Query!$B$7="All",ISNUMBER(SEARCH(Query!$B$7,'Compliance Database'!$J486))),OR(Query!$B$8="All",'Compliance Database'!$G486=Query!$B$8),OR(Query!$B$9="All",'Compliance Database'!$K486=Query!$B$9),OR(Query!$B$10="",ISNUMBER(SEARCH(Query!$B$10,'Compliance Database'!$D486&amp;" "&amp;'Compliance Database'!$L486&amp;" "&amp;'Compliance Database'!$M486&amp;" "&amp;'Compliance Database'!$N486&amp;" "&amp;'Compliance Database'!$O486)))),1,0)</f>
        <v/>
      </c>
      <c r="B486">
        <f>IF($A486=1,SUM($A$2:$A486),"")</f>
        <v/>
      </c>
      <c r="C486">
        <f>IF($A486=1,SUM($A$2:$A486),0)</f>
        <v/>
      </c>
    </row>
    <row r="487">
      <c r="A487">
        <f>IF(AND(OR(Query!$B$4="All",'Compliance Database'!$A487=Query!$B$4),OR(Query!$B$5="All",'Compliance Database'!$F487=Query!$B$5),OR(Query!$B$6="All",ISNUMBER(SEARCH(Query!$B$6,'Compliance Database'!$I487))),OR(Query!$B$7="All",ISNUMBER(SEARCH(Query!$B$7,'Compliance Database'!$J487))),OR(Query!$B$8="All",'Compliance Database'!$G487=Query!$B$8),OR(Query!$B$9="All",'Compliance Database'!$K487=Query!$B$9),OR(Query!$B$10="",ISNUMBER(SEARCH(Query!$B$10,'Compliance Database'!$D487&amp;" "&amp;'Compliance Database'!$L487&amp;" "&amp;'Compliance Database'!$M487&amp;" "&amp;'Compliance Database'!$N487&amp;" "&amp;'Compliance Database'!$O487)))),1,0)</f>
        <v/>
      </c>
      <c r="B487">
        <f>IF($A487=1,SUM($A$2:$A487),"")</f>
        <v/>
      </c>
      <c r="C487">
        <f>IF($A487=1,SUM($A$2:$A487),0)</f>
        <v/>
      </c>
    </row>
    <row r="488">
      <c r="A488">
        <f>IF(AND(OR(Query!$B$4="All",'Compliance Database'!$A488=Query!$B$4),OR(Query!$B$5="All",'Compliance Database'!$F488=Query!$B$5),OR(Query!$B$6="All",ISNUMBER(SEARCH(Query!$B$6,'Compliance Database'!$I488))),OR(Query!$B$7="All",ISNUMBER(SEARCH(Query!$B$7,'Compliance Database'!$J488))),OR(Query!$B$8="All",'Compliance Database'!$G488=Query!$B$8),OR(Query!$B$9="All",'Compliance Database'!$K488=Query!$B$9),OR(Query!$B$10="",ISNUMBER(SEARCH(Query!$B$10,'Compliance Database'!$D488&amp;" "&amp;'Compliance Database'!$L488&amp;" "&amp;'Compliance Database'!$M488&amp;" "&amp;'Compliance Database'!$N488&amp;" "&amp;'Compliance Database'!$O488)))),1,0)</f>
        <v/>
      </c>
      <c r="B488">
        <f>IF($A488=1,SUM($A$2:$A488),"")</f>
        <v/>
      </c>
      <c r="C488">
        <f>IF($A488=1,SUM($A$2:$A488),0)</f>
        <v/>
      </c>
    </row>
    <row r="489">
      <c r="A489">
        <f>IF(AND(OR(Query!$B$4="All",'Compliance Database'!$A489=Query!$B$4),OR(Query!$B$5="All",'Compliance Database'!$F489=Query!$B$5),OR(Query!$B$6="All",ISNUMBER(SEARCH(Query!$B$6,'Compliance Database'!$I489))),OR(Query!$B$7="All",ISNUMBER(SEARCH(Query!$B$7,'Compliance Database'!$J489))),OR(Query!$B$8="All",'Compliance Database'!$G489=Query!$B$8),OR(Query!$B$9="All",'Compliance Database'!$K489=Query!$B$9),OR(Query!$B$10="",ISNUMBER(SEARCH(Query!$B$10,'Compliance Database'!$D489&amp;" "&amp;'Compliance Database'!$L489&amp;" "&amp;'Compliance Database'!$M489&amp;" "&amp;'Compliance Database'!$N489&amp;" "&amp;'Compliance Database'!$O489)))),1,0)</f>
        <v/>
      </c>
      <c r="B489">
        <f>IF($A489=1,SUM($A$2:$A489),"")</f>
        <v/>
      </c>
      <c r="C489">
        <f>IF($A489=1,SUM($A$2:$A489),0)</f>
        <v/>
      </c>
    </row>
    <row r="490">
      <c r="A490">
        <f>IF(AND(OR(Query!$B$4="All",'Compliance Database'!$A490=Query!$B$4),OR(Query!$B$5="All",'Compliance Database'!$F490=Query!$B$5),OR(Query!$B$6="All",ISNUMBER(SEARCH(Query!$B$6,'Compliance Database'!$I490))),OR(Query!$B$7="All",ISNUMBER(SEARCH(Query!$B$7,'Compliance Database'!$J490))),OR(Query!$B$8="All",'Compliance Database'!$G490=Query!$B$8),OR(Query!$B$9="All",'Compliance Database'!$K490=Query!$B$9),OR(Query!$B$10="",ISNUMBER(SEARCH(Query!$B$10,'Compliance Database'!$D490&amp;" "&amp;'Compliance Database'!$L490&amp;" "&amp;'Compliance Database'!$M490&amp;" "&amp;'Compliance Database'!$N490&amp;" "&amp;'Compliance Database'!$O490)))),1,0)</f>
        <v/>
      </c>
      <c r="B490">
        <f>IF($A490=1,SUM($A$2:$A490),"")</f>
        <v/>
      </c>
      <c r="C490">
        <f>IF($A490=1,SUM($A$2:$A490),0)</f>
        <v/>
      </c>
    </row>
    <row r="491">
      <c r="A491">
        <f>IF(AND(OR(Query!$B$4="All",'Compliance Database'!$A491=Query!$B$4),OR(Query!$B$5="All",'Compliance Database'!$F491=Query!$B$5),OR(Query!$B$6="All",ISNUMBER(SEARCH(Query!$B$6,'Compliance Database'!$I491))),OR(Query!$B$7="All",ISNUMBER(SEARCH(Query!$B$7,'Compliance Database'!$J491))),OR(Query!$B$8="All",'Compliance Database'!$G491=Query!$B$8),OR(Query!$B$9="All",'Compliance Database'!$K491=Query!$B$9),OR(Query!$B$10="",ISNUMBER(SEARCH(Query!$B$10,'Compliance Database'!$D491&amp;" "&amp;'Compliance Database'!$L491&amp;" "&amp;'Compliance Database'!$M491&amp;" "&amp;'Compliance Database'!$N491&amp;" "&amp;'Compliance Database'!$O491)))),1,0)</f>
        <v/>
      </c>
      <c r="B491">
        <f>IF($A491=1,SUM($A$2:$A491),"")</f>
        <v/>
      </c>
      <c r="C491">
        <f>IF($A491=1,SUM($A$2:$A491),0)</f>
        <v/>
      </c>
    </row>
    <row r="492">
      <c r="A492">
        <f>IF(AND(OR(Query!$B$4="All",'Compliance Database'!$A492=Query!$B$4),OR(Query!$B$5="All",'Compliance Database'!$F492=Query!$B$5),OR(Query!$B$6="All",ISNUMBER(SEARCH(Query!$B$6,'Compliance Database'!$I492))),OR(Query!$B$7="All",ISNUMBER(SEARCH(Query!$B$7,'Compliance Database'!$J492))),OR(Query!$B$8="All",'Compliance Database'!$G492=Query!$B$8),OR(Query!$B$9="All",'Compliance Database'!$K492=Query!$B$9),OR(Query!$B$10="",ISNUMBER(SEARCH(Query!$B$10,'Compliance Database'!$D492&amp;" "&amp;'Compliance Database'!$L492&amp;" "&amp;'Compliance Database'!$M492&amp;" "&amp;'Compliance Database'!$N492&amp;" "&amp;'Compliance Database'!$O492)))),1,0)</f>
        <v/>
      </c>
      <c r="B492">
        <f>IF($A492=1,SUM($A$2:$A492),"")</f>
        <v/>
      </c>
      <c r="C492">
        <f>IF($A492=1,SUM($A$2:$A492),0)</f>
        <v/>
      </c>
    </row>
    <row r="493">
      <c r="A493">
        <f>IF(AND(OR(Query!$B$4="All",'Compliance Database'!$A493=Query!$B$4),OR(Query!$B$5="All",'Compliance Database'!$F493=Query!$B$5),OR(Query!$B$6="All",ISNUMBER(SEARCH(Query!$B$6,'Compliance Database'!$I493))),OR(Query!$B$7="All",ISNUMBER(SEARCH(Query!$B$7,'Compliance Database'!$J493))),OR(Query!$B$8="All",'Compliance Database'!$G493=Query!$B$8),OR(Query!$B$9="All",'Compliance Database'!$K493=Query!$B$9),OR(Query!$B$10="",ISNUMBER(SEARCH(Query!$B$10,'Compliance Database'!$D493&amp;" "&amp;'Compliance Database'!$L493&amp;" "&amp;'Compliance Database'!$M493&amp;" "&amp;'Compliance Database'!$N493&amp;" "&amp;'Compliance Database'!$O493)))),1,0)</f>
        <v/>
      </c>
      <c r="B493">
        <f>IF($A493=1,SUM($A$2:$A493),"")</f>
        <v/>
      </c>
      <c r="C493">
        <f>IF($A493=1,SUM($A$2:$A493),0)</f>
        <v/>
      </c>
    </row>
    <row r="494">
      <c r="A494">
        <f>IF(AND(OR(Query!$B$4="All",'Compliance Database'!$A494=Query!$B$4),OR(Query!$B$5="All",'Compliance Database'!$F494=Query!$B$5),OR(Query!$B$6="All",ISNUMBER(SEARCH(Query!$B$6,'Compliance Database'!$I494))),OR(Query!$B$7="All",ISNUMBER(SEARCH(Query!$B$7,'Compliance Database'!$J494))),OR(Query!$B$8="All",'Compliance Database'!$G494=Query!$B$8),OR(Query!$B$9="All",'Compliance Database'!$K494=Query!$B$9),OR(Query!$B$10="",ISNUMBER(SEARCH(Query!$B$10,'Compliance Database'!$D494&amp;" "&amp;'Compliance Database'!$L494&amp;" "&amp;'Compliance Database'!$M494&amp;" "&amp;'Compliance Database'!$N494&amp;" "&amp;'Compliance Database'!$O494)))),1,0)</f>
        <v/>
      </c>
      <c r="B494">
        <f>IF($A494=1,SUM($A$2:$A494),"")</f>
        <v/>
      </c>
      <c r="C494">
        <f>IF($A494=1,SUM($A$2:$A494),0)</f>
        <v/>
      </c>
    </row>
    <row r="495">
      <c r="A495">
        <f>IF(AND(OR(Query!$B$4="All",'Compliance Database'!$A495=Query!$B$4),OR(Query!$B$5="All",'Compliance Database'!$F495=Query!$B$5),OR(Query!$B$6="All",ISNUMBER(SEARCH(Query!$B$6,'Compliance Database'!$I495))),OR(Query!$B$7="All",ISNUMBER(SEARCH(Query!$B$7,'Compliance Database'!$J495))),OR(Query!$B$8="All",'Compliance Database'!$G495=Query!$B$8),OR(Query!$B$9="All",'Compliance Database'!$K495=Query!$B$9),OR(Query!$B$10="",ISNUMBER(SEARCH(Query!$B$10,'Compliance Database'!$D495&amp;" "&amp;'Compliance Database'!$L495&amp;" "&amp;'Compliance Database'!$M495&amp;" "&amp;'Compliance Database'!$N495&amp;" "&amp;'Compliance Database'!$O495)))),1,0)</f>
        <v/>
      </c>
      <c r="B495">
        <f>IF($A495=1,SUM($A$2:$A495),"")</f>
        <v/>
      </c>
      <c r="C495">
        <f>IF($A495=1,SUM($A$2:$A495),0)</f>
        <v/>
      </c>
    </row>
    <row r="496">
      <c r="A496">
        <f>IF(AND(OR(Query!$B$4="All",'Compliance Database'!$A496=Query!$B$4),OR(Query!$B$5="All",'Compliance Database'!$F496=Query!$B$5),OR(Query!$B$6="All",ISNUMBER(SEARCH(Query!$B$6,'Compliance Database'!$I496))),OR(Query!$B$7="All",ISNUMBER(SEARCH(Query!$B$7,'Compliance Database'!$J496))),OR(Query!$B$8="All",'Compliance Database'!$G496=Query!$B$8),OR(Query!$B$9="All",'Compliance Database'!$K496=Query!$B$9),OR(Query!$B$10="",ISNUMBER(SEARCH(Query!$B$10,'Compliance Database'!$D496&amp;" "&amp;'Compliance Database'!$L496&amp;" "&amp;'Compliance Database'!$M496&amp;" "&amp;'Compliance Database'!$N496&amp;" "&amp;'Compliance Database'!$O496)))),1,0)</f>
        <v/>
      </c>
      <c r="B496">
        <f>IF($A496=1,SUM($A$2:$A496),"")</f>
        <v/>
      </c>
      <c r="C496">
        <f>IF($A496=1,SUM($A$2:$A496),0)</f>
        <v/>
      </c>
    </row>
    <row r="497">
      <c r="A497">
        <f>IF(AND(OR(Query!$B$4="All",'Compliance Database'!$A497=Query!$B$4),OR(Query!$B$5="All",'Compliance Database'!$F497=Query!$B$5),OR(Query!$B$6="All",ISNUMBER(SEARCH(Query!$B$6,'Compliance Database'!$I497))),OR(Query!$B$7="All",ISNUMBER(SEARCH(Query!$B$7,'Compliance Database'!$J497))),OR(Query!$B$8="All",'Compliance Database'!$G497=Query!$B$8),OR(Query!$B$9="All",'Compliance Database'!$K497=Query!$B$9),OR(Query!$B$10="",ISNUMBER(SEARCH(Query!$B$10,'Compliance Database'!$D497&amp;" "&amp;'Compliance Database'!$L497&amp;" "&amp;'Compliance Database'!$M497&amp;" "&amp;'Compliance Database'!$N497&amp;" "&amp;'Compliance Database'!$O497)))),1,0)</f>
        <v/>
      </c>
      <c r="B497">
        <f>IF($A497=1,SUM($A$2:$A497),"")</f>
        <v/>
      </c>
      <c r="C497">
        <f>IF($A497=1,SUM($A$2:$A497),0)</f>
        <v/>
      </c>
    </row>
    <row r="498">
      <c r="A498">
        <f>IF(AND(OR(Query!$B$4="All",'Compliance Database'!$A498=Query!$B$4),OR(Query!$B$5="All",'Compliance Database'!$F498=Query!$B$5),OR(Query!$B$6="All",ISNUMBER(SEARCH(Query!$B$6,'Compliance Database'!$I498))),OR(Query!$B$7="All",ISNUMBER(SEARCH(Query!$B$7,'Compliance Database'!$J498))),OR(Query!$B$8="All",'Compliance Database'!$G498=Query!$B$8),OR(Query!$B$9="All",'Compliance Database'!$K498=Query!$B$9),OR(Query!$B$10="",ISNUMBER(SEARCH(Query!$B$10,'Compliance Database'!$D498&amp;" "&amp;'Compliance Database'!$L498&amp;" "&amp;'Compliance Database'!$M498&amp;" "&amp;'Compliance Database'!$N498&amp;" "&amp;'Compliance Database'!$O498)))),1,0)</f>
        <v/>
      </c>
      <c r="B498">
        <f>IF($A498=1,SUM($A$2:$A498),"")</f>
        <v/>
      </c>
      <c r="C498">
        <f>IF($A498=1,SUM($A$2:$A498),0)</f>
        <v/>
      </c>
    </row>
    <row r="499">
      <c r="A499">
        <f>IF(AND(OR(Query!$B$4="All",'Compliance Database'!$A499=Query!$B$4),OR(Query!$B$5="All",'Compliance Database'!$F499=Query!$B$5),OR(Query!$B$6="All",ISNUMBER(SEARCH(Query!$B$6,'Compliance Database'!$I499))),OR(Query!$B$7="All",ISNUMBER(SEARCH(Query!$B$7,'Compliance Database'!$J499))),OR(Query!$B$8="All",'Compliance Database'!$G499=Query!$B$8),OR(Query!$B$9="All",'Compliance Database'!$K499=Query!$B$9),OR(Query!$B$10="",ISNUMBER(SEARCH(Query!$B$10,'Compliance Database'!$D499&amp;" "&amp;'Compliance Database'!$L499&amp;" "&amp;'Compliance Database'!$M499&amp;" "&amp;'Compliance Database'!$N499&amp;" "&amp;'Compliance Database'!$O499)))),1,0)</f>
        <v/>
      </c>
      <c r="B499">
        <f>IF($A499=1,SUM($A$2:$A499),"")</f>
        <v/>
      </c>
      <c r="C499">
        <f>IF($A499=1,SUM($A$2:$A499),0)</f>
        <v/>
      </c>
    </row>
    <row r="500">
      <c r="A500">
        <f>IF(AND(OR(Query!$B$4="All",'Compliance Database'!$A500=Query!$B$4),OR(Query!$B$5="All",'Compliance Database'!$F500=Query!$B$5),OR(Query!$B$6="All",ISNUMBER(SEARCH(Query!$B$6,'Compliance Database'!$I500))),OR(Query!$B$7="All",ISNUMBER(SEARCH(Query!$B$7,'Compliance Database'!$J500))),OR(Query!$B$8="All",'Compliance Database'!$G500=Query!$B$8),OR(Query!$B$9="All",'Compliance Database'!$K500=Query!$B$9),OR(Query!$B$10="",ISNUMBER(SEARCH(Query!$B$10,'Compliance Database'!$D500&amp;" "&amp;'Compliance Database'!$L500&amp;" "&amp;'Compliance Database'!$M500&amp;" "&amp;'Compliance Database'!$N500&amp;" "&amp;'Compliance Database'!$O500)))),1,0)</f>
        <v/>
      </c>
      <c r="B500">
        <f>IF($A500=1,SUM($A$2:$A500),"")</f>
        <v/>
      </c>
      <c r="C500">
        <f>IF($A500=1,SUM($A$2:$A500),0)</f>
        <v/>
      </c>
    </row>
    <row r="501">
      <c r="A501">
        <f>IF(AND(OR(Query!$B$4="All",'Compliance Database'!$A501=Query!$B$4),OR(Query!$B$5="All",'Compliance Database'!$F501=Query!$B$5),OR(Query!$B$6="All",ISNUMBER(SEARCH(Query!$B$6,'Compliance Database'!$I501))),OR(Query!$B$7="All",ISNUMBER(SEARCH(Query!$B$7,'Compliance Database'!$J501))),OR(Query!$B$8="All",'Compliance Database'!$G501=Query!$B$8),OR(Query!$B$9="All",'Compliance Database'!$K501=Query!$B$9),OR(Query!$B$10="",ISNUMBER(SEARCH(Query!$B$10,'Compliance Database'!$D501&amp;" "&amp;'Compliance Database'!$L501&amp;" "&amp;'Compliance Database'!$M501&amp;" "&amp;'Compliance Database'!$N501&amp;" "&amp;'Compliance Database'!$O501)))),1,0)</f>
        <v/>
      </c>
      <c r="B501">
        <f>IF($A501=1,SUM($A$2:$A501),"")</f>
        <v/>
      </c>
      <c r="C501">
        <f>IF($A501=1,SUM($A$2:$A501),0)</f>
        <v/>
      </c>
    </row>
    <row r="502">
      <c r="A502">
        <f>IF(AND(OR(Query!$B$4="All",'Compliance Database'!$A502=Query!$B$4),OR(Query!$B$5="All",'Compliance Database'!$F502=Query!$B$5),OR(Query!$B$6="All",ISNUMBER(SEARCH(Query!$B$6,'Compliance Database'!$I502))),OR(Query!$B$7="All",ISNUMBER(SEARCH(Query!$B$7,'Compliance Database'!$J502))),OR(Query!$B$8="All",'Compliance Database'!$G502=Query!$B$8),OR(Query!$B$9="All",'Compliance Database'!$K502=Query!$B$9),OR(Query!$B$10="",ISNUMBER(SEARCH(Query!$B$10,'Compliance Database'!$D502&amp;" "&amp;'Compliance Database'!$L502&amp;" "&amp;'Compliance Database'!$M502&amp;" "&amp;'Compliance Database'!$N502&amp;" "&amp;'Compliance Database'!$O502)))),1,0)</f>
        <v/>
      </c>
      <c r="B502">
        <f>IF($A502=1,SUM($A$2:$A502),"")</f>
        <v/>
      </c>
      <c r="C502">
        <f>IF($A502=1,SUM($A$2:$A502),0)</f>
        <v/>
      </c>
    </row>
    <row r="503">
      <c r="A503">
        <f>IF(AND(OR(Query!$B$4="All",'Compliance Database'!$A503=Query!$B$4),OR(Query!$B$5="All",'Compliance Database'!$F503=Query!$B$5),OR(Query!$B$6="All",ISNUMBER(SEARCH(Query!$B$6,'Compliance Database'!$I503))),OR(Query!$B$7="All",ISNUMBER(SEARCH(Query!$B$7,'Compliance Database'!$J503))),OR(Query!$B$8="All",'Compliance Database'!$G503=Query!$B$8),OR(Query!$B$9="All",'Compliance Database'!$K503=Query!$B$9),OR(Query!$B$10="",ISNUMBER(SEARCH(Query!$B$10,'Compliance Database'!$D503&amp;" "&amp;'Compliance Database'!$L503&amp;" "&amp;'Compliance Database'!$M503&amp;" "&amp;'Compliance Database'!$N503&amp;" "&amp;'Compliance Database'!$O503)))),1,0)</f>
        <v/>
      </c>
      <c r="B503">
        <f>IF($A503=1,SUM($A$2:$A503),"")</f>
        <v/>
      </c>
      <c r="C503">
        <f>IF($A503=1,SUM($A$2:$A503),0)</f>
        <v/>
      </c>
    </row>
    <row r="504">
      <c r="A504">
        <f>IF(AND(OR(Query!$B$4="All",'Compliance Database'!$A504=Query!$B$4),OR(Query!$B$5="All",'Compliance Database'!$F504=Query!$B$5),OR(Query!$B$6="All",ISNUMBER(SEARCH(Query!$B$6,'Compliance Database'!$I504))),OR(Query!$B$7="All",ISNUMBER(SEARCH(Query!$B$7,'Compliance Database'!$J504))),OR(Query!$B$8="All",'Compliance Database'!$G504=Query!$B$8),OR(Query!$B$9="All",'Compliance Database'!$K504=Query!$B$9),OR(Query!$B$10="",ISNUMBER(SEARCH(Query!$B$10,'Compliance Database'!$D504&amp;" "&amp;'Compliance Database'!$L504&amp;" "&amp;'Compliance Database'!$M504&amp;" "&amp;'Compliance Database'!$N504&amp;" "&amp;'Compliance Database'!$O504)))),1,0)</f>
        <v/>
      </c>
      <c r="B504">
        <f>IF($A504=1,SUM($A$2:$A504),"")</f>
        <v/>
      </c>
      <c r="C504">
        <f>IF($A504=1,SUM($A$2:$A504),0)</f>
        <v/>
      </c>
    </row>
    <row r="505">
      <c r="A505">
        <f>IF(AND(OR(Query!$B$4="All",'Compliance Database'!$A505=Query!$B$4),OR(Query!$B$5="All",'Compliance Database'!$F505=Query!$B$5),OR(Query!$B$6="All",ISNUMBER(SEARCH(Query!$B$6,'Compliance Database'!$I505))),OR(Query!$B$7="All",ISNUMBER(SEARCH(Query!$B$7,'Compliance Database'!$J505))),OR(Query!$B$8="All",'Compliance Database'!$G505=Query!$B$8),OR(Query!$B$9="All",'Compliance Database'!$K505=Query!$B$9),OR(Query!$B$10="",ISNUMBER(SEARCH(Query!$B$10,'Compliance Database'!$D505&amp;" "&amp;'Compliance Database'!$L505&amp;" "&amp;'Compliance Database'!$M505&amp;" "&amp;'Compliance Database'!$N505&amp;" "&amp;'Compliance Database'!$O505)))),1,0)</f>
        <v/>
      </c>
      <c r="B505">
        <f>IF($A505=1,SUM($A$2:$A505),"")</f>
        <v/>
      </c>
      <c r="C505">
        <f>IF($A505=1,SUM($A$2:$A505),0)</f>
        <v/>
      </c>
    </row>
    <row r="506">
      <c r="A506">
        <f>IF(AND(OR(Query!$B$4="All",'Compliance Database'!$A506=Query!$B$4),OR(Query!$B$5="All",'Compliance Database'!$F506=Query!$B$5),OR(Query!$B$6="All",ISNUMBER(SEARCH(Query!$B$6,'Compliance Database'!$I506))),OR(Query!$B$7="All",ISNUMBER(SEARCH(Query!$B$7,'Compliance Database'!$J506))),OR(Query!$B$8="All",'Compliance Database'!$G506=Query!$B$8),OR(Query!$B$9="All",'Compliance Database'!$K506=Query!$B$9),OR(Query!$B$10="",ISNUMBER(SEARCH(Query!$B$10,'Compliance Database'!$D506&amp;" "&amp;'Compliance Database'!$L506&amp;" "&amp;'Compliance Database'!$M506&amp;" "&amp;'Compliance Database'!$N506&amp;" "&amp;'Compliance Database'!$O506)))),1,0)</f>
        <v/>
      </c>
      <c r="B506">
        <f>IF($A506=1,SUM($A$2:$A506),"")</f>
        <v/>
      </c>
      <c r="C506">
        <f>IF($A506=1,SUM($A$2:$A506),0)</f>
        <v/>
      </c>
    </row>
    <row r="507">
      <c r="A507">
        <f>IF(AND(OR(Query!$B$4="All",'Compliance Database'!$A507=Query!$B$4),OR(Query!$B$5="All",'Compliance Database'!$F507=Query!$B$5),OR(Query!$B$6="All",ISNUMBER(SEARCH(Query!$B$6,'Compliance Database'!$I507))),OR(Query!$B$7="All",ISNUMBER(SEARCH(Query!$B$7,'Compliance Database'!$J507))),OR(Query!$B$8="All",'Compliance Database'!$G507=Query!$B$8),OR(Query!$B$9="All",'Compliance Database'!$K507=Query!$B$9),OR(Query!$B$10="",ISNUMBER(SEARCH(Query!$B$10,'Compliance Database'!$D507&amp;" "&amp;'Compliance Database'!$L507&amp;" "&amp;'Compliance Database'!$M507&amp;" "&amp;'Compliance Database'!$N507&amp;" "&amp;'Compliance Database'!$O507)))),1,0)</f>
        <v/>
      </c>
      <c r="B507">
        <f>IF($A507=1,SUM($A$2:$A507),"")</f>
        <v/>
      </c>
      <c r="C507">
        <f>IF($A507=1,SUM($A$2:$A507),0)</f>
        <v/>
      </c>
    </row>
    <row r="508">
      <c r="A508">
        <f>IF(AND(OR(Query!$B$4="All",'Compliance Database'!$A508=Query!$B$4),OR(Query!$B$5="All",'Compliance Database'!$F508=Query!$B$5),OR(Query!$B$6="All",ISNUMBER(SEARCH(Query!$B$6,'Compliance Database'!$I508))),OR(Query!$B$7="All",ISNUMBER(SEARCH(Query!$B$7,'Compliance Database'!$J508))),OR(Query!$B$8="All",'Compliance Database'!$G508=Query!$B$8),OR(Query!$B$9="All",'Compliance Database'!$K508=Query!$B$9),OR(Query!$B$10="",ISNUMBER(SEARCH(Query!$B$10,'Compliance Database'!$D508&amp;" "&amp;'Compliance Database'!$L508&amp;" "&amp;'Compliance Database'!$M508&amp;" "&amp;'Compliance Database'!$N508&amp;" "&amp;'Compliance Database'!$O508)))),1,0)</f>
        <v/>
      </c>
      <c r="B508">
        <f>IF($A508=1,SUM($A$2:$A508),"")</f>
        <v/>
      </c>
      <c r="C508">
        <f>IF($A508=1,SUM($A$2:$A508),0)</f>
        <v/>
      </c>
    </row>
    <row r="509">
      <c r="A509">
        <f>IF(AND(OR(Query!$B$4="All",'Compliance Database'!$A509=Query!$B$4),OR(Query!$B$5="All",'Compliance Database'!$F509=Query!$B$5),OR(Query!$B$6="All",ISNUMBER(SEARCH(Query!$B$6,'Compliance Database'!$I509))),OR(Query!$B$7="All",ISNUMBER(SEARCH(Query!$B$7,'Compliance Database'!$J509))),OR(Query!$B$8="All",'Compliance Database'!$G509=Query!$B$8),OR(Query!$B$9="All",'Compliance Database'!$K509=Query!$B$9),OR(Query!$B$10="",ISNUMBER(SEARCH(Query!$B$10,'Compliance Database'!$D509&amp;" "&amp;'Compliance Database'!$L509&amp;" "&amp;'Compliance Database'!$M509&amp;" "&amp;'Compliance Database'!$N509&amp;" "&amp;'Compliance Database'!$O509)))),1,0)</f>
        <v/>
      </c>
      <c r="B509">
        <f>IF($A509=1,SUM($A$2:$A509),"")</f>
        <v/>
      </c>
      <c r="C509">
        <f>IF($A509=1,SUM($A$2:$A509),0)</f>
        <v/>
      </c>
    </row>
    <row r="510">
      <c r="A510">
        <f>IF(AND(OR(Query!$B$4="All",'Compliance Database'!$A510=Query!$B$4),OR(Query!$B$5="All",'Compliance Database'!$F510=Query!$B$5),OR(Query!$B$6="All",ISNUMBER(SEARCH(Query!$B$6,'Compliance Database'!$I510))),OR(Query!$B$7="All",ISNUMBER(SEARCH(Query!$B$7,'Compliance Database'!$J510))),OR(Query!$B$8="All",'Compliance Database'!$G510=Query!$B$8),OR(Query!$B$9="All",'Compliance Database'!$K510=Query!$B$9),OR(Query!$B$10="",ISNUMBER(SEARCH(Query!$B$10,'Compliance Database'!$D510&amp;" "&amp;'Compliance Database'!$L510&amp;" "&amp;'Compliance Database'!$M510&amp;" "&amp;'Compliance Database'!$N510&amp;" "&amp;'Compliance Database'!$O510)))),1,0)</f>
        <v/>
      </c>
      <c r="B510">
        <f>IF($A510=1,SUM($A$2:$A510),"")</f>
        <v/>
      </c>
      <c r="C510">
        <f>IF($A510=1,SUM($A$2:$A510),0)</f>
        <v/>
      </c>
    </row>
    <row r="511">
      <c r="A511">
        <f>IF(AND(OR(Query!$B$4="All",'Compliance Database'!$A511=Query!$B$4),OR(Query!$B$5="All",'Compliance Database'!$F511=Query!$B$5),OR(Query!$B$6="All",ISNUMBER(SEARCH(Query!$B$6,'Compliance Database'!$I511))),OR(Query!$B$7="All",ISNUMBER(SEARCH(Query!$B$7,'Compliance Database'!$J511))),OR(Query!$B$8="All",'Compliance Database'!$G511=Query!$B$8),OR(Query!$B$9="All",'Compliance Database'!$K511=Query!$B$9),OR(Query!$B$10="",ISNUMBER(SEARCH(Query!$B$10,'Compliance Database'!$D511&amp;" "&amp;'Compliance Database'!$L511&amp;" "&amp;'Compliance Database'!$M511&amp;" "&amp;'Compliance Database'!$N511&amp;" "&amp;'Compliance Database'!$O511)))),1,0)</f>
        <v/>
      </c>
      <c r="B511">
        <f>IF($A511=1,SUM($A$2:$A511),"")</f>
        <v/>
      </c>
      <c r="C511">
        <f>IF($A511=1,SUM($A$2:$A511),0)</f>
        <v/>
      </c>
    </row>
    <row r="512">
      <c r="A512">
        <f>IF(AND(OR(Query!$B$4="All",'Compliance Database'!$A512=Query!$B$4),OR(Query!$B$5="All",'Compliance Database'!$F512=Query!$B$5),OR(Query!$B$6="All",ISNUMBER(SEARCH(Query!$B$6,'Compliance Database'!$I512))),OR(Query!$B$7="All",ISNUMBER(SEARCH(Query!$B$7,'Compliance Database'!$J512))),OR(Query!$B$8="All",'Compliance Database'!$G512=Query!$B$8),OR(Query!$B$9="All",'Compliance Database'!$K512=Query!$B$9),OR(Query!$B$10="",ISNUMBER(SEARCH(Query!$B$10,'Compliance Database'!$D512&amp;" "&amp;'Compliance Database'!$L512&amp;" "&amp;'Compliance Database'!$M512&amp;" "&amp;'Compliance Database'!$N512&amp;" "&amp;'Compliance Database'!$O512)))),1,0)</f>
        <v/>
      </c>
      <c r="B512">
        <f>IF($A512=1,SUM($A$2:$A512),"")</f>
        <v/>
      </c>
      <c r="C512">
        <f>IF($A512=1,SUM($A$2:$A512),0)</f>
        <v/>
      </c>
    </row>
    <row r="513">
      <c r="A513">
        <f>IF(AND(OR(Query!$B$4="All",'Compliance Database'!$A513=Query!$B$4),OR(Query!$B$5="All",'Compliance Database'!$F513=Query!$B$5),OR(Query!$B$6="All",ISNUMBER(SEARCH(Query!$B$6,'Compliance Database'!$I513))),OR(Query!$B$7="All",ISNUMBER(SEARCH(Query!$B$7,'Compliance Database'!$J513))),OR(Query!$B$8="All",'Compliance Database'!$G513=Query!$B$8),OR(Query!$B$9="All",'Compliance Database'!$K513=Query!$B$9),OR(Query!$B$10="",ISNUMBER(SEARCH(Query!$B$10,'Compliance Database'!$D513&amp;" "&amp;'Compliance Database'!$L513&amp;" "&amp;'Compliance Database'!$M513&amp;" "&amp;'Compliance Database'!$N513&amp;" "&amp;'Compliance Database'!$O513)))),1,0)</f>
        <v/>
      </c>
      <c r="B513">
        <f>IF($A513=1,SUM($A$2:$A513),"")</f>
        <v/>
      </c>
      <c r="C513">
        <f>IF($A513=1,SUM($A$2:$A513),0)</f>
        <v/>
      </c>
    </row>
    <row r="514">
      <c r="A514">
        <f>IF(AND(OR(Query!$B$4="All",'Compliance Database'!$A514=Query!$B$4),OR(Query!$B$5="All",'Compliance Database'!$F514=Query!$B$5),OR(Query!$B$6="All",ISNUMBER(SEARCH(Query!$B$6,'Compliance Database'!$I514))),OR(Query!$B$7="All",ISNUMBER(SEARCH(Query!$B$7,'Compliance Database'!$J514))),OR(Query!$B$8="All",'Compliance Database'!$G514=Query!$B$8),OR(Query!$B$9="All",'Compliance Database'!$K514=Query!$B$9),OR(Query!$B$10="",ISNUMBER(SEARCH(Query!$B$10,'Compliance Database'!$D514&amp;" "&amp;'Compliance Database'!$L514&amp;" "&amp;'Compliance Database'!$M514&amp;" "&amp;'Compliance Database'!$N514&amp;" "&amp;'Compliance Database'!$O514)))),1,0)</f>
        <v/>
      </c>
      <c r="B514">
        <f>IF($A514=1,SUM($A$2:$A514),"")</f>
        <v/>
      </c>
      <c r="C514">
        <f>IF($A514=1,SUM($A$2:$A514),0)</f>
        <v/>
      </c>
    </row>
    <row r="515">
      <c r="A515">
        <f>IF(AND(OR(Query!$B$4="All",'Compliance Database'!$A515=Query!$B$4),OR(Query!$B$5="All",'Compliance Database'!$F515=Query!$B$5),OR(Query!$B$6="All",ISNUMBER(SEARCH(Query!$B$6,'Compliance Database'!$I515))),OR(Query!$B$7="All",ISNUMBER(SEARCH(Query!$B$7,'Compliance Database'!$J515))),OR(Query!$B$8="All",'Compliance Database'!$G515=Query!$B$8),OR(Query!$B$9="All",'Compliance Database'!$K515=Query!$B$9),OR(Query!$B$10="",ISNUMBER(SEARCH(Query!$B$10,'Compliance Database'!$D515&amp;" "&amp;'Compliance Database'!$L515&amp;" "&amp;'Compliance Database'!$M515&amp;" "&amp;'Compliance Database'!$N515&amp;" "&amp;'Compliance Database'!$O515)))),1,0)</f>
        <v/>
      </c>
      <c r="B515">
        <f>IF($A515=1,SUM($A$2:$A515),"")</f>
        <v/>
      </c>
      <c r="C515">
        <f>IF($A515=1,SUM($A$2:$A515),0)</f>
        <v/>
      </c>
    </row>
    <row r="516">
      <c r="A516">
        <f>IF(AND(OR(Query!$B$4="All",'Compliance Database'!$A516=Query!$B$4),OR(Query!$B$5="All",'Compliance Database'!$F516=Query!$B$5),OR(Query!$B$6="All",ISNUMBER(SEARCH(Query!$B$6,'Compliance Database'!$I516))),OR(Query!$B$7="All",ISNUMBER(SEARCH(Query!$B$7,'Compliance Database'!$J516))),OR(Query!$B$8="All",'Compliance Database'!$G516=Query!$B$8),OR(Query!$B$9="All",'Compliance Database'!$K516=Query!$B$9),OR(Query!$B$10="",ISNUMBER(SEARCH(Query!$B$10,'Compliance Database'!$D516&amp;" "&amp;'Compliance Database'!$L516&amp;" "&amp;'Compliance Database'!$M516&amp;" "&amp;'Compliance Database'!$N516&amp;" "&amp;'Compliance Database'!$O516)))),1,0)</f>
        <v/>
      </c>
      <c r="B516">
        <f>IF($A516=1,SUM($A$2:$A516),"")</f>
        <v/>
      </c>
      <c r="C516">
        <f>IF($A516=1,SUM($A$2:$A516),0)</f>
        <v/>
      </c>
    </row>
    <row r="517">
      <c r="A517">
        <f>IF(AND(OR(Query!$B$4="All",'Compliance Database'!$A517=Query!$B$4),OR(Query!$B$5="All",'Compliance Database'!$F517=Query!$B$5),OR(Query!$B$6="All",ISNUMBER(SEARCH(Query!$B$6,'Compliance Database'!$I517))),OR(Query!$B$7="All",ISNUMBER(SEARCH(Query!$B$7,'Compliance Database'!$J517))),OR(Query!$B$8="All",'Compliance Database'!$G517=Query!$B$8),OR(Query!$B$9="All",'Compliance Database'!$K517=Query!$B$9),OR(Query!$B$10="",ISNUMBER(SEARCH(Query!$B$10,'Compliance Database'!$D517&amp;" "&amp;'Compliance Database'!$L517&amp;" "&amp;'Compliance Database'!$M517&amp;" "&amp;'Compliance Database'!$N517&amp;" "&amp;'Compliance Database'!$O517)))),1,0)</f>
        <v/>
      </c>
      <c r="B517">
        <f>IF($A517=1,SUM($A$2:$A517),"")</f>
        <v/>
      </c>
      <c r="C517">
        <f>IF($A517=1,SUM($A$2:$A517),0)</f>
        <v/>
      </c>
    </row>
    <row r="518">
      <c r="A518">
        <f>IF(AND(OR(Query!$B$4="All",'Compliance Database'!$A518=Query!$B$4),OR(Query!$B$5="All",'Compliance Database'!$F518=Query!$B$5),OR(Query!$B$6="All",ISNUMBER(SEARCH(Query!$B$6,'Compliance Database'!$I518))),OR(Query!$B$7="All",ISNUMBER(SEARCH(Query!$B$7,'Compliance Database'!$J518))),OR(Query!$B$8="All",'Compliance Database'!$G518=Query!$B$8),OR(Query!$B$9="All",'Compliance Database'!$K518=Query!$B$9),OR(Query!$B$10="",ISNUMBER(SEARCH(Query!$B$10,'Compliance Database'!$D518&amp;" "&amp;'Compliance Database'!$L518&amp;" "&amp;'Compliance Database'!$M518&amp;" "&amp;'Compliance Database'!$N518&amp;" "&amp;'Compliance Database'!$O518)))),1,0)</f>
        <v/>
      </c>
      <c r="B518">
        <f>IF($A518=1,SUM($A$2:$A518),"")</f>
        <v/>
      </c>
      <c r="C518">
        <f>IF($A518=1,SUM($A$2:$A518),0)</f>
        <v/>
      </c>
    </row>
    <row r="519">
      <c r="A519">
        <f>IF(AND(OR(Query!$B$4="All",'Compliance Database'!$A519=Query!$B$4),OR(Query!$B$5="All",'Compliance Database'!$F519=Query!$B$5),OR(Query!$B$6="All",ISNUMBER(SEARCH(Query!$B$6,'Compliance Database'!$I519))),OR(Query!$B$7="All",ISNUMBER(SEARCH(Query!$B$7,'Compliance Database'!$J519))),OR(Query!$B$8="All",'Compliance Database'!$G519=Query!$B$8),OR(Query!$B$9="All",'Compliance Database'!$K519=Query!$B$9),OR(Query!$B$10="",ISNUMBER(SEARCH(Query!$B$10,'Compliance Database'!$D519&amp;" "&amp;'Compliance Database'!$L519&amp;" "&amp;'Compliance Database'!$M519&amp;" "&amp;'Compliance Database'!$N519&amp;" "&amp;'Compliance Database'!$O519)))),1,0)</f>
        <v/>
      </c>
      <c r="B519">
        <f>IF($A519=1,SUM($A$2:$A519),"")</f>
        <v/>
      </c>
      <c r="C519">
        <f>IF($A519=1,SUM($A$2:$A519),0)</f>
        <v/>
      </c>
    </row>
    <row r="520">
      <c r="A520">
        <f>IF(AND(OR(Query!$B$4="All",'Compliance Database'!$A520=Query!$B$4),OR(Query!$B$5="All",'Compliance Database'!$F520=Query!$B$5),OR(Query!$B$6="All",ISNUMBER(SEARCH(Query!$B$6,'Compliance Database'!$I520))),OR(Query!$B$7="All",ISNUMBER(SEARCH(Query!$B$7,'Compliance Database'!$J520))),OR(Query!$B$8="All",'Compliance Database'!$G520=Query!$B$8),OR(Query!$B$9="All",'Compliance Database'!$K520=Query!$B$9),OR(Query!$B$10="",ISNUMBER(SEARCH(Query!$B$10,'Compliance Database'!$D520&amp;" "&amp;'Compliance Database'!$L520&amp;" "&amp;'Compliance Database'!$M520&amp;" "&amp;'Compliance Database'!$N520&amp;" "&amp;'Compliance Database'!$O520)))),1,0)</f>
        <v/>
      </c>
      <c r="B520">
        <f>IF($A520=1,SUM($A$2:$A520),"")</f>
        <v/>
      </c>
      <c r="C520">
        <f>IF($A520=1,SUM($A$2:$A520),0)</f>
        <v/>
      </c>
    </row>
    <row r="521">
      <c r="A521">
        <f>IF(AND(OR(Query!$B$4="All",'Compliance Database'!$A521=Query!$B$4),OR(Query!$B$5="All",'Compliance Database'!$F521=Query!$B$5),OR(Query!$B$6="All",ISNUMBER(SEARCH(Query!$B$6,'Compliance Database'!$I521))),OR(Query!$B$7="All",ISNUMBER(SEARCH(Query!$B$7,'Compliance Database'!$J521))),OR(Query!$B$8="All",'Compliance Database'!$G521=Query!$B$8),OR(Query!$B$9="All",'Compliance Database'!$K521=Query!$B$9),OR(Query!$B$10="",ISNUMBER(SEARCH(Query!$B$10,'Compliance Database'!$D521&amp;" "&amp;'Compliance Database'!$L521&amp;" "&amp;'Compliance Database'!$M521&amp;" "&amp;'Compliance Database'!$N521&amp;" "&amp;'Compliance Database'!$O521)))),1,0)</f>
        <v/>
      </c>
      <c r="B521">
        <f>IF($A521=1,SUM($A$2:$A521),"")</f>
        <v/>
      </c>
      <c r="C521">
        <f>IF($A521=1,SUM($A$2:$A521),0)</f>
        <v/>
      </c>
    </row>
    <row r="522">
      <c r="A522">
        <f>IF(AND(OR(Query!$B$4="All",'Compliance Database'!$A522=Query!$B$4),OR(Query!$B$5="All",'Compliance Database'!$F522=Query!$B$5),OR(Query!$B$6="All",ISNUMBER(SEARCH(Query!$B$6,'Compliance Database'!$I522))),OR(Query!$B$7="All",ISNUMBER(SEARCH(Query!$B$7,'Compliance Database'!$J522))),OR(Query!$B$8="All",'Compliance Database'!$G522=Query!$B$8),OR(Query!$B$9="All",'Compliance Database'!$K522=Query!$B$9),OR(Query!$B$10="",ISNUMBER(SEARCH(Query!$B$10,'Compliance Database'!$D522&amp;" "&amp;'Compliance Database'!$L522&amp;" "&amp;'Compliance Database'!$M522&amp;" "&amp;'Compliance Database'!$N522&amp;" "&amp;'Compliance Database'!$O522)))),1,0)</f>
        <v/>
      </c>
      <c r="B522">
        <f>IF($A522=1,SUM($A$2:$A522),"")</f>
        <v/>
      </c>
      <c r="C522">
        <f>IF($A522=1,SUM($A$2:$A522),0)</f>
        <v/>
      </c>
    </row>
    <row r="523">
      <c r="A523">
        <f>IF(AND(OR(Query!$B$4="All",'Compliance Database'!$A523=Query!$B$4),OR(Query!$B$5="All",'Compliance Database'!$F523=Query!$B$5),OR(Query!$B$6="All",ISNUMBER(SEARCH(Query!$B$6,'Compliance Database'!$I523))),OR(Query!$B$7="All",ISNUMBER(SEARCH(Query!$B$7,'Compliance Database'!$J523))),OR(Query!$B$8="All",'Compliance Database'!$G523=Query!$B$8),OR(Query!$B$9="All",'Compliance Database'!$K523=Query!$B$9),OR(Query!$B$10="",ISNUMBER(SEARCH(Query!$B$10,'Compliance Database'!$D523&amp;" "&amp;'Compliance Database'!$L523&amp;" "&amp;'Compliance Database'!$M523&amp;" "&amp;'Compliance Database'!$N523&amp;" "&amp;'Compliance Database'!$O523)))),1,0)</f>
        <v/>
      </c>
      <c r="B523">
        <f>IF($A523=1,SUM($A$2:$A523),"")</f>
        <v/>
      </c>
      <c r="C523">
        <f>IF($A523=1,SUM($A$2:$A523),0)</f>
        <v/>
      </c>
    </row>
    <row r="524">
      <c r="A524">
        <f>IF(AND(OR(Query!$B$4="All",'Compliance Database'!$A524=Query!$B$4),OR(Query!$B$5="All",'Compliance Database'!$F524=Query!$B$5),OR(Query!$B$6="All",ISNUMBER(SEARCH(Query!$B$6,'Compliance Database'!$I524))),OR(Query!$B$7="All",ISNUMBER(SEARCH(Query!$B$7,'Compliance Database'!$J524))),OR(Query!$B$8="All",'Compliance Database'!$G524=Query!$B$8),OR(Query!$B$9="All",'Compliance Database'!$K524=Query!$B$9),OR(Query!$B$10="",ISNUMBER(SEARCH(Query!$B$10,'Compliance Database'!$D524&amp;" "&amp;'Compliance Database'!$L524&amp;" "&amp;'Compliance Database'!$M524&amp;" "&amp;'Compliance Database'!$N524&amp;" "&amp;'Compliance Database'!$O524)))),1,0)</f>
        <v/>
      </c>
      <c r="B524">
        <f>IF($A524=1,SUM($A$2:$A524),"")</f>
        <v/>
      </c>
      <c r="C524">
        <f>IF($A524=1,SUM($A$2:$A524),0)</f>
        <v/>
      </c>
    </row>
    <row r="525">
      <c r="A525">
        <f>IF(AND(OR(Query!$B$4="All",'Compliance Database'!$A525=Query!$B$4),OR(Query!$B$5="All",'Compliance Database'!$F525=Query!$B$5),OR(Query!$B$6="All",ISNUMBER(SEARCH(Query!$B$6,'Compliance Database'!$I525))),OR(Query!$B$7="All",ISNUMBER(SEARCH(Query!$B$7,'Compliance Database'!$J525))),OR(Query!$B$8="All",'Compliance Database'!$G525=Query!$B$8),OR(Query!$B$9="All",'Compliance Database'!$K525=Query!$B$9),OR(Query!$B$10="",ISNUMBER(SEARCH(Query!$B$10,'Compliance Database'!$D525&amp;" "&amp;'Compliance Database'!$L525&amp;" "&amp;'Compliance Database'!$M525&amp;" "&amp;'Compliance Database'!$N525&amp;" "&amp;'Compliance Database'!$O525)))),1,0)</f>
        <v/>
      </c>
      <c r="B525">
        <f>IF($A525=1,SUM($A$2:$A525),"")</f>
        <v/>
      </c>
      <c r="C525">
        <f>IF($A525=1,SUM($A$2:$A525),0)</f>
        <v/>
      </c>
    </row>
    <row r="526">
      <c r="A526">
        <f>IF(AND(OR(Query!$B$4="All",'Compliance Database'!$A526=Query!$B$4),OR(Query!$B$5="All",'Compliance Database'!$F526=Query!$B$5),OR(Query!$B$6="All",ISNUMBER(SEARCH(Query!$B$6,'Compliance Database'!$I526))),OR(Query!$B$7="All",ISNUMBER(SEARCH(Query!$B$7,'Compliance Database'!$J526))),OR(Query!$B$8="All",'Compliance Database'!$G526=Query!$B$8),OR(Query!$B$9="All",'Compliance Database'!$K526=Query!$B$9),OR(Query!$B$10="",ISNUMBER(SEARCH(Query!$B$10,'Compliance Database'!$D526&amp;" "&amp;'Compliance Database'!$L526&amp;" "&amp;'Compliance Database'!$M526&amp;" "&amp;'Compliance Database'!$N526&amp;" "&amp;'Compliance Database'!$O526)))),1,0)</f>
        <v/>
      </c>
      <c r="B526">
        <f>IF($A526=1,SUM($A$2:$A526),"")</f>
        <v/>
      </c>
      <c r="C526">
        <f>IF($A526=1,SUM($A$2:$A526),0)</f>
        <v/>
      </c>
    </row>
    <row r="527">
      <c r="A527">
        <f>IF(AND(OR(Query!$B$4="All",'Compliance Database'!$A527=Query!$B$4),OR(Query!$B$5="All",'Compliance Database'!$F527=Query!$B$5),OR(Query!$B$6="All",ISNUMBER(SEARCH(Query!$B$6,'Compliance Database'!$I527))),OR(Query!$B$7="All",ISNUMBER(SEARCH(Query!$B$7,'Compliance Database'!$J527))),OR(Query!$B$8="All",'Compliance Database'!$G527=Query!$B$8),OR(Query!$B$9="All",'Compliance Database'!$K527=Query!$B$9),OR(Query!$B$10="",ISNUMBER(SEARCH(Query!$B$10,'Compliance Database'!$D527&amp;" "&amp;'Compliance Database'!$L527&amp;" "&amp;'Compliance Database'!$M527&amp;" "&amp;'Compliance Database'!$N527&amp;" "&amp;'Compliance Database'!$O527)))),1,0)</f>
        <v/>
      </c>
      <c r="B527">
        <f>IF($A527=1,SUM($A$2:$A527),"")</f>
        <v/>
      </c>
      <c r="C527">
        <f>IF($A527=1,SUM($A$2:$A527),0)</f>
        <v/>
      </c>
    </row>
    <row r="528">
      <c r="A528">
        <f>IF(AND(OR(Query!$B$4="All",'Compliance Database'!$A528=Query!$B$4),OR(Query!$B$5="All",'Compliance Database'!$F528=Query!$B$5),OR(Query!$B$6="All",ISNUMBER(SEARCH(Query!$B$6,'Compliance Database'!$I528))),OR(Query!$B$7="All",ISNUMBER(SEARCH(Query!$B$7,'Compliance Database'!$J528))),OR(Query!$B$8="All",'Compliance Database'!$G528=Query!$B$8),OR(Query!$B$9="All",'Compliance Database'!$K528=Query!$B$9),OR(Query!$B$10="",ISNUMBER(SEARCH(Query!$B$10,'Compliance Database'!$D528&amp;" "&amp;'Compliance Database'!$L528&amp;" "&amp;'Compliance Database'!$M528&amp;" "&amp;'Compliance Database'!$N528&amp;" "&amp;'Compliance Database'!$O528)))),1,0)</f>
        <v/>
      </c>
      <c r="B528">
        <f>IF($A528=1,SUM($A$2:$A528),"")</f>
        <v/>
      </c>
      <c r="C528">
        <f>IF($A528=1,SUM($A$2:$A528),0)</f>
        <v/>
      </c>
    </row>
    <row r="529">
      <c r="A529">
        <f>IF(AND(OR(Query!$B$4="All",'Compliance Database'!$A529=Query!$B$4),OR(Query!$B$5="All",'Compliance Database'!$F529=Query!$B$5),OR(Query!$B$6="All",ISNUMBER(SEARCH(Query!$B$6,'Compliance Database'!$I529))),OR(Query!$B$7="All",ISNUMBER(SEARCH(Query!$B$7,'Compliance Database'!$J529))),OR(Query!$B$8="All",'Compliance Database'!$G529=Query!$B$8),OR(Query!$B$9="All",'Compliance Database'!$K529=Query!$B$9),OR(Query!$B$10="",ISNUMBER(SEARCH(Query!$B$10,'Compliance Database'!$D529&amp;" "&amp;'Compliance Database'!$L529&amp;" "&amp;'Compliance Database'!$M529&amp;" "&amp;'Compliance Database'!$N529&amp;" "&amp;'Compliance Database'!$O529)))),1,0)</f>
        <v/>
      </c>
      <c r="B529">
        <f>IF($A529=1,SUM($A$2:$A529),"")</f>
        <v/>
      </c>
      <c r="C529">
        <f>IF($A529=1,SUM($A$2:$A529),0)</f>
        <v/>
      </c>
    </row>
    <row r="530">
      <c r="A530">
        <f>IF(AND(OR(Query!$B$4="All",'Compliance Database'!$A530=Query!$B$4),OR(Query!$B$5="All",'Compliance Database'!$F530=Query!$B$5),OR(Query!$B$6="All",ISNUMBER(SEARCH(Query!$B$6,'Compliance Database'!$I530))),OR(Query!$B$7="All",ISNUMBER(SEARCH(Query!$B$7,'Compliance Database'!$J530))),OR(Query!$B$8="All",'Compliance Database'!$G530=Query!$B$8),OR(Query!$B$9="All",'Compliance Database'!$K530=Query!$B$9),OR(Query!$B$10="",ISNUMBER(SEARCH(Query!$B$10,'Compliance Database'!$D530&amp;" "&amp;'Compliance Database'!$L530&amp;" "&amp;'Compliance Database'!$M530&amp;" "&amp;'Compliance Database'!$N530&amp;" "&amp;'Compliance Database'!$O530)))),1,0)</f>
        <v/>
      </c>
      <c r="B530">
        <f>IF($A530=1,SUM($A$2:$A530),"")</f>
        <v/>
      </c>
      <c r="C530">
        <f>IF($A530=1,SUM($A$2:$A530),0)</f>
        <v/>
      </c>
    </row>
    <row r="531">
      <c r="A531">
        <f>IF(AND(OR(Query!$B$4="All",'Compliance Database'!$A531=Query!$B$4),OR(Query!$B$5="All",'Compliance Database'!$F531=Query!$B$5),OR(Query!$B$6="All",ISNUMBER(SEARCH(Query!$B$6,'Compliance Database'!$I531))),OR(Query!$B$7="All",ISNUMBER(SEARCH(Query!$B$7,'Compliance Database'!$J531))),OR(Query!$B$8="All",'Compliance Database'!$G531=Query!$B$8),OR(Query!$B$9="All",'Compliance Database'!$K531=Query!$B$9),OR(Query!$B$10="",ISNUMBER(SEARCH(Query!$B$10,'Compliance Database'!$D531&amp;" "&amp;'Compliance Database'!$L531&amp;" "&amp;'Compliance Database'!$M531&amp;" "&amp;'Compliance Database'!$N531&amp;" "&amp;'Compliance Database'!$O531)))),1,0)</f>
        <v/>
      </c>
      <c r="B531">
        <f>IF($A531=1,SUM($A$2:$A531),"")</f>
        <v/>
      </c>
      <c r="C531">
        <f>IF($A531=1,SUM($A$2:$A531),0)</f>
        <v/>
      </c>
    </row>
    <row r="532">
      <c r="A532">
        <f>IF(AND(OR(Query!$B$4="All",'Compliance Database'!$A532=Query!$B$4),OR(Query!$B$5="All",'Compliance Database'!$F532=Query!$B$5),OR(Query!$B$6="All",ISNUMBER(SEARCH(Query!$B$6,'Compliance Database'!$I532))),OR(Query!$B$7="All",ISNUMBER(SEARCH(Query!$B$7,'Compliance Database'!$J532))),OR(Query!$B$8="All",'Compliance Database'!$G532=Query!$B$8),OR(Query!$B$9="All",'Compliance Database'!$K532=Query!$B$9),OR(Query!$B$10="",ISNUMBER(SEARCH(Query!$B$10,'Compliance Database'!$D532&amp;" "&amp;'Compliance Database'!$L532&amp;" "&amp;'Compliance Database'!$M532&amp;" "&amp;'Compliance Database'!$N532&amp;" "&amp;'Compliance Database'!$O532)))),1,0)</f>
        <v/>
      </c>
      <c r="B532">
        <f>IF($A532=1,SUM($A$2:$A532),"")</f>
        <v/>
      </c>
      <c r="C532">
        <f>IF($A532=1,SUM($A$2:$A532),0)</f>
        <v/>
      </c>
    </row>
    <row r="533">
      <c r="A533">
        <f>IF(AND(OR(Query!$B$4="All",'Compliance Database'!$A533=Query!$B$4),OR(Query!$B$5="All",'Compliance Database'!$F533=Query!$B$5),OR(Query!$B$6="All",ISNUMBER(SEARCH(Query!$B$6,'Compliance Database'!$I533))),OR(Query!$B$7="All",ISNUMBER(SEARCH(Query!$B$7,'Compliance Database'!$J533))),OR(Query!$B$8="All",'Compliance Database'!$G533=Query!$B$8),OR(Query!$B$9="All",'Compliance Database'!$K533=Query!$B$9),OR(Query!$B$10="",ISNUMBER(SEARCH(Query!$B$10,'Compliance Database'!$D533&amp;" "&amp;'Compliance Database'!$L533&amp;" "&amp;'Compliance Database'!$M533&amp;" "&amp;'Compliance Database'!$N533&amp;" "&amp;'Compliance Database'!$O533)))),1,0)</f>
        <v/>
      </c>
      <c r="B533">
        <f>IF($A533=1,SUM($A$2:$A533),"")</f>
        <v/>
      </c>
      <c r="C533">
        <f>IF($A533=1,SUM($A$2:$A533),0)</f>
        <v/>
      </c>
    </row>
    <row r="534">
      <c r="A534">
        <f>IF(AND(OR(Query!$B$4="All",'Compliance Database'!$A534=Query!$B$4),OR(Query!$B$5="All",'Compliance Database'!$F534=Query!$B$5),OR(Query!$B$6="All",ISNUMBER(SEARCH(Query!$B$6,'Compliance Database'!$I534))),OR(Query!$B$7="All",ISNUMBER(SEARCH(Query!$B$7,'Compliance Database'!$J534))),OR(Query!$B$8="All",'Compliance Database'!$G534=Query!$B$8),OR(Query!$B$9="All",'Compliance Database'!$K534=Query!$B$9),OR(Query!$B$10="",ISNUMBER(SEARCH(Query!$B$10,'Compliance Database'!$D534&amp;" "&amp;'Compliance Database'!$L534&amp;" "&amp;'Compliance Database'!$M534&amp;" "&amp;'Compliance Database'!$N534&amp;" "&amp;'Compliance Database'!$O534)))),1,0)</f>
        <v/>
      </c>
      <c r="B534">
        <f>IF($A534=1,SUM($A$2:$A534),"")</f>
        <v/>
      </c>
      <c r="C534">
        <f>IF($A534=1,SUM($A$2:$A534),0)</f>
        <v/>
      </c>
    </row>
    <row r="535">
      <c r="A535">
        <f>IF(AND(OR(Query!$B$4="All",'Compliance Database'!$A535=Query!$B$4),OR(Query!$B$5="All",'Compliance Database'!$F535=Query!$B$5),OR(Query!$B$6="All",ISNUMBER(SEARCH(Query!$B$6,'Compliance Database'!$I535))),OR(Query!$B$7="All",ISNUMBER(SEARCH(Query!$B$7,'Compliance Database'!$J535))),OR(Query!$B$8="All",'Compliance Database'!$G535=Query!$B$8),OR(Query!$B$9="All",'Compliance Database'!$K535=Query!$B$9),OR(Query!$B$10="",ISNUMBER(SEARCH(Query!$B$10,'Compliance Database'!$D535&amp;" "&amp;'Compliance Database'!$L535&amp;" "&amp;'Compliance Database'!$M535&amp;" "&amp;'Compliance Database'!$N535&amp;" "&amp;'Compliance Database'!$O535)))),1,0)</f>
        <v/>
      </c>
      <c r="B535">
        <f>IF($A535=1,SUM($A$2:$A535),"")</f>
        <v/>
      </c>
      <c r="C535">
        <f>IF($A535=1,SUM($A$2:$A535),0)</f>
        <v/>
      </c>
    </row>
    <row r="536">
      <c r="A536">
        <f>IF(AND(OR(Query!$B$4="All",'Compliance Database'!$A536=Query!$B$4),OR(Query!$B$5="All",'Compliance Database'!$F536=Query!$B$5),OR(Query!$B$6="All",ISNUMBER(SEARCH(Query!$B$6,'Compliance Database'!$I536))),OR(Query!$B$7="All",ISNUMBER(SEARCH(Query!$B$7,'Compliance Database'!$J536))),OR(Query!$B$8="All",'Compliance Database'!$G536=Query!$B$8),OR(Query!$B$9="All",'Compliance Database'!$K536=Query!$B$9),OR(Query!$B$10="",ISNUMBER(SEARCH(Query!$B$10,'Compliance Database'!$D536&amp;" "&amp;'Compliance Database'!$L536&amp;" "&amp;'Compliance Database'!$M536&amp;" "&amp;'Compliance Database'!$N536&amp;" "&amp;'Compliance Database'!$O536)))),1,0)</f>
        <v/>
      </c>
      <c r="B536">
        <f>IF($A536=1,SUM($A$2:$A536),"")</f>
        <v/>
      </c>
      <c r="C536">
        <f>IF($A536=1,SUM($A$2:$A536),0)</f>
        <v/>
      </c>
    </row>
    <row r="537">
      <c r="A537">
        <f>IF(AND(OR(Query!$B$4="All",'Compliance Database'!$A537=Query!$B$4),OR(Query!$B$5="All",'Compliance Database'!$F537=Query!$B$5),OR(Query!$B$6="All",ISNUMBER(SEARCH(Query!$B$6,'Compliance Database'!$I537))),OR(Query!$B$7="All",ISNUMBER(SEARCH(Query!$B$7,'Compliance Database'!$J537))),OR(Query!$B$8="All",'Compliance Database'!$G537=Query!$B$8),OR(Query!$B$9="All",'Compliance Database'!$K537=Query!$B$9),OR(Query!$B$10="",ISNUMBER(SEARCH(Query!$B$10,'Compliance Database'!$D537&amp;" "&amp;'Compliance Database'!$L537&amp;" "&amp;'Compliance Database'!$M537&amp;" "&amp;'Compliance Database'!$N537&amp;" "&amp;'Compliance Database'!$O537)))),1,0)</f>
        <v/>
      </c>
      <c r="B537">
        <f>IF($A537=1,SUM($A$2:$A537),"")</f>
        <v/>
      </c>
      <c r="C537">
        <f>IF($A537=1,SUM($A$2:$A537),0)</f>
        <v/>
      </c>
    </row>
    <row r="538">
      <c r="A538">
        <f>IF(AND(OR(Query!$B$4="All",'Compliance Database'!$A538=Query!$B$4),OR(Query!$B$5="All",'Compliance Database'!$F538=Query!$B$5),OR(Query!$B$6="All",ISNUMBER(SEARCH(Query!$B$6,'Compliance Database'!$I538))),OR(Query!$B$7="All",ISNUMBER(SEARCH(Query!$B$7,'Compliance Database'!$J538))),OR(Query!$B$8="All",'Compliance Database'!$G538=Query!$B$8),OR(Query!$B$9="All",'Compliance Database'!$K538=Query!$B$9),OR(Query!$B$10="",ISNUMBER(SEARCH(Query!$B$10,'Compliance Database'!$D538&amp;" "&amp;'Compliance Database'!$L538&amp;" "&amp;'Compliance Database'!$M538&amp;" "&amp;'Compliance Database'!$N538&amp;" "&amp;'Compliance Database'!$O538)))),1,0)</f>
        <v/>
      </c>
      <c r="B538">
        <f>IF($A538=1,SUM($A$2:$A538),"")</f>
        <v/>
      </c>
      <c r="C538">
        <f>IF($A538=1,SUM($A$2:$A538),0)</f>
        <v/>
      </c>
    </row>
    <row r="539">
      <c r="A539">
        <f>IF(AND(OR(Query!$B$4="All",'Compliance Database'!$A539=Query!$B$4),OR(Query!$B$5="All",'Compliance Database'!$F539=Query!$B$5),OR(Query!$B$6="All",ISNUMBER(SEARCH(Query!$B$6,'Compliance Database'!$I539))),OR(Query!$B$7="All",ISNUMBER(SEARCH(Query!$B$7,'Compliance Database'!$J539))),OR(Query!$B$8="All",'Compliance Database'!$G539=Query!$B$8),OR(Query!$B$9="All",'Compliance Database'!$K539=Query!$B$9),OR(Query!$B$10="",ISNUMBER(SEARCH(Query!$B$10,'Compliance Database'!$D539&amp;" "&amp;'Compliance Database'!$L539&amp;" "&amp;'Compliance Database'!$M539&amp;" "&amp;'Compliance Database'!$N539&amp;" "&amp;'Compliance Database'!$O539)))),1,0)</f>
        <v/>
      </c>
      <c r="B539">
        <f>IF($A539=1,SUM($A$2:$A539),"")</f>
        <v/>
      </c>
      <c r="C539">
        <f>IF($A539=1,SUM($A$2:$A539),0)</f>
        <v/>
      </c>
    </row>
    <row r="540">
      <c r="A540">
        <f>IF(AND(OR(Query!$B$4="All",'Compliance Database'!$A540=Query!$B$4),OR(Query!$B$5="All",'Compliance Database'!$F540=Query!$B$5),OR(Query!$B$6="All",ISNUMBER(SEARCH(Query!$B$6,'Compliance Database'!$I540))),OR(Query!$B$7="All",ISNUMBER(SEARCH(Query!$B$7,'Compliance Database'!$J540))),OR(Query!$B$8="All",'Compliance Database'!$G540=Query!$B$8),OR(Query!$B$9="All",'Compliance Database'!$K540=Query!$B$9),OR(Query!$B$10="",ISNUMBER(SEARCH(Query!$B$10,'Compliance Database'!$D540&amp;" "&amp;'Compliance Database'!$L540&amp;" "&amp;'Compliance Database'!$M540&amp;" "&amp;'Compliance Database'!$N540&amp;" "&amp;'Compliance Database'!$O540)))),1,0)</f>
        <v/>
      </c>
      <c r="B540">
        <f>IF($A540=1,SUM($A$2:$A540),"")</f>
        <v/>
      </c>
      <c r="C540">
        <f>IF($A540=1,SUM($A$2:$A540),0)</f>
        <v/>
      </c>
    </row>
    <row r="541">
      <c r="A541">
        <f>IF(AND(OR(Query!$B$4="All",'Compliance Database'!$A541=Query!$B$4),OR(Query!$B$5="All",'Compliance Database'!$F541=Query!$B$5),OR(Query!$B$6="All",ISNUMBER(SEARCH(Query!$B$6,'Compliance Database'!$I541))),OR(Query!$B$7="All",ISNUMBER(SEARCH(Query!$B$7,'Compliance Database'!$J541))),OR(Query!$B$8="All",'Compliance Database'!$G541=Query!$B$8),OR(Query!$B$9="All",'Compliance Database'!$K541=Query!$B$9),OR(Query!$B$10="",ISNUMBER(SEARCH(Query!$B$10,'Compliance Database'!$D541&amp;" "&amp;'Compliance Database'!$L541&amp;" "&amp;'Compliance Database'!$M541&amp;" "&amp;'Compliance Database'!$N541&amp;" "&amp;'Compliance Database'!$O541)))),1,0)</f>
        <v/>
      </c>
      <c r="B541">
        <f>IF($A541=1,SUM($A$2:$A541),"")</f>
        <v/>
      </c>
      <c r="C541">
        <f>IF($A541=1,SUM($A$2:$A541),0)</f>
        <v/>
      </c>
    </row>
    <row r="542">
      <c r="A542">
        <f>IF(AND(OR(Query!$B$4="All",'Compliance Database'!$A542=Query!$B$4),OR(Query!$B$5="All",'Compliance Database'!$F542=Query!$B$5),OR(Query!$B$6="All",ISNUMBER(SEARCH(Query!$B$6,'Compliance Database'!$I542))),OR(Query!$B$7="All",ISNUMBER(SEARCH(Query!$B$7,'Compliance Database'!$J542))),OR(Query!$B$8="All",'Compliance Database'!$G542=Query!$B$8),OR(Query!$B$9="All",'Compliance Database'!$K542=Query!$B$9),OR(Query!$B$10="",ISNUMBER(SEARCH(Query!$B$10,'Compliance Database'!$D542&amp;" "&amp;'Compliance Database'!$L542&amp;" "&amp;'Compliance Database'!$M542&amp;" "&amp;'Compliance Database'!$N542&amp;" "&amp;'Compliance Database'!$O542)))),1,0)</f>
        <v/>
      </c>
      <c r="B542">
        <f>IF($A542=1,SUM($A$2:$A542),"")</f>
        <v/>
      </c>
      <c r="C542">
        <f>IF($A542=1,SUM($A$2:$A542),0)</f>
        <v/>
      </c>
    </row>
    <row r="543">
      <c r="A543">
        <f>IF(AND(OR(Query!$B$4="All",'Compliance Database'!$A543=Query!$B$4),OR(Query!$B$5="All",'Compliance Database'!$F543=Query!$B$5),OR(Query!$B$6="All",ISNUMBER(SEARCH(Query!$B$6,'Compliance Database'!$I543))),OR(Query!$B$7="All",ISNUMBER(SEARCH(Query!$B$7,'Compliance Database'!$J543))),OR(Query!$B$8="All",'Compliance Database'!$G543=Query!$B$8),OR(Query!$B$9="All",'Compliance Database'!$K543=Query!$B$9),OR(Query!$B$10="",ISNUMBER(SEARCH(Query!$B$10,'Compliance Database'!$D543&amp;" "&amp;'Compliance Database'!$L543&amp;" "&amp;'Compliance Database'!$M543&amp;" "&amp;'Compliance Database'!$N543&amp;" "&amp;'Compliance Database'!$O543)))),1,0)</f>
        <v/>
      </c>
      <c r="B543">
        <f>IF($A543=1,SUM($A$2:$A543),"")</f>
        <v/>
      </c>
      <c r="C543">
        <f>IF($A543=1,SUM($A$2:$A543),0)</f>
        <v/>
      </c>
    </row>
    <row r="544">
      <c r="A544">
        <f>IF(AND(OR(Query!$B$4="All",'Compliance Database'!$A544=Query!$B$4),OR(Query!$B$5="All",'Compliance Database'!$F544=Query!$B$5),OR(Query!$B$6="All",ISNUMBER(SEARCH(Query!$B$6,'Compliance Database'!$I544))),OR(Query!$B$7="All",ISNUMBER(SEARCH(Query!$B$7,'Compliance Database'!$J544))),OR(Query!$B$8="All",'Compliance Database'!$G544=Query!$B$8),OR(Query!$B$9="All",'Compliance Database'!$K544=Query!$B$9),OR(Query!$B$10="",ISNUMBER(SEARCH(Query!$B$10,'Compliance Database'!$D544&amp;" "&amp;'Compliance Database'!$L544&amp;" "&amp;'Compliance Database'!$M544&amp;" "&amp;'Compliance Database'!$N544&amp;" "&amp;'Compliance Database'!$O544)))),1,0)</f>
        <v/>
      </c>
      <c r="B544">
        <f>IF($A544=1,SUM($A$2:$A544),"")</f>
        <v/>
      </c>
      <c r="C544">
        <f>IF($A544=1,SUM($A$2:$A544),0)</f>
        <v/>
      </c>
    </row>
    <row r="545">
      <c r="A545">
        <f>IF(AND(OR(Query!$B$4="All",'Compliance Database'!$A545=Query!$B$4),OR(Query!$B$5="All",'Compliance Database'!$F545=Query!$B$5),OR(Query!$B$6="All",ISNUMBER(SEARCH(Query!$B$6,'Compliance Database'!$I545))),OR(Query!$B$7="All",ISNUMBER(SEARCH(Query!$B$7,'Compliance Database'!$J545))),OR(Query!$B$8="All",'Compliance Database'!$G545=Query!$B$8),OR(Query!$B$9="All",'Compliance Database'!$K545=Query!$B$9),OR(Query!$B$10="",ISNUMBER(SEARCH(Query!$B$10,'Compliance Database'!$D545&amp;" "&amp;'Compliance Database'!$L545&amp;" "&amp;'Compliance Database'!$M545&amp;" "&amp;'Compliance Database'!$N545&amp;" "&amp;'Compliance Database'!$O545)))),1,0)</f>
        <v/>
      </c>
      <c r="B545">
        <f>IF($A545=1,SUM($A$2:$A545),"")</f>
        <v/>
      </c>
      <c r="C545">
        <f>IF($A545=1,SUM($A$2:$A545),0)</f>
        <v/>
      </c>
    </row>
    <row r="546">
      <c r="A546">
        <f>IF(AND(OR(Query!$B$4="All",'Compliance Database'!$A546=Query!$B$4),OR(Query!$B$5="All",'Compliance Database'!$F546=Query!$B$5),OR(Query!$B$6="All",ISNUMBER(SEARCH(Query!$B$6,'Compliance Database'!$I546))),OR(Query!$B$7="All",ISNUMBER(SEARCH(Query!$B$7,'Compliance Database'!$J546))),OR(Query!$B$8="All",'Compliance Database'!$G546=Query!$B$8),OR(Query!$B$9="All",'Compliance Database'!$K546=Query!$B$9),OR(Query!$B$10="",ISNUMBER(SEARCH(Query!$B$10,'Compliance Database'!$D546&amp;" "&amp;'Compliance Database'!$L546&amp;" "&amp;'Compliance Database'!$M546&amp;" "&amp;'Compliance Database'!$N546&amp;" "&amp;'Compliance Database'!$O546)))),1,0)</f>
        <v/>
      </c>
      <c r="B546">
        <f>IF($A546=1,SUM($A$2:$A546),"")</f>
        <v/>
      </c>
      <c r="C546">
        <f>IF($A546=1,SUM($A$2:$A546),0)</f>
        <v/>
      </c>
    </row>
    <row r="547">
      <c r="A547">
        <f>IF(AND(OR(Query!$B$4="All",'Compliance Database'!$A547=Query!$B$4),OR(Query!$B$5="All",'Compliance Database'!$F547=Query!$B$5),OR(Query!$B$6="All",ISNUMBER(SEARCH(Query!$B$6,'Compliance Database'!$I547))),OR(Query!$B$7="All",ISNUMBER(SEARCH(Query!$B$7,'Compliance Database'!$J547))),OR(Query!$B$8="All",'Compliance Database'!$G547=Query!$B$8),OR(Query!$B$9="All",'Compliance Database'!$K547=Query!$B$9),OR(Query!$B$10="",ISNUMBER(SEARCH(Query!$B$10,'Compliance Database'!$D547&amp;" "&amp;'Compliance Database'!$L547&amp;" "&amp;'Compliance Database'!$M547&amp;" "&amp;'Compliance Database'!$N547&amp;" "&amp;'Compliance Database'!$O547)))),1,0)</f>
        <v/>
      </c>
      <c r="B547">
        <f>IF($A547=1,SUM($A$2:$A547),"")</f>
        <v/>
      </c>
      <c r="C547">
        <f>IF($A547=1,SUM($A$2:$A547),0)</f>
        <v/>
      </c>
    </row>
    <row r="548">
      <c r="A548">
        <f>IF(AND(OR(Query!$B$4="All",'Compliance Database'!$A548=Query!$B$4),OR(Query!$B$5="All",'Compliance Database'!$F548=Query!$B$5),OR(Query!$B$6="All",ISNUMBER(SEARCH(Query!$B$6,'Compliance Database'!$I548))),OR(Query!$B$7="All",ISNUMBER(SEARCH(Query!$B$7,'Compliance Database'!$J548))),OR(Query!$B$8="All",'Compliance Database'!$G548=Query!$B$8),OR(Query!$B$9="All",'Compliance Database'!$K548=Query!$B$9),OR(Query!$B$10="",ISNUMBER(SEARCH(Query!$B$10,'Compliance Database'!$D548&amp;" "&amp;'Compliance Database'!$L548&amp;" "&amp;'Compliance Database'!$M548&amp;" "&amp;'Compliance Database'!$N548&amp;" "&amp;'Compliance Database'!$O548)))),1,0)</f>
        <v/>
      </c>
      <c r="B548">
        <f>IF($A548=1,SUM($A$2:$A548),"")</f>
        <v/>
      </c>
      <c r="C548">
        <f>IF($A548=1,SUM($A$2:$A548),0)</f>
        <v/>
      </c>
    </row>
    <row r="549">
      <c r="A549">
        <f>IF(AND(OR(Query!$B$4="All",'Compliance Database'!$A549=Query!$B$4),OR(Query!$B$5="All",'Compliance Database'!$F549=Query!$B$5),OR(Query!$B$6="All",ISNUMBER(SEARCH(Query!$B$6,'Compliance Database'!$I549))),OR(Query!$B$7="All",ISNUMBER(SEARCH(Query!$B$7,'Compliance Database'!$J549))),OR(Query!$B$8="All",'Compliance Database'!$G549=Query!$B$8),OR(Query!$B$9="All",'Compliance Database'!$K549=Query!$B$9),OR(Query!$B$10="",ISNUMBER(SEARCH(Query!$B$10,'Compliance Database'!$D549&amp;" "&amp;'Compliance Database'!$L549&amp;" "&amp;'Compliance Database'!$M549&amp;" "&amp;'Compliance Database'!$N549&amp;" "&amp;'Compliance Database'!$O549)))),1,0)</f>
        <v/>
      </c>
      <c r="B549">
        <f>IF($A549=1,SUM($A$2:$A549),"")</f>
        <v/>
      </c>
      <c r="C549">
        <f>IF($A549=1,SUM($A$2:$A549),0)</f>
        <v/>
      </c>
    </row>
    <row r="550">
      <c r="A550">
        <f>IF(AND(OR(Query!$B$4="All",'Compliance Database'!$A550=Query!$B$4),OR(Query!$B$5="All",'Compliance Database'!$F550=Query!$B$5),OR(Query!$B$6="All",ISNUMBER(SEARCH(Query!$B$6,'Compliance Database'!$I550))),OR(Query!$B$7="All",ISNUMBER(SEARCH(Query!$B$7,'Compliance Database'!$J550))),OR(Query!$B$8="All",'Compliance Database'!$G550=Query!$B$8),OR(Query!$B$9="All",'Compliance Database'!$K550=Query!$B$9),OR(Query!$B$10="",ISNUMBER(SEARCH(Query!$B$10,'Compliance Database'!$D550&amp;" "&amp;'Compliance Database'!$L550&amp;" "&amp;'Compliance Database'!$M550&amp;" "&amp;'Compliance Database'!$N550&amp;" "&amp;'Compliance Database'!$O550)))),1,0)</f>
        <v/>
      </c>
      <c r="B550">
        <f>IF($A550=1,SUM($A$2:$A550),"")</f>
        <v/>
      </c>
      <c r="C550">
        <f>IF($A550=1,SUM($A$2:$A550),0)</f>
        <v/>
      </c>
    </row>
    <row r="551">
      <c r="A551">
        <f>IF(AND(OR(Query!$B$4="All",'Compliance Database'!$A551=Query!$B$4),OR(Query!$B$5="All",'Compliance Database'!$F551=Query!$B$5),OR(Query!$B$6="All",ISNUMBER(SEARCH(Query!$B$6,'Compliance Database'!$I551))),OR(Query!$B$7="All",ISNUMBER(SEARCH(Query!$B$7,'Compliance Database'!$J551))),OR(Query!$B$8="All",'Compliance Database'!$G551=Query!$B$8),OR(Query!$B$9="All",'Compliance Database'!$K551=Query!$B$9),OR(Query!$B$10="",ISNUMBER(SEARCH(Query!$B$10,'Compliance Database'!$D551&amp;" "&amp;'Compliance Database'!$L551&amp;" "&amp;'Compliance Database'!$M551&amp;" "&amp;'Compliance Database'!$N551&amp;" "&amp;'Compliance Database'!$O551)))),1,0)</f>
        <v/>
      </c>
      <c r="B551">
        <f>IF($A551=1,SUM($A$2:$A551),"")</f>
        <v/>
      </c>
      <c r="C551">
        <f>IF($A551=1,SUM($A$2:$A551),0)</f>
        <v/>
      </c>
    </row>
    <row r="552">
      <c r="A552">
        <f>IF(AND(OR(Query!$B$4="All",'Compliance Database'!$A552=Query!$B$4),OR(Query!$B$5="All",'Compliance Database'!$F552=Query!$B$5),OR(Query!$B$6="All",ISNUMBER(SEARCH(Query!$B$6,'Compliance Database'!$I552))),OR(Query!$B$7="All",ISNUMBER(SEARCH(Query!$B$7,'Compliance Database'!$J552))),OR(Query!$B$8="All",'Compliance Database'!$G552=Query!$B$8),OR(Query!$B$9="All",'Compliance Database'!$K552=Query!$B$9),OR(Query!$B$10="",ISNUMBER(SEARCH(Query!$B$10,'Compliance Database'!$D552&amp;" "&amp;'Compliance Database'!$L552&amp;" "&amp;'Compliance Database'!$M552&amp;" "&amp;'Compliance Database'!$N552&amp;" "&amp;'Compliance Database'!$O552)))),1,0)</f>
        <v/>
      </c>
      <c r="B552">
        <f>IF($A552=1,SUM($A$2:$A552),"")</f>
        <v/>
      </c>
      <c r="C552">
        <f>IF($A552=1,SUM($A$2:$A552),0)</f>
        <v/>
      </c>
    </row>
    <row r="553">
      <c r="A553">
        <f>IF(AND(OR(Query!$B$4="All",'Compliance Database'!$A553=Query!$B$4),OR(Query!$B$5="All",'Compliance Database'!$F553=Query!$B$5),OR(Query!$B$6="All",ISNUMBER(SEARCH(Query!$B$6,'Compliance Database'!$I553))),OR(Query!$B$7="All",ISNUMBER(SEARCH(Query!$B$7,'Compliance Database'!$J553))),OR(Query!$B$8="All",'Compliance Database'!$G553=Query!$B$8),OR(Query!$B$9="All",'Compliance Database'!$K553=Query!$B$9),OR(Query!$B$10="",ISNUMBER(SEARCH(Query!$B$10,'Compliance Database'!$D553&amp;" "&amp;'Compliance Database'!$L553&amp;" "&amp;'Compliance Database'!$M553&amp;" "&amp;'Compliance Database'!$N553&amp;" "&amp;'Compliance Database'!$O553)))),1,0)</f>
        <v/>
      </c>
      <c r="B553">
        <f>IF($A553=1,SUM($A$2:$A553),"")</f>
        <v/>
      </c>
      <c r="C553">
        <f>IF($A553=1,SUM($A$2:$A553),0)</f>
        <v/>
      </c>
    </row>
    <row r="554">
      <c r="A554">
        <f>IF(AND(OR(Query!$B$4="All",'Compliance Database'!$A554=Query!$B$4),OR(Query!$B$5="All",'Compliance Database'!$F554=Query!$B$5),OR(Query!$B$6="All",ISNUMBER(SEARCH(Query!$B$6,'Compliance Database'!$I554))),OR(Query!$B$7="All",ISNUMBER(SEARCH(Query!$B$7,'Compliance Database'!$J554))),OR(Query!$B$8="All",'Compliance Database'!$G554=Query!$B$8),OR(Query!$B$9="All",'Compliance Database'!$K554=Query!$B$9),OR(Query!$B$10="",ISNUMBER(SEARCH(Query!$B$10,'Compliance Database'!$D554&amp;" "&amp;'Compliance Database'!$L554&amp;" "&amp;'Compliance Database'!$M554&amp;" "&amp;'Compliance Database'!$N554&amp;" "&amp;'Compliance Database'!$O554)))),1,0)</f>
        <v/>
      </c>
      <c r="B554">
        <f>IF($A554=1,SUM($A$2:$A554),"")</f>
        <v/>
      </c>
      <c r="C554">
        <f>IF($A554=1,SUM($A$2:$A554),0)</f>
        <v/>
      </c>
    </row>
    <row r="555">
      <c r="A555">
        <f>IF(AND(OR(Query!$B$4="All",'Compliance Database'!$A555=Query!$B$4),OR(Query!$B$5="All",'Compliance Database'!$F555=Query!$B$5),OR(Query!$B$6="All",ISNUMBER(SEARCH(Query!$B$6,'Compliance Database'!$I555))),OR(Query!$B$7="All",ISNUMBER(SEARCH(Query!$B$7,'Compliance Database'!$J555))),OR(Query!$B$8="All",'Compliance Database'!$G555=Query!$B$8),OR(Query!$B$9="All",'Compliance Database'!$K555=Query!$B$9),OR(Query!$B$10="",ISNUMBER(SEARCH(Query!$B$10,'Compliance Database'!$D555&amp;" "&amp;'Compliance Database'!$L555&amp;" "&amp;'Compliance Database'!$M555&amp;" "&amp;'Compliance Database'!$N555&amp;" "&amp;'Compliance Database'!$O555)))),1,0)</f>
        <v/>
      </c>
      <c r="B555">
        <f>IF($A555=1,SUM($A$2:$A555),"")</f>
        <v/>
      </c>
      <c r="C555">
        <f>IF($A555=1,SUM($A$2:$A555),0)</f>
        <v/>
      </c>
    </row>
    <row r="556">
      <c r="A556">
        <f>IF(AND(OR(Query!$B$4="All",'Compliance Database'!$A556=Query!$B$4),OR(Query!$B$5="All",'Compliance Database'!$F556=Query!$B$5),OR(Query!$B$6="All",ISNUMBER(SEARCH(Query!$B$6,'Compliance Database'!$I556))),OR(Query!$B$7="All",ISNUMBER(SEARCH(Query!$B$7,'Compliance Database'!$J556))),OR(Query!$B$8="All",'Compliance Database'!$G556=Query!$B$8),OR(Query!$B$9="All",'Compliance Database'!$K556=Query!$B$9),OR(Query!$B$10="",ISNUMBER(SEARCH(Query!$B$10,'Compliance Database'!$D556&amp;" "&amp;'Compliance Database'!$L556&amp;" "&amp;'Compliance Database'!$M556&amp;" "&amp;'Compliance Database'!$N556&amp;" "&amp;'Compliance Database'!$O556)))),1,0)</f>
        <v/>
      </c>
      <c r="B556">
        <f>IF($A556=1,SUM($A$2:$A556),"")</f>
        <v/>
      </c>
      <c r="C556">
        <f>IF($A556=1,SUM($A$2:$A556),0)</f>
        <v/>
      </c>
    </row>
    <row r="557">
      <c r="A557">
        <f>IF(AND(OR(Query!$B$4="All",'Compliance Database'!$A557=Query!$B$4),OR(Query!$B$5="All",'Compliance Database'!$F557=Query!$B$5),OR(Query!$B$6="All",ISNUMBER(SEARCH(Query!$B$6,'Compliance Database'!$I557))),OR(Query!$B$7="All",ISNUMBER(SEARCH(Query!$B$7,'Compliance Database'!$J557))),OR(Query!$B$8="All",'Compliance Database'!$G557=Query!$B$8),OR(Query!$B$9="All",'Compliance Database'!$K557=Query!$B$9),OR(Query!$B$10="",ISNUMBER(SEARCH(Query!$B$10,'Compliance Database'!$D557&amp;" "&amp;'Compliance Database'!$L557&amp;" "&amp;'Compliance Database'!$M557&amp;" "&amp;'Compliance Database'!$N557&amp;" "&amp;'Compliance Database'!$O557)))),1,0)</f>
        <v/>
      </c>
      <c r="B557">
        <f>IF($A557=1,SUM($A$2:$A557),"")</f>
        <v/>
      </c>
      <c r="C557">
        <f>IF($A557=1,SUM($A$2:$A557),0)</f>
        <v/>
      </c>
    </row>
    <row r="558">
      <c r="A558">
        <f>IF(AND(OR(Query!$B$4="All",'Compliance Database'!$A558=Query!$B$4),OR(Query!$B$5="All",'Compliance Database'!$F558=Query!$B$5),OR(Query!$B$6="All",ISNUMBER(SEARCH(Query!$B$6,'Compliance Database'!$I558))),OR(Query!$B$7="All",ISNUMBER(SEARCH(Query!$B$7,'Compliance Database'!$J558))),OR(Query!$B$8="All",'Compliance Database'!$G558=Query!$B$8),OR(Query!$B$9="All",'Compliance Database'!$K558=Query!$B$9),OR(Query!$B$10="",ISNUMBER(SEARCH(Query!$B$10,'Compliance Database'!$D558&amp;" "&amp;'Compliance Database'!$L558&amp;" "&amp;'Compliance Database'!$M558&amp;" "&amp;'Compliance Database'!$N558&amp;" "&amp;'Compliance Database'!$O558)))),1,0)</f>
        <v/>
      </c>
      <c r="B558">
        <f>IF($A558=1,SUM($A$2:$A558),"")</f>
        <v/>
      </c>
      <c r="C558">
        <f>IF($A558=1,SUM($A$2:$A558),0)</f>
        <v/>
      </c>
    </row>
    <row r="559">
      <c r="A559">
        <f>IF(AND(OR(Query!$B$4="All",'Compliance Database'!$A559=Query!$B$4),OR(Query!$B$5="All",'Compliance Database'!$F559=Query!$B$5),OR(Query!$B$6="All",ISNUMBER(SEARCH(Query!$B$6,'Compliance Database'!$I559))),OR(Query!$B$7="All",ISNUMBER(SEARCH(Query!$B$7,'Compliance Database'!$J559))),OR(Query!$B$8="All",'Compliance Database'!$G559=Query!$B$8),OR(Query!$B$9="All",'Compliance Database'!$K559=Query!$B$9),OR(Query!$B$10="",ISNUMBER(SEARCH(Query!$B$10,'Compliance Database'!$D559&amp;" "&amp;'Compliance Database'!$L559&amp;" "&amp;'Compliance Database'!$M559&amp;" "&amp;'Compliance Database'!$N559&amp;" "&amp;'Compliance Database'!$O559)))),1,0)</f>
        <v/>
      </c>
      <c r="B559">
        <f>IF($A559=1,SUM($A$2:$A559),"")</f>
        <v/>
      </c>
      <c r="C559">
        <f>IF($A559=1,SUM($A$2:$A559),0)</f>
        <v/>
      </c>
    </row>
    <row r="560">
      <c r="A560">
        <f>IF(AND(OR(Query!$B$4="All",'Compliance Database'!$A560=Query!$B$4),OR(Query!$B$5="All",'Compliance Database'!$F560=Query!$B$5),OR(Query!$B$6="All",ISNUMBER(SEARCH(Query!$B$6,'Compliance Database'!$I560))),OR(Query!$B$7="All",ISNUMBER(SEARCH(Query!$B$7,'Compliance Database'!$J560))),OR(Query!$B$8="All",'Compliance Database'!$G560=Query!$B$8),OR(Query!$B$9="All",'Compliance Database'!$K560=Query!$B$9),OR(Query!$B$10="",ISNUMBER(SEARCH(Query!$B$10,'Compliance Database'!$D560&amp;" "&amp;'Compliance Database'!$L560&amp;" "&amp;'Compliance Database'!$M560&amp;" "&amp;'Compliance Database'!$N560&amp;" "&amp;'Compliance Database'!$O560)))),1,0)</f>
        <v/>
      </c>
      <c r="B560">
        <f>IF($A560=1,SUM($A$2:$A560),"")</f>
        <v/>
      </c>
      <c r="C560">
        <f>IF($A560=1,SUM($A$2:$A560),0)</f>
        <v/>
      </c>
    </row>
    <row r="561">
      <c r="A561">
        <f>IF(AND(OR(Query!$B$4="All",'Compliance Database'!$A561=Query!$B$4),OR(Query!$B$5="All",'Compliance Database'!$F561=Query!$B$5),OR(Query!$B$6="All",ISNUMBER(SEARCH(Query!$B$6,'Compliance Database'!$I561))),OR(Query!$B$7="All",ISNUMBER(SEARCH(Query!$B$7,'Compliance Database'!$J561))),OR(Query!$B$8="All",'Compliance Database'!$G561=Query!$B$8),OR(Query!$B$9="All",'Compliance Database'!$K561=Query!$B$9),OR(Query!$B$10="",ISNUMBER(SEARCH(Query!$B$10,'Compliance Database'!$D561&amp;" "&amp;'Compliance Database'!$L561&amp;" "&amp;'Compliance Database'!$M561&amp;" "&amp;'Compliance Database'!$N561&amp;" "&amp;'Compliance Database'!$O561)))),1,0)</f>
        <v/>
      </c>
      <c r="B561">
        <f>IF($A561=1,SUM($A$2:$A561),"")</f>
        <v/>
      </c>
      <c r="C561">
        <f>IF($A561=1,SUM($A$2:$A561),0)</f>
        <v/>
      </c>
    </row>
    <row r="562">
      <c r="A562">
        <f>IF(AND(OR(Query!$B$4="All",'Compliance Database'!$A562=Query!$B$4),OR(Query!$B$5="All",'Compliance Database'!$F562=Query!$B$5),OR(Query!$B$6="All",ISNUMBER(SEARCH(Query!$B$6,'Compliance Database'!$I562))),OR(Query!$B$7="All",ISNUMBER(SEARCH(Query!$B$7,'Compliance Database'!$J562))),OR(Query!$B$8="All",'Compliance Database'!$G562=Query!$B$8),OR(Query!$B$9="All",'Compliance Database'!$K562=Query!$B$9),OR(Query!$B$10="",ISNUMBER(SEARCH(Query!$B$10,'Compliance Database'!$D562&amp;" "&amp;'Compliance Database'!$L562&amp;" "&amp;'Compliance Database'!$M562&amp;" "&amp;'Compliance Database'!$N562&amp;" "&amp;'Compliance Database'!$O562)))),1,0)</f>
        <v/>
      </c>
      <c r="B562">
        <f>IF($A562=1,SUM($A$2:$A562),"")</f>
        <v/>
      </c>
      <c r="C562">
        <f>IF($A562=1,SUM($A$2:$A562),0)</f>
        <v/>
      </c>
    </row>
    <row r="563">
      <c r="A563">
        <f>IF(AND(OR(Query!$B$4="All",'Compliance Database'!$A563=Query!$B$4),OR(Query!$B$5="All",'Compliance Database'!$F563=Query!$B$5),OR(Query!$B$6="All",ISNUMBER(SEARCH(Query!$B$6,'Compliance Database'!$I563))),OR(Query!$B$7="All",ISNUMBER(SEARCH(Query!$B$7,'Compliance Database'!$J563))),OR(Query!$B$8="All",'Compliance Database'!$G563=Query!$B$8),OR(Query!$B$9="All",'Compliance Database'!$K563=Query!$B$9),OR(Query!$B$10="",ISNUMBER(SEARCH(Query!$B$10,'Compliance Database'!$D563&amp;" "&amp;'Compliance Database'!$L563&amp;" "&amp;'Compliance Database'!$M563&amp;" "&amp;'Compliance Database'!$N563&amp;" "&amp;'Compliance Database'!$O563)))),1,0)</f>
        <v/>
      </c>
      <c r="B563">
        <f>IF($A563=1,SUM($A$2:$A563),"")</f>
        <v/>
      </c>
      <c r="C563">
        <f>IF($A563=1,SUM($A$2:$A563),0)</f>
        <v/>
      </c>
    </row>
    <row r="564">
      <c r="A564">
        <f>IF(AND(OR(Query!$B$4="All",'Compliance Database'!$A564=Query!$B$4),OR(Query!$B$5="All",'Compliance Database'!$F564=Query!$B$5),OR(Query!$B$6="All",ISNUMBER(SEARCH(Query!$B$6,'Compliance Database'!$I564))),OR(Query!$B$7="All",ISNUMBER(SEARCH(Query!$B$7,'Compliance Database'!$J564))),OR(Query!$B$8="All",'Compliance Database'!$G564=Query!$B$8),OR(Query!$B$9="All",'Compliance Database'!$K564=Query!$B$9),OR(Query!$B$10="",ISNUMBER(SEARCH(Query!$B$10,'Compliance Database'!$D564&amp;" "&amp;'Compliance Database'!$L564&amp;" "&amp;'Compliance Database'!$M564&amp;" "&amp;'Compliance Database'!$N564&amp;" "&amp;'Compliance Database'!$O564)))),1,0)</f>
        <v/>
      </c>
      <c r="B564">
        <f>IF($A564=1,SUM($A$2:$A564),"")</f>
        <v/>
      </c>
      <c r="C564">
        <f>IF($A564=1,SUM($A$2:$A564),0)</f>
        <v/>
      </c>
    </row>
    <row r="565">
      <c r="A565">
        <f>IF(AND(OR(Query!$B$4="All",'Compliance Database'!$A565=Query!$B$4),OR(Query!$B$5="All",'Compliance Database'!$F565=Query!$B$5),OR(Query!$B$6="All",ISNUMBER(SEARCH(Query!$B$6,'Compliance Database'!$I565))),OR(Query!$B$7="All",ISNUMBER(SEARCH(Query!$B$7,'Compliance Database'!$J565))),OR(Query!$B$8="All",'Compliance Database'!$G565=Query!$B$8),OR(Query!$B$9="All",'Compliance Database'!$K565=Query!$B$9),OR(Query!$B$10="",ISNUMBER(SEARCH(Query!$B$10,'Compliance Database'!$D565&amp;" "&amp;'Compliance Database'!$L565&amp;" "&amp;'Compliance Database'!$M565&amp;" "&amp;'Compliance Database'!$N565&amp;" "&amp;'Compliance Database'!$O565)))),1,0)</f>
        <v/>
      </c>
      <c r="B565">
        <f>IF($A565=1,SUM($A$2:$A565),"")</f>
        <v/>
      </c>
      <c r="C565">
        <f>IF($A565=1,SUM($A$2:$A565),0)</f>
        <v/>
      </c>
    </row>
    <row r="566">
      <c r="A566">
        <f>IF(AND(OR(Query!$B$4="All",'Compliance Database'!$A566=Query!$B$4),OR(Query!$B$5="All",'Compliance Database'!$F566=Query!$B$5),OR(Query!$B$6="All",ISNUMBER(SEARCH(Query!$B$6,'Compliance Database'!$I566))),OR(Query!$B$7="All",ISNUMBER(SEARCH(Query!$B$7,'Compliance Database'!$J566))),OR(Query!$B$8="All",'Compliance Database'!$G566=Query!$B$8),OR(Query!$B$9="All",'Compliance Database'!$K566=Query!$B$9),OR(Query!$B$10="",ISNUMBER(SEARCH(Query!$B$10,'Compliance Database'!$D566&amp;" "&amp;'Compliance Database'!$L566&amp;" "&amp;'Compliance Database'!$M566&amp;" "&amp;'Compliance Database'!$N566&amp;" "&amp;'Compliance Database'!$O566)))),1,0)</f>
        <v/>
      </c>
      <c r="B566">
        <f>IF($A566=1,SUM($A$2:$A566),"")</f>
        <v/>
      </c>
      <c r="C566">
        <f>IF($A566=1,SUM($A$2:$A566),0)</f>
        <v/>
      </c>
    </row>
    <row r="567">
      <c r="A567">
        <f>IF(AND(OR(Query!$B$4="All",'Compliance Database'!$A567=Query!$B$4),OR(Query!$B$5="All",'Compliance Database'!$F567=Query!$B$5),OR(Query!$B$6="All",ISNUMBER(SEARCH(Query!$B$6,'Compliance Database'!$I567))),OR(Query!$B$7="All",ISNUMBER(SEARCH(Query!$B$7,'Compliance Database'!$J567))),OR(Query!$B$8="All",'Compliance Database'!$G567=Query!$B$8),OR(Query!$B$9="All",'Compliance Database'!$K567=Query!$B$9),OR(Query!$B$10="",ISNUMBER(SEARCH(Query!$B$10,'Compliance Database'!$D567&amp;" "&amp;'Compliance Database'!$L567&amp;" "&amp;'Compliance Database'!$M567&amp;" "&amp;'Compliance Database'!$N567&amp;" "&amp;'Compliance Database'!$O567)))),1,0)</f>
        <v/>
      </c>
      <c r="B567">
        <f>IF($A567=1,SUM($A$2:$A567),"")</f>
        <v/>
      </c>
      <c r="C567">
        <f>IF($A567=1,SUM($A$2:$A567),0)</f>
        <v/>
      </c>
    </row>
    <row r="568">
      <c r="A568">
        <f>IF(AND(OR(Query!$B$4="All",'Compliance Database'!$A568=Query!$B$4),OR(Query!$B$5="All",'Compliance Database'!$F568=Query!$B$5),OR(Query!$B$6="All",ISNUMBER(SEARCH(Query!$B$6,'Compliance Database'!$I568))),OR(Query!$B$7="All",ISNUMBER(SEARCH(Query!$B$7,'Compliance Database'!$J568))),OR(Query!$B$8="All",'Compliance Database'!$G568=Query!$B$8),OR(Query!$B$9="All",'Compliance Database'!$K568=Query!$B$9),OR(Query!$B$10="",ISNUMBER(SEARCH(Query!$B$10,'Compliance Database'!$D568&amp;" "&amp;'Compliance Database'!$L568&amp;" "&amp;'Compliance Database'!$M568&amp;" "&amp;'Compliance Database'!$N568&amp;" "&amp;'Compliance Database'!$O568)))),1,0)</f>
        <v/>
      </c>
      <c r="B568">
        <f>IF($A568=1,SUM($A$2:$A568),"")</f>
        <v/>
      </c>
      <c r="C568">
        <f>IF($A568=1,SUM($A$2:$A568),0)</f>
        <v/>
      </c>
    </row>
    <row r="569">
      <c r="A569">
        <f>IF(AND(OR(Query!$B$4="All",'Compliance Database'!$A569=Query!$B$4),OR(Query!$B$5="All",'Compliance Database'!$F569=Query!$B$5),OR(Query!$B$6="All",ISNUMBER(SEARCH(Query!$B$6,'Compliance Database'!$I569))),OR(Query!$B$7="All",ISNUMBER(SEARCH(Query!$B$7,'Compliance Database'!$J569))),OR(Query!$B$8="All",'Compliance Database'!$G569=Query!$B$8),OR(Query!$B$9="All",'Compliance Database'!$K569=Query!$B$9),OR(Query!$B$10="",ISNUMBER(SEARCH(Query!$B$10,'Compliance Database'!$D569&amp;" "&amp;'Compliance Database'!$L569&amp;" "&amp;'Compliance Database'!$M569&amp;" "&amp;'Compliance Database'!$N569&amp;" "&amp;'Compliance Database'!$O569)))),1,0)</f>
        <v/>
      </c>
      <c r="B569">
        <f>IF($A569=1,SUM($A$2:$A569),"")</f>
        <v/>
      </c>
      <c r="C569">
        <f>IF($A569=1,SUM($A$2:$A569),0)</f>
        <v/>
      </c>
    </row>
    <row r="570">
      <c r="A570">
        <f>IF(AND(OR(Query!$B$4="All",'Compliance Database'!$A570=Query!$B$4),OR(Query!$B$5="All",'Compliance Database'!$F570=Query!$B$5),OR(Query!$B$6="All",ISNUMBER(SEARCH(Query!$B$6,'Compliance Database'!$I570))),OR(Query!$B$7="All",ISNUMBER(SEARCH(Query!$B$7,'Compliance Database'!$J570))),OR(Query!$B$8="All",'Compliance Database'!$G570=Query!$B$8),OR(Query!$B$9="All",'Compliance Database'!$K570=Query!$B$9),OR(Query!$B$10="",ISNUMBER(SEARCH(Query!$B$10,'Compliance Database'!$D570&amp;" "&amp;'Compliance Database'!$L570&amp;" "&amp;'Compliance Database'!$M570&amp;" "&amp;'Compliance Database'!$N570&amp;" "&amp;'Compliance Database'!$O570)))),1,0)</f>
        <v/>
      </c>
      <c r="B570">
        <f>IF($A570=1,SUM($A$2:$A570),"")</f>
        <v/>
      </c>
      <c r="C570">
        <f>IF($A570=1,SUM($A$2:$A570),0)</f>
        <v/>
      </c>
    </row>
    <row r="571">
      <c r="A571">
        <f>IF(AND(OR(Query!$B$4="All",'Compliance Database'!$A571=Query!$B$4),OR(Query!$B$5="All",'Compliance Database'!$F571=Query!$B$5),OR(Query!$B$6="All",ISNUMBER(SEARCH(Query!$B$6,'Compliance Database'!$I571))),OR(Query!$B$7="All",ISNUMBER(SEARCH(Query!$B$7,'Compliance Database'!$J571))),OR(Query!$B$8="All",'Compliance Database'!$G571=Query!$B$8),OR(Query!$B$9="All",'Compliance Database'!$K571=Query!$B$9),OR(Query!$B$10="",ISNUMBER(SEARCH(Query!$B$10,'Compliance Database'!$D571&amp;" "&amp;'Compliance Database'!$L571&amp;" "&amp;'Compliance Database'!$M571&amp;" "&amp;'Compliance Database'!$N571&amp;" "&amp;'Compliance Database'!$O571)))),1,0)</f>
        <v/>
      </c>
      <c r="B571">
        <f>IF($A571=1,SUM($A$2:$A571),"")</f>
        <v/>
      </c>
      <c r="C571">
        <f>IF($A571=1,SUM($A$2:$A571),0)</f>
        <v/>
      </c>
    </row>
    <row r="572">
      <c r="A572">
        <f>IF(AND(OR(Query!$B$4="All",'Compliance Database'!$A572=Query!$B$4),OR(Query!$B$5="All",'Compliance Database'!$F572=Query!$B$5),OR(Query!$B$6="All",ISNUMBER(SEARCH(Query!$B$6,'Compliance Database'!$I572))),OR(Query!$B$7="All",ISNUMBER(SEARCH(Query!$B$7,'Compliance Database'!$J572))),OR(Query!$B$8="All",'Compliance Database'!$G572=Query!$B$8),OR(Query!$B$9="All",'Compliance Database'!$K572=Query!$B$9),OR(Query!$B$10="",ISNUMBER(SEARCH(Query!$B$10,'Compliance Database'!$D572&amp;" "&amp;'Compliance Database'!$L572&amp;" "&amp;'Compliance Database'!$M572&amp;" "&amp;'Compliance Database'!$N572&amp;" "&amp;'Compliance Database'!$O572)))),1,0)</f>
        <v/>
      </c>
      <c r="B572">
        <f>IF($A572=1,SUM($A$2:$A572),"")</f>
        <v/>
      </c>
      <c r="C572">
        <f>IF($A572=1,SUM($A$2:$A572),0)</f>
        <v/>
      </c>
    </row>
    <row r="573">
      <c r="A573">
        <f>IF(AND(OR(Query!$B$4="All",'Compliance Database'!$A573=Query!$B$4),OR(Query!$B$5="All",'Compliance Database'!$F573=Query!$B$5),OR(Query!$B$6="All",ISNUMBER(SEARCH(Query!$B$6,'Compliance Database'!$I573))),OR(Query!$B$7="All",ISNUMBER(SEARCH(Query!$B$7,'Compliance Database'!$J573))),OR(Query!$B$8="All",'Compliance Database'!$G573=Query!$B$8),OR(Query!$B$9="All",'Compliance Database'!$K573=Query!$B$9),OR(Query!$B$10="",ISNUMBER(SEARCH(Query!$B$10,'Compliance Database'!$D573&amp;" "&amp;'Compliance Database'!$L573&amp;" "&amp;'Compliance Database'!$M573&amp;" "&amp;'Compliance Database'!$N573&amp;" "&amp;'Compliance Database'!$O573)))),1,0)</f>
        <v/>
      </c>
      <c r="B573">
        <f>IF($A573=1,SUM($A$2:$A573),"")</f>
        <v/>
      </c>
      <c r="C573">
        <f>IF($A573=1,SUM($A$2:$A573),0)</f>
        <v/>
      </c>
    </row>
    <row r="574">
      <c r="A574">
        <f>IF(AND(OR(Query!$B$4="All",'Compliance Database'!$A574=Query!$B$4),OR(Query!$B$5="All",'Compliance Database'!$F574=Query!$B$5),OR(Query!$B$6="All",ISNUMBER(SEARCH(Query!$B$6,'Compliance Database'!$I574))),OR(Query!$B$7="All",ISNUMBER(SEARCH(Query!$B$7,'Compliance Database'!$J574))),OR(Query!$B$8="All",'Compliance Database'!$G574=Query!$B$8),OR(Query!$B$9="All",'Compliance Database'!$K574=Query!$B$9),OR(Query!$B$10="",ISNUMBER(SEARCH(Query!$B$10,'Compliance Database'!$D574&amp;" "&amp;'Compliance Database'!$L574&amp;" "&amp;'Compliance Database'!$M574&amp;" "&amp;'Compliance Database'!$N574&amp;" "&amp;'Compliance Database'!$O574)))),1,0)</f>
        <v/>
      </c>
      <c r="B574">
        <f>IF($A574=1,SUM($A$2:$A574),"")</f>
        <v/>
      </c>
      <c r="C574">
        <f>IF($A574=1,SUM($A$2:$A574),0)</f>
        <v/>
      </c>
    </row>
    <row r="575">
      <c r="A575">
        <f>IF(AND(OR(Query!$B$4="All",'Compliance Database'!$A575=Query!$B$4),OR(Query!$B$5="All",'Compliance Database'!$F575=Query!$B$5),OR(Query!$B$6="All",ISNUMBER(SEARCH(Query!$B$6,'Compliance Database'!$I575))),OR(Query!$B$7="All",ISNUMBER(SEARCH(Query!$B$7,'Compliance Database'!$J575))),OR(Query!$B$8="All",'Compliance Database'!$G575=Query!$B$8),OR(Query!$B$9="All",'Compliance Database'!$K575=Query!$B$9),OR(Query!$B$10="",ISNUMBER(SEARCH(Query!$B$10,'Compliance Database'!$D575&amp;" "&amp;'Compliance Database'!$L575&amp;" "&amp;'Compliance Database'!$M575&amp;" "&amp;'Compliance Database'!$N575&amp;" "&amp;'Compliance Database'!$O575)))),1,0)</f>
        <v/>
      </c>
      <c r="B575">
        <f>IF($A575=1,SUM($A$2:$A575),"")</f>
        <v/>
      </c>
      <c r="C575">
        <f>IF($A575=1,SUM($A$2:$A575),0)</f>
        <v/>
      </c>
    </row>
    <row r="576">
      <c r="A576">
        <f>IF(AND(OR(Query!$B$4="All",'Compliance Database'!$A576=Query!$B$4),OR(Query!$B$5="All",'Compliance Database'!$F576=Query!$B$5),OR(Query!$B$6="All",ISNUMBER(SEARCH(Query!$B$6,'Compliance Database'!$I576))),OR(Query!$B$7="All",ISNUMBER(SEARCH(Query!$B$7,'Compliance Database'!$J576))),OR(Query!$B$8="All",'Compliance Database'!$G576=Query!$B$8),OR(Query!$B$9="All",'Compliance Database'!$K576=Query!$B$9),OR(Query!$B$10="",ISNUMBER(SEARCH(Query!$B$10,'Compliance Database'!$D576&amp;" "&amp;'Compliance Database'!$L576&amp;" "&amp;'Compliance Database'!$M576&amp;" "&amp;'Compliance Database'!$N576&amp;" "&amp;'Compliance Database'!$O576)))),1,0)</f>
        <v/>
      </c>
      <c r="B576">
        <f>IF($A576=1,SUM($A$2:$A576),"")</f>
        <v/>
      </c>
      <c r="C576">
        <f>IF($A576=1,SUM($A$2:$A576),0)</f>
        <v/>
      </c>
    </row>
    <row r="577">
      <c r="A577">
        <f>IF(AND(OR(Query!$B$4="All",'Compliance Database'!$A577=Query!$B$4),OR(Query!$B$5="All",'Compliance Database'!$F577=Query!$B$5),OR(Query!$B$6="All",ISNUMBER(SEARCH(Query!$B$6,'Compliance Database'!$I577))),OR(Query!$B$7="All",ISNUMBER(SEARCH(Query!$B$7,'Compliance Database'!$J577))),OR(Query!$B$8="All",'Compliance Database'!$G577=Query!$B$8),OR(Query!$B$9="All",'Compliance Database'!$K577=Query!$B$9),OR(Query!$B$10="",ISNUMBER(SEARCH(Query!$B$10,'Compliance Database'!$D577&amp;" "&amp;'Compliance Database'!$L577&amp;" "&amp;'Compliance Database'!$M577&amp;" "&amp;'Compliance Database'!$N577&amp;" "&amp;'Compliance Database'!$O577)))),1,0)</f>
        <v/>
      </c>
      <c r="B577">
        <f>IF($A577=1,SUM($A$2:$A577),"")</f>
        <v/>
      </c>
      <c r="C577">
        <f>IF($A577=1,SUM($A$2:$A577),0)</f>
        <v/>
      </c>
    </row>
    <row r="578">
      <c r="A578">
        <f>IF(AND(OR(Query!$B$4="All",'Compliance Database'!$A578=Query!$B$4),OR(Query!$B$5="All",'Compliance Database'!$F578=Query!$B$5),OR(Query!$B$6="All",ISNUMBER(SEARCH(Query!$B$6,'Compliance Database'!$I578))),OR(Query!$B$7="All",ISNUMBER(SEARCH(Query!$B$7,'Compliance Database'!$J578))),OR(Query!$B$8="All",'Compliance Database'!$G578=Query!$B$8),OR(Query!$B$9="All",'Compliance Database'!$K578=Query!$B$9),OR(Query!$B$10="",ISNUMBER(SEARCH(Query!$B$10,'Compliance Database'!$D578&amp;" "&amp;'Compliance Database'!$L578&amp;" "&amp;'Compliance Database'!$M578&amp;" "&amp;'Compliance Database'!$N578&amp;" "&amp;'Compliance Database'!$O578)))),1,0)</f>
        <v/>
      </c>
      <c r="B578">
        <f>IF($A578=1,SUM($A$2:$A578),"")</f>
        <v/>
      </c>
      <c r="C578">
        <f>IF($A578=1,SUM($A$2:$A578),0)</f>
        <v/>
      </c>
    </row>
    <row r="579">
      <c r="A579">
        <f>IF(AND(OR(Query!$B$4="All",'Compliance Database'!$A579=Query!$B$4),OR(Query!$B$5="All",'Compliance Database'!$F579=Query!$B$5),OR(Query!$B$6="All",ISNUMBER(SEARCH(Query!$B$6,'Compliance Database'!$I579))),OR(Query!$B$7="All",ISNUMBER(SEARCH(Query!$B$7,'Compliance Database'!$J579))),OR(Query!$B$8="All",'Compliance Database'!$G579=Query!$B$8),OR(Query!$B$9="All",'Compliance Database'!$K579=Query!$B$9),OR(Query!$B$10="",ISNUMBER(SEARCH(Query!$B$10,'Compliance Database'!$D579&amp;" "&amp;'Compliance Database'!$L579&amp;" "&amp;'Compliance Database'!$M579&amp;" "&amp;'Compliance Database'!$N579&amp;" "&amp;'Compliance Database'!$O579)))),1,0)</f>
        <v/>
      </c>
      <c r="B579">
        <f>IF($A579=1,SUM($A$2:$A579),"")</f>
        <v/>
      </c>
      <c r="C579">
        <f>IF($A579=1,SUM($A$2:$A579),0)</f>
        <v/>
      </c>
    </row>
    <row r="580">
      <c r="A580">
        <f>IF(AND(OR(Query!$B$4="All",'Compliance Database'!$A580=Query!$B$4),OR(Query!$B$5="All",'Compliance Database'!$F580=Query!$B$5),OR(Query!$B$6="All",ISNUMBER(SEARCH(Query!$B$6,'Compliance Database'!$I580))),OR(Query!$B$7="All",ISNUMBER(SEARCH(Query!$B$7,'Compliance Database'!$J580))),OR(Query!$B$8="All",'Compliance Database'!$G580=Query!$B$8),OR(Query!$B$9="All",'Compliance Database'!$K580=Query!$B$9),OR(Query!$B$10="",ISNUMBER(SEARCH(Query!$B$10,'Compliance Database'!$D580&amp;" "&amp;'Compliance Database'!$L580&amp;" "&amp;'Compliance Database'!$M580&amp;" "&amp;'Compliance Database'!$N580&amp;" "&amp;'Compliance Database'!$O580)))),1,0)</f>
        <v/>
      </c>
      <c r="B580">
        <f>IF($A580=1,SUM($A$2:$A580),"")</f>
        <v/>
      </c>
      <c r="C580">
        <f>IF($A580=1,SUM($A$2:$A580),0)</f>
        <v/>
      </c>
    </row>
    <row r="581">
      <c r="A581">
        <f>IF(AND(OR(Query!$B$4="All",'Compliance Database'!$A581=Query!$B$4),OR(Query!$B$5="All",'Compliance Database'!$F581=Query!$B$5),OR(Query!$B$6="All",ISNUMBER(SEARCH(Query!$B$6,'Compliance Database'!$I581))),OR(Query!$B$7="All",ISNUMBER(SEARCH(Query!$B$7,'Compliance Database'!$J581))),OR(Query!$B$8="All",'Compliance Database'!$G581=Query!$B$8),OR(Query!$B$9="All",'Compliance Database'!$K581=Query!$B$9),OR(Query!$B$10="",ISNUMBER(SEARCH(Query!$B$10,'Compliance Database'!$D581&amp;" "&amp;'Compliance Database'!$L581&amp;" "&amp;'Compliance Database'!$M581&amp;" "&amp;'Compliance Database'!$N581&amp;" "&amp;'Compliance Database'!$O581)))),1,0)</f>
        <v/>
      </c>
      <c r="B581">
        <f>IF($A581=1,SUM($A$2:$A581),"")</f>
        <v/>
      </c>
      <c r="C581">
        <f>IF($A581=1,SUM($A$2:$A581),0)</f>
        <v/>
      </c>
    </row>
    <row r="582">
      <c r="A582">
        <f>IF(AND(OR(Query!$B$4="All",'Compliance Database'!$A582=Query!$B$4),OR(Query!$B$5="All",'Compliance Database'!$F582=Query!$B$5),OR(Query!$B$6="All",ISNUMBER(SEARCH(Query!$B$6,'Compliance Database'!$I582))),OR(Query!$B$7="All",ISNUMBER(SEARCH(Query!$B$7,'Compliance Database'!$J582))),OR(Query!$B$8="All",'Compliance Database'!$G582=Query!$B$8),OR(Query!$B$9="All",'Compliance Database'!$K582=Query!$B$9),OR(Query!$B$10="",ISNUMBER(SEARCH(Query!$B$10,'Compliance Database'!$D582&amp;" "&amp;'Compliance Database'!$L582&amp;" "&amp;'Compliance Database'!$M582&amp;" "&amp;'Compliance Database'!$N582&amp;" "&amp;'Compliance Database'!$O582)))),1,0)</f>
        <v/>
      </c>
      <c r="B582">
        <f>IF($A582=1,SUM($A$2:$A582),"")</f>
        <v/>
      </c>
      <c r="C582">
        <f>IF($A582=1,SUM($A$2:$A582),0)</f>
        <v/>
      </c>
    </row>
    <row r="583">
      <c r="A583">
        <f>IF(AND(OR(Query!$B$4="All",'Compliance Database'!$A583=Query!$B$4),OR(Query!$B$5="All",'Compliance Database'!$F583=Query!$B$5),OR(Query!$B$6="All",ISNUMBER(SEARCH(Query!$B$6,'Compliance Database'!$I583))),OR(Query!$B$7="All",ISNUMBER(SEARCH(Query!$B$7,'Compliance Database'!$J583))),OR(Query!$B$8="All",'Compliance Database'!$G583=Query!$B$8),OR(Query!$B$9="All",'Compliance Database'!$K583=Query!$B$9),OR(Query!$B$10="",ISNUMBER(SEARCH(Query!$B$10,'Compliance Database'!$D583&amp;" "&amp;'Compliance Database'!$L583&amp;" "&amp;'Compliance Database'!$M583&amp;" "&amp;'Compliance Database'!$N583&amp;" "&amp;'Compliance Database'!$O583)))),1,0)</f>
        <v/>
      </c>
      <c r="B583">
        <f>IF($A583=1,SUM($A$2:$A583),"")</f>
        <v/>
      </c>
      <c r="C583">
        <f>IF($A583=1,SUM($A$2:$A583),0)</f>
        <v/>
      </c>
    </row>
    <row r="584">
      <c r="A584">
        <f>IF(AND(OR(Query!$B$4="All",'Compliance Database'!$A584=Query!$B$4),OR(Query!$B$5="All",'Compliance Database'!$F584=Query!$B$5),OR(Query!$B$6="All",ISNUMBER(SEARCH(Query!$B$6,'Compliance Database'!$I584))),OR(Query!$B$7="All",ISNUMBER(SEARCH(Query!$B$7,'Compliance Database'!$J584))),OR(Query!$B$8="All",'Compliance Database'!$G584=Query!$B$8),OR(Query!$B$9="All",'Compliance Database'!$K584=Query!$B$9),OR(Query!$B$10="",ISNUMBER(SEARCH(Query!$B$10,'Compliance Database'!$D584&amp;" "&amp;'Compliance Database'!$L584&amp;" "&amp;'Compliance Database'!$M584&amp;" "&amp;'Compliance Database'!$N584&amp;" "&amp;'Compliance Database'!$O584)))),1,0)</f>
        <v/>
      </c>
      <c r="B584">
        <f>IF($A584=1,SUM($A$2:$A584),"")</f>
        <v/>
      </c>
      <c r="C584">
        <f>IF($A584=1,SUM($A$2:$A584),0)</f>
        <v/>
      </c>
    </row>
    <row r="585">
      <c r="A585">
        <f>IF(AND(OR(Query!$B$4="All",'Compliance Database'!$A585=Query!$B$4),OR(Query!$B$5="All",'Compliance Database'!$F585=Query!$B$5),OR(Query!$B$6="All",ISNUMBER(SEARCH(Query!$B$6,'Compliance Database'!$I585))),OR(Query!$B$7="All",ISNUMBER(SEARCH(Query!$B$7,'Compliance Database'!$J585))),OR(Query!$B$8="All",'Compliance Database'!$G585=Query!$B$8),OR(Query!$B$9="All",'Compliance Database'!$K585=Query!$B$9),OR(Query!$B$10="",ISNUMBER(SEARCH(Query!$B$10,'Compliance Database'!$D585&amp;" "&amp;'Compliance Database'!$L585&amp;" "&amp;'Compliance Database'!$M585&amp;" "&amp;'Compliance Database'!$N585&amp;" "&amp;'Compliance Database'!$O585)))),1,0)</f>
        <v/>
      </c>
      <c r="B585">
        <f>IF($A585=1,SUM($A$2:$A585),"")</f>
        <v/>
      </c>
      <c r="C585">
        <f>IF($A585=1,SUM($A$2:$A585),0)</f>
        <v/>
      </c>
    </row>
    <row r="586">
      <c r="A586">
        <f>IF(AND(OR(Query!$B$4="All",'Compliance Database'!$A586=Query!$B$4),OR(Query!$B$5="All",'Compliance Database'!$F586=Query!$B$5),OR(Query!$B$6="All",ISNUMBER(SEARCH(Query!$B$6,'Compliance Database'!$I586))),OR(Query!$B$7="All",ISNUMBER(SEARCH(Query!$B$7,'Compliance Database'!$J586))),OR(Query!$B$8="All",'Compliance Database'!$G586=Query!$B$8),OR(Query!$B$9="All",'Compliance Database'!$K586=Query!$B$9),OR(Query!$B$10="",ISNUMBER(SEARCH(Query!$B$10,'Compliance Database'!$D586&amp;" "&amp;'Compliance Database'!$L586&amp;" "&amp;'Compliance Database'!$M586&amp;" "&amp;'Compliance Database'!$N586&amp;" "&amp;'Compliance Database'!$O586)))),1,0)</f>
        <v/>
      </c>
      <c r="B586">
        <f>IF($A586=1,SUM($A$2:$A586),"")</f>
        <v/>
      </c>
      <c r="C586">
        <f>IF($A586=1,SUM($A$2:$A586),0)</f>
        <v/>
      </c>
    </row>
    <row r="587">
      <c r="A587">
        <f>IF(AND(OR(Query!$B$4="All",'Compliance Database'!$A587=Query!$B$4),OR(Query!$B$5="All",'Compliance Database'!$F587=Query!$B$5),OR(Query!$B$6="All",ISNUMBER(SEARCH(Query!$B$6,'Compliance Database'!$I587))),OR(Query!$B$7="All",ISNUMBER(SEARCH(Query!$B$7,'Compliance Database'!$J587))),OR(Query!$B$8="All",'Compliance Database'!$G587=Query!$B$8),OR(Query!$B$9="All",'Compliance Database'!$K587=Query!$B$9),OR(Query!$B$10="",ISNUMBER(SEARCH(Query!$B$10,'Compliance Database'!$D587&amp;" "&amp;'Compliance Database'!$L587&amp;" "&amp;'Compliance Database'!$M587&amp;" "&amp;'Compliance Database'!$N587&amp;" "&amp;'Compliance Database'!$O587)))),1,0)</f>
        <v/>
      </c>
      <c r="B587">
        <f>IF($A587=1,SUM($A$2:$A587),"")</f>
        <v/>
      </c>
      <c r="C587">
        <f>IF($A587=1,SUM($A$2:$A587),0)</f>
        <v/>
      </c>
    </row>
    <row r="588">
      <c r="A588">
        <f>IF(AND(OR(Query!$B$4="All",'Compliance Database'!$A588=Query!$B$4),OR(Query!$B$5="All",'Compliance Database'!$F588=Query!$B$5),OR(Query!$B$6="All",ISNUMBER(SEARCH(Query!$B$6,'Compliance Database'!$I588))),OR(Query!$B$7="All",ISNUMBER(SEARCH(Query!$B$7,'Compliance Database'!$J588))),OR(Query!$B$8="All",'Compliance Database'!$G588=Query!$B$8),OR(Query!$B$9="All",'Compliance Database'!$K588=Query!$B$9),OR(Query!$B$10="",ISNUMBER(SEARCH(Query!$B$10,'Compliance Database'!$D588&amp;" "&amp;'Compliance Database'!$L588&amp;" "&amp;'Compliance Database'!$M588&amp;" "&amp;'Compliance Database'!$N588&amp;" "&amp;'Compliance Database'!$O588)))),1,0)</f>
        <v/>
      </c>
      <c r="B588">
        <f>IF($A588=1,SUM($A$2:$A588),"")</f>
        <v/>
      </c>
      <c r="C588">
        <f>IF($A588=1,SUM($A$2:$A588),0)</f>
        <v/>
      </c>
    </row>
    <row r="589">
      <c r="A589">
        <f>IF(AND(OR(Query!$B$4="All",'Compliance Database'!$A589=Query!$B$4),OR(Query!$B$5="All",'Compliance Database'!$F589=Query!$B$5),OR(Query!$B$6="All",ISNUMBER(SEARCH(Query!$B$6,'Compliance Database'!$I589))),OR(Query!$B$7="All",ISNUMBER(SEARCH(Query!$B$7,'Compliance Database'!$J589))),OR(Query!$B$8="All",'Compliance Database'!$G589=Query!$B$8),OR(Query!$B$9="All",'Compliance Database'!$K589=Query!$B$9),OR(Query!$B$10="",ISNUMBER(SEARCH(Query!$B$10,'Compliance Database'!$D589&amp;" "&amp;'Compliance Database'!$L589&amp;" "&amp;'Compliance Database'!$M589&amp;" "&amp;'Compliance Database'!$N589&amp;" "&amp;'Compliance Database'!$O589)))),1,0)</f>
        <v/>
      </c>
      <c r="B589">
        <f>IF($A589=1,SUM($A$2:$A589),"")</f>
        <v/>
      </c>
      <c r="C589">
        <f>IF($A589=1,SUM($A$2:$A589),0)</f>
        <v/>
      </c>
    </row>
    <row r="590">
      <c r="A590">
        <f>IF(AND(OR(Query!$B$4="All",'Compliance Database'!$A590=Query!$B$4),OR(Query!$B$5="All",'Compliance Database'!$F590=Query!$B$5),OR(Query!$B$6="All",ISNUMBER(SEARCH(Query!$B$6,'Compliance Database'!$I590))),OR(Query!$B$7="All",ISNUMBER(SEARCH(Query!$B$7,'Compliance Database'!$J590))),OR(Query!$B$8="All",'Compliance Database'!$G590=Query!$B$8),OR(Query!$B$9="All",'Compliance Database'!$K590=Query!$B$9),OR(Query!$B$10="",ISNUMBER(SEARCH(Query!$B$10,'Compliance Database'!$D590&amp;" "&amp;'Compliance Database'!$L590&amp;" "&amp;'Compliance Database'!$M590&amp;" "&amp;'Compliance Database'!$N590&amp;" "&amp;'Compliance Database'!$O590)))),1,0)</f>
        <v/>
      </c>
      <c r="B590">
        <f>IF($A590=1,SUM($A$2:$A590),"")</f>
        <v/>
      </c>
      <c r="C590">
        <f>IF($A590=1,SUM($A$2:$A590),0)</f>
        <v/>
      </c>
    </row>
    <row r="591">
      <c r="A591">
        <f>IF(AND(OR(Query!$B$4="All",'Compliance Database'!$A591=Query!$B$4),OR(Query!$B$5="All",'Compliance Database'!$F591=Query!$B$5),OR(Query!$B$6="All",ISNUMBER(SEARCH(Query!$B$6,'Compliance Database'!$I591))),OR(Query!$B$7="All",ISNUMBER(SEARCH(Query!$B$7,'Compliance Database'!$J591))),OR(Query!$B$8="All",'Compliance Database'!$G591=Query!$B$8),OR(Query!$B$9="All",'Compliance Database'!$K591=Query!$B$9),OR(Query!$B$10="",ISNUMBER(SEARCH(Query!$B$10,'Compliance Database'!$D591&amp;" "&amp;'Compliance Database'!$L591&amp;" "&amp;'Compliance Database'!$M591&amp;" "&amp;'Compliance Database'!$N591&amp;" "&amp;'Compliance Database'!$O591)))),1,0)</f>
        <v/>
      </c>
      <c r="B591">
        <f>IF($A591=1,SUM($A$2:$A591),"")</f>
        <v/>
      </c>
      <c r="C591">
        <f>IF($A591=1,SUM($A$2:$A591),0)</f>
        <v/>
      </c>
    </row>
    <row r="592">
      <c r="A592">
        <f>IF(AND(OR(Query!$B$4="All",'Compliance Database'!$A592=Query!$B$4),OR(Query!$B$5="All",'Compliance Database'!$F592=Query!$B$5),OR(Query!$B$6="All",ISNUMBER(SEARCH(Query!$B$6,'Compliance Database'!$I592))),OR(Query!$B$7="All",ISNUMBER(SEARCH(Query!$B$7,'Compliance Database'!$J592))),OR(Query!$B$8="All",'Compliance Database'!$G592=Query!$B$8),OR(Query!$B$9="All",'Compliance Database'!$K592=Query!$B$9),OR(Query!$B$10="",ISNUMBER(SEARCH(Query!$B$10,'Compliance Database'!$D592&amp;" "&amp;'Compliance Database'!$L592&amp;" "&amp;'Compliance Database'!$M592&amp;" "&amp;'Compliance Database'!$N592&amp;" "&amp;'Compliance Database'!$O592)))),1,0)</f>
        <v/>
      </c>
      <c r="B592">
        <f>IF($A592=1,SUM($A$2:$A592),"")</f>
        <v/>
      </c>
      <c r="C592">
        <f>IF($A592=1,SUM($A$2:$A592),0)</f>
        <v/>
      </c>
    </row>
    <row r="593">
      <c r="A593">
        <f>IF(AND(OR(Query!$B$4="All",'Compliance Database'!$A593=Query!$B$4),OR(Query!$B$5="All",'Compliance Database'!$F593=Query!$B$5),OR(Query!$B$6="All",ISNUMBER(SEARCH(Query!$B$6,'Compliance Database'!$I593))),OR(Query!$B$7="All",ISNUMBER(SEARCH(Query!$B$7,'Compliance Database'!$J593))),OR(Query!$B$8="All",'Compliance Database'!$G593=Query!$B$8),OR(Query!$B$9="All",'Compliance Database'!$K593=Query!$B$9),OR(Query!$B$10="",ISNUMBER(SEARCH(Query!$B$10,'Compliance Database'!$D593&amp;" "&amp;'Compliance Database'!$L593&amp;" "&amp;'Compliance Database'!$M593&amp;" "&amp;'Compliance Database'!$N593&amp;" "&amp;'Compliance Database'!$O593)))),1,0)</f>
        <v/>
      </c>
      <c r="B593">
        <f>IF($A593=1,SUM($A$2:$A593),"")</f>
        <v/>
      </c>
      <c r="C593">
        <f>IF($A593=1,SUM($A$2:$A593),0)</f>
        <v/>
      </c>
    </row>
    <row r="594">
      <c r="A594">
        <f>IF(AND(OR(Query!$B$4="All",'Compliance Database'!$A594=Query!$B$4),OR(Query!$B$5="All",'Compliance Database'!$F594=Query!$B$5),OR(Query!$B$6="All",ISNUMBER(SEARCH(Query!$B$6,'Compliance Database'!$I594))),OR(Query!$B$7="All",ISNUMBER(SEARCH(Query!$B$7,'Compliance Database'!$J594))),OR(Query!$B$8="All",'Compliance Database'!$G594=Query!$B$8),OR(Query!$B$9="All",'Compliance Database'!$K594=Query!$B$9),OR(Query!$B$10="",ISNUMBER(SEARCH(Query!$B$10,'Compliance Database'!$D594&amp;" "&amp;'Compliance Database'!$L594&amp;" "&amp;'Compliance Database'!$M594&amp;" "&amp;'Compliance Database'!$N594&amp;" "&amp;'Compliance Database'!$O594)))),1,0)</f>
        <v/>
      </c>
      <c r="B594">
        <f>IF($A594=1,SUM($A$2:$A594),"")</f>
        <v/>
      </c>
      <c r="C594">
        <f>IF($A594=1,SUM($A$2:$A594),0)</f>
        <v/>
      </c>
    </row>
    <row r="595">
      <c r="A595">
        <f>IF(AND(OR(Query!$B$4="All",'Compliance Database'!$A595=Query!$B$4),OR(Query!$B$5="All",'Compliance Database'!$F595=Query!$B$5),OR(Query!$B$6="All",ISNUMBER(SEARCH(Query!$B$6,'Compliance Database'!$I595))),OR(Query!$B$7="All",ISNUMBER(SEARCH(Query!$B$7,'Compliance Database'!$J595))),OR(Query!$B$8="All",'Compliance Database'!$G595=Query!$B$8),OR(Query!$B$9="All",'Compliance Database'!$K595=Query!$B$9),OR(Query!$B$10="",ISNUMBER(SEARCH(Query!$B$10,'Compliance Database'!$D595&amp;" "&amp;'Compliance Database'!$L595&amp;" "&amp;'Compliance Database'!$M595&amp;" "&amp;'Compliance Database'!$N595&amp;" "&amp;'Compliance Database'!$O595)))),1,0)</f>
        <v/>
      </c>
      <c r="B595">
        <f>IF($A595=1,SUM($A$2:$A595),"")</f>
        <v/>
      </c>
      <c r="C595">
        <f>IF($A595=1,SUM($A$2:$A595),0)</f>
        <v/>
      </c>
    </row>
    <row r="596">
      <c r="A596">
        <f>IF(AND(OR(Query!$B$4="All",'Compliance Database'!$A596=Query!$B$4),OR(Query!$B$5="All",'Compliance Database'!$F596=Query!$B$5),OR(Query!$B$6="All",ISNUMBER(SEARCH(Query!$B$6,'Compliance Database'!$I596))),OR(Query!$B$7="All",ISNUMBER(SEARCH(Query!$B$7,'Compliance Database'!$J596))),OR(Query!$B$8="All",'Compliance Database'!$G596=Query!$B$8),OR(Query!$B$9="All",'Compliance Database'!$K596=Query!$B$9),OR(Query!$B$10="",ISNUMBER(SEARCH(Query!$B$10,'Compliance Database'!$D596&amp;" "&amp;'Compliance Database'!$L596&amp;" "&amp;'Compliance Database'!$M596&amp;" "&amp;'Compliance Database'!$N596&amp;" "&amp;'Compliance Database'!$O596)))),1,0)</f>
        <v/>
      </c>
      <c r="B596">
        <f>IF($A596=1,SUM($A$2:$A596),"")</f>
        <v/>
      </c>
      <c r="C596">
        <f>IF($A596=1,SUM($A$2:$A596),0)</f>
        <v/>
      </c>
    </row>
    <row r="597">
      <c r="A597">
        <f>IF(AND(OR(Query!$B$4="All",'Compliance Database'!$A597=Query!$B$4),OR(Query!$B$5="All",'Compliance Database'!$F597=Query!$B$5),OR(Query!$B$6="All",ISNUMBER(SEARCH(Query!$B$6,'Compliance Database'!$I597))),OR(Query!$B$7="All",ISNUMBER(SEARCH(Query!$B$7,'Compliance Database'!$J597))),OR(Query!$B$8="All",'Compliance Database'!$G597=Query!$B$8),OR(Query!$B$9="All",'Compliance Database'!$K597=Query!$B$9),OR(Query!$B$10="",ISNUMBER(SEARCH(Query!$B$10,'Compliance Database'!$D597&amp;" "&amp;'Compliance Database'!$L597&amp;" "&amp;'Compliance Database'!$M597&amp;" "&amp;'Compliance Database'!$N597&amp;" "&amp;'Compliance Database'!$O597)))),1,0)</f>
        <v/>
      </c>
      <c r="B597">
        <f>IF($A597=1,SUM($A$2:$A597),"")</f>
        <v/>
      </c>
      <c r="C597">
        <f>IF($A597=1,SUM($A$2:$A597),0)</f>
        <v/>
      </c>
    </row>
    <row r="598">
      <c r="A598">
        <f>IF(AND(OR(Query!$B$4="All",'Compliance Database'!$A598=Query!$B$4),OR(Query!$B$5="All",'Compliance Database'!$F598=Query!$B$5),OR(Query!$B$6="All",ISNUMBER(SEARCH(Query!$B$6,'Compliance Database'!$I598))),OR(Query!$B$7="All",ISNUMBER(SEARCH(Query!$B$7,'Compliance Database'!$J598))),OR(Query!$B$8="All",'Compliance Database'!$G598=Query!$B$8),OR(Query!$B$9="All",'Compliance Database'!$K598=Query!$B$9),OR(Query!$B$10="",ISNUMBER(SEARCH(Query!$B$10,'Compliance Database'!$D598&amp;" "&amp;'Compliance Database'!$L598&amp;" "&amp;'Compliance Database'!$M598&amp;" "&amp;'Compliance Database'!$N598&amp;" "&amp;'Compliance Database'!$O598)))),1,0)</f>
        <v/>
      </c>
      <c r="B598">
        <f>IF($A598=1,SUM($A$2:$A598),"")</f>
        <v/>
      </c>
      <c r="C598">
        <f>IF($A598=1,SUM($A$2:$A598),0)</f>
        <v/>
      </c>
    </row>
    <row r="599">
      <c r="A599">
        <f>IF(AND(OR(Query!$B$4="All",'Compliance Database'!$A599=Query!$B$4),OR(Query!$B$5="All",'Compliance Database'!$F599=Query!$B$5),OR(Query!$B$6="All",ISNUMBER(SEARCH(Query!$B$6,'Compliance Database'!$I599))),OR(Query!$B$7="All",ISNUMBER(SEARCH(Query!$B$7,'Compliance Database'!$J599))),OR(Query!$B$8="All",'Compliance Database'!$G599=Query!$B$8),OR(Query!$B$9="All",'Compliance Database'!$K599=Query!$B$9),OR(Query!$B$10="",ISNUMBER(SEARCH(Query!$B$10,'Compliance Database'!$D599&amp;" "&amp;'Compliance Database'!$L599&amp;" "&amp;'Compliance Database'!$M599&amp;" "&amp;'Compliance Database'!$N599&amp;" "&amp;'Compliance Database'!$O599)))),1,0)</f>
        <v/>
      </c>
      <c r="B599">
        <f>IF($A599=1,SUM($A$2:$A599),"")</f>
        <v/>
      </c>
      <c r="C599">
        <f>IF($A599=1,SUM($A$2:$A599),0)</f>
        <v/>
      </c>
    </row>
    <row r="600">
      <c r="A600">
        <f>IF(AND(OR(Query!$B$4="All",'Compliance Database'!$A600=Query!$B$4),OR(Query!$B$5="All",'Compliance Database'!$F600=Query!$B$5),OR(Query!$B$6="All",ISNUMBER(SEARCH(Query!$B$6,'Compliance Database'!$I600))),OR(Query!$B$7="All",ISNUMBER(SEARCH(Query!$B$7,'Compliance Database'!$J600))),OR(Query!$B$8="All",'Compliance Database'!$G600=Query!$B$8),OR(Query!$B$9="All",'Compliance Database'!$K600=Query!$B$9),OR(Query!$B$10="",ISNUMBER(SEARCH(Query!$B$10,'Compliance Database'!$D600&amp;" "&amp;'Compliance Database'!$L600&amp;" "&amp;'Compliance Database'!$M600&amp;" "&amp;'Compliance Database'!$N600&amp;" "&amp;'Compliance Database'!$O600)))),1,0)</f>
        <v/>
      </c>
      <c r="B600">
        <f>IF($A600=1,SUM($A$2:$A600),"")</f>
        <v/>
      </c>
      <c r="C600">
        <f>IF($A600=1,SUM($A$2:$A600),0)</f>
        <v/>
      </c>
    </row>
    <row r="601">
      <c r="A601">
        <f>IF(AND(OR(Query!$B$4="All",'Compliance Database'!$A601=Query!$B$4),OR(Query!$B$5="All",'Compliance Database'!$F601=Query!$B$5),OR(Query!$B$6="All",ISNUMBER(SEARCH(Query!$B$6,'Compliance Database'!$I601))),OR(Query!$B$7="All",ISNUMBER(SEARCH(Query!$B$7,'Compliance Database'!$J601))),OR(Query!$B$8="All",'Compliance Database'!$G601=Query!$B$8),OR(Query!$B$9="All",'Compliance Database'!$K601=Query!$B$9),OR(Query!$B$10="",ISNUMBER(SEARCH(Query!$B$10,'Compliance Database'!$D601&amp;" "&amp;'Compliance Database'!$L601&amp;" "&amp;'Compliance Database'!$M601&amp;" "&amp;'Compliance Database'!$N601&amp;" "&amp;'Compliance Database'!$O601)))),1,0)</f>
        <v/>
      </c>
      <c r="B601">
        <f>IF($A601=1,SUM($A$2:$A601),"")</f>
        <v/>
      </c>
      <c r="C601">
        <f>IF($A601=1,SUM($A$2:$A601),0)</f>
        <v/>
      </c>
    </row>
    <row r="602">
      <c r="A602">
        <f>IF(AND(OR(Query!$B$4="All",'Compliance Database'!$A602=Query!$B$4),OR(Query!$B$5="All",'Compliance Database'!$F602=Query!$B$5),OR(Query!$B$6="All",ISNUMBER(SEARCH(Query!$B$6,'Compliance Database'!$I602))),OR(Query!$B$7="All",ISNUMBER(SEARCH(Query!$B$7,'Compliance Database'!$J602))),OR(Query!$B$8="All",'Compliance Database'!$G602=Query!$B$8),OR(Query!$B$9="All",'Compliance Database'!$K602=Query!$B$9),OR(Query!$B$10="",ISNUMBER(SEARCH(Query!$B$10,'Compliance Database'!$D602&amp;" "&amp;'Compliance Database'!$L602&amp;" "&amp;'Compliance Database'!$M602&amp;" "&amp;'Compliance Database'!$N602&amp;" "&amp;'Compliance Database'!$O602)))),1,0)</f>
        <v/>
      </c>
      <c r="B602">
        <f>IF($A602=1,SUM($A$2:$A602),"")</f>
        <v/>
      </c>
      <c r="C602">
        <f>IF($A602=1,SUM($A$2:$A602),0)</f>
        <v/>
      </c>
    </row>
    <row r="603">
      <c r="A603">
        <f>IF(AND(OR(Query!$B$4="All",'Compliance Database'!$A603=Query!$B$4),OR(Query!$B$5="All",'Compliance Database'!$F603=Query!$B$5),OR(Query!$B$6="All",ISNUMBER(SEARCH(Query!$B$6,'Compliance Database'!$I603))),OR(Query!$B$7="All",ISNUMBER(SEARCH(Query!$B$7,'Compliance Database'!$J603))),OR(Query!$B$8="All",'Compliance Database'!$G603=Query!$B$8),OR(Query!$B$9="All",'Compliance Database'!$K603=Query!$B$9),OR(Query!$B$10="",ISNUMBER(SEARCH(Query!$B$10,'Compliance Database'!$D603&amp;" "&amp;'Compliance Database'!$L603&amp;" "&amp;'Compliance Database'!$M603&amp;" "&amp;'Compliance Database'!$N603&amp;" "&amp;'Compliance Database'!$O603)))),1,0)</f>
        <v/>
      </c>
      <c r="B603">
        <f>IF($A603=1,SUM($A$2:$A603),"")</f>
        <v/>
      </c>
      <c r="C603">
        <f>IF($A603=1,SUM($A$2:$A603),0)</f>
        <v/>
      </c>
    </row>
    <row r="604">
      <c r="A604">
        <f>IF(AND(OR(Query!$B$4="All",'Compliance Database'!$A604=Query!$B$4),OR(Query!$B$5="All",'Compliance Database'!$F604=Query!$B$5),OR(Query!$B$6="All",ISNUMBER(SEARCH(Query!$B$6,'Compliance Database'!$I604))),OR(Query!$B$7="All",ISNUMBER(SEARCH(Query!$B$7,'Compliance Database'!$J604))),OR(Query!$B$8="All",'Compliance Database'!$G604=Query!$B$8),OR(Query!$B$9="All",'Compliance Database'!$K604=Query!$B$9),OR(Query!$B$10="",ISNUMBER(SEARCH(Query!$B$10,'Compliance Database'!$D604&amp;" "&amp;'Compliance Database'!$L604&amp;" "&amp;'Compliance Database'!$M604&amp;" "&amp;'Compliance Database'!$N604&amp;" "&amp;'Compliance Database'!$O604)))),1,0)</f>
        <v/>
      </c>
      <c r="B604">
        <f>IF($A604=1,SUM($A$2:$A604),"")</f>
        <v/>
      </c>
      <c r="C604">
        <f>IF($A604=1,SUM($A$2:$A604),0)</f>
        <v/>
      </c>
    </row>
    <row r="605">
      <c r="A605">
        <f>IF(AND(OR(Query!$B$4="All",'Compliance Database'!$A605=Query!$B$4),OR(Query!$B$5="All",'Compliance Database'!$F605=Query!$B$5),OR(Query!$B$6="All",ISNUMBER(SEARCH(Query!$B$6,'Compliance Database'!$I605))),OR(Query!$B$7="All",ISNUMBER(SEARCH(Query!$B$7,'Compliance Database'!$J605))),OR(Query!$B$8="All",'Compliance Database'!$G605=Query!$B$8),OR(Query!$B$9="All",'Compliance Database'!$K605=Query!$B$9),OR(Query!$B$10="",ISNUMBER(SEARCH(Query!$B$10,'Compliance Database'!$D605&amp;" "&amp;'Compliance Database'!$L605&amp;" "&amp;'Compliance Database'!$M605&amp;" "&amp;'Compliance Database'!$N605&amp;" "&amp;'Compliance Database'!$O605)))),1,0)</f>
        <v/>
      </c>
      <c r="B605">
        <f>IF($A605=1,SUM($A$2:$A605),"")</f>
        <v/>
      </c>
      <c r="C605">
        <f>IF($A605=1,SUM($A$2:$A605),0)</f>
        <v/>
      </c>
    </row>
    <row r="606">
      <c r="A606">
        <f>IF(AND(OR(Query!$B$4="All",'Compliance Database'!$A606=Query!$B$4),OR(Query!$B$5="All",'Compliance Database'!$F606=Query!$B$5),OR(Query!$B$6="All",ISNUMBER(SEARCH(Query!$B$6,'Compliance Database'!$I606))),OR(Query!$B$7="All",ISNUMBER(SEARCH(Query!$B$7,'Compliance Database'!$J606))),OR(Query!$B$8="All",'Compliance Database'!$G606=Query!$B$8),OR(Query!$B$9="All",'Compliance Database'!$K606=Query!$B$9),OR(Query!$B$10="",ISNUMBER(SEARCH(Query!$B$10,'Compliance Database'!$D606&amp;" "&amp;'Compliance Database'!$L606&amp;" "&amp;'Compliance Database'!$M606&amp;" "&amp;'Compliance Database'!$N606&amp;" "&amp;'Compliance Database'!$O606)))),1,0)</f>
        <v/>
      </c>
      <c r="B606">
        <f>IF($A606=1,SUM($A$2:$A606),"")</f>
        <v/>
      </c>
      <c r="C606">
        <f>IF($A606=1,SUM($A$2:$A606),0)</f>
        <v/>
      </c>
    </row>
    <row r="607">
      <c r="A607">
        <f>IF(AND(OR(Query!$B$4="All",'Compliance Database'!$A607=Query!$B$4),OR(Query!$B$5="All",'Compliance Database'!$F607=Query!$B$5),OR(Query!$B$6="All",ISNUMBER(SEARCH(Query!$B$6,'Compliance Database'!$I607))),OR(Query!$B$7="All",ISNUMBER(SEARCH(Query!$B$7,'Compliance Database'!$J607))),OR(Query!$B$8="All",'Compliance Database'!$G607=Query!$B$8),OR(Query!$B$9="All",'Compliance Database'!$K607=Query!$B$9),OR(Query!$B$10="",ISNUMBER(SEARCH(Query!$B$10,'Compliance Database'!$D607&amp;" "&amp;'Compliance Database'!$L607&amp;" "&amp;'Compliance Database'!$M607&amp;" "&amp;'Compliance Database'!$N607&amp;" "&amp;'Compliance Database'!$O607)))),1,0)</f>
        <v/>
      </c>
      <c r="B607">
        <f>IF($A607=1,SUM($A$2:$A607),"")</f>
        <v/>
      </c>
      <c r="C607">
        <f>IF($A607=1,SUM($A$2:$A607),0)</f>
        <v/>
      </c>
    </row>
    <row r="608">
      <c r="A608">
        <f>IF(AND(OR(Query!$B$4="All",'Compliance Database'!$A608=Query!$B$4),OR(Query!$B$5="All",'Compliance Database'!$F608=Query!$B$5),OR(Query!$B$6="All",ISNUMBER(SEARCH(Query!$B$6,'Compliance Database'!$I608))),OR(Query!$B$7="All",ISNUMBER(SEARCH(Query!$B$7,'Compliance Database'!$J608))),OR(Query!$B$8="All",'Compliance Database'!$G608=Query!$B$8),OR(Query!$B$9="All",'Compliance Database'!$K608=Query!$B$9),OR(Query!$B$10="",ISNUMBER(SEARCH(Query!$B$10,'Compliance Database'!$D608&amp;" "&amp;'Compliance Database'!$L608&amp;" "&amp;'Compliance Database'!$M608&amp;" "&amp;'Compliance Database'!$N608&amp;" "&amp;'Compliance Database'!$O608)))),1,0)</f>
        <v/>
      </c>
      <c r="B608">
        <f>IF($A608=1,SUM($A$2:$A608),"")</f>
        <v/>
      </c>
      <c r="C608">
        <f>IF($A608=1,SUM($A$2:$A608),0)</f>
        <v/>
      </c>
    </row>
    <row r="609">
      <c r="A609">
        <f>IF(AND(OR(Query!$B$4="All",'Compliance Database'!$A609=Query!$B$4),OR(Query!$B$5="All",'Compliance Database'!$F609=Query!$B$5),OR(Query!$B$6="All",ISNUMBER(SEARCH(Query!$B$6,'Compliance Database'!$I609))),OR(Query!$B$7="All",ISNUMBER(SEARCH(Query!$B$7,'Compliance Database'!$J609))),OR(Query!$B$8="All",'Compliance Database'!$G609=Query!$B$8),OR(Query!$B$9="All",'Compliance Database'!$K609=Query!$B$9),OR(Query!$B$10="",ISNUMBER(SEARCH(Query!$B$10,'Compliance Database'!$D609&amp;" "&amp;'Compliance Database'!$L609&amp;" "&amp;'Compliance Database'!$M609&amp;" "&amp;'Compliance Database'!$N609&amp;" "&amp;'Compliance Database'!$O609)))),1,0)</f>
        <v/>
      </c>
      <c r="B609">
        <f>IF($A609=1,SUM($A$2:$A609),"")</f>
        <v/>
      </c>
      <c r="C609">
        <f>IF($A609=1,SUM($A$2:$A609),0)</f>
        <v/>
      </c>
    </row>
    <row r="610">
      <c r="A610">
        <f>IF(AND(OR(Query!$B$4="All",'Compliance Database'!$A610=Query!$B$4),OR(Query!$B$5="All",'Compliance Database'!$F610=Query!$B$5),OR(Query!$B$6="All",ISNUMBER(SEARCH(Query!$B$6,'Compliance Database'!$I610))),OR(Query!$B$7="All",ISNUMBER(SEARCH(Query!$B$7,'Compliance Database'!$J610))),OR(Query!$B$8="All",'Compliance Database'!$G610=Query!$B$8),OR(Query!$B$9="All",'Compliance Database'!$K610=Query!$B$9),OR(Query!$B$10="",ISNUMBER(SEARCH(Query!$B$10,'Compliance Database'!$D610&amp;" "&amp;'Compliance Database'!$L610&amp;" "&amp;'Compliance Database'!$M610&amp;" "&amp;'Compliance Database'!$N610&amp;" "&amp;'Compliance Database'!$O610)))),1,0)</f>
        <v/>
      </c>
      <c r="B610">
        <f>IF($A610=1,SUM($A$2:$A610),"")</f>
        <v/>
      </c>
      <c r="C610">
        <f>IF($A610=1,SUM($A$2:$A610),0)</f>
        <v/>
      </c>
    </row>
    <row r="611">
      <c r="A611">
        <f>IF(AND(OR(Query!$B$4="All",'Compliance Database'!$A611=Query!$B$4),OR(Query!$B$5="All",'Compliance Database'!$F611=Query!$B$5),OR(Query!$B$6="All",ISNUMBER(SEARCH(Query!$B$6,'Compliance Database'!$I611))),OR(Query!$B$7="All",ISNUMBER(SEARCH(Query!$B$7,'Compliance Database'!$J611))),OR(Query!$B$8="All",'Compliance Database'!$G611=Query!$B$8),OR(Query!$B$9="All",'Compliance Database'!$K611=Query!$B$9),OR(Query!$B$10="",ISNUMBER(SEARCH(Query!$B$10,'Compliance Database'!$D611&amp;" "&amp;'Compliance Database'!$L611&amp;" "&amp;'Compliance Database'!$M611&amp;" "&amp;'Compliance Database'!$N611&amp;" "&amp;'Compliance Database'!$O611)))),1,0)</f>
        <v/>
      </c>
      <c r="B611">
        <f>IF($A611=1,SUM($A$2:$A611),"")</f>
        <v/>
      </c>
      <c r="C611">
        <f>IF($A611=1,SUM($A$2:$A611),0)</f>
        <v/>
      </c>
    </row>
    <row r="612">
      <c r="A612">
        <f>IF(AND(OR(Query!$B$4="All",'Compliance Database'!$A612=Query!$B$4),OR(Query!$B$5="All",'Compliance Database'!$F612=Query!$B$5),OR(Query!$B$6="All",ISNUMBER(SEARCH(Query!$B$6,'Compliance Database'!$I612))),OR(Query!$B$7="All",ISNUMBER(SEARCH(Query!$B$7,'Compliance Database'!$J612))),OR(Query!$B$8="All",'Compliance Database'!$G612=Query!$B$8),OR(Query!$B$9="All",'Compliance Database'!$K612=Query!$B$9),OR(Query!$B$10="",ISNUMBER(SEARCH(Query!$B$10,'Compliance Database'!$D612&amp;" "&amp;'Compliance Database'!$L612&amp;" "&amp;'Compliance Database'!$M612&amp;" "&amp;'Compliance Database'!$N612&amp;" "&amp;'Compliance Database'!$O612)))),1,0)</f>
        <v/>
      </c>
      <c r="B612">
        <f>IF($A612=1,SUM($A$2:$A612),"")</f>
        <v/>
      </c>
      <c r="C612">
        <f>IF($A612=1,SUM($A$2:$A612),0)</f>
        <v/>
      </c>
    </row>
    <row r="613">
      <c r="A613">
        <f>IF(AND(OR(Query!$B$4="All",'Compliance Database'!$A613=Query!$B$4),OR(Query!$B$5="All",'Compliance Database'!$F613=Query!$B$5),OR(Query!$B$6="All",ISNUMBER(SEARCH(Query!$B$6,'Compliance Database'!$I613))),OR(Query!$B$7="All",ISNUMBER(SEARCH(Query!$B$7,'Compliance Database'!$J613))),OR(Query!$B$8="All",'Compliance Database'!$G613=Query!$B$8),OR(Query!$B$9="All",'Compliance Database'!$K613=Query!$B$9),OR(Query!$B$10="",ISNUMBER(SEARCH(Query!$B$10,'Compliance Database'!$D613&amp;" "&amp;'Compliance Database'!$L613&amp;" "&amp;'Compliance Database'!$M613&amp;" "&amp;'Compliance Database'!$N613&amp;" "&amp;'Compliance Database'!$O613)))),1,0)</f>
        <v/>
      </c>
      <c r="B613">
        <f>IF($A613=1,SUM($A$2:$A613),"")</f>
        <v/>
      </c>
      <c r="C613">
        <f>IF($A613=1,SUM($A$2:$A613),0)</f>
        <v/>
      </c>
    </row>
    <row r="614">
      <c r="A614">
        <f>IF(AND(OR(Query!$B$4="All",'Compliance Database'!$A614=Query!$B$4),OR(Query!$B$5="All",'Compliance Database'!$F614=Query!$B$5),OR(Query!$B$6="All",ISNUMBER(SEARCH(Query!$B$6,'Compliance Database'!$I614))),OR(Query!$B$7="All",ISNUMBER(SEARCH(Query!$B$7,'Compliance Database'!$J614))),OR(Query!$B$8="All",'Compliance Database'!$G614=Query!$B$8),OR(Query!$B$9="All",'Compliance Database'!$K614=Query!$B$9),OR(Query!$B$10="",ISNUMBER(SEARCH(Query!$B$10,'Compliance Database'!$D614&amp;" "&amp;'Compliance Database'!$L614&amp;" "&amp;'Compliance Database'!$M614&amp;" "&amp;'Compliance Database'!$N614&amp;" "&amp;'Compliance Database'!$O614)))),1,0)</f>
        <v/>
      </c>
      <c r="B614">
        <f>IF($A614=1,SUM($A$2:$A614),"")</f>
        <v/>
      </c>
      <c r="C614">
        <f>IF($A614=1,SUM($A$2:$A614),0)</f>
        <v/>
      </c>
    </row>
    <row r="615">
      <c r="A615">
        <f>IF(AND(OR(Query!$B$4="All",'Compliance Database'!$A615=Query!$B$4),OR(Query!$B$5="All",'Compliance Database'!$F615=Query!$B$5),OR(Query!$B$6="All",ISNUMBER(SEARCH(Query!$B$6,'Compliance Database'!$I615))),OR(Query!$B$7="All",ISNUMBER(SEARCH(Query!$B$7,'Compliance Database'!$J615))),OR(Query!$B$8="All",'Compliance Database'!$G615=Query!$B$8),OR(Query!$B$9="All",'Compliance Database'!$K615=Query!$B$9),OR(Query!$B$10="",ISNUMBER(SEARCH(Query!$B$10,'Compliance Database'!$D615&amp;" "&amp;'Compliance Database'!$L615&amp;" "&amp;'Compliance Database'!$M615&amp;" "&amp;'Compliance Database'!$N615&amp;" "&amp;'Compliance Database'!$O615)))),1,0)</f>
        <v/>
      </c>
      <c r="B615">
        <f>IF($A615=1,SUM($A$2:$A615),"")</f>
        <v/>
      </c>
      <c r="C615">
        <f>IF($A615=1,SUM($A$2:$A615),0)</f>
        <v/>
      </c>
    </row>
    <row r="616">
      <c r="A616">
        <f>IF(AND(OR(Query!$B$4="All",'Compliance Database'!$A616=Query!$B$4),OR(Query!$B$5="All",'Compliance Database'!$F616=Query!$B$5),OR(Query!$B$6="All",ISNUMBER(SEARCH(Query!$B$6,'Compliance Database'!$I616))),OR(Query!$B$7="All",ISNUMBER(SEARCH(Query!$B$7,'Compliance Database'!$J616))),OR(Query!$B$8="All",'Compliance Database'!$G616=Query!$B$8),OR(Query!$B$9="All",'Compliance Database'!$K616=Query!$B$9),OR(Query!$B$10="",ISNUMBER(SEARCH(Query!$B$10,'Compliance Database'!$D616&amp;" "&amp;'Compliance Database'!$L616&amp;" "&amp;'Compliance Database'!$M616&amp;" "&amp;'Compliance Database'!$N616&amp;" "&amp;'Compliance Database'!$O616)))),1,0)</f>
        <v/>
      </c>
      <c r="B616">
        <f>IF($A616=1,SUM($A$2:$A616),"")</f>
        <v/>
      </c>
      <c r="C616">
        <f>IF($A616=1,SUM($A$2:$A616),0)</f>
        <v/>
      </c>
    </row>
    <row r="617">
      <c r="A617">
        <f>IF(AND(OR(Query!$B$4="All",'Compliance Database'!$A617=Query!$B$4),OR(Query!$B$5="All",'Compliance Database'!$F617=Query!$B$5),OR(Query!$B$6="All",ISNUMBER(SEARCH(Query!$B$6,'Compliance Database'!$I617))),OR(Query!$B$7="All",ISNUMBER(SEARCH(Query!$B$7,'Compliance Database'!$J617))),OR(Query!$B$8="All",'Compliance Database'!$G617=Query!$B$8),OR(Query!$B$9="All",'Compliance Database'!$K617=Query!$B$9),OR(Query!$B$10="",ISNUMBER(SEARCH(Query!$B$10,'Compliance Database'!$D617&amp;" "&amp;'Compliance Database'!$L617&amp;" "&amp;'Compliance Database'!$M617&amp;" "&amp;'Compliance Database'!$N617&amp;" "&amp;'Compliance Database'!$O617)))),1,0)</f>
        <v/>
      </c>
      <c r="B617">
        <f>IF($A617=1,SUM($A$2:$A617),"")</f>
        <v/>
      </c>
      <c r="C617">
        <f>IF($A617=1,SUM($A$2:$A617),0)</f>
        <v/>
      </c>
    </row>
    <row r="618">
      <c r="A618">
        <f>IF(AND(OR(Query!$B$4="All",'Compliance Database'!$A618=Query!$B$4),OR(Query!$B$5="All",'Compliance Database'!$F618=Query!$B$5),OR(Query!$B$6="All",ISNUMBER(SEARCH(Query!$B$6,'Compliance Database'!$I618))),OR(Query!$B$7="All",ISNUMBER(SEARCH(Query!$B$7,'Compliance Database'!$J618))),OR(Query!$B$8="All",'Compliance Database'!$G618=Query!$B$8),OR(Query!$B$9="All",'Compliance Database'!$K618=Query!$B$9),OR(Query!$B$10="",ISNUMBER(SEARCH(Query!$B$10,'Compliance Database'!$D618&amp;" "&amp;'Compliance Database'!$L618&amp;" "&amp;'Compliance Database'!$M618&amp;" "&amp;'Compliance Database'!$N618&amp;" "&amp;'Compliance Database'!$O618)))),1,0)</f>
        <v/>
      </c>
      <c r="B618">
        <f>IF($A618=1,SUM($A$2:$A618),"")</f>
        <v/>
      </c>
      <c r="C618">
        <f>IF($A618=1,SUM($A$2:$A618),0)</f>
        <v/>
      </c>
    </row>
    <row r="619">
      <c r="A619">
        <f>IF(AND(OR(Query!$B$4="All",'Compliance Database'!$A619=Query!$B$4),OR(Query!$B$5="All",'Compliance Database'!$F619=Query!$B$5),OR(Query!$B$6="All",ISNUMBER(SEARCH(Query!$B$6,'Compliance Database'!$I619))),OR(Query!$B$7="All",ISNUMBER(SEARCH(Query!$B$7,'Compliance Database'!$J619))),OR(Query!$B$8="All",'Compliance Database'!$G619=Query!$B$8),OR(Query!$B$9="All",'Compliance Database'!$K619=Query!$B$9),OR(Query!$B$10="",ISNUMBER(SEARCH(Query!$B$10,'Compliance Database'!$D619&amp;" "&amp;'Compliance Database'!$L619&amp;" "&amp;'Compliance Database'!$M619&amp;" "&amp;'Compliance Database'!$N619&amp;" "&amp;'Compliance Database'!$O619)))),1,0)</f>
        <v/>
      </c>
      <c r="B619">
        <f>IF($A619=1,SUM($A$2:$A619),"")</f>
        <v/>
      </c>
      <c r="C619">
        <f>IF($A619=1,SUM($A$2:$A619),0)</f>
        <v/>
      </c>
    </row>
    <row r="620">
      <c r="A620">
        <f>IF(AND(OR(Query!$B$4="All",'Compliance Database'!$A620=Query!$B$4),OR(Query!$B$5="All",'Compliance Database'!$F620=Query!$B$5),OR(Query!$B$6="All",ISNUMBER(SEARCH(Query!$B$6,'Compliance Database'!$I620))),OR(Query!$B$7="All",ISNUMBER(SEARCH(Query!$B$7,'Compliance Database'!$J620))),OR(Query!$B$8="All",'Compliance Database'!$G620=Query!$B$8),OR(Query!$B$9="All",'Compliance Database'!$K620=Query!$B$9),OR(Query!$B$10="",ISNUMBER(SEARCH(Query!$B$10,'Compliance Database'!$D620&amp;" "&amp;'Compliance Database'!$L620&amp;" "&amp;'Compliance Database'!$M620&amp;" "&amp;'Compliance Database'!$N620&amp;" "&amp;'Compliance Database'!$O620)))),1,0)</f>
        <v/>
      </c>
      <c r="B620">
        <f>IF($A620=1,SUM($A$2:$A620),"")</f>
        <v/>
      </c>
      <c r="C620">
        <f>IF($A620=1,SUM($A$2:$A620),0)</f>
        <v/>
      </c>
    </row>
    <row r="621">
      <c r="A621">
        <f>IF(AND(OR(Query!$B$4="All",'Compliance Database'!$A621=Query!$B$4),OR(Query!$B$5="All",'Compliance Database'!$F621=Query!$B$5),OR(Query!$B$6="All",ISNUMBER(SEARCH(Query!$B$6,'Compliance Database'!$I621))),OR(Query!$B$7="All",ISNUMBER(SEARCH(Query!$B$7,'Compliance Database'!$J621))),OR(Query!$B$8="All",'Compliance Database'!$G621=Query!$B$8),OR(Query!$B$9="All",'Compliance Database'!$K621=Query!$B$9),OR(Query!$B$10="",ISNUMBER(SEARCH(Query!$B$10,'Compliance Database'!$D621&amp;" "&amp;'Compliance Database'!$L621&amp;" "&amp;'Compliance Database'!$M621&amp;" "&amp;'Compliance Database'!$N621&amp;" "&amp;'Compliance Database'!$O621)))),1,0)</f>
        <v/>
      </c>
      <c r="B621">
        <f>IF($A621=1,SUM($A$2:$A621),"")</f>
        <v/>
      </c>
      <c r="C621">
        <f>IF($A621=1,SUM($A$2:$A621),0)</f>
        <v/>
      </c>
    </row>
    <row r="622">
      <c r="A622">
        <f>IF(AND(OR(Query!$B$4="All",'Compliance Database'!$A622=Query!$B$4),OR(Query!$B$5="All",'Compliance Database'!$F622=Query!$B$5),OR(Query!$B$6="All",ISNUMBER(SEARCH(Query!$B$6,'Compliance Database'!$I622))),OR(Query!$B$7="All",ISNUMBER(SEARCH(Query!$B$7,'Compliance Database'!$J622))),OR(Query!$B$8="All",'Compliance Database'!$G622=Query!$B$8),OR(Query!$B$9="All",'Compliance Database'!$K622=Query!$B$9),OR(Query!$B$10="",ISNUMBER(SEARCH(Query!$B$10,'Compliance Database'!$D622&amp;" "&amp;'Compliance Database'!$L622&amp;" "&amp;'Compliance Database'!$M622&amp;" "&amp;'Compliance Database'!$N622&amp;" "&amp;'Compliance Database'!$O622)))),1,0)</f>
        <v/>
      </c>
      <c r="B622">
        <f>IF($A622=1,SUM($A$2:$A622),"")</f>
        <v/>
      </c>
      <c r="C622">
        <f>IF($A622=1,SUM($A$2:$A622),0)</f>
        <v/>
      </c>
    </row>
    <row r="623">
      <c r="A623">
        <f>IF(AND(OR(Query!$B$4="All",'Compliance Database'!$A623=Query!$B$4),OR(Query!$B$5="All",'Compliance Database'!$F623=Query!$B$5),OR(Query!$B$6="All",ISNUMBER(SEARCH(Query!$B$6,'Compliance Database'!$I623))),OR(Query!$B$7="All",ISNUMBER(SEARCH(Query!$B$7,'Compliance Database'!$J623))),OR(Query!$B$8="All",'Compliance Database'!$G623=Query!$B$8),OR(Query!$B$9="All",'Compliance Database'!$K623=Query!$B$9),OR(Query!$B$10="",ISNUMBER(SEARCH(Query!$B$10,'Compliance Database'!$D623&amp;" "&amp;'Compliance Database'!$L623&amp;" "&amp;'Compliance Database'!$M623&amp;" "&amp;'Compliance Database'!$N623&amp;" "&amp;'Compliance Database'!$O623)))),1,0)</f>
        <v/>
      </c>
      <c r="B623">
        <f>IF($A623=1,SUM($A$2:$A623),"")</f>
        <v/>
      </c>
      <c r="C623">
        <f>IF($A623=1,SUM($A$2:$A623),0)</f>
        <v/>
      </c>
    </row>
    <row r="624">
      <c r="A624">
        <f>IF(AND(OR(Query!$B$4="All",'Compliance Database'!$A624=Query!$B$4),OR(Query!$B$5="All",'Compliance Database'!$F624=Query!$B$5),OR(Query!$B$6="All",ISNUMBER(SEARCH(Query!$B$6,'Compliance Database'!$I624))),OR(Query!$B$7="All",ISNUMBER(SEARCH(Query!$B$7,'Compliance Database'!$J624))),OR(Query!$B$8="All",'Compliance Database'!$G624=Query!$B$8),OR(Query!$B$9="All",'Compliance Database'!$K624=Query!$B$9),OR(Query!$B$10="",ISNUMBER(SEARCH(Query!$B$10,'Compliance Database'!$D624&amp;" "&amp;'Compliance Database'!$L624&amp;" "&amp;'Compliance Database'!$M624&amp;" "&amp;'Compliance Database'!$N624&amp;" "&amp;'Compliance Database'!$O624)))),1,0)</f>
        <v/>
      </c>
      <c r="B624">
        <f>IF($A624=1,SUM($A$2:$A624),"")</f>
        <v/>
      </c>
      <c r="C624">
        <f>IF($A624=1,SUM($A$2:$A624),0)</f>
        <v/>
      </c>
    </row>
    <row r="625">
      <c r="A625">
        <f>IF(AND(OR(Query!$B$4="All",'Compliance Database'!$A625=Query!$B$4),OR(Query!$B$5="All",'Compliance Database'!$F625=Query!$B$5),OR(Query!$B$6="All",ISNUMBER(SEARCH(Query!$B$6,'Compliance Database'!$I625))),OR(Query!$B$7="All",ISNUMBER(SEARCH(Query!$B$7,'Compliance Database'!$J625))),OR(Query!$B$8="All",'Compliance Database'!$G625=Query!$B$8),OR(Query!$B$9="All",'Compliance Database'!$K625=Query!$B$9),OR(Query!$B$10="",ISNUMBER(SEARCH(Query!$B$10,'Compliance Database'!$D625&amp;" "&amp;'Compliance Database'!$L625&amp;" "&amp;'Compliance Database'!$M625&amp;" "&amp;'Compliance Database'!$N625&amp;" "&amp;'Compliance Database'!$O625)))),1,0)</f>
        <v/>
      </c>
      <c r="B625">
        <f>IF($A625=1,SUM($A$2:$A625),"")</f>
        <v/>
      </c>
      <c r="C625">
        <f>IF($A625=1,SUM($A$2:$A625),0)</f>
        <v/>
      </c>
    </row>
    <row r="626">
      <c r="A626">
        <f>IF(AND(OR(Query!$B$4="All",'Compliance Database'!$A626=Query!$B$4),OR(Query!$B$5="All",'Compliance Database'!$F626=Query!$B$5),OR(Query!$B$6="All",ISNUMBER(SEARCH(Query!$B$6,'Compliance Database'!$I626))),OR(Query!$B$7="All",ISNUMBER(SEARCH(Query!$B$7,'Compliance Database'!$J626))),OR(Query!$B$8="All",'Compliance Database'!$G626=Query!$B$8),OR(Query!$B$9="All",'Compliance Database'!$K626=Query!$B$9),OR(Query!$B$10="",ISNUMBER(SEARCH(Query!$B$10,'Compliance Database'!$D626&amp;" "&amp;'Compliance Database'!$L626&amp;" "&amp;'Compliance Database'!$M626&amp;" "&amp;'Compliance Database'!$N626&amp;" "&amp;'Compliance Database'!$O626)))),1,0)</f>
        <v/>
      </c>
      <c r="B626">
        <f>IF($A626=1,SUM($A$2:$A626),"")</f>
        <v/>
      </c>
      <c r="C626">
        <f>IF($A626=1,SUM($A$2:$A626),0)</f>
        <v/>
      </c>
    </row>
    <row r="627">
      <c r="A627">
        <f>IF(AND(OR(Query!$B$4="All",'Compliance Database'!$A627=Query!$B$4),OR(Query!$B$5="All",'Compliance Database'!$F627=Query!$B$5),OR(Query!$B$6="All",ISNUMBER(SEARCH(Query!$B$6,'Compliance Database'!$I627))),OR(Query!$B$7="All",ISNUMBER(SEARCH(Query!$B$7,'Compliance Database'!$J627))),OR(Query!$B$8="All",'Compliance Database'!$G627=Query!$B$8),OR(Query!$B$9="All",'Compliance Database'!$K627=Query!$B$9),OR(Query!$B$10="",ISNUMBER(SEARCH(Query!$B$10,'Compliance Database'!$D627&amp;" "&amp;'Compliance Database'!$L627&amp;" "&amp;'Compliance Database'!$M627&amp;" "&amp;'Compliance Database'!$N627&amp;" "&amp;'Compliance Database'!$O627)))),1,0)</f>
        <v/>
      </c>
      <c r="B627">
        <f>IF($A627=1,SUM($A$2:$A627),"")</f>
        <v/>
      </c>
      <c r="C627">
        <f>IF($A627=1,SUM($A$2:$A627),0)</f>
        <v/>
      </c>
    </row>
    <row r="628">
      <c r="A628">
        <f>IF(AND(OR(Query!$B$4="All",'Compliance Database'!$A628=Query!$B$4),OR(Query!$B$5="All",'Compliance Database'!$F628=Query!$B$5),OR(Query!$B$6="All",ISNUMBER(SEARCH(Query!$B$6,'Compliance Database'!$I628))),OR(Query!$B$7="All",ISNUMBER(SEARCH(Query!$B$7,'Compliance Database'!$J628))),OR(Query!$B$8="All",'Compliance Database'!$G628=Query!$B$8),OR(Query!$B$9="All",'Compliance Database'!$K628=Query!$B$9),OR(Query!$B$10="",ISNUMBER(SEARCH(Query!$B$10,'Compliance Database'!$D628&amp;" "&amp;'Compliance Database'!$L628&amp;" "&amp;'Compliance Database'!$M628&amp;" "&amp;'Compliance Database'!$N628&amp;" "&amp;'Compliance Database'!$O628)))),1,0)</f>
        <v/>
      </c>
      <c r="B628">
        <f>IF($A628=1,SUM($A$2:$A628),"")</f>
        <v/>
      </c>
      <c r="C628">
        <f>IF($A628=1,SUM($A$2:$A628),0)</f>
        <v/>
      </c>
    </row>
    <row r="629">
      <c r="A629">
        <f>IF(AND(OR(Query!$B$4="All",'Compliance Database'!$A629=Query!$B$4),OR(Query!$B$5="All",'Compliance Database'!$F629=Query!$B$5),OR(Query!$B$6="All",ISNUMBER(SEARCH(Query!$B$6,'Compliance Database'!$I629))),OR(Query!$B$7="All",ISNUMBER(SEARCH(Query!$B$7,'Compliance Database'!$J629))),OR(Query!$B$8="All",'Compliance Database'!$G629=Query!$B$8),OR(Query!$B$9="All",'Compliance Database'!$K629=Query!$B$9),OR(Query!$B$10="",ISNUMBER(SEARCH(Query!$B$10,'Compliance Database'!$D629&amp;" "&amp;'Compliance Database'!$L629&amp;" "&amp;'Compliance Database'!$M629&amp;" "&amp;'Compliance Database'!$N629&amp;" "&amp;'Compliance Database'!$O629)))),1,0)</f>
        <v/>
      </c>
      <c r="B629">
        <f>IF($A629=1,SUM($A$2:$A629),"")</f>
        <v/>
      </c>
      <c r="C629">
        <f>IF($A629=1,SUM($A$2:$A629),0)</f>
        <v/>
      </c>
    </row>
    <row r="630">
      <c r="A630">
        <f>IF(AND(OR(Query!$B$4="All",'Compliance Database'!$A630=Query!$B$4),OR(Query!$B$5="All",'Compliance Database'!$F630=Query!$B$5),OR(Query!$B$6="All",ISNUMBER(SEARCH(Query!$B$6,'Compliance Database'!$I630))),OR(Query!$B$7="All",ISNUMBER(SEARCH(Query!$B$7,'Compliance Database'!$J630))),OR(Query!$B$8="All",'Compliance Database'!$G630=Query!$B$8),OR(Query!$B$9="All",'Compliance Database'!$K630=Query!$B$9),OR(Query!$B$10="",ISNUMBER(SEARCH(Query!$B$10,'Compliance Database'!$D630&amp;" "&amp;'Compliance Database'!$L630&amp;" "&amp;'Compliance Database'!$M630&amp;" "&amp;'Compliance Database'!$N630&amp;" "&amp;'Compliance Database'!$O630)))),1,0)</f>
        <v/>
      </c>
      <c r="B630">
        <f>IF($A630=1,SUM($A$2:$A630),"")</f>
        <v/>
      </c>
      <c r="C630">
        <f>IF($A630=1,SUM($A$2:$A630),0)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30"/>
  <sheetViews>
    <sheetView workbookViewId="0">
      <selection activeCell="A1" sqref="A1"/>
    </sheetView>
  </sheetViews>
  <sheetFormatPr baseColWidth="8" defaultRowHeight="15"/>
  <sheetData>
    <row r="1">
      <c r="A1" t="inlineStr">
        <is>
          <t>match</t>
        </is>
      </c>
      <c r="B1" t="inlineStr">
        <is>
          <t>rank</t>
        </is>
      </c>
      <c r="C1" t="inlineStr">
        <is>
          <t>rankval</t>
        </is>
      </c>
      <c r="D1">
        <f>SUM($A$2:$A$630)</f>
        <v/>
      </c>
    </row>
    <row r="2">
      <c r="A2">
        <f>IF(AND(OR('Compliance Database'!$A2='Data Transfer'!$B$4,'Compliance Database'!$A2='Data Transfer'!$B$5),OR('Data Transfer'!$B$6="",ISNUMBER(SEARCH('Data Transfer'!$B$6,'Compliance Database'!$D2&amp;" "&amp;'Compliance Database'!$L2&amp;" "&amp;'Compliance Database'!$M2&amp;" "&amp;'Compliance Database'!$N2&amp;" "&amp;'Compliance Database'!$O2)))),1,0)</f>
        <v/>
      </c>
      <c r="B2">
        <f>IF($A2=1,SUM($A$2:$A2),"")</f>
        <v/>
      </c>
      <c r="C2">
        <f>IF($A2=1,SUM($A$2:$A2),0)</f>
        <v/>
      </c>
    </row>
    <row r="3">
      <c r="A3">
        <f>IF(AND(OR('Compliance Database'!$A3='Data Transfer'!$B$4,'Compliance Database'!$A3='Data Transfer'!$B$5),OR('Data Transfer'!$B$6="",ISNUMBER(SEARCH('Data Transfer'!$B$6,'Compliance Database'!$D3&amp;" "&amp;'Compliance Database'!$L3&amp;" "&amp;'Compliance Database'!$M3&amp;" "&amp;'Compliance Database'!$N3&amp;" "&amp;'Compliance Database'!$O3)))),1,0)</f>
        <v/>
      </c>
      <c r="B3">
        <f>IF($A3=1,SUM($A$2:$A3),"")</f>
        <v/>
      </c>
      <c r="C3">
        <f>IF($A3=1,SUM($A$2:$A3),0)</f>
        <v/>
      </c>
    </row>
    <row r="4">
      <c r="A4">
        <f>IF(AND(OR('Compliance Database'!$A4='Data Transfer'!$B$4,'Compliance Database'!$A4='Data Transfer'!$B$5),OR('Data Transfer'!$B$6="",ISNUMBER(SEARCH('Data Transfer'!$B$6,'Compliance Database'!$D4&amp;" "&amp;'Compliance Database'!$L4&amp;" "&amp;'Compliance Database'!$M4&amp;" "&amp;'Compliance Database'!$N4&amp;" "&amp;'Compliance Database'!$O4)))),1,0)</f>
        <v/>
      </c>
      <c r="B4">
        <f>IF($A4=1,SUM($A$2:$A4),"")</f>
        <v/>
      </c>
      <c r="C4">
        <f>IF($A4=1,SUM($A$2:$A4),0)</f>
        <v/>
      </c>
    </row>
    <row r="5">
      <c r="A5">
        <f>IF(AND(OR('Compliance Database'!$A5='Data Transfer'!$B$4,'Compliance Database'!$A5='Data Transfer'!$B$5),OR('Data Transfer'!$B$6="",ISNUMBER(SEARCH('Data Transfer'!$B$6,'Compliance Database'!$D5&amp;" "&amp;'Compliance Database'!$L5&amp;" "&amp;'Compliance Database'!$M5&amp;" "&amp;'Compliance Database'!$N5&amp;" "&amp;'Compliance Database'!$O5)))),1,0)</f>
        <v/>
      </c>
      <c r="B5">
        <f>IF($A5=1,SUM($A$2:$A5),"")</f>
        <v/>
      </c>
      <c r="C5">
        <f>IF($A5=1,SUM($A$2:$A5),0)</f>
        <v/>
      </c>
    </row>
    <row r="6">
      <c r="A6">
        <f>IF(AND(OR('Compliance Database'!$A6='Data Transfer'!$B$4,'Compliance Database'!$A6='Data Transfer'!$B$5),OR('Data Transfer'!$B$6="",ISNUMBER(SEARCH('Data Transfer'!$B$6,'Compliance Database'!$D6&amp;" "&amp;'Compliance Database'!$L6&amp;" "&amp;'Compliance Database'!$M6&amp;" "&amp;'Compliance Database'!$N6&amp;" "&amp;'Compliance Database'!$O6)))),1,0)</f>
        <v/>
      </c>
      <c r="B6">
        <f>IF($A6=1,SUM($A$2:$A6),"")</f>
        <v/>
      </c>
      <c r="C6">
        <f>IF($A6=1,SUM($A$2:$A6),0)</f>
        <v/>
      </c>
    </row>
    <row r="7">
      <c r="A7">
        <f>IF(AND(OR('Compliance Database'!$A7='Data Transfer'!$B$4,'Compliance Database'!$A7='Data Transfer'!$B$5),OR('Data Transfer'!$B$6="",ISNUMBER(SEARCH('Data Transfer'!$B$6,'Compliance Database'!$D7&amp;" "&amp;'Compliance Database'!$L7&amp;" "&amp;'Compliance Database'!$M7&amp;" "&amp;'Compliance Database'!$N7&amp;" "&amp;'Compliance Database'!$O7)))),1,0)</f>
        <v/>
      </c>
      <c r="B7">
        <f>IF($A7=1,SUM($A$2:$A7),"")</f>
        <v/>
      </c>
      <c r="C7">
        <f>IF($A7=1,SUM($A$2:$A7),0)</f>
        <v/>
      </c>
    </row>
    <row r="8">
      <c r="A8">
        <f>IF(AND(OR('Compliance Database'!$A8='Data Transfer'!$B$4,'Compliance Database'!$A8='Data Transfer'!$B$5),OR('Data Transfer'!$B$6="",ISNUMBER(SEARCH('Data Transfer'!$B$6,'Compliance Database'!$D8&amp;" "&amp;'Compliance Database'!$L8&amp;" "&amp;'Compliance Database'!$M8&amp;" "&amp;'Compliance Database'!$N8&amp;" "&amp;'Compliance Database'!$O8)))),1,0)</f>
        <v/>
      </c>
      <c r="B8">
        <f>IF($A8=1,SUM($A$2:$A8),"")</f>
        <v/>
      </c>
      <c r="C8">
        <f>IF($A8=1,SUM($A$2:$A8),0)</f>
        <v/>
      </c>
    </row>
    <row r="9">
      <c r="A9">
        <f>IF(AND(OR('Compliance Database'!$A9='Data Transfer'!$B$4,'Compliance Database'!$A9='Data Transfer'!$B$5),OR('Data Transfer'!$B$6="",ISNUMBER(SEARCH('Data Transfer'!$B$6,'Compliance Database'!$D9&amp;" "&amp;'Compliance Database'!$L9&amp;" "&amp;'Compliance Database'!$M9&amp;" "&amp;'Compliance Database'!$N9&amp;" "&amp;'Compliance Database'!$O9)))),1,0)</f>
        <v/>
      </c>
      <c r="B9">
        <f>IF($A9=1,SUM($A$2:$A9),"")</f>
        <v/>
      </c>
      <c r="C9">
        <f>IF($A9=1,SUM($A$2:$A9),0)</f>
        <v/>
      </c>
    </row>
    <row r="10">
      <c r="A10">
        <f>IF(AND(OR('Compliance Database'!$A10='Data Transfer'!$B$4,'Compliance Database'!$A10='Data Transfer'!$B$5),OR('Data Transfer'!$B$6="",ISNUMBER(SEARCH('Data Transfer'!$B$6,'Compliance Database'!$D10&amp;" "&amp;'Compliance Database'!$L10&amp;" "&amp;'Compliance Database'!$M10&amp;" "&amp;'Compliance Database'!$N10&amp;" "&amp;'Compliance Database'!$O10)))),1,0)</f>
        <v/>
      </c>
      <c r="B10">
        <f>IF($A10=1,SUM($A$2:$A10),"")</f>
        <v/>
      </c>
      <c r="C10">
        <f>IF($A10=1,SUM($A$2:$A10),0)</f>
        <v/>
      </c>
    </row>
    <row r="11">
      <c r="A11">
        <f>IF(AND(OR('Compliance Database'!$A11='Data Transfer'!$B$4,'Compliance Database'!$A11='Data Transfer'!$B$5),OR('Data Transfer'!$B$6="",ISNUMBER(SEARCH('Data Transfer'!$B$6,'Compliance Database'!$D11&amp;" "&amp;'Compliance Database'!$L11&amp;" "&amp;'Compliance Database'!$M11&amp;" "&amp;'Compliance Database'!$N11&amp;" "&amp;'Compliance Database'!$O11)))),1,0)</f>
        <v/>
      </c>
      <c r="B11">
        <f>IF($A11=1,SUM($A$2:$A11),"")</f>
        <v/>
      </c>
      <c r="C11">
        <f>IF($A11=1,SUM($A$2:$A11),0)</f>
        <v/>
      </c>
    </row>
    <row r="12">
      <c r="A12">
        <f>IF(AND(OR('Compliance Database'!$A12='Data Transfer'!$B$4,'Compliance Database'!$A12='Data Transfer'!$B$5),OR('Data Transfer'!$B$6="",ISNUMBER(SEARCH('Data Transfer'!$B$6,'Compliance Database'!$D12&amp;" "&amp;'Compliance Database'!$L12&amp;" "&amp;'Compliance Database'!$M12&amp;" "&amp;'Compliance Database'!$N12&amp;" "&amp;'Compliance Database'!$O12)))),1,0)</f>
        <v/>
      </c>
      <c r="B12">
        <f>IF($A12=1,SUM($A$2:$A12),"")</f>
        <v/>
      </c>
      <c r="C12">
        <f>IF($A12=1,SUM($A$2:$A12),0)</f>
        <v/>
      </c>
    </row>
    <row r="13">
      <c r="A13">
        <f>IF(AND(OR('Compliance Database'!$A13='Data Transfer'!$B$4,'Compliance Database'!$A13='Data Transfer'!$B$5),OR('Data Transfer'!$B$6="",ISNUMBER(SEARCH('Data Transfer'!$B$6,'Compliance Database'!$D13&amp;" "&amp;'Compliance Database'!$L13&amp;" "&amp;'Compliance Database'!$M13&amp;" "&amp;'Compliance Database'!$N13&amp;" "&amp;'Compliance Database'!$O13)))),1,0)</f>
        <v/>
      </c>
      <c r="B13">
        <f>IF($A13=1,SUM($A$2:$A13),"")</f>
        <v/>
      </c>
      <c r="C13">
        <f>IF($A13=1,SUM($A$2:$A13),0)</f>
        <v/>
      </c>
    </row>
    <row r="14">
      <c r="A14">
        <f>IF(AND(OR('Compliance Database'!$A14='Data Transfer'!$B$4,'Compliance Database'!$A14='Data Transfer'!$B$5),OR('Data Transfer'!$B$6="",ISNUMBER(SEARCH('Data Transfer'!$B$6,'Compliance Database'!$D14&amp;" "&amp;'Compliance Database'!$L14&amp;" "&amp;'Compliance Database'!$M14&amp;" "&amp;'Compliance Database'!$N14&amp;" "&amp;'Compliance Database'!$O14)))),1,0)</f>
        <v/>
      </c>
      <c r="B14">
        <f>IF($A14=1,SUM($A$2:$A14),"")</f>
        <v/>
      </c>
      <c r="C14">
        <f>IF($A14=1,SUM($A$2:$A14),0)</f>
        <v/>
      </c>
    </row>
    <row r="15">
      <c r="A15">
        <f>IF(AND(OR('Compliance Database'!$A15='Data Transfer'!$B$4,'Compliance Database'!$A15='Data Transfer'!$B$5),OR('Data Transfer'!$B$6="",ISNUMBER(SEARCH('Data Transfer'!$B$6,'Compliance Database'!$D15&amp;" "&amp;'Compliance Database'!$L15&amp;" "&amp;'Compliance Database'!$M15&amp;" "&amp;'Compliance Database'!$N15&amp;" "&amp;'Compliance Database'!$O15)))),1,0)</f>
        <v/>
      </c>
      <c r="B15">
        <f>IF($A15=1,SUM($A$2:$A15),"")</f>
        <v/>
      </c>
      <c r="C15">
        <f>IF($A15=1,SUM($A$2:$A15),0)</f>
        <v/>
      </c>
    </row>
    <row r="16">
      <c r="A16">
        <f>IF(AND(OR('Compliance Database'!$A16='Data Transfer'!$B$4,'Compliance Database'!$A16='Data Transfer'!$B$5),OR('Data Transfer'!$B$6="",ISNUMBER(SEARCH('Data Transfer'!$B$6,'Compliance Database'!$D16&amp;" "&amp;'Compliance Database'!$L16&amp;" "&amp;'Compliance Database'!$M16&amp;" "&amp;'Compliance Database'!$N16&amp;" "&amp;'Compliance Database'!$O16)))),1,0)</f>
        <v/>
      </c>
      <c r="B16">
        <f>IF($A16=1,SUM($A$2:$A16),"")</f>
        <v/>
      </c>
      <c r="C16">
        <f>IF($A16=1,SUM($A$2:$A16),0)</f>
        <v/>
      </c>
    </row>
    <row r="17">
      <c r="A17">
        <f>IF(AND(OR('Compliance Database'!$A17='Data Transfer'!$B$4,'Compliance Database'!$A17='Data Transfer'!$B$5),OR('Data Transfer'!$B$6="",ISNUMBER(SEARCH('Data Transfer'!$B$6,'Compliance Database'!$D17&amp;" "&amp;'Compliance Database'!$L17&amp;" "&amp;'Compliance Database'!$M17&amp;" "&amp;'Compliance Database'!$N17&amp;" "&amp;'Compliance Database'!$O17)))),1,0)</f>
        <v/>
      </c>
      <c r="B17">
        <f>IF($A17=1,SUM($A$2:$A17),"")</f>
        <v/>
      </c>
      <c r="C17">
        <f>IF($A17=1,SUM($A$2:$A17),0)</f>
        <v/>
      </c>
    </row>
    <row r="18">
      <c r="A18">
        <f>IF(AND(OR('Compliance Database'!$A18='Data Transfer'!$B$4,'Compliance Database'!$A18='Data Transfer'!$B$5),OR('Data Transfer'!$B$6="",ISNUMBER(SEARCH('Data Transfer'!$B$6,'Compliance Database'!$D18&amp;" "&amp;'Compliance Database'!$L18&amp;" "&amp;'Compliance Database'!$M18&amp;" "&amp;'Compliance Database'!$N18&amp;" "&amp;'Compliance Database'!$O18)))),1,0)</f>
        <v/>
      </c>
      <c r="B18">
        <f>IF($A18=1,SUM($A$2:$A18),"")</f>
        <v/>
      </c>
      <c r="C18">
        <f>IF($A18=1,SUM($A$2:$A18),0)</f>
        <v/>
      </c>
    </row>
    <row r="19">
      <c r="A19">
        <f>IF(AND(OR('Compliance Database'!$A19='Data Transfer'!$B$4,'Compliance Database'!$A19='Data Transfer'!$B$5),OR('Data Transfer'!$B$6="",ISNUMBER(SEARCH('Data Transfer'!$B$6,'Compliance Database'!$D19&amp;" "&amp;'Compliance Database'!$L19&amp;" "&amp;'Compliance Database'!$M19&amp;" "&amp;'Compliance Database'!$N19&amp;" "&amp;'Compliance Database'!$O19)))),1,0)</f>
        <v/>
      </c>
      <c r="B19">
        <f>IF($A19=1,SUM($A$2:$A19),"")</f>
        <v/>
      </c>
      <c r="C19">
        <f>IF($A19=1,SUM($A$2:$A19),0)</f>
        <v/>
      </c>
    </row>
    <row r="20">
      <c r="A20">
        <f>IF(AND(OR('Compliance Database'!$A20='Data Transfer'!$B$4,'Compliance Database'!$A20='Data Transfer'!$B$5),OR('Data Transfer'!$B$6="",ISNUMBER(SEARCH('Data Transfer'!$B$6,'Compliance Database'!$D20&amp;" "&amp;'Compliance Database'!$L20&amp;" "&amp;'Compliance Database'!$M20&amp;" "&amp;'Compliance Database'!$N20&amp;" "&amp;'Compliance Database'!$O20)))),1,0)</f>
        <v/>
      </c>
      <c r="B20">
        <f>IF($A20=1,SUM($A$2:$A20),"")</f>
        <v/>
      </c>
      <c r="C20">
        <f>IF($A20=1,SUM($A$2:$A20),0)</f>
        <v/>
      </c>
    </row>
    <row r="21">
      <c r="A21">
        <f>IF(AND(OR('Compliance Database'!$A21='Data Transfer'!$B$4,'Compliance Database'!$A21='Data Transfer'!$B$5),OR('Data Transfer'!$B$6="",ISNUMBER(SEARCH('Data Transfer'!$B$6,'Compliance Database'!$D21&amp;" "&amp;'Compliance Database'!$L21&amp;" "&amp;'Compliance Database'!$M21&amp;" "&amp;'Compliance Database'!$N21&amp;" "&amp;'Compliance Database'!$O21)))),1,0)</f>
        <v/>
      </c>
      <c r="B21">
        <f>IF($A21=1,SUM($A$2:$A21),"")</f>
        <v/>
      </c>
      <c r="C21">
        <f>IF($A21=1,SUM($A$2:$A21),0)</f>
        <v/>
      </c>
    </row>
    <row r="22">
      <c r="A22">
        <f>IF(AND(OR('Compliance Database'!$A22='Data Transfer'!$B$4,'Compliance Database'!$A22='Data Transfer'!$B$5),OR('Data Transfer'!$B$6="",ISNUMBER(SEARCH('Data Transfer'!$B$6,'Compliance Database'!$D22&amp;" "&amp;'Compliance Database'!$L22&amp;" "&amp;'Compliance Database'!$M22&amp;" "&amp;'Compliance Database'!$N22&amp;" "&amp;'Compliance Database'!$O22)))),1,0)</f>
        <v/>
      </c>
      <c r="B22">
        <f>IF($A22=1,SUM($A$2:$A22),"")</f>
        <v/>
      </c>
      <c r="C22">
        <f>IF($A22=1,SUM($A$2:$A22),0)</f>
        <v/>
      </c>
    </row>
    <row r="23">
      <c r="A23">
        <f>IF(AND(OR('Compliance Database'!$A23='Data Transfer'!$B$4,'Compliance Database'!$A23='Data Transfer'!$B$5),OR('Data Transfer'!$B$6="",ISNUMBER(SEARCH('Data Transfer'!$B$6,'Compliance Database'!$D23&amp;" "&amp;'Compliance Database'!$L23&amp;" "&amp;'Compliance Database'!$M23&amp;" "&amp;'Compliance Database'!$N23&amp;" "&amp;'Compliance Database'!$O23)))),1,0)</f>
        <v/>
      </c>
      <c r="B23">
        <f>IF($A23=1,SUM($A$2:$A23),"")</f>
        <v/>
      </c>
      <c r="C23">
        <f>IF($A23=1,SUM($A$2:$A23),0)</f>
        <v/>
      </c>
    </row>
    <row r="24">
      <c r="A24">
        <f>IF(AND(OR('Compliance Database'!$A24='Data Transfer'!$B$4,'Compliance Database'!$A24='Data Transfer'!$B$5),OR('Data Transfer'!$B$6="",ISNUMBER(SEARCH('Data Transfer'!$B$6,'Compliance Database'!$D24&amp;" "&amp;'Compliance Database'!$L24&amp;" "&amp;'Compliance Database'!$M24&amp;" "&amp;'Compliance Database'!$N24&amp;" "&amp;'Compliance Database'!$O24)))),1,0)</f>
        <v/>
      </c>
      <c r="B24">
        <f>IF($A24=1,SUM($A$2:$A24),"")</f>
        <v/>
      </c>
      <c r="C24">
        <f>IF($A24=1,SUM($A$2:$A24),0)</f>
        <v/>
      </c>
    </row>
    <row r="25">
      <c r="A25">
        <f>IF(AND(OR('Compliance Database'!$A25='Data Transfer'!$B$4,'Compliance Database'!$A25='Data Transfer'!$B$5),OR('Data Transfer'!$B$6="",ISNUMBER(SEARCH('Data Transfer'!$B$6,'Compliance Database'!$D25&amp;" "&amp;'Compliance Database'!$L25&amp;" "&amp;'Compliance Database'!$M25&amp;" "&amp;'Compliance Database'!$N25&amp;" "&amp;'Compliance Database'!$O25)))),1,0)</f>
        <v/>
      </c>
      <c r="B25">
        <f>IF($A25=1,SUM($A$2:$A25),"")</f>
        <v/>
      </c>
      <c r="C25">
        <f>IF($A25=1,SUM($A$2:$A25),0)</f>
        <v/>
      </c>
    </row>
    <row r="26">
      <c r="A26">
        <f>IF(AND(OR('Compliance Database'!$A26='Data Transfer'!$B$4,'Compliance Database'!$A26='Data Transfer'!$B$5),OR('Data Transfer'!$B$6="",ISNUMBER(SEARCH('Data Transfer'!$B$6,'Compliance Database'!$D26&amp;" "&amp;'Compliance Database'!$L26&amp;" "&amp;'Compliance Database'!$M26&amp;" "&amp;'Compliance Database'!$N26&amp;" "&amp;'Compliance Database'!$O26)))),1,0)</f>
        <v/>
      </c>
      <c r="B26">
        <f>IF($A26=1,SUM($A$2:$A26),"")</f>
        <v/>
      </c>
      <c r="C26">
        <f>IF($A26=1,SUM($A$2:$A26),0)</f>
        <v/>
      </c>
    </row>
    <row r="27">
      <c r="A27">
        <f>IF(AND(OR('Compliance Database'!$A27='Data Transfer'!$B$4,'Compliance Database'!$A27='Data Transfer'!$B$5),OR('Data Transfer'!$B$6="",ISNUMBER(SEARCH('Data Transfer'!$B$6,'Compliance Database'!$D27&amp;" "&amp;'Compliance Database'!$L27&amp;" "&amp;'Compliance Database'!$M27&amp;" "&amp;'Compliance Database'!$N27&amp;" "&amp;'Compliance Database'!$O27)))),1,0)</f>
        <v/>
      </c>
      <c r="B27">
        <f>IF($A27=1,SUM($A$2:$A27),"")</f>
        <v/>
      </c>
      <c r="C27">
        <f>IF($A27=1,SUM($A$2:$A27),0)</f>
        <v/>
      </c>
    </row>
    <row r="28">
      <c r="A28">
        <f>IF(AND(OR('Compliance Database'!$A28='Data Transfer'!$B$4,'Compliance Database'!$A28='Data Transfer'!$B$5),OR('Data Transfer'!$B$6="",ISNUMBER(SEARCH('Data Transfer'!$B$6,'Compliance Database'!$D28&amp;" "&amp;'Compliance Database'!$L28&amp;" "&amp;'Compliance Database'!$M28&amp;" "&amp;'Compliance Database'!$N28&amp;" "&amp;'Compliance Database'!$O28)))),1,0)</f>
        <v/>
      </c>
      <c r="B28">
        <f>IF($A28=1,SUM($A$2:$A28),"")</f>
        <v/>
      </c>
      <c r="C28">
        <f>IF($A28=1,SUM($A$2:$A28),0)</f>
        <v/>
      </c>
    </row>
    <row r="29">
      <c r="A29">
        <f>IF(AND(OR('Compliance Database'!$A29='Data Transfer'!$B$4,'Compliance Database'!$A29='Data Transfer'!$B$5),OR('Data Transfer'!$B$6="",ISNUMBER(SEARCH('Data Transfer'!$B$6,'Compliance Database'!$D29&amp;" "&amp;'Compliance Database'!$L29&amp;" "&amp;'Compliance Database'!$M29&amp;" "&amp;'Compliance Database'!$N29&amp;" "&amp;'Compliance Database'!$O29)))),1,0)</f>
        <v/>
      </c>
      <c r="B29">
        <f>IF($A29=1,SUM($A$2:$A29),"")</f>
        <v/>
      </c>
      <c r="C29">
        <f>IF($A29=1,SUM($A$2:$A29),0)</f>
        <v/>
      </c>
    </row>
    <row r="30">
      <c r="A30">
        <f>IF(AND(OR('Compliance Database'!$A30='Data Transfer'!$B$4,'Compliance Database'!$A30='Data Transfer'!$B$5),OR('Data Transfer'!$B$6="",ISNUMBER(SEARCH('Data Transfer'!$B$6,'Compliance Database'!$D30&amp;" "&amp;'Compliance Database'!$L30&amp;" "&amp;'Compliance Database'!$M30&amp;" "&amp;'Compliance Database'!$N30&amp;" "&amp;'Compliance Database'!$O30)))),1,0)</f>
        <v/>
      </c>
      <c r="B30">
        <f>IF($A30=1,SUM($A$2:$A30),"")</f>
        <v/>
      </c>
      <c r="C30">
        <f>IF($A30=1,SUM($A$2:$A30),0)</f>
        <v/>
      </c>
    </row>
    <row r="31">
      <c r="A31">
        <f>IF(AND(OR('Compliance Database'!$A31='Data Transfer'!$B$4,'Compliance Database'!$A31='Data Transfer'!$B$5),OR('Data Transfer'!$B$6="",ISNUMBER(SEARCH('Data Transfer'!$B$6,'Compliance Database'!$D31&amp;" "&amp;'Compliance Database'!$L31&amp;" "&amp;'Compliance Database'!$M31&amp;" "&amp;'Compliance Database'!$N31&amp;" "&amp;'Compliance Database'!$O31)))),1,0)</f>
        <v/>
      </c>
      <c r="B31">
        <f>IF($A31=1,SUM($A$2:$A31),"")</f>
        <v/>
      </c>
      <c r="C31">
        <f>IF($A31=1,SUM($A$2:$A31),0)</f>
        <v/>
      </c>
    </row>
    <row r="32">
      <c r="A32">
        <f>IF(AND(OR('Compliance Database'!$A32='Data Transfer'!$B$4,'Compliance Database'!$A32='Data Transfer'!$B$5),OR('Data Transfer'!$B$6="",ISNUMBER(SEARCH('Data Transfer'!$B$6,'Compliance Database'!$D32&amp;" "&amp;'Compliance Database'!$L32&amp;" "&amp;'Compliance Database'!$M32&amp;" "&amp;'Compliance Database'!$N32&amp;" "&amp;'Compliance Database'!$O32)))),1,0)</f>
        <v/>
      </c>
      <c r="B32">
        <f>IF($A32=1,SUM($A$2:$A32),"")</f>
        <v/>
      </c>
      <c r="C32">
        <f>IF($A32=1,SUM($A$2:$A32),0)</f>
        <v/>
      </c>
    </row>
    <row r="33">
      <c r="A33">
        <f>IF(AND(OR('Compliance Database'!$A33='Data Transfer'!$B$4,'Compliance Database'!$A33='Data Transfer'!$B$5),OR('Data Transfer'!$B$6="",ISNUMBER(SEARCH('Data Transfer'!$B$6,'Compliance Database'!$D33&amp;" "&amp;'Compliance Database'!$L33&amp;" "&amp;'Compliance Database'!$M33&amp;" "&amp;'Compliance Database'!$N33&amp;" "&amp;'Compliance Database'!$O33)))),1,0)</f>
        <v/>
      </c>
      <c r="B33">
        <f>IF($A33=1,SUM($A$2:$A33),"")</f>
        <v/>
      </c>
      <c r="C33">
        <f>IF($A33=1,SUM($A$2:$A33),0)</f>
        <v/>
      </c>
    </row>
    <row r="34">
      <c r="A34">
        <f>IF(AND(OR('Compliance Database'!$A34='Data Transfer'!$B$4,'Compliance Database'!$A34='Data Transfer'!$B$5),OR('Data Transfer'!$B$6="",ISNUMBER(SEARCH('Data Transfer'!$B$6,'Compliance Database'!$D34&amp;" "&amp;'Compliance Database'!$L34&amp;" "&amp;'Compliance Database'!$M34&amp;" "&amp;'Compliance Database'!$N34&amp;" "&amp;'Compliance Database'!$O34)))),1,0)</f>
        <v/>
      </c>
      <c r="B34">
        <f>IF($A34=1,SUM($A$2:$A34),"")</f>
        <v/>
      </c>
      <c r="C34">
        <f>IF($A34=1,SUM($A$2:$A34),0)</f>
        <v/>
      </c>
    </row>
    <row r="35">
      <c r="A35">
        <f>IF(AND(OR('Compliance Database'!$A35='Data Transfer'!$B$4,'Compliance Database'!$A35='Data Transfer'!$B$5),OR('Data Transfer'!$B$6="",ISNUMBER(SEARCH('Data Transfer'!$B$6,'Compliance Database'!$D35&amp;" "&amp;'Compliance Database'!$L35&amp;" "&amp;'Compliance Database'!$M35&amp;" "&amp;'Compliance Database'!$N35&amp;" "&amp;'Compliance Database'!$O35)))),1,0)</f>
        <v/>
      </c>
      <c r="B35">
        <f>IF($A35=1,SUM($A$2:$A35),"")</f>
        <v/>
      </c>
      <c r="C35">
        <f>IF($A35=1,SUM($A$2:$A35),0)</f>
        <v/>
      </c>
    </row>
    <row r="36">
      <c r="A36">
        <f>IF(AND(OR('Compliance Database'!$A36='Data Transfer'!$B$4,'Compliance Database'!$A36='Data Transfer'!$B$5),OR('Data Transfer'!$B$6="",ISNUMBER(SEARCH('Data Transfer'!$B$6,'Compliance Database'!$D36&amp;" "&amp;'Compliance Database'!$L36&amp;" "&amp;'Compliance Database'!$M36&amp;" "&amp;'Compliance Database'!$N36&amp;" "&amp;'Compliance Database'!$O36)))),1,0)</f>
        <v/>
      </c>
      <c r="B36">
        <f>IF($A36=1,SUM($A$2:$A36),"")</f>
        <v/>
      </c>
      <c r="C36">
        <f>IF($A36=1,SUM($A$2:$A36),0)</f>
        <v/>
      </c>
    </row>
    <row r="37">
      <c r="A37">
        <f>IF(AND(OR('Compliance Database'!$A37='Data Transfer'!$B$4,'Compliance Database'!$A37='Data Transfer'!$B$5),OR('Data Transfer'!$B$6="",ISNUMBER(SEARCH('Data Transfer'!$B$6,'Compliance Database'!$D37&amp;" "&amp;'Compliance Database'!$L37&amp;" "&amp;'Compliance Database'!$M37&amp;" "&amp;'Compliance Database'!$N37&amp;" "&amp;'Compliance Database'!$O37)))),1,0)</f>
        <v/>
      </c>
      <c r="B37">
        <f>IF($A37=1,SUM($A$2:$A37),"")</f>
        <v/>
      </c>
      <c r="C37">
        <f>IF($A37=1,SUM($A$2:$A37),0)</f>
        <v/>
      </c>
    </row>
    <row r="38">
      <c r="A38">
        <f>IF(AND(OR('Compliance Database'!$A38='Data Transfer'!$B$4,'Compliance Database'!$A38='Data Transfer'!$B$5),OR('Data Transfer'!$B$6="",ISNUMBER(SEARCH('Data Transfer'!$B$6,'Compliance Database'!$D38&amp;" "&amp;'Compliance Database'!$L38&amp;" "&amp;'Compliance Database'!$M38&amp;" "&amp;'Compliance Database'!$N38&amp;" "&amp;'Compliance Database'!$O38)))),1,0)</f>
        <v/>
      </c>
      <c r="B38">
        <f>IF($A38=1,SUM($A$2:$A38),"")</f>
        <v/>
      </c>
      <c r="C38">
        <f>IF($A38=1,SUM($A$2:$A38),0)</f>
        <v/>
      </c>
    </row>
    <row r="39">
      <c r="A39">
        <f>IF(AND(OR('Compliance Database'!$A39='Data Transfer'!$B$4,'Compliance Database'!$A39='Data Transfer'!$B$5),OR('Data Transfer'!$B$6="",ISNUMBER(SEARCH('Data Transfer'!$B$6,'Compliance Database'!$D39&amp;" "&amp;'Compliance Database'!$L39&amp;" "&amp;'Compliance Database'!$M39&amp;" "&amp;'Compliance Database'!$N39&amp;" "&amp;'Compliance Database'!$O39)))),1,0)</f>
        <v/>
      </c>
      <c r="B39">
        <f>IF($A39=1,SUM($A$2:$A39),"")</f>
        <v/>
      </c>
      <c r="C39">
        <f>IF($A39=1,SUM($A$2:$A39),0)</f>
        <v/>
      </c>
    </row>
    <row r="40">
      <c r="A40">
        <f>IF(AND(OR('Compliance Database'!$A40='Data Transfer'!$B$4,'Compliance Database'!$A40='Data Transfer'!$B$5),OR('Data Transfer'!$B$6="",ISNUMBER(SEARCH('Data Transfer'!$B$6,'Compliance Database'!$D40&amp;" "&amp;'Compliance Database'!$L40&amp;" "&amp;'Compliance Database'!$M40&amp;" "&amp;'Compliance Database'!$N40&amp;" "&amp;'Compliance Database'!$O40)))),1,0)</f>
        <v/>
      </c>
      <c r="B40">
        <f>IF($A40=1,SUM($A$2:$A40),"")</f>
        <v/>
      </c>
      <c r="C40">
        <f>IF($A40=1,SUM($A$2:$A40),0)</f>
        <v/>
      </c>
    </row>
    <row r="41">
      <c r="A41">
        <f>IF(AND(OR('Compliance Database'!$A41='Data Transfer'!$B$4,'Compliance Database'!$A41='Data Transfer'!$B$5),OR('Data Transfer'!$B$6="",ISNUMBER(SEARCH('Data Transfer'!$B$6,'Compliance Database'!$D41&amp;" "&amp;'Compliance Database'!$L41&amp;" "&amp;'Compliance Database'!$M41&amp;" "&amp;'Compliance Database'!$N41&amp;" "&amp;'Compliance Database'!$O41)))),1,0)</f>
        <v/>
      </c>
      <c r="B41">
        <f>IF($A41=1,SUM($A$2:$A41),"")</f>
        <v/>
      </c>
      <c r="C41">
        <f>IF($A41=1,SUM($A$2:$A41),0)</f>
        <v/>
      </c>
    </row>
    <row r="42">
      <c r="A42">
        <f>IF(AND(OR('Compliance Database'!$A42='Data Transfer'!$B$4,'Compliance Database'!$A42='Data Transfer'!$B$5),OR('Data Transfer'!$B$6="",ISNUMBER(SEARCH('Data Transfer'!$B$6,'Compliance Database'!$D42&amp;" "&amp;'Compliance Database'!$L42&amp;" "&amp;'Compliance Database'!$M42&amp;" "&amp;'Compliance Database'!$N42&amp;" "&amp;'Compliance Database'!$O42)))),1,0)</f>
        <v/>
      </c>
      <c r="B42">
        <f>IF($A42=1,SUM($A$2:$A42),"")</f>
        <v/>
      </c>
      <c r="C42">
        <f>IF($A42=1,SUM($A$2:$A42),0)</f>
        <v/>
      </c>
    </row>
    <row r="43">
      <c r="A43">
        <f>IF(AND(OR('Compliance Database'!$A43='Data Transfer'!$B$4,'Compliance Database'!$A43='Data Transfer'!$B$5),OR('Data Transfer'!$B$6="",ISNUMBER(SEARCH('Data Transfer'!$B$6,'Compliance Database'!$D43&amp;" "&amp;'Compliance Database'!$L43&amp;" "&amp;'Compliance Database'!$M43&amp;" "&amp;'Compliance Database'!$N43&amp;" "&amp;'Compliance Database'!$O43)))),1,0)</f>
        <v/>
      </c>
      <c r="B43">
        <f>IF($A43=1,SUM($A$2:$A43),"")</f>
        <v/>
      </c>
      <c r="C43">
        <f>IF($A43=1,SUM($A$2:$A43),0)</f>
        <v/>
      </c>
    </row>
    <row r="44">
      <c r="A44">
        <f>IF(AND(OR('Compliance Database'!$A44='Data Transfer'!$B$4,'Compliance Database'!$A44='Data Transfer'!$B$5),OR('Data Transfer'!$B$6="",ISNUMBER(SEARCH('Data Transfer'!$B$6,'Compliance Database'!$D44&amp;" "&amp;'Compliance Database'!$L44&amp;" "&amp;'Compliance Database'!$M44&amp;" "&amp;'Compliance Database'!$N44&amp;" "&amp;'Compliance Database'!$O44)))),1,0)</f>
        <v/>
      </c>
      <c r="B44">
        <f>IF($A44=1,SUM($A$2:$A44),"")</f>
        <v/>
      </c>
      <c r="C44">
        <f>IF($A44=1,SUM($A$2:$A44),0)</f>
        <v/>
      </c>
    </row>
    <row r="45">
      <c r="A45">
        <f>IF(AND(OR('Compliance Database'!$A45='Data Transfer'!$B$4,'Compliance Database'!$A45='Data Transfer'!$B$5),OR('Data Transfer'!$B$6="",ISNUMBER(SEARCH('Data Transfer'!$B$6,'Compliance Database'!$D45&amp;" "&amp;'Compliance Database'!$L45&amp;" "&amp;'Compliance Database'!$M45&amp;" "&amp;'Compliance Database'!$N45&amp;" "&amp;'Compliance Database'!$O45)))),1,0)</f>
        <v/>
      </c>
      <c r="B45">
        <f>IF($A45=1,SUM($A$2:$A45),"")</f>
        <v/>
      </c>
      <c r="C45">
        <f>IF($A45=1,SUM($A$2:$A45),0)</f>
        <v/>
      </c>
    </row>
    <row r="46">
      <c r="A46">
        <f>IF(AND(OR('Compliance Database'!$A46='Data Transfer'!$B$4,'Compliance Database'!$A46='Data Transfer'!$B$5),OR('Data Transfer'!$B$6="",ISNUMBER(SEARCH('Data Transfer'!$B$6,'Compliance Database'!$D46&amp;" "&amp;'Compliance Database'!$L46&amp;" "&amp;'Compliance Database'!$M46&amp;" "&amp;'Compliance Database'!$N46&amp;" "&amp;'Compliance Database'!$O46)))),1,0)</f>
        <v/>
      </c>
      <c r="B46">
        <f>IF($A46=1,SUM($A$2:$A46),"")</f>
        <v/>
      </c>
      <c r="C46">
        <f>IF($A46=1,SUM($A$2:$A46),0)</f>
        <v/>
      </c>
    </row>
    <row r="47">
      <c r="A47">
        <f>IF(AND(OR('Compliance Database'!$A47='Data Transfer'!$B$4,'Compliance Database'!$A47='Data Transfer'!$B$5),OR('Data Transfer'!$B$6="",ISNUMBER(SEARCH('Data Transfer'!$B$6,'Compliance Database'!$D47&amp;" "&amp;'Compliance Database'!$L47&amp;" "&amp;'Compliance Database'!$M47&amp;" "&amp;'Compliance Database'!$N47&amp;" "&amp;'Compliance Database'!$O47)))),1,0)</f>
        <v/>
      </c>
      <c r="B47">
        <f>IF($A47=1,SUM($A$2:$A47),"")</f>
        <v/>
      </c>
      <c r="C47">
        <f>IF($A47=1,SUM($A$2:$A47),0)</f>
        <v/>
      </c>
    </row>
    <row r="48">
      <c r="A48">
        <f>IF(AND(OR('Compliance Database'!$A48='Data Transfer'!$B$4,'Compliance Database'!$A48='Data Transfer'!$B$5),OR('Data Transfer'!$B$6="",ISNUMBER(SEARCH('Data Transfer'!$B$6,'Compliance Database'!$D48&amp;" "&amp;'Compliance Database'!$L48&amp;" "&amp;'Compliance Database'!$M48&amp;" "&amp;'Compliance Database'!$N48&amp;" "&amp;'Compliance Database'!$O48)))),1,0)</f>
        <v/>
      </c>
      <c r="B48">
        <f>IF($A48=1,SUM($A$2:$A48),"")</f>
        <v/>
      </c>
      <c r="C48">
        <f>IF($A48=1,SUM($A$2:$A48),0)</f>
        <v/>
      </c>
    </row>
    <row r="49">
      <c r="A49">
        <f>IF(AND(OR('Compliance Database'!$A49='Data Transfer'!$B$4,'Compliance Database'!$A49='Data Transfer'!$B$5),OR('Data Transfer'!$B$6="",ISNUMBER(SEARCH('Data Transfer'!$B$6,'Compliance Database'!$D49&amp;" "&amp;'Compliance Database'!$L49&amp;" "&amp;'Compliance Database'!$M49&amp;" "&amp;'Compliance Database'!$N49&amp;" "&amp;'Compliance Database'!$O49)))),1,0)</f>
        <v/>
      </c>
      <c r="B49">
        <f>IF($A49=1,SUM($A$2:$A49),"")</f>
        <v/>
      </c>
      <c r="C49">
        <f>IF($A49=1,SUM($A$2:$A49),0)</f>
        <v/>
      </c>
    </row>
    <row r="50">
      <c r="A50">
        <f>IF(AND(OR('Compliance Database'!$A50='Data Transfer'!$B$4,'Compliance Database'!$A50='Data Transfer'!$B$5),OR('Data Transfer'!$B$6="",ISNUMBER(SEARCH('Data Transfer'!$B$6,'Compliance Database'!$D50&amp;" "&amp;'Compliance Database'!$L50&amp;" "&amp;'Compliance Database'!$M50&amp;" "&amp;'Compliance Database'!$N50&amp;" "&amp;'Compliance Database'!$O50)))),1,0)</f>
        <v/>
      </c>
      <c r="B50">
        <f>IF($A50=1,SUM($A$2:$A50),"")</f>
        <v/>
      </c>
      <c r="C50">
        <f>IF($A50=1,SUM($A$2:$A50),0)</f>
        <v/>
      </c>
    </row>
    <row r="51">
      <c r="A51">
        <f>IF(AND(OR('Compliance Database'!$A51='Data Transfer'!$B$4,'Compliance Database'!$A51='Data Transfer'!$B$5),OR('Data Transfer'!$B$6="",ISNUMBER(SEARCH('Data Transfer'!$B$6,'Compliance Database'!$D51&amp;" "&amp;'Compliance Database'!$L51&amp;" "&amp;'Compliance Database'!$M51&amp;" "&amp;'Compliance Database'!$N51&amp;" "&amp;'Compliance Database'!$O51)))),1,0)</f>
        <v/>
      </c>
      <c r="B51">
        <f>IF($A51=1,SUM($A$2:$A51),"")</f>
        <v/>
      </c>
      <c r="C51">
        <f>IF($A51=1,SUM($A$2:$A51),0)</f>
        <v/>
      </c>
    </row>
    <row r="52">
      <c r="A52">
        <f>IF(AND(OR('Compliance Database'!$A52='Data Transfer'!$B$4,'Compliance Database'!$A52='Data Transfer'!$B$5),OR('Data Transfer'!$B$6="",ISNUMBER(SEARCH('Data Transfer'!$B$6,'Compliance Database'!$D52&amp;" "&amp;'Compliance Database'!$L52&amp;" "&amp;'Compliance Database'!$M52&amp;" "&amp;'Compliance Database'!$N52&amp;" "&amp;'Compliance Database'!$O52)))),1,0)</f>
        <v/>
      </c>
      <c r="B52">
        <f>IF($A52=1,SUM($A$2:$A52),"")</f>
        <v/>
      </c>
      <c r="C52">
        <f>IF($A52=1,SUM($A$2:$A52),0)</f>
        <v/>
      </c>
    </row>
    <row r="53">
      <c r="A53">
        <f>IF(AND(OR('Compliance Database'!$A53='Data Transfer'!$B$4,'Compliance Database'!$A53='Data Transfer'!$B$5),OR('Data Transfer'!$B$6="",ISNUMBER(SEARCH('Data Transfer'!$B$6,'Compliance Database'!$D53&amp;" "&amp;'Compliance Database'!$L53&amp;" "&amp;'Compliance Database'!$M53&amp;" "&amp;'Compliance Database'!$N53&amp;" "&amp;'Compliance Database'!$O53)))),1,0)</f>
        <v/>
      </c>
      <c r="B53">
        <f>IF($A53=1,SUM($A$2:$A53),"")</f>
        <v/>
      </c>
      <c r="C53">
        <f>IF($A53=1,SUM($A$2:$A53),0)</f>
        <v/>
      </c>
    </row>
    <row r="54">
      <c r="A54">
        <f>IF(AND(OR('Compliance Database'!$A54='Data Transfer'!$B$4,'Compliance Database'!$A54='Data Transfer'!$B$5),OR('Data Transfer'!$B$6="",ISNUMBER(SEARCH('Data Transfer'!$B$6,'Compliance Database'!$D54&amp;" "&amp;'Compliance Database'!$L54&amp;" "&amp;'Compliance Database'!$M54&amp;" "&amp;'Compliance Database'!$N54&amp;" "&amp;'Compliance Database'!$O54)))),1,0)</f>
        <v/>
      </c>
      <c r="B54">
        <f>IF($A54=1,SUM($A$2:$A54),"")</f>
        <v/>
      </c>
      <c r="C54">
        <f>IF($A54=1,SUM($A$2:$A54),0)</f>
        <v/>
      </c>
    </row>
    <row r="55">
      <c r="A55">
        <f>IF(AND(OR('Compliance Database'!$A55='Data Transfer'!$B$4,'Compliance Database'!$A55='Data Transfer'!$B$5),OR('Data Transfer'!$B$6="",ISNUMBER(SEARCH('Data Transfer'!$B$6,'Compliance Database'!$D55&amp;" "&amp;'Compliance Database'!$L55&amp;" "&amp;'Compliance Database'!$M55&amp;" "&amp;'Compliance Database'!$N55&amp;" "&amp;'Compliance Database'!$O55)))),1,0)</f>
        <v/>
      </c>
      <c r="B55">
        <f>IF($A55=1,SUM($A$2:$A55),"")</f>
        <v/>
      </c>
      <c r="C55">
        <f>IF($A55=1,SUM($A$2:$A55),0)</f>
        <v/>
      </c>
    </row>
    <row r="56">
      <c r="A56">
        <f>IF(AND(OR('Compliance Database'!$A56='Data Transfer'!$B$4,'Compliance Database'!$A56='Data Transfer'!$B$5),OR('Data Transfer'!$B$6="",ISNUMBER(SEARCH('Data Transfer'!$B$6,'Compliance Database'!$D56&amp;" "&amp;'Compliance Database'!$L56&amp;" "&amp;'Compliance Database'!$M56&amp;" "&amp;'Compliance Database'!$N56&amp;" "&amp;'Compliance Database'!$O56)))),1,0)</f>
        <v/>
      </c>
      <c r="B56">
        <f>IF($A56=1,SUM($A$2:$A56),"")</f>
        <v/>
      </c>
      <c r="C56">
        <f>IF($A56=1,SUM($A$2:$A56),0)</f>
        <v/>
      </c>
    </row>
    <row r="57">
      <c r="A57">
        <f>IF(AND(OR('Compliance Database'!$A57='Data Transfer'!$B$4,'Compliance Database'!$A57='Data Transfer'!$B$5),OR('Data Transfer'!$B$6="",ISNUMBER(SEARCH('Data Transfer'!$B$6,'Compliance Database'!$D57&amp;" "&amp;'Compliance Database'!$L57&amp;" "&amp;'Compliance Database'!$M57&amp;" "&amp;'Compliance Database'!$N57&amp;" "&amp;'Compliance Database'!$O57)))),1,0)</f>
        <v/>
      </c>
      <c r="B57">
        <f>IF($A57=1,SUM($A$2:$A57),"")</f>
        <v/>
      </c>
      <c r="C57">
        <f>IF($A57=1,SUM($A$2:$A57),0)</f>
        <v/>
      </c>
    </row>
    <row r="58">
      <c r="A58">
        <f>IF(AND(OR('Compliance Database'!$A58='Data Transfer'!$B$4,'Compliance Database'!$A58='Data Transfer'!$B$5),OR('Data Transfer'!$B$6="",ISNUMBER(SEARCH('Data Transfer'!$B$6,'Compliance Database'!$D58&amp;" "&amp;'Compliance Database'!$L58&amp;" "&amp;'Compliance Database'!$M58&amp;" "&amp;'Compliance Database'!$N58&amp;" "&amp;'Compliance Database'!$O58)))),1,0)</f>
        <v/>
      </c>
      <c r="B58">
        <f>IF($A58=1,SUM($A$2:$A58),"")</f>
        <v/>
      </c>
      <c r="C58">
        <f>IF($A58=1,SUM($A$2:$A58),0)</f>
        <v/>
      </c>
    </row>
    <row r="59">
      <c r="A59">
        <f>IF(AND(OR('Compliance Database'!$A59='Data Transfer'!$B$4,'Compliance Database'!$A59='Data Transfer'!$B$5),OR('Data Transfer'!$B$6="",ISNUMBER(SEARCH('Data Transfer'!$B$6,'Compliance Database'!$D59&amp;" "&amp;'Compliance Database'!$L59&amp;" "&amp;'Compliance Database'!$M59&amp;" "&amp;'Compliance Database'!$N59&amp;" "&amp;'Compliance Database'!$O59)))),1,0)</f>
        <v/>
      </c>
      <c r="B59">
        <f>IF($A59=1,SUM($A$2:$A59),"")</f>
        <v/>
      </c>
      <c r="C59">
        <f>IF($A59=1,SUM($A$2:$A59),0)</f>
        <v/>
      </c>
    </row>
    <row r="60">
      <c r="A60">
        <f>IF(AND(OR('Compliance Database'!$A60='Data Transfer'!$B$4,'Compliance Database'!$A60='Data Transfer'!$B$5),OR('Data Transfer'!$B$6="",ISNUMBER(SEARCH('Data Transfer'!$B$6,'Compliance Database'!$D60&amp;" "&amp;'Compliance Database'!$L60&amp;" "&amp;'Compliance Database'!$M60&amp;" "&amp;'Compliance Database'!$N60&amp;" "&amp;'Compliance Database'!$O60)))),1,0)</f>
        <v/>
      </c>
      <c r="B60">
        <f>IF($A60=1,SUM($A$2:$A60),"")</f>
        <v/>
      </c>
      <c r="C60">
        <f>IF($A60=1,SUM($A$2:$A60),0)</f>
        <v/>
      </c>
    </row>
    <row r="61">
      <c r="A61">
        <f>IF(AND(OR('Compliance Database'!$A61='Data Transfer'!$B$4,'Compliance Database'!$A61='Data Transfer'!$B$5),OR('Data Transfer'!$B$6="",ISNUMBER(SEARCH('Data Transfer'!$B$6,'Compliance Database'!$D61&amp;" "&amp;'Compliance Database'!$L61&amp;" "&amp;'Compliance Database'!$M61&amp;" "&amp;'Compliance Database'!$N61&amp;" "&amp;'Compliance Database'!$O61)))),1,0)</f>
        <v/>
      </c>
      <c r="B61">
        <f>IF($A61=1,SUM($A$2:$A61),"")</f>
        <v/>
      </c>
      <c r="C61">
        <f>IF($A61=1,SUM($A$2:$A61),0)</f>
        <v/>
      </c>
    </row>
    <row r="62">
      <c r="A62">
        <f>IF(AND(OR('Compliance Database'!$A62='Data Transfer'!$B$4,'Compliance Database'!$A62='Data Transfer'!$B$5),OR('Data Transfer'!$B$6="",ISNUMBER(SEARCH('Data Transfer'!$B$6,'Compliance Database'!$D62&amp;" "&amp;'Compliance Database'!$L62&amp;" "&amp;'Compliance Database'!$M62&amp;" "&amp;'Compliance Database'!$N62&amp;" "&amp;'Compliance Database'!$O62)))),1,0)</f>
        <v/>
      </c>
      <c r="B62">
        <f>IF($A62=1,SUM($A$2:$A62),"")</f>
        <v/>
      </c>
      <c r="C62">
        <f>IF($A62=1,SUM($A$2:$A62),0)</f>
        <v/>
      </c>
    </row>
    <row r="63">
      <c r="A63">
        <f>IF(AND(OR('Compliance Database'!$A63='Data Transfer'!$B$4,'Compliance Database'!$A63='Data Transfer'!$B$5),OR('Data Transfer'!$B$6="",ISNUMBER(SEARCH('Data Transfer'!$B$6,'Compliance Database'!$D63&amp;" "&amp;'Compliance Database'!$L63&amp;" "&amp;'Compliance Database'!$M63&amp;" "&amp;'Compliance Database'!$N63&amp;" "&amp;'Compliance Database'!$O63)))),1,0)</f>
        <v/>
      </c>
      <c r="B63">
        <f>IF($A63=1,SUM($A$2:$A63),"")</f>
        <v/>
      </c>
      <c r="C63">
        <f>IF($A63=1,SUM($A$2:$A63),0)</f>
        <v/>
      </c>
    </row>
    <row r="64">
      <c r="A64">
        <f>IF(AND(OR('Compliance Database'!$A64='Data Transfer'!$B$4,'Compliance Database'!$A64='Data Transfer'!$B$5),OR('Data Transfer'!$B$6="",ISNUMBER(SEARCH('Data Transfer'!$B$6,'Compliance Database'!$D64&amp;" "&amp;'Compliance Database'!$L64&amp;" "&amp;'Compliance Database'!$M64&amp;" "&amp;'Compliance Database'!$N64&amp;" "&amp;'Compliance Database'!$O64)))),1,0)</f>
        <v/>
      </c>
      <c r="B64">
        <f>IF($A64=1,SUM($A$2:$A64),"")</f>
        <v/>
      </c>
      <c r="C64">
        <f>IF($A64=1,SUM($A$2:$A64),0)</f>
        <v/>
      </c>
    </row>
    <row r="65">
      <c r="A65">
        <f>IF(AND(OR('Compliance Database'!$A65='Data Transfer'!$B$4,'Compliance Database'!$A65='Data Transfer'!$B$5),OR('Data Transfer'!$B$6="",ISNUMBER(SEARCH('Data Transfer'!$B$6,'Compliance Database'!$D65&amp;" "&amp;'Compliance Database'!$L65&amp;" "&amp;'Compliance Database'!$M65&amp;" "&amp;'Compliance Database'!$N65&amp;" "&amp;'Compliance Database'!$O65)))),1,0)</f>
        <v/>
      </c>
      <c r="B65">
        <f>IF($A65=1,SUM($A$2:$A65),"")</f>
        <v/>
      </c>
      <c r="C65">
        <f>IF($A65=1,SUM($A$2:$A65),0)</f>
        <v/>
      </c>
    </row>
    <row r="66">
      <c r="A66">
        <f>IF(AND(OR('Compliance Database'!$A66='Data Transfer'!$B$4,'Compliance Database'!$A66='Data Transfer'!$B$5),OR('Data Transfer'!$B$6="",ISNUMBER(SEARCH('Data Transfer'!$B$6,'Compliance Database'!$D66&amp;" "&amp;'Compliance Database'!$L66&amp;" "&amp;'Compliance Database'!$M66&amp;" "&amp;'Compliance Database'!$N66&amp;" "&amp;'Compliance Database'!$O66)))),1,0)</f>
        <v/>
      </c>
      <c r="B66">
        <f>IF($A66=1,SUM($A$2:$A66),"")</f>
        <v/>
      </c>
      <c r="C66">
        <f>IF($A66=1,SUM($A$2:$A66),0)</f>
        <v/>
      </c>
    </row>
    <row r="67">
      <c r="A67">
        <f>IF(AND(OR('Compliance Database'!$A67='Data Transfer'!$B$4,'Compliance Database'!$A67='Data Transfer'!$B$5),OR('Data Transfer'!$B$6="",ISNUMBER(SEARCH('Data Transfer'!$B$6,'Compliance Database'!$D67&amp;" "&amp;'Compliance Database'!$L67&amp;" "&amp;'Compliance Database'!$M67&amp;" "&amp;'Compliance Database'!$N67&amp;" "&amp;'Compliance Database'!$O67)))),1,0)</f>
        <v/>
      </c>
      <c r="B67">
        <f>IF($A67=1,SUM($A$2:$A67),"")</f>
        <v/>
      </c>
      <c r="C67">
        <f>IF($A67=1,SUM($A$2:$A67),0)</f>
        <v/>
      </c>
    </row>
    <row r="68">
      <c r="A68">
        <f>IF(AND(OR('Compliance Database'!$A68='Data Transfer'!$B$4,'Compliance Database'!$A68='Data Transfer'!$B$5),OR('Data Transfer'!$B$6="",ISNUMBER(SEARCH('Data Transfer'!$B$6,'Compliance Database'!$D68&amp;" "&amp;'Compliance Database'!$L68&amp;" "&amp;'Compliance Database'!$M68&amp;" "&amp;'Compliance Database'!$N68&amp;" "&amp;'Compliance Database'!$O68)))),1,0)</f>
        <v/>
      </c>
      <c r="B68">
        <f>IF($A68=1,SUM($A$2:$A68),"")</f>
        <v/>
      </c>
      <c r="C68">
        <f>IF($A68=1,SUM($A$2:$A68),0)</f>
        <v/>
      </c>
    </row>
    <row r="69">
      <c r="A69">
        <f>IF(AND(OR('Compliance Database'!$A69='Data Transfer'!$B$4,'Compliance Database'!$A69='Data Transfer'!$B$5),OR('Data Transfer'!$B$6="",ISNUMBER(SEARCH('Data Transfer'!$B$6,'Compliance Database'!$D69&amp;" "&amp;'Compliance Database'!$L69&amp;" "&amp;'Compliance Database'!$M69&amp;" "&amp;'Compliance Database'!$N69&amp;" "&amp;'Compliance Database'!$O69)))),1,0)</f>
        <v/>
      </c>
      <c r="B69">
        <f>IF($A69=1,SUM($A$2:$A69),"")</f>
        <v/>
      </c>
      <c r="C69">
        <f>IF($A69=1,SUM($A$2:$A69),0)</f>
        <v/>
      </c>
    </row>
    <row r="70">
      <c r="A70">
        <f>IF(AND(OR('Compliance Database'!$A70='Data Transfer'!$B$4,'Compliance Database'!$A70='Data Transfer'!$B$5),OR('Data Transfer'!$B$6="",ISNUMBER(SEARCH('Data Transfer'!$B$6,'Compliance Database'!$D70&amp;" "&amp;'Compliance Database'!$L70&amp;" "&amp;'Compliance Database'!$M70&amp;" "&amp;'Compliance Database'!$N70&amp;" "&amp;'Compliance Database'!$O70)))),1,0)</f>
        <v/>
      </c>
      <c r="B70">
        <f>IF($A70=1,SUM($A$2:$A70),"")</f>
        <v/>
      </c>
      <c r="C70">
        <f>IF($A70=1,SUM($A$2:$A70),0)</f>
        <v/>
      </c>
    </row>
    <row r="71">
      <c r="A71">
        <f>IF(AND(OR('Compliance Database'!$A71='Data Transfer'!$B$4,'Compliance Database'!$A71='Data Transfer'!$B$5),OR('Data Transfer'!$B$6="",ISNUMBER(SEARCH('Data Transfer'!$B$6,'Compliance Database'!$D71&amp;" "&amp;'Compliance Database'!$L71&amp;" "&amp;'Compliance Database'!$M71&amp;" "&amp;'Compliance Database'!$N71&amp;" "&amp;'Compliance Database'!$O71)))),1,0)</f>
        <v/>
      </c>
      <c r="B71">
        <f>IF($A71=1,SUM($A$2:$A71),"")</f>
        <v/>
      </c>
      <c r="C71">
        <f>IF($A71=1,SUM($A$2:$A71),0)</f>
        <v/>
      </c>
    </row>
    <row r="72">
      <c r="A72">
        <f>IF(AND(OR('Compliance Database'!$A72='Data Transfer'!$B$4,'Compliance Database'!$A72='Data Transfer'!$B$5),OR('Data Transfer'!$B$6="",ISNUMBER(SEARCH('Data Transfer'!$B$6,'Compliance Database'!$D72&amp;" "&amp;'Compliance Database'!$L72&amp;" "&amp;'Compliance Database'!$M72&amp;" "&amp;'Compliance Database'!$N72&amp;" "&amp;'Compliance Database'!$O72)))),1,0)</f>
        <v/>
      </c>
      <c r="B72">
        <f>IF($A72=1,SUM($A$2:$A72),"")</f>
        <v/>
      </c>
      <c r="C72">
        <f>IF($A72=1,SUM($A$2:$A72),0)</f>
        <v/>
      </c>
    </row>
    <row r="73">
      <c r="A73">
        <f>IF(AND(OR('Compliance Database'!$A73='Data Transfer'!$B$4,'Compliance Database'!$A73='Data Transfer'!$B$5),OR('Data Transfer'!$B$6="",ISNUMBER(SEARCH('Data Transfer'!$B$6,'Compliance Database'!$D73&amp;" "&amp;'Compliance Database'!$L73&amp;" "&amp;'Compliance Database'!$M73&amp;" "&amp;'Compliance Database'!$N73&amp;" "&amp;'Compliance Database'!$O73)))),1,0)</f>
        <v/>
      </c>
      <c r="B73">
        <f>IF($A73=1,SUM($A$2:$A73),"")</f>
        <v/>
      </c>
      <c r="C73">
        <f>IF($A73=1,SUM($A$2:$A73),0)</f>
        <v/>
      </c>
    </row>
    <row r="74">
      <c r="A74">
        <f>IF(AND(OR('Compliance Database'!$A74='Data Transfer'!$B$4,'Compliance Database'!$A74='Data Transfer'!$B$5),OR('Data Transfer'!$B$6="",ISNUMBER(SEARCH('Data Transfer'!$B$6,'Compliance Database'!$D74&amp;" "&amp;'Compliance Database'!$L74&amp;" "&amp;'Compliance Database'!$M74&amp;" "&amp;'Compliance Database'!$N74&amp;" "&amp;'Compliance Database'!$O74)))),1,0)</f>
        <v/>
      </c>
      <c r="B74">
        <f>IF($A74=1,SUM($A$2:$A74),"")</f>
        <v/>
      </c>
      <c r="C74">
        <f>IF($A74=1,SUM($A$2:$A74),0)</f>
        <v/>
      </c>
    </row>
    <row r="75">
      <c r="A75">
        <f>IF(AND(OR('Compliance Database'!$A75='Data Transfer'!$B$4,'Compliance Database'!$A75='Data Transfer'!$B$5),OR('Data Transfer'!$B$6="",ISNUMBER(SEARCH('Data Transfer'!$B$6,'Compliance Database'!$D75&amp;" "&amp;'Compliance Database'!$L75&amp;" "&amp;'Compliance Database'!$M75&amp;" "&amp;'Compliance Database'!$N75&amp;" "&amp;'Compliance Database'!$O75)))),1,0)</f>
        <v/>
      </c>
      <c r="B75">
        <f>IF($A75=1,SUM($A$2:$A75),"")</f>
        <v/>
      </c>
      <c r="C75">
        <f>IF($A75=1,SUM($A$2:$A75),0)</f>
        <v/>
      </c>
    </row>
    <row r="76">
      <c r="A76">
        <f>IF(AND(OR('Compliance Database'!$A76='Data Transfer'!$B$4,'Compliance Database'!$A76='Data Transfer'!$B$5),OR('Data Transfer'!$B$6="",ISNUMBER(SEARCH('Data Transfer'!$B$6,'Compliance Database'!$D76&amp;" "&amp;'Compliance Database'!$L76&amp;" "&amp;'Compliance Database'!$M76&amp;" "&amp;'Compliance Database'!$N76&amp;" "&amp;'Compliance Database'!$O76)))),1,0)</f>
        <v/>
      </c>
      <c r="B76">
        <f>IF($A76=1,SUM($A$2:$A76),"")</f>
        <v/>
      </c>
      <c r="C76">
        <f>IF($A76=1,SUM($A$2:$A76),0)</f>
        <v/>
      </c>
    </row>
    <row r="77">
      <c r="A77">
        <f>IF(AND(OR('Compliance Database'!$A77='Data Transfer'!$B$4,'Compliance Database'!$A77='Data Transfer'!$B$5),OR('Data Transfer'!$B$6="",ISNUMBER(SEARCH('Data Transfer'!$B$6,'Compliance Database'!$D77&amp;" "&amp;'Compliance Database'!$L77&amp;" "&amp;'Compliance Database'!$M77&amp;" "&amp;'Compliance Database'!$N77&amp;" "&amp;'Compliance Database'!$O77)))),1,0)</f>
        <v/>
      </c>
      <c r="B77">
        <f>IF($A77=1,SUM($A$2:$A77),"")</f>
        <v/>
      </c>
      <c r="C77">
        <f>IF($A77=1,SUM($A$2:$A77),0)</f>
        <v/>
      </c>
    </row>
    <row r="78">
      <c r="A78">
        <f>IF(AND(OR('Compliance Database'!$A78='Data Transfer'!$B$4,'Compliance Database'!$A78='Data Transfer'!$B$5),OR('Data Transfer'!$B$6="",ISNUMBER(SEARCH('Data Transfer'!$B$6,'Compliance Database'!$D78&amp;" "&amp;'Compliance Database'!$L78&amp;" "&amp;'Compliance Database'!$M78&amp;" "&amp;'Compliance Database'!$N78&amp;" "&amp;'Compliance Database'!$O78)))),1,0)</f>
        <v/>
      </c>
      <c r="B78">
        <f>IF($A78=1,SUM($A$2:$A78),"")</f>
        <v/>
      </c>
      <c r="C78">
        <f>IF($A78=1,SUM($A$2:$A78),0)</f>
        <v/>
      </c>
    </row>
    <row r="79">
      <c r="A79">
        <f>IF(AND(OR('Compliance Database'!$A79='Data Transfer'!$B$4,'Compliance Database'!$A79='Data Transfer'!$B$5),OR('Data Transfer'!$B$6="",ISNUMBER(SEARCH('Data Transfer'!$B$6,'Compliance Database'!$D79&amp;" "&amp;'Compliance Database'!$L79&amp;" "&amp;'Compliance Database'!$M79&amp;" "&amp;'Compliance Database'!$N79&amp;" "&amp;'Compliance Database'!$O79)))),1,0)</f>
        <v/>
      </c>
      <c r="B79">
        <f>IF($A79=1,SUM($A$2:$A79),"")</f>
        <v/>
      </c>
      <c r="C79">
        <f>IF($A79=1,SUM($A$2:$A79),0)</f>
        <v/>
      </c>
    </row>
    <row r="80">
      <c r="A80">
        <f>IF(AND(OR('Compliance Database'!$A80='Data Transfer'!$B$4,'Compliance Database'!$A80='Data Transfer'!$B$5),OR('Data Transfer'!$B$6="",ISNUMBER(SEARCH('Data Transfer'!$B$6,'Compliance Database'!$D80&amp;" "&amp;'Compliance Database'!$L80&amp;" "&amp;'Compliance Database'!$M80&amp;" "&amp;'Compliance Database'!$N80&amp;" "&amp;'Compliance Database'!$O80)))),1,0)</f>
        <v/>
      </c>
      <c r="B80">
        <f>IF($A80=1,SUM($A$2:$A80),"")</f>
        <v/>
      </c>
      <c r="C80">
        <f>IF($A80=1,SUM($A$2:$A80),0)</f>
        <v/>
      </c>
    </row>
    <row r="81">
      <c r="A81">
        <f>IF(AND(OR('Compliance Database'!$A81='Data Transfer'!$B$4,'Compliance Database'!$A81='Data Transfer'!$B$5),OR('Data Transfer'!$B$6="",ISNUMBER(SEARCH('Data Transfer'!$B$6,'Compliance Database'!$D81&amp;" "&amp;'Compliance Database'!$L81&amp;" "&amp;'Compliance Database'!$M81&amp;" "&amp;'Compliance Database'!$N81&amp;" "&amp;'Compliance Database'!$O81)))),1,0)</f>
        <v/>
      </c>
      <c r="B81">
        <f>IF($A81=1,SUM($A$2:$A81),"")</f>
        <v/>
      </c>
      <c r="C81">
        <f>IF($A81=1,SUM($A$2:$A81),0)</f>
        <v/>
      </c>
    </row>
    <row r="82">
      <c r="A82">
        <f>IF(AND(OR('Compliance Database'!$A82='Data Transfer'!$B$4,'Compliance Database'!$A82='Data Transfer'!$B$5),OR('Data Transfer'!$B$6="",ISNUMBER(SEARCH('Data Transfer'!$B$6,'Compliance Database'!$D82&amp;" "&amp;'Compliance Database'!$L82&amp;" "&amp;'Compliance Database'!$M82&amp;" "&amp;'Compliance Database'!$N82&amp;" "&amp;'Compliance Database'!$O82)))),1,0)</f>
        <v/>
      </c>
      <c r="B82">
        <f>IF($A82=1,SUM($A$2:$A82),"")</f>
        <v/>
      </c>
      <c r="C82">
        <f>IF($A82=1,SUM($A$2:$A82),0)</f>
        <v/>
      </c>
    </row>
    <row r="83">
      <c r="A83">
        <f>IF(AND(OR('Compliance Database'!$A83='Data Transfer'!$B$4,'Compliance Database'!$A83='Data Transfer'!$B$5),OR('Data Transfer'!$B$6="",ISNUMBER(SEARCH('Data Transfer'!$B$6,'Compliance Database'!$D83&amp;" "&amp;'Compliance Database'!$L83&amp;" "&amp;'Compliance Database'!$M83&amp;" "&amp;'Compliance Database'!$N83&amp;" "&amp;'Compliance Database'!$O83)))),1,0)</f>
        <v/>
      </c>
      <c r="B83">
        <f>IF($A83=1,SUM($A$2:$A83),"")</f>
        <v/>
      </c>
      <c r="C83">
        <f>IF($A83=1,SUM($A$2:$A83),0)</f>
        <v/>
      </c>
    </row>
    <row r="84">
      <c r="A84">
        <f>IF(AND(OR('Compliance Database'!$A84='Data Transfer'!$B$4,'Compliance Database'!$A84='Data Transfer'!$B$5),OR('Data Transfer'!$B$6="",ISNUMBER(SEARCH('Data Transfer'!$B$6,'Compliance Database'!$D84&amp;" "&amp;'Compliance Database'!$L84&amp;" "&amp;'Compliance Database'!$M84&amp;" "&amp;'Compliance Database'!$N84&amp;" "&amp;'Compliance Database'!$O84)))),1,0)</f>
        <v/>
      </c>
      <c r="B84">
        <f>IF($A84=1,SUM($A$2:$A84),"")</f>
        <v/>
      </c>
      <c r="C84">
        <f>IF($A84=1,SUM($A$2:$A84),0)</f>
        <v/>
      </c>
    </row>
    <row r="85">
      <c r="A85">
        <f>IF(AND(OR('Compliance Database'!$A85='Data Transfer'!$B$4,'Compliance Database'!$A85='Data Transfer'!$B$5),OR('Data Transfer'!$B$6="",ISNUMBER(SEARCH('Data Transfer'!$B$6,'Compliance Database'!$D85&amp;" "&amp;'Compliance Database'!$L85&amp;" "&amp;'Compliance Database'!$M85&amp;" "&amp;'Compliance Database'!$N85&amp;" "&amp;'Compliance Database'!$O85)))),1,0)</f>
        <v/>
      </c>
      <c r="B85">
        <f>IF($A85=1,SUM($A$2:$A85),"")</f>
        <v/>
      </c>
      <c r="C85">
        <f>IF($A85=1,SUM($A$2:$A85),0)</f>
        <v/>
      </c>
    </row>
    <row r="86">
      <c r="A86">
        <f>IF(AND(OR('Compliance Database'!$A86='Data Transfer'!$B$4,'Compliance Database'!$A86='Data Transfer'!$B$5),OR('Data Transfer'!$B$6="",ISNUMBER(SEARCH('Data Transfer'!$B$6,'Compliance Database'!$D86&amp;" "&amp;'Compliance Database'!$L86&amp;" "&amp;'Compliance Database'!$M86&amp;" "&amp;'Compliance Database'!$N86&amp;" "&amp;'Compliance Database'!$O86)))),1,0)</f>
        <v/>
      </c>
      <c r="B86">
        <f>IF($A86=1,SUM($A$2:$A86),"")</f>
        <v/>
      </c>
      <c r="C86">
        <f>IF($A86=1,SUM($A$2:$A86),0)</f>
        <v/>
      </c>
    </row>
    <row r="87">
      <c r="A87">
        <f>IF(AND(OR('Compliance Database'!$A87='Data Transfer'!$B$4,'Compliance Database'!$A87='Data Transfer'!$B$5),OR('Data Transfer'!$B$6="",ISNUMBER(SEARCH('Data Transfer'!$B$6,'Compliance Database'!$D87&amp;" "&amp;'Compliance Database'!$L87&amp;" "&amp;'Compliance Database'!$M87&amp;" "&amp;'Compliance Database'!$N87&amp;" "&amp;'Compliance Database'!$O87)))),1,0)</f>
        <v/>
      </c>
      <c r="B87">
        <f>IF($A87=1,SUM($A$2:$A87),"")</f>
        <v/>
      </c>
      <c r="C87">
        <f>IF($A87=1,SUM($A$2:$A87),0)</f>
        <v/>
      </c>
    </row>
    <row r="88">
      <c r="A88">
        <f>IF(AND(OR('Compliance Database'!$A88='Data Transfer'!$B$4,'Compliance Database'!$A88='Data Transfer'!$B$5),OR('Data Transfer'!$B$6="",ISNUMBER(SEARCH('Data Transfer'!$B$6,'Compliance Database'!$D88&amp;" "&amp;'Compliance Database'!$L88&amp;" "&amp;'Compliance Database'!$M88&amp;" "&amp;'Compliance Database'!$N88&amp;" "&amp;'Compliance Database'!$O88)))),1,0)</f>
        <v/>
      </c>
      <c r="B88">
        <f>IF($A88=1,SUM($A$2:$A88),"")</f>
        <v/>
      </c>
      <c r="C88">
        <f>IF($A88=1,SUM($A$2:$A88),0)</f>
        <v/>
      </c>
    </row>
    <row r="89">
      <c r="A89">
        <f>IF(AND(OR('Compliance Database'!$A89='Data Transfer'!$B$4,'Compliance Database'!$A89='Data Transfer'!$B$5),OR('Data Transfer'!$B$6="",ISNUMBER(SEARCH('Data Transfer'!$B$6,'Compliance Database'!$D89&amp;" "&amp;'Compliance Database'!$L89&amp;" "&amp;'Compliance Database'!$M89&amp;" "&amp;'Compliance Database'!$N89&amp;" "&amp;'Compliance Database'!$O89)))),1,0)</f>
        <v/>
      </c>
      <c r="B89">
        <f>IF($A89=1,SUM($A$2:$A89),"")</f>
        <v/>
      </c>
      <c r="C89">
        <f>IF($A89=1,SUM($A$2:$A89),0)</f>
        <v/>
      </c>
    </row>
    <row r="90">
      <c r="A90">
        <f>IF(AND(OR('Compliance Database'!$A90='Data Transfer'!$B$4,'Compliance Database'!$A90='Data Transfer'!$B$5),OR('Data Transfer'!$B$6="",ISNUMBER(SEARCH('Data Transfer'!$B$6,'Compliance Database'!$D90&amp;" "&amp;'Compliance Database'!$L90&amp;" "&amp;'Compliance Database'!$M90&amp;" "&amp;'Compliance Database'!$N90&amp;" "&amp;'Compliance Database'!$O90)))),1,0)</f>
        <v/>
      </c>
      <c r="B90">
        <f>IF($A90=1,SUM($A$2:$A90),"")</f>
        <v/>
      </c>
      <c r="C90">
        <f>IF($A90=1,SUM($A$2:$A90),0)</f>
        <v/>
      </c>
    </row>
    <row r="91">
      <c r="A91">
        <f>IF(AND(OR('Compliance Database'!$A91='Data Transfer'!$B$4,'Compliance Database'!$A91='Data Transfer'!$B$5),OR('Data Transfer'!$B$6="",ISNUMBER(SEARCH('Data Transfer'!$B$6,'Compliance Database'!$D91&amp;" "&amp;'Compliance Database'!$L91&amp;" "&amp;'Compliance Database'!$M91&amp;" "&amp;'Compliance Database'!$N91&amp;" "&amp;'Compliance Database'!$O91)))),1,0)</f>
        <v/>
      </c>
      <c r="B91">
        <f>IF($A91=1,SUM($A$2:$A91),"")</f>
        <v/>
      </c>
      <c r="C91">
        <f>IF($A91=1,SUM($A$2:$A91),0)</f>
        <v/>
      </c>
    </row>
    <row r="92">
      <c r="A92">
        <f>IF(AND(OR('Compliance Database'!$A92='Data Transfer'!$B$4,'Compliance Database'!$A92='Data Transfer'!$B$5),OR('Data Transfer'!$B$6="",ISNUMBER(SEARCH('Data Transfer'!$B$6,'Compliance Database'!$D92&amp;" "&amp;'Compliance Database'!$L92&amp;" "&amp;'Compliance Database'!$M92&amp;" "&amp;'Compliance Database'!$N92&amp;" "&amp;'Compliance Database'!$O92)))),1,0)</f>
        <v/>
      </c>
      <c r="B92">
        <f>IF($A92=1,SUM($A$2:$A92),"")</f>
        <v/>
      </c>
      <c r="C92">
        <f>IF($A92=1,SUM($A$2:$A92),0)</f>
        <v/>
      </c>
    </row>
    <row r="93">
      <c r="A93">
        <f>IF(AND(OR('Compliance Database'!$A93='Data Transfer'!$B$4,'Compliance Database'!$A93='Data Transfer'!$B$5),OR('Data Transfer'!$B$6="",ISNUMBER(SEARCH('Data Transfer'!$B$6,'Compliance Database'!$D93&amp;" "&amp;'Compliance Database'!$L93&amp;" "&amp;'Compliance Database'!$M93&amp;" "&amp;'Compliance Database'!$N93&amp;" "&amp;'Compliance Database'!$O93)))),1,0)</f>
        <v/>
      </c>
      <c r="B93">
        <f>IF($A93=1,SUM($A$2:$A93),"")</f>
        <v/>
      </c>
      <c r="C93">
        <f>IF($A93=1,SUM($A$2:$A93),0)</f>
        <v/>
      </c>
    </row>
    <row r="94">
      <c r="A94">
        <f>IF(AND(OR('Compliance Database'!$A94='Data Transfer'!$B$4,'Compliance Database'!$A94='Data Transfer'!$B$5),OR('Data Transfer'!$B$6="",ISNUMBER(SEARCH('Data Transfer'!$B$6,'Compliance Database'!$D94&amp;" "&amp;'Compliance Database'!$L94&amp;" "&amp;'Compliance Database'!$M94&amp;" "&amp;'Compliance Database'!$N94&amp;" "&amp;'Compliance Database'!$O94)))),1,0)</f>
        <v/>
      </c>
      <c r="B94">
        <f>IF($A94=1,SUM($A$2:$A94),"")</f>
        <v/>
      </c>
      <c r="C94">
        <f>IF($A94=1,SUM($A$2:$A94),0)</f>
        <v/>
      </c>
    </row>
    <row r="95">
      <c r="A95">
        <f>IF(AND(OR('Compliance Database'!$A95='Data Transfer'!$B$4,'Compliance Database'!$A95='Data Transfer'!$B$5),OR('Data Transfer'!$B$6="",ISNUMBER(SEARCH('Data Transfer'!$B$6,'Compliance Database'!$D95&amp;" "&amp;'Compliance Database'!$L95&amp;" "&amp;'Compliance Database'!$M95&amp;" "&amp;'Compliance Database'!$N95&amp;" "&amp;'Compliance Database'!$O95)))),1,0)</f>
        <v/>
      </c>
      <c r="B95">
        <f>IF($A95=1,SUM($A$2:$A95),"")</f>
        <v/>
      </c>
      <c r="C95">
        <f>IF($A95=1,SUM($A$2:$A95),0)</f>
        <v/>
      </c>
    </row>
    <row r="96">
      <c r="A96">
        <f>IF(AND(OR('Compliance Database'!$A96='Data Transfer'!$B$4,'Compliance Database'!$A96='Data Transfer'!$B$5),OR('Data Transfer'!$B$6="",ISNUMBER(SEARCH('Data Transfer'!$B$6,'Compliance Database'!$D96&amp;" "&amp;'Compliance Database'!$L96&amp;" "&amp;'Compliance Database'!$M96&amp;" "&amp;'Compliance Database'!$N96&amp;" "&amp;'Compliance Database'!$O96)))),1,0)</f>
        <v/>
      </c>
      <c r="B96">
        <f>IF($A96=1,SUM($A$2:$A96),"")</f>
        <v/>
      </c>
      <c r="C96">
        <f>IF($A96=1,SUM($A$2:$A96),0)</f>
        <v/>
      </c>
    </row>
    <row r="97">
      <c r="A97">
        <f>IF(AND(OR('Compliance Database'!$A97='Data Transfer'!$B$4,'Compliance Database'!$A97='Data Transfer'!$B$5),OR('Data Transfer'!$B$6="",ISNUMBER(SEARCH('Data Transfer'!$B$6,'Compliance Database'!$D97&amp;" "&amp;'Compliance Database'!$L97&amp;" "&amp;'Compliance Database'!$M97&amp;" "&amp;'Compliance Database'!$N97&amp;" "&amp;'Compliance Database'!$O97)))),1,0)</f>
        <v/>
      </c>
      <c r="B97">
        <f>IF($A97=1,SUM($A$2:$A97),"")</f>
        <v/>
      </c>
      <c r="C97">
        <f>IF($A97=1,SUM($A$2:$A97),0)</f>
        <v/>
      </c>
    </row>
    <row r="98">
      <c r="A98">
        <f>IF(AND(OR('Compliance Database'!$A98='Data Transfer'!$B$4,'Compliance Database'!$A98='Data Transfer'!$B$5),OR('Data Transfer'!$B$6="",ISNUMBER(SEARCH('Data Transfer'!$B$6,'Compliance Database'!$D98&amp;" "&amp;'Compliance Database'!$L98&amp;" "&amp;'Compliance Database'!$M98&amp;" "&amp;'Compliance Database'!$N98&amp;" "&amp;'Compliance Database'!$O98)))),1,0)</f>
        <v/>
      </c>
      <c r="B98">
        <f>IF($A98=1,SUM($A$2:$A98),"")</f>
        <v/>
      </c>
      <c r="C98">
        <f>IF($A98=1,SUM($A$2:$A98),0)</f>
        <v/>
      </c>
    </row>
    <row r="99">
      <c r="A99">
        <f>IF(AND(OR('Compliance Database'!$A99='Data Transfer'!$B$4,'Compliance Database'!$A99='Data Transfer'!$B$5),OR('Data Transfer'!$B$6="",ISNUMBER(SEARCH('Data Transfer'!$B$6,'Compliance Database'!$D99&amp;" "&amp;'Compliance Database'!$L99&amp;" "&amp;'Compliance Database'!$M99&amp;" "&amp;'Compliance Database'!$N99&amp;" "&amp;'Compliance Database'!$O99)))),1,0)</f>
        <v/>
      </c>
      <c r="B99">
        <f>IF($A99=1,SUM($A$2:$A99),"")</f>
        <v/>
      </c>
      <c r="C99">
        <f>IF($A99=1,SUM($A$2:$A99),0)</f>
        <v/>
      </c>
    </row>
    <row r="100">
      <c r="A100">
        <f>IF(AND(OR('Compliance Database'!$A100='Data Transfer'!$B$4,'Compliance Database'!$A100='Data Transfer'!$B$5),OR('Data Transfer'!$B$6="",ISNUMBER(SEARCH('Data Transfer'!$B$6,'Compliance Database'!$D100&amp;" "&amp;'Compliance Database'!$L100&amp;" "&amp;'Compliance Database'!$M100&amp;" "&amp;'Compliance Database'!$N100&amp;" "&amp;'Compliance Database'!$O100)))),1,0)</f>
        <v/>
      </c>
      <c r="B100">
        <f>IF($A100=1,SUM($A$2:$A100),"")</f>
        <v/>
      </c>
      <c r="C100">
        <f>IF($A100=1,SUM($A$2:$A100),0)</f>
        <v/>
      </c>
    </row>
    <row r="101">
      <c r="A101">
        <f>IF(AND(OR('Compliance Database'!$A101='Data Transfer'!$B$4,'Compliance Database'!$A101='Data Transfer'!$B$5),OR('Data Transfer'!$B$6="",ISNUMBER(SEARCH('Data Transfer'!$B$6,'Compliance Database'!$D101&amp;" "&amp;'Compliance Database'!$L101&amp;" "&amp;'Compliance Database'!$M101&amp;" "&amp;'Compliance Database'!$N101&amp;" "&amp;'Compliance Database'!$O101)))),1,0)</f>
        <v/>
      </c>
      <c r="B101">
        <f>IF($A101=1,SUM($A$2:$A101),"")</f>
        <v/>
      </c>
      <c r="C101">
        <f>IF($A101=1,SUM($A$2:$A101),0)</f>
        <v/>
      </c>
    </row>
    <row r="102">
      <c r="A102">
        <f>IF(AND(OR('Compliance Database'!$A102='Data Transfer'!$B$4,'Compliance Database'!$A102='Data Transfer'!$B$5),OR('Data Transfer'!$B$6="",ISNUMBER(SEARCH('Data Transfer'!$B$6,'Compliance Database'!$D102&amp;" "&amp;'Compliance Database'!$L102&amp;" "&amp;'Compliance Database'!$M102&amp;" "&amp;'Compliance Database'!$N102&amp;" "&amp;'Compliance Database'!$O102)))),1,0)</f>
        <v/>
      </c>
      <c r="B102">
        <f>IF($A102=1,SUM($A$2:$A102),"")</f>
        <v/>
      </c>
      <c r="C102">
        <f>IF($A102=1,SUM($A$2:$A102),0)</f>
        <v/>
      </c>
    </row>
    <row r="103">
      <c r="A103">
        <f>IF(AND(OR('Compliance Database'!$A103='Data Transfer'!$B$4,'Compliance Database'!$A103='Data Transfer'!$B$5),OR('Data Transfer'!$B$6="",ISNUMBER(SEARCH('Data Transfer'!$B$6,'Compliance Database'!$D103&amp;" "&amp;'Compliance Database'!$L103&amp;" "&amp;'Compliance Database'!$M103&amp;" "&amp;'Compliance Database'!$N103&amp;" "&amp;'Compliance Database'!$O103)))),1,0)</f>
        <v/>
      </c>
      <c r="B103">
        <f>IF($A103=1,SUM($A$2:$A103),"")</f>
        <v/>
      </c>
      <c r="C103">
        <f>IF($A103=1,SUM($A$2:$A103),0)</f>
        <v/>
      </c>
    </row>
    <row r="104">
      <c r="A104">
        <f>IF(AND(OR('Compliance Database'!$A104='Data Transfer'!$B$4,'Compliance Database'!$A104='Data Transfer'!$B$5),OR('Data Transfer'!$B$6="",ISNUMBER(SEARCH('Data Transfer'!$B$6,'Compliance Database'!$D104&amp;" "&amp;'Compliance Database'!$L104&amp;" "&amp;'Compliance Database'!$M104&amp;" "&amp;'Compliance Database'!$N104&amp;" "&amp;'Compliance Database'!$O104)))),1,0)</f>
        <v/>
      </c>
      <c r="B104">
        <f>IF($A104=1,SUM($A$2:$A104),"")</f>
        <v/>
      </c>
      <c r="C104">
        <f>IF($A104=1,SUM($A$2:$A104),0)</f>
        <v/>
      </c>
    </row>
    <row r="105">
      <c r="A105">
        <f>IF(AND(OR('Compliance Database'!$A105='Data Transfer'!$B$4,'Compliance Database'!$A105='Data Transfer'!$B$5),OR('Data Transfer'!$B$6="",ISNUMBER(SEARCH('Data Transfer'!$B$6,'Compliance Database'!$D105&amp;" "&amp;'Compliance Database'!$L105&amp;" "&amp;'Compliance Database'!$M105&amp;" "&amp;'Compliance Database'!$N105&amp;" "&amp;'Compliance Database'!$O105)))),1,0)</f>
        <v/>
      </c>
      <c r="B105">
        <f>IF($A105=1,SUM($A$2:$A105),"")</f>
        <v/>
      </c>
      <c r="C105">
        <f>IF($A105=1,SUM($A$2:$A105),0)</f>
        <v/>
      </c>
    </row>
    <row r="106">
      <c r="A106">
        <f>IF(AND(OR('Compliance Database'!$A106='Data Transfer'!$B$4,'Compliance Database'!$A106='Data Transfer'!$B$5),OR('Data Transfer'!$B$6="",ISNUMBER(SEARCH('Data Transfer'!$B$6,'Compliance Database'!$D106&amp;" "&amp;'Compliance Database'!$L106&amp;" "&amp;'Compliance Database'!$M106&amp;" "&amp;'Compliance Database'!$N106&amp;" "&amp;'Compliance Database'!$O106)))),1,0)</f>
        <v/>
      </c>
      <c r="B106">
        <f>IF($A106=1,SUM($A$2:$A106),"")</f>
        <v/>
      </c>
      <c r="C106">
        <f>IF($A106=1,SUM($A$2:$A106),0)</f>
        <v/>
      </c>
    </row>
    <row r="107">
      <c r="A107">
        <f>IF(AND(OR('Compliance Database'!$A107='Data Transfer'!$B$4,'Compliance Database'!$A107='Data Transfer'!$B$5),OR('Data Transfer'!$B$6="",ISNUMBER(SEARCH('Data Transfer'!$B$6,'Compliance Database'!$D107&amp;" "&amp;'Compliance Database'!$L107&amp;" "&amp;'Compliance Database'!$M107&amp;" "&amp;'Compliance Database'!$N107&amp;" "&amp;'Compliance Database'!$O107)))),1,0)</f>
        <v/>
      </c>
      <c r="B107">
        <f>IF($A107=1,SUM($A$2:$A107),"")</f>
        <v/>
      </c>
      <c r="C107">
        <f>IF($A107=1,SUM($A$2:$A107),0)</f>
        <v/>
      </c>
    </row>
    <row r="108">
      <c r="A108">
        <f>IF(AND(OR('Compliance Database'!$A108='Data Transfer'!$B$4,'Compliance Database'!$A108='Data Transfer'!$B$5),OR('Data Transfer'!$B$6="",ISNUMBER(SEARCH('Data Transfer'!$B$6,'Compliance Database'!$D108&amp;" "&amp;'Compliance Database'!$L108&amp;" "&amp;'Compliance Database'!$M108&amp;" "&amp;'Compliance Database'!$N108&amp;" "&amp;'Compliance Database'!$O108)))),1,0)</f>
        <v/>
      </c>
      <c r="B108">
        <f>IF($A108=1,SUM($A$2:$A108),"")</f>
        <v/>
      </c>
      <c r="C108">
        <f>IF($A108=1,SUM($A$2:$A108),0)</f>
        <v/>
      </c>
    </row>
    <row r="109">
      <c r="A109">
        <f>IF(AND(OR('Compliance Database'!$A109='Data Transfer'!$B$4,'Compliance Database'!$A109='Data Transfer'!$B$5),OR('Data Transfer'!$B$6="",ISNUMBER(SEARCH('Data Transfer'!$B$6,'Compliance Database'!$D109&amp;" "&amp;'Compliance Database'!$L109&amp;" "&amp;'Compliance Database'!$M109&amp;" "&amp;'Compliance Database'!$N109&amp;" "&amp;'Compliance Database'!$O109)))),1,0)</f>
        <v/>
      </c>
      <c r="B109">
        <f>IF($A109=1,SUM($A$2:$A109),"")</f>
        <v/>
      </c>
      <c r="C109">
        <f>IF($A109=1,SUM($A$2:$A109),0)</f>
        <v/>
      </c>
    </row>
    <row r="110">
      <c r="A110">
        <f>IF(AND(OR('Compliance Database'!$A110='Data Transfer'!$B$4,'Compliance Database'!$A110='Data Transfer'!$B$5),OR('Data Transfer'!$B$6="",ISNUMBER(SEARCH('Data Transfer'!$B$6,'Compliance Database'!$D110&amp;" "&amp;'Compliance Database'!$L110&amp;" "&amp;'Compliance Database'!$M110&amp;" "&amp;'Compliance Database'!$N110&amp;" "&amp;'Compliance Database'!$O110)))),1,0)</f>
        <v/>
      </c>
      <c r="B110">
        <f>IF($A110=1,SUM($A$2:$A110),"")</f>
        <v/>
      </c>
      <c r="C110">
        <f>IF($A110=1,SUM($A$2:$A110),0)</f>
        <v/>
      </c>
    </row>
    <row r="111">
      <c r="A111">
        <f>IF(AND(OR('Compliance Database'!$A111='Data Transfer'!$B$4,'Compliance Database'!$A111='Data Transfer'!$B$5),OR('Data Transfer'!$B$6="",ISNUMBER(SEARCH('Data Transfer'!$B$6,'Compliance Database'!$D111&amp;" "&amp;'Compliance Database'!$L111&amp;" "&amp;'Compliance Database'!$M111&amp;" "&amp;'Compliance Database'!$N111&amp;" "&amp;'Compliance Database'!$O111)))),1,0)</f>
        <v/>
      </c>
      <c r="B111">
        <f>IF($A111=1,SUM($A$2:$A111),"")</f>
        <v/>
      </c>
      <c r="C111">
        <f>IF($A111=1,SUM($A$2:$A111),0)</f>
        <v/>
      </c>
    </row>
    <row r="112">
      <c r="A112">
        <f>IF(AND(OR('Compliance Database'!$A112='Data Transfer'!$B$4,'Compliance Database'!$A112='Data Transfer'!$B$5),OR('Data Transfer'!$B$6="",ISNUMBER(SEARCH('Data Transfer'!$B$6,'Compliance Database'!$D112&amp;" "&amp;'Compliance Database'!$L112&amp;" "&amp;'Compliance Database'!$M112&amp;" "&amp;'Compliance Database'!$N112&amp;" "&amp;'Compliance Database'!$O112)))),1,0)</f>
        <v/>
      </c>
      <c r="B112">
        <f>IF($A112=1,SUM($A$2:$A112),"")</f>
        <v/>
      </c>
      <c r="C112">
        <f>IF($A112=1,SUM($A$2:$A112),0)</f>
        <v/>
      </c>
    </row>
    <row r="113">
      <c r="A113">
        <f>IF(AND(OR('Compliance Database'!$A113='Data Transfer'!$B$4,'Compliance Database'!$A113='Data Transfer'!$B$5),OR('Data Transfer'!$B$6="",ISNUMBER(SEARCH('Data Transfer'!$B$6,'Compliance Database'!$D113&amp;" "&amp;'Compliance Database'!$L113&amp;" "&amp;'Compliance Database'!$M113&amp;" "&amp;'Compliance Database'!$N113&amp;" "&amp;'Compliance Database'!$O113)))),1,0)</f>
        <v/>
      </c>
      <c r="B113">
        <f>IF($A113=1,SUM($A$2:$A113),"")</f>
        <v/>
      </c>
      <c r="C113">
        <f>IF($A113=1,SUM($A$2:$A113),0)</f>
        <v/>
      </c>
    </row>
    <row r="114">
      <c r="A114">
        <f>IF(AND(OR('Compliance Database'!$A114='Data Transfer'!$B$4,'Compliance Database'!$A114='Data Transfer'!$B$5),OR('Data Transfer'!$B$6="",ISNUMBER(SEARCH('Data Transfer'!$B$6,'Compliance Database'!$D114&amp;" "&amp;'Compliance Database'!$L114&amp;" "&amp;'Compliance Database'!$M114&amp;" "&amp;'Compliance Database'!$N114&amp;" "&amp;'Compliance Database'!$O114)))),1,0)</f>
        <v/>
      </c>
      <c r="B114">
        <f>IF($A114=1,SUM($A$2:$A114),"")</f>
        <v/>
      </c>
      <c r="C114">
        <f>IF($A114=1,SUM($A$2:$A114),0)</f>
        <v/>
      </c>
    </row>
    <row r="115">
      <c r="A115">
        <f>IF(AND(OR('Compliance Database'!$A115='Data Transfer'!$B$4,'Compliance Database'!$A115='Data Transfer'!$B$5),OR('Data Transfer'!$B$6="",ISNUMBER(SEARCH('Data Transfer'!$B$6,'Compliance Database'!$D115&amp;" "&amp;'Compliance Database'!$L115&amp;" "&amp;'Compliance Database'!$M115&amp;" "&amp;'Compliance Database'!$N115&amp;" "&amp;'Compliance Database'!$O115)))),1,0)</f>
        <v/>
      </c>
      <c r="B115">
        <f>IF($A115=1,SUM($A$2:$A115),"")</f>
        <v/>
      </c>
      <c r="C115">
        <f>IF($A115=1,SUM($A$2:$A115),0)</f>
        <v/>
      </c>
    </row>
    <row r="116">
      <c r="A116">
        <f>IF(AND(OR('Compliance Database'!$A116='Data Transfer'!$B$4,'Compliance Database'!$A116='Data Transfer'!$B$5),OR('Data Transfer'!$B$6="",ISNUMBER(SEARCH('Data Transfer'!$B$6,'Compliance Database'!$D116&amp;" "&amp;'Compliance Database'!$L116&amp;" "&amp;'Compliance Database'!$M116&amp;" "&amp;'Compliance Database'!$N116&amp;" "&amp;'Compliance Database'!$O116)))),1,0)</f>
        <v/>
      </c>
      <c r="B116">
        <f>IF($A116=1,SUM($A$2:$A116),"")</f>
        <v/>
      </c>
      <c r="C116">
        <f>IF($A116=1,SUM($A$2:$A116),0)</f>
        <v/>
      </c>
    </row>
    <row r="117">
      <c r="A117">
        <f>IF(AND(OR('Compliance Database'!$A117='Data Transfer'!$B$4,'Compliance Database'!$A117='Data Transfer'!$B$5),OR('Data Transfer'!$B$6="",ISNUMBER(SEARCH('Data Transfer'!$B$6,'Compliance Database'!$D117&amp;" "&amp;'Compliance Database'!$L117&amp;" "&amp;'Compliance Database'!$M117&amp;" "&amp;'Compliance Database'!$N117&amp;" "&amp;'Compliance Database'!$O117)))),1,0)</f>
        <v/>
      </c>
      <c r="B117">
        <f>IF($A117=1,SUM($A$2:$A117),"")</f>
        <v/>
      </c>
      <c r="C117">
        <f>IF($A117=1,SUM($A$2:$A117),0)</f>
        <v/>
      </c>
    </row>
    <row r="118">
      <c r="A118">
        <f>IF(AND(OR('Compliance Database'!$A118='Data Transfer'!$B$4,'Compliance Database'!$A118='Data Transfer'!$B$5),OR('Data Transfer'!$B$6="",ISNUMBER(SEARCH('Data Transfer'!$B$6,'Compliance Database'!$D118&amp;" "&amp;'Compliance Database'!$L118&amp;" "&amp;'Compliance Database'!$M118&amp;" "&amp;'Compliance Database'!$N118&amp;" "&amp;'Compliance Database'!$O118)))),1,0)</f>
        <v/>
      </c>
      <c r="B118">
        <f>IF($A118=1,SUM($A$2:$A118),"")</f>
        <v/>
      </c>
      <c r="C118">
        <f>IF($A118=1,SUM($A$2:$A118),0)</f>
        <v/>
      </c>
    </row>
    <row r="119">
      <c r="A119">
        <f>IF(AND(OR('Compliance Database'!$A119='Data Transfer'!$B$4,'Compliance Database'!$A119='Data Transfer'!$B$5),OR('Data Transfer'!$B$6="",ISNUMBER(SEARCH('Data Transfer'!$B$6,'Compliance Database'!$D119&amp;" "&amp;'Compliance Database'!$L119&amp;" "&amp;'Compliance Database'!$M119&amp;" "&amp;'Compliance Database'!$N119&amp;" "&amp;'Compliance Database'!$O119)))),1,0)</f>
        <v/>
      </c>
      <c r="B119">
        <f>IF($A119=1,SUM($A$2:$A119),"")</f>
        <v/>
      </c>
      <c r="C119">
        <f>IF($A119=1,SUM($A$2:$A119),0)</f>
        <v/>
      </c>
    </row>
    <row r="120">
      <c r="A120">
        <f>IF(AND(OR('Compliance Database'!$A120='Data Transfer'!$B$4,'Compliance Database'!$A120='Data Transfer'!$B$5),OR('Data Transfer'!$B$6="",ISNUMBER(SEARCH('Data Transfer'!$B$6,'Compliance Database'!$D120&amp;" "&amp;'Compliance Database'!$L120&amp;" "&amp;'Compliance Database'!$M120&amp;" "&amp;'Compliance Database'!$N120&amp;" "&amp;'Compliance Database'!$O120)))),1,0)</f>
        <v/>
      </c>
      <c r="B120">
        <f>IF($A120=1,SUM($A$2:$A120),"")</f>
        <v/>
      </c>
      <c r="C120">
        <f>IF($A120=1,SUM($A$2:$A120),0)</f>
        <v/>
      </c>
    </row>
    <row r="121">
      <c r="A121">
        <f>IF(AND(OR('Compliance Database'!$A121='Data Transfer'!$B$4,'Compliance Database'!$A121='Data Transfer'!$B$5),OR('Data Transfer'!$B$6="",ISNUMBER(SEARCH('Data Transfer'!$B$6,'Compliance Database'!$D121&amp;" "&amp;'Compliance Database'!$L121&amp;" "&amp;'Compliance Database'!$M121&amp;" "&amp;'Compliance Database'!$N121&amp;" "&amp;'Compliance Database'!$O121)))),1,0)</f>
        <v/>
      </c>
      <c r="B121">
        <f>IF($A121=1,SUM($A$2:$A121),"")</f>
        <v/>
      </c>
      <c r="C121">
        <f>IF($A121=1,SUM($A$2:$A121),0)</f>
        <v/>
      </c>
    </row>
    <row r="122">
      <c r="A122">
        <f>IF(AND(OR('Compliance Database'!$A122='Data Transfer'!$B$4,'Compliance Database'!$A122='Data Transfer'!$B$5),OR('Data Transfer'!$B$6="",ISNUMBER(SEARCH('Data Transfer'!$B$6,'Compliance Database'!$D122&amp;" "&amp;'Compliance Database'!$L122&amp;" "&amp;'Compliance Database'!$M122&amp;" "&amp;'Compliance Database'!$N122&amp;" "&amp;'Compliance Database'!$O122)))),1,0)</f>
        <v/>
      </c>
      <c r="B122">
        <f>IF($A122=1,SUM($A$2:$A122),"")</f>
        <v/>
      </c>
      <c r="C122">
        <f>IF($A122=1,SUM($A$2:$A122),0)</f>
        <v/>
      </c>
    </row>
    <row r="123">
      <c r="A123">
        <f>IF(AND(OR('Compliance Database'!$A123='Data Transfer'!$B$4,'Compliance Database'!$A123='Data Transfer'!$B$5),OR('Data Transfer'!$B$6="",ISNUMBER(SEARCH('Data Transfer'!$B$6,'Compliance Database'!$D123&amp;" "&amp;'Compliance Database'!$L123&amp;" "&amp;'Compliance Database'!$M123&amp;" "&amp;'Compliance Database'!$N123&amp;" "&amp;'Compliance Database'!$O123)))),1,0)</f>
        <v/>
      </c>
      <c r="B123">
        <f>IF($A123=1,SUM($A$2:$A123),"")</f>
        <v/>
      </c>
      <c r="C123">
        <f>IF($A123=1,SUM($A$2:$A123),0)</f>
        <v/>
      </c>
    </row>
    <row r="124">
      <c r="A124">
        <f>IF(AND(OR('Compliance Database'!$A124='Data Transfer'!$B$4,'Compliance Database'!$A124='Data Transfer'!$B$5),OR('Data Transfer'!$B$6="",ISNUMBER(SEARCH('Data Transfer'!$B$6,'Compliance Database'!$D124&amp;" "&amp;'Compliance Database'!$L124&amp;" "&amp;'Compliance Database'!$M124&amp;" "&amp;'Compliance Database'!$N124&amp;" "&amp;'Compliance Database'!$O124)))),1,0)</f>
        <v/>
      </c>
      <c r="B124">
        <f>IF($A124=1,SUM($A$2:$A124),"")</f>
        <v/>
      </c>
      <c r="C124">
        <f>IF($A124=1,SUM($A$2:$A124),0)</f>
        <v/>
      </c>
    </row>
    <row r="125">
      <c r="A125">
        <f>IF(AND(OR('Compliance Database'!$A125='Data Transfer'!$B$4,'Compliance Database'!$A125='Data Transfer'!$B$5),OR('Data Transfer'!$B$6="",ISNUMBER(SEARCH('Data Transfer'!$B$6,'Compliance Database'!$D125&amp;" "&amp;'Compliance Database'!$L125&amp;" "&amp;'Compliance Database'!$M125&amp;" "&amp;'Compliance Database'!$N125&amp;" "&amp;'Compliance Database'!$O125)))),1,0)</f>
        <v/>
      </c>
      <c r="B125">
        <f>IF($A125=1,SUM($A$2:$A125),"")</f>
        <v/>
      </c>
      <c r="C125">
        <f>IF($A125=1,SUM($A$2:$A125),0)</f>
        <v/>
      </c>
    </row>
    <row r="126">
      <c r="A126">
        <f>IF(AND(OR('Compliance Database'!$A126='Data Transfer'!$B$4,'Compliance Database'!$A126='Data Transfer'!$B$5),OR('Data Transfer'!$B$6="",ISNUMBER(SEARCH('Data Transfer'!$B$6,'Compliance Database'!$D126&amp;" "&amp;'Compliance Database'!$L126&amp;" "&amp;'Compliance Database'!$M126&amp;" "&amp;'Compliance Database'!$N126&amp;" "&amp;'Compliance Database'!$O126)))),1,0)</f>
        <v/>
      </c>
      <c r="B126">
        <f>IF($A126=1,SUM($A$2:$A126),"")</f>
        <v/>
      </c>
      <c r="C126">
        <f>IF($A126=1,SUM($A$2:$A126),0)</f>
        <v/>
      </c>
    </row>
    <row r="127">
      <c r="A127">
        <f>IF(AND(OR('Compliance Database'!$A127='Data Transfer'!$B$4,'Compliance Database'!$A127='Data Transfer'!$B$5),OR('Data Transfer'!$B$6="",ISNUMBER(SEARCH('Data Transfer'!$B$6,'Compliance Database'!$D127&amp;" "&amp;'Compliance Database'!$L127&amp;" "&amp;'Compliance Database'!$M127&amp;" "&amp;'Compliance Database'!$N127&amp;" "&amp;'Compliance Database'!$O127)))),1,0)</f>
        <v/>
      </c>
      <c r="B127">
        <f>IF($A127=1,SUM($A$2:$A127),"")</f>
        <v/>
      </c>
      <c r="C127">
        <f>IF($A127=1,SUM($A$2:$A127),0)</f>
        <v/>
      </c>
    </row>
    <row r="128">
      <c r="A128">
        <f>IF(AND(OR('Compliance Database'!$A128='Data Transfer'!$B$4,'Compliance Database'!$A128='Data Transfer'!$B$5),OR('Data Transfer'!$B$6="",ISNUMBER(SEARCH('Data Transfer'!$B$6,'Compliance Database'!$D128&amp;" "&amp;'Compliance Database'!$L128&amp;" "&amp;'Compliance Database'!$M128&amp;" "&amp;'Compliance Database'!$N128&amp;" "&amp;'Compliance Database'!$O128)))),1,0)</f>
        <v/>
      </c>
      <c r="B128">
        <f>IF($A128=1,SUM($A$2:$A128),"")</f>
        <v/>
      </c>
      <c r="C128">
        <f>IF($A128=1,SUM($A$2:$A128),0)</f>
        <v/>
      </c>
    </row>
    <row r="129">
      <c r="A129">
        <f>IF(AND(OR('Compliance Database'!$A129='Data Transfer'!$B$4,'Compliance Database'!$A129='Data Transfer'!$B$5),OR('Data Transfer'!$B$6="",ISNUMBER(SEARCH('Data Transfer'!$B$6,'Compliance Database'!$D129&amp;" "&amp;'Compliance Database'!$L129&amp;" "&amp;'Compliance Database'!$M129&amp;" "&amp;'Compliance Database'!$N129&amp;" "&amp;'Compliance Database'!$O129)))),1,0)</f>
        <v/>
      </c>
      <c r="B129">
        <f>IF($A129=1,SUM($A$2:$A129),"")</f>
        <v/>
      </c>
      <c r="C129">
        <f>IF($A129=1,SUM($A$2:$A129),0)</f>
        <v/>
      </c>
    </row>
    <row r="130">
      <c r="A130">
        <f>IF(AND(OR('Compliance Database'!$A130='Data Transfer'!$B$4,'Compliance Database'!$A130='Data Transfer'!$B$5),OR('Data Transfer'!$B$6="",ISNUMBER(SEARCH('Data Transfer'!$B$6,'Compliance Database'!$D130&amp;" "&amp;'Compliance Database'!$L130&amp;" "&amp;'Compliance Database'!$M130&amp;" "&amp;'Compliance Database'!$N130&amp;" "&amp;'Compliance Database'!$O130)))),1,0)</f>
        <v/>
      </c>
      <c r="B130">
        <f>IF($A130=1,SUM($A$2:$A130),"")</f>
        <v/>
      </c>
      <c r="C130">
        <f>IF($A130=1,SUM($A$2:$A130),0)</f>
        <v/>
      </c>
    </row>
    <row r="131">
      <c r="A131">
        <f>IF(AND(OR('Compliance Database'!$A131='Data Transfer'!$B$4,'Compliance Database'!$A131='Data Transfer'!$B$5),OR('Data Transfer'!$B$6="",ISNUMBER(SEARCH('Data Transfer'!$B$6,'Compliance Database'!$D131&amp;" "&amp;'Compliance Database'!$L131&amp;" "&amp;'Compliance Database'!$M131&amp;" "&amp;'Compliance Database'!$N131&amp;" "&amp;'Compliance Database'!$O131)))),1,0)</f>
        <v/>
      </c>
      <c r="B131">
        <f>IF($A131=1,SUM($A$2:$A131),"")</f>
        <v/>
      </c>
      <c r="C131">
        <f>IF($A131=1,SUM($A$2:$A131),0)</f>
        <v/>
      </c>
    </row>
    <row r="132">
      <c r="A132">
        <f>IF(AND(OR('Compliance Database'!$A132='Data Transfer'!$B$4,'Compliance Database'!$A132='Data Transfer'!$B$5),OR('Data Transfer'!$B$6="",ISNUMBER(SEARCH('Data Transfer'!$B$6,'Compliance Database'!$D132&amp;" "&amp;'Compliance Database'!$L132&amp;" "&amp;'Compliance Database'!$M132&amp;" "&amp;'Compliance Database'!$N132&amp;" "&amp;'Compliance Database'!$O132)))),1,0)</f>
        <v/>
      </c>
      <c r="B132">
        <f>IF($A132=1,SUM($A$2:$A132),"")</f>
        <v/>
      </c>
      <c r="C132">
        <f>IF($A132=1,SUM($A$2:$A132),0)</f>
        <v/>
      </c>
    </row>
    <row r="133">
      <c r="A133">
        <f>IF(AND(OR('Compliance Database'!$A133='Data Transfer'!$B$4,'Compliance Database'!$A133='Data Transfer'!$B$5),OR('Data Transfer'!$B$6="",ISNUMBER(SEARCH('Data Transfer'!$B$6,'Compliance Database'!$D133&amp;" "&amp;'Compliance Database'!$L133&amp;" "&amp;'Compliance Database'!$M133&amp;" "&amp;'Compliance Database'!$N133&amp;" "&amp;'Compliance Database'!$O133)))),1,0)</f>
        <v/>
      </c>
      <c r="B133">
        <f>IF($A133=1,SUM($A$2:$A133),"")</f>
        <v/>
      </c>
      <c r="C133">
        <f>IF($A133=1,SUM($A$2:$A133),0)</f>
        <v/>
      </c>
    </row>
    <row r="134">
      <c r="A134">
        <f>IF(AND(OR('Compliance Database'!$A134='Data Transfer'!$B$4,'Compliance Database'!$A134='Data Transfer'!$B$5),OR('Data Transfer'!$B$6="",ISNUMBER(SEARCH('Data Transfer'!$B$6,'Compliance Database'!$D134&amp;" "&amp;'Compliance Database'!$L134&amp;" "&amp;'Compliance Database'!$M134&amp;" "&amp;'Compliance Database'!$N134&amp;" "&amp;'Compliance Database'!$O134)))),1,0)</f>
        <v/>
      </c>
      <c r="B134">
        <f>IF($A134=1,SUM($A$2:$A134),"")</f>
        <v/>
      </c>
      <c r="C134">
        <f>IF($A134=1,SUM($A$2:$A134),0)</f>
        <v/>
      </c>
    </row>
    <row r="135">
      <c r="A135">
        <f>IF(AND(OR('Compliance Database'!$A135='Data Transfer'!$B$4,'Compliance Database'!$A135='Data Transfer'!$B$5),OR('Data Transfer'!$B$6="",ISNUMBER(SEARCH('Data Transfer'!$B$6,'Compliance Database'!$D135&amp;" "&amp;'Compliance Database'!$L135&amp;" "&amp;'Compliance Database'!$M135&amp;" "&amp;'Compliance Database'!$N135&amp;" "&amp;'Compliance Database'!$O135)))),1,0)</f>
        <v/>
      </c>
      <c r="B135">
        <f>IF($A135=1,SUM($A$2:$A135),"")</f>
        <v/>
      </c>
      <c r="C135">
        <f>IF($A135=1,SUM($A$2:$A135),0)</f>
        <v/>
      </c>
    </row>
    <row r="136">
      <c r="A136">
        <f>IF(AND(OR('Compliance Database'!$A136='Data Transfer'!$B$4,'Compliance Database'!$A136='Data Transfer'!$B$5),OR('Data Transfer'!$B$6="",ISNUMBER(SEARCH('Data Transfer'!$B$6,'Compliance Database'!$D136&amp;" "&amp;'Compliance Database'!$L136&amp;" "&amp;'Compliance Database'!$M136&amp;" "&amp;'Compliance Database'!$N136&amp;" "&amp;'Compliance Database'!$O136)))),1,0)</f>
        <v/>
      </c>
      <c r="B136">
        <f>IF($A136=1,SUM($A$2:$A136),"")</f>
        <v/>
      </c>
      <c r="C136">
        <f>IF($A136=1,SUM($A$2:$A136),0)</f>
        <v/>
      </c>
    </row>
    <row r="137">
      <c r="A137">
        <f>IF(AND(OR('Compliance Database'!$A137='Data Transfer'!$B$4,'Compliance Database'!$A137='Data Transfer'!$B$5),OR('Data Transfer'!$B$6="",ISNUMBER(SEARCH('Data Transfer'!$B$6,'Compliance Database'!$D137&amp;" "&amp;'Compliance Database'!$L137&amp;" "&amp;'Compliance Database'!$M137&amp;" "&amp;'Compliance Database'!$N137&amp;" "&amp;'Compliance Database'!$O137)))),1,0)</f>
        <v/>
      </c>
      <c r="B137">
        <f>IF($A137=1,SUM($A$2:$A137),"")</f>
        <v/>
      </c>
      <c r="C137">
        <f>IF($A137=1,SUM($A$2:$A137),0)</f>
        <v/>
      </c>
    </row>
    <row r="138">
      <c r="A138">
        <f>IF(AND(OR('Compliance Database'!$A138='Data Transfer'!$B$4,'Compliance Database'!$A138='Data Transfer'!$B$5),OR('Data Transfer'!$B$6="",ISNUMBER(SEARCH('Data Transfer'!$B$6,'Compliance Database'!$D138&amp;" "&amp;'Compliance Database'!$L138&amp;" "&amp;'Compliance Database'!$M138&amp;" "&amp;'Compliance Database'!$N138&amp;" "&amp;'Compliance Database'!$O138)))),1,0)</f>
        <v/>
      </c>
      <c r="B138">
        <f>IF($A138=1,SUM($A$2:$A138),"")</f>
        <v/>
      </c>
      <c r="C138">
        <f>IF($A138=1,SUM($A$2:$A138),0)</f>
        <v/>
      </c>
    </row>
    <row r="139">
      <c r="A139">
        <f>IF(AND(OR('Compliance Database'!$A139='Data Transfer'!$B$4,'Compliance Database'!$A139='Data Transfer'!$B$5),OR('Data Transfer'!$B$6="",ISNUMBER(SEARCH('Data Transfer'!$B$6,'Compliance Database'!$D139&amp;" "&amp;'Compliance Database'!$L139&amp;" "&amp;'Compliance Database'!$M139&amp;" "&amp;'Compliance Database'!$N139&amp;" "&amp;'Compliance Database'!$O139)))),1,0)</f>
        <v/>
      </c>
      <c r="B139">
        <f>IF($A139=1,SUM($A$2:$A139),"")</f>
        <v/>
      </c>
      <c r="C139">
        <f>IF($A139=1,SUM($A$2:$A139),0)</f>
        <v/>
      </c>
    </row>
    <row r="140">
      <c r="A140">
        <f>IF(AND(OR('Compliance Database'!$A140='Data Transfer'!$B$4,'Compliance Database'!$A140='Data Transfer'!$B$5),OR('Data Transfer'!$B$6="",ISNUMBER(SEARCH('Data Transfer'!$B$6,'Compliance Database'!$D140&amp;" "&amp;'Compliance Database'!$L140&amp;" "&amp;'Compliance Database'!$M140&amp;" "&amp;'Compliance Database'!$N140&amp;" "&amp;'Compliance Database'!$O140)))),1,0)</f>
        <v/>
      </c>
      <c r="B140">
        <f>IF($A140=1,SUM($A$2:$A140),"")</f>
        <v/>
      </c>
      <c r="C140">
        <f>IF($A140=1,SUM($A$2:$A140),0)</f>
        <v/>
      </c>
    </row>
    <row r="141">
      <c r="A141">
        <f>IF(AND(OR('Compliance Database'!$A141='Data Transfer'!$B$4,'Compliance Database'!$A141='Data Transfer'!$B$5),OR('Data Transfer'!$B$6="",ISNUMBER(SEARCH('Data Transfer'!$B$6,'Compliance Database'!$D141&amp;" "&amp;'Compliance Database'!$L141&amp;" "&amp;'Compliance Database'!$M141&amp;" "&amp;'Compliance Database'!$N141&amp;" "&amp;'Compliance Database'!$O141)))),1,0)</f>
        <v/>
      </c>
      <c r="B141">
        <f>IF($A141=1,SUM($A$2:$A141),"")</f>
        <v/>
      </c>
      <c r="C141">
        <f>IF($A141=1,SUM($A$2:$A141),0)</f>
        <v/>
      </c>
    </row>
    <row r="142">
      <c r="A142">
        <f>IF(AND(OR('Compliance Database'!$A142='Data Transfer'!$B$4,'Compliance Database'!$A142='Data Transfer'!$B$5),OR('Data Transfer'!$B$6="",ISNUMBER(SEARCH('Data Transfer'!$B$6,'Compliance Database'!$D142&amp;" "&amp;'Compliance Database'!$L142&amp;" "&amp;'Compliance Database'!$M142&amp;" "&amp;'Compliance Database'!$N142&amp;" "&amp;'Compliance Database'!$O142)))),1,0)</f>
        <v/>
      </c>
      <c r="B142">
        <f>IF($A142=1,SUM($A$2:$A142),"")</f>
        <v/>
      </c>
      <c r="C142">
        <f>IF($A142=1,SUM($A$2:$A142),0)</f>
        <v/>
      </c>
    </row>
    <row r="143">
      <c r="A143">
        <f>IF(AND(OR('Compliance Database'!$A143='Data Transfer'!$B$4,'Compliance Database'!$A143='Data Transfer'!$B$5),OR('Data Transfer'!$B$6="",ISNUMBER(SEARCH('Data Transfer'!$B$6,'Compliance Database'!$D143&amp;" "&amp;'Compliance Database'!$L143&amp;" "&amp;'Compliance Database'!$M143&amp;" "&amp;'Compliance Database'!$N143&amp;" "&amp;'Compliance Database'!$O143)))),1,0)</f>
        <v/>
      </c>
      <c r="B143">
        <f>IF($A143=1,SUM($A$2:$A143),"")</f>
        <v/>
      </c>
      <c r="C143">
        <f>IF($A143=1,SUM($A$2:$A143),0)</f>
        <v/>
      </c>
    </row>
    <row r="144">
      <c r="A144">
        <f>IF(AND(OR('Compliance Database'!$A144='Data Transfer'!$B$4,'Compliance Database'!$A144='Data Transfer'!$B$5),OR('Data Transfer'!$B$6="",ISNUMBER(SEARCH('Data Transfer'!$B$6,'Compliance Database'!$D144&amp;" "&amp;'Compliance Database'!$L144&amp;" "&amp;'Compliance Database'!$M144&amp;" "&amp;'Compliance Database'!$N144&amp;" "&amp;'Compliance Database'!$O144)))),1,0)</f>
        <v/>
      </c>
      <c r="B144">
        <f>IF($A144=1,SUM($A$2:$A144),"")</f>
        <v/>
      </c>
      <c r="C144">
        <f>IF($A144=1,SUM($A$2:$A144),0)</f>
        <v/>
      </c>
    </row>
    <row r="145">
      <c r="A145">
        <f>IF(AND(OR('Compliance Database'!$A145='Data Transfer'!$B$4,'Compliance Database'!$A145='Data Transfer'!$B$5),OR('Data Transfer'!$B$6="",ISNUMBER(SEARCH('Data Transfer'!$B$6,'Compliance Database'!$D145&amp;" "&amp;'Compliance Database'!$L145&amp;" "&amp;'Compliance Database'!$M145&amp;" "&amp;'Compliance Database'!$N145&amp;" "&amp;'Compliance Database'!$O145)))),1,0)</f>
        <v/>
      </c>
      <c r="B145">
        <f>IF($A145=1,SUM($A$2:$A145),"")</f>
        <v/>
      </c>
      <c r="C145">
        <f>IF($A145=1,SUM($A$2:$A145),0)</f>
        <v/>
      </c>
    </row>
    <row r="146">
      <c r="A146">
        <f>IF(AND(OR('Compliance Database'!$A146='Data Transfer'!$B$4,'Compliance Database'!$A146='Data Transfer'!$B$5),OR('Data Transfer'!$B$6="",ISNUMBER(SEARCH('Data Transfer'!$B$6,'Compliance Database'!$D146&amp;" "&amp;'Compliance Database'!$L146&amp;" "&amp;'Compliance Database'!$M146&amp;" "&amp;'Compliance Database'!$N146&amp;" "&amp;'Compliance Database'!$O146)))),1,0)</f>
        <v/>
      </c>
      <c r="B146">
        <f>IF($A146=1,SUM($A$2:$A146),"")</f>
        <v/>
      </c>
      <c r="C146">
        <f>IF($A146=1,SUM($A$2:$A146),0)</f>
        <v/>
      </c>
    </row>
    <row r="147">
      <c r="A147">
        <f>IF(AND(OR('Compliance Database'!$A147='Data Transfer'!$B$4,'Compliance Database'!$A147='Data Transfer'!$B$5),OR('Data Transfer'!$B$6="",ISNUMBER(SEARCH('Data Transfer'!$B$6,'Compliance Database'!$D147&amp;" "&amp;'Compliance Database'!$L147&amp;" "&amp;'Compliance Database'!$M147&amp;" "&amp;'Compliance Database'!$N147&amp;" "&amp;'Compliance Database'!$O147)))),1,0)</f>
        <v/>
      </c>
      <c r="B147">
        <f>IF($A147=1,SUM($A$2:$A147),"")</f>
        <v/>
      </c>
      <c r="C147">
        <f>IF($A147=1,SUM($A$2:$A147),0)</f>
        <v/>
      </c>
    </row>
    <row r="148">
      <c r="A148">
        <f>IF(AND(OR('Compliance Database'!$A148='Data Transfer'!$B$4,'Compliance Database'!$A148='Data Transfer'!$B$5),OR('Data Transfer'!$B$6="",ISNUMBER(SEARCH('Data Transfer'!$B$6,'Compliance Database'!$D148&amp;" "&amp;'Compliance Database'!$L148&amp;" "&amp;'Compliance Database'!$M148&amp;" "&amp;'Compliance Database'!$N148&amp;" "&amp;'Compliance Database'!$O148)))),1,0)</f>
        <v/>
      </c>
      <c r="B148">
        <f>IF($A148=1,SUM($A$2:$A148),"")</f>
        <v/>
      </c>
      <c r="C148">
        <f>IF($A148=1,SUM($A$2:$A148),0)</f>
        <v/>
      </c>
    </row>
    <row r="149">
      <c r="A149">
        <f>IF(AND(OR('Compliance Database'!$A149='Data Transfer'!$B$4,'Compliance Database'!$A149='Data Transfer'!$B$5),OR('Data Transfer'!$B$6="",ISNUMBER(SEARCH('Data Transfer'!$B$6,'Compliance Database'!$D149&amp;" "&amp;'Compliance Database'!$L149&amp;" "&amp;'Compliance Database'!$M149&amp;" "&amp;'Compliance Database'!$N149&amp;" "&amp;'Compliance Database'!$O149)))),1,0)</f>
        <v/>
      </c>
      <c r="B149">
        <f>IF($A149=1,SUM($A$2:$A149),"")</f>
        <v/>
      </c>
      <c r="C149">
        <f>IF($A149=1,SUM($A$2:$A149),0)</f>
        <v/>
      </c>
    </row>
    <row r="150">
      <c r="A150">
        <f>IF(AND(OR('Compliance Database'!$A150='Data Transfer'!$B$4,'Compliance Database'!$A150='Data Transfer'!$B$5),OR('Data Transfer'!$B$6="",ISNUMBER(SEARCH('Data Transfer'!$B$6,'Compliance Database'!$D150&amp;" "&amp;'Compliance Database'!$L150&amp;" "&amp;'Compliance Database'!$M150&amp;" "&amp;'Compliance Database'!$N150&amp;" "&amp;'Compliance Database'!$O150)))),1,0)</f>
        <v/>
      </c>
      <c r="B150">
        <f>IF($A150=1,SUM($A$2:$A150),"")</f>
        <v/>
      </c>
      <c r="C150">
        <f>IF($A150=1,SUM($A$2:$A150),0)</f>
        <v/>
      </c>
    </row>
    <row r="151">
      <c r="A151">
        <f>IF(AND(OR('Compliance Database'!$A151='Data Transfer'!$B$4,'Compliance Database'!$A151='Data Transfer'!$B$5),OR('Data Transfer'!$B$6="",ISNUMBER(SEARCH('Data Transfer'!$B$6,'Compliance Database'!$D151&amp;" "&amp;'Compliance Database'!$L151&amp;" "&amp;'Compliance Database'!$M151&amp;" "&amp;'Compliance Database'!$N151&amp;" "&amp;'Compliance Database'!$O151)))),1,0)</f>
        <v/>
      </c>
      <c r="B151">
        <f>IF($A151=1,SUM($A$2:$A151),"")</f>
        <v/>
      </c>
      <c r="C151">
        <f>IF($A151=1,SUM($A$2:$A151),0)</f>
        <v/>
      </c>
    </row>
    <row r="152">
      <c r="A152">
        <f>IF(AND(OR('Compliance Database'!$A152='Data Transfer'!$B$4,'Compliance Database'!$A152='Data Transfer'!$B$5),OR('Data Transfer'!$B$6="",ISNUMBER(SEARCH('Data Transfer'!$B$6,'Compliance Database'!$D152&amp;" "&amp;'Compliance Database'!$L152&amp;" "&amp;'Compliance Database'!$M152&amp;" "&amp;'Compliance Database'!$N152&amp;" "&amp;'Compliance Database'!$O152)))),1,0)</f>
        <v/>
      </c>
      <c r="B152">
        <f>IF($A152=1,SUM($A$2:$A152),"")</f>
        <v/>
      </c>
      <c r="C152">
        <f>IF($A152=1,SUM($A$2:$A152),0)</f>
        <v/>
      </c>
    </row>
    <row r="153">
      <c r="A153">
        <f>IF(AND(OR('Compliance Database'!$A153='Data Transfer'!$B$4,'Compliance Database'!$A153='Data Transfer'!$B$5),OR('Data Transfer'!$B$6="",ISNUMBER(SEARCH('Data Transfer'!$B$6,'Compliance Database'!$D153&amp;" "&amp;'Compliance Database'!$L153&amp;" "&amp;'Compliance Database'!$M153&amp;" "&amp;'Compliance Database'!$N153&amp;" "&amp;'Compliance Database'!$O153)))),1,0)</f>
        <v/>
      </c>
      <c r="B153">
        <f>IF($A153=1,SUM($A$2:$A153),"")</f>
        <v/>
      </c>
      <c r="C153">
        <f>IF($A153=1,SUM($A$2:$A153),0)</f>
        <v/>
      </c>
    </row>
    <row r="154">
      <c r="A154">
        <f>IF(AND(OR('Compliance Database'!$A154='Data Transfer'!$B$4,'Compliance Database'!$A154='Data Transfer'!$B$5),OR('Data Transfer'!$B$6="",ISNUMBER(SEARCH('Data Transfer'!$B$6,'Compliance Database'!$D154&amp;" "&amp;'Compliance Database'!$L154&amp;" "&amp;'Compliance Database'!$M154&amp;" "&amp;'Compliance Database'!$N154&amp;" "&amp;'Compliance Database'!$O154)))),1,0)</f>
        <v/>
      </c>
      <c r="B154">
        <f>IF($A154=1,SUM($A$2:$A154),"")</f>
        <v/>
      </c>
      <c r="C154">
        <f>IF($A154=1,SUM($A$2:$A154),0)</f>
        <v/>
      </c>
    </row>
    <row r="155">
      <c r="A155">
        <f>IF(AND(OR('Compliance Database'!$A155='Data Transfer'!$B$4,'Compliance Database'!$A155='Data Transfer'!$B$5),OR('Data Transfer'!$B$6="",ISNUMBER(SEARCH('Data Transfer'!$B$6,'Compliance Database'!$D155&amp;" "&amp;'Compliance Database'!$L155&amp;" "&amp;'Compliance Database'!$M155&amp;" "&amp;'Compliance Database'!$N155&amp;" "&amp;'Compliance Database'!$O155)))),1,0)</f>
        <v/>
      </c>
      <c r="B155">
        <f>IF($A155=1,SUM($A$2:$A155),"")</f>
        <v/>
      </c>
      <c r="C155">
        <f>IF($A155=1,SUM($A$2:$A155),0)</f>
        <v/>
      </c>
    </row>
    <row r="156">
      <c r="A156">
        <f>IF(AND(OR('Compliance Database'!$A156='Data Transfer'!$B$4,'Compliance Database'!$A156='Data Transfer'!$B$5),OR('Data Transfer'!$B$6="",ISNUMBER(SEARCH('Data Transfer'!$B$6,'Compliance Database'!$D156&amp;" "&amp;'Compliance Database'!$L156&amp;" "&amp;'Compliance Database'!$M156&amp;" "&amp;'Compliance Database'!$N156&amp;" "&amp;'Compliance Database'!$O156)))),1,0)</f>
        <v/>
      </c>
      <c r="B156">
        <f>IF($A156=1,SUM($A$2:$A156),"")</f>
        <v/>
      </c>
      <c r="C156">
        <f>IF($A156=1,SUM($A$2:$A156),0)</f>
        <v/>
      </c>
    </row>
    <row r="157">
      <c r="A157">
        <f>IF(AND(OR('Compliance Database'!$A157='Data Transfer'!$B$4,'Compliance Database'!$A157='Data Transfer'!$B$5),OR('Data Transfer'!$B$6="",ISNUMBER(SEARCH('Data Transfer'!$B$6,'Compliance Database'!$D157&amp;" "&amp;'Compliance Database'!$L157&amp;" "&amp;'Compliance Database'!$M157&amp;" "&amp;'Compliance Database'!$N157&amp;" "&amp;'Compliance Database'!$O157)))),1,0)</f>
        <v/>
      </c>
      <c r="B157">
        <f>IF($A157=1,SUM($A$2:$A157),"")</f>
        <v/>
      </c>
      <c r="C157">
        <f>IF($A157=1,SUM($A$2:$A157),0)</f>
        <v/>
      </c>
    </row>
    <row r="158">
      <c r="A158">
        <f>IF(AND(OR('Compliance Database'!$A158='Data Transfer'!$B$4,'Compliance Database'!$A158='Data Transfer'!$B$5),OR('Data Transfer'!$B$6="",ISNUMBER(SEARCH('Data Transfer'!$B$6,'Compliance Database'!$D158&amp;" "&amp;'Compliance Database'!$L158&amp;" "&amp;'Compliance Database'!$M158&amp;" "&amp;'Compliance Database'!$N158&amp;" "&amp;'Compliance Database'!$O158)))),1,0)</f>
        <v/>
      </c>
      <c r="B158">
        <f>IF($A158=1,SUM($A$2:$A158),"")</f>
        <v/>
      </c>
      <c r="C158">
        <f>IF($A158=1,SUM($A$2:$A158),0)</f>
        <v/>
      </c>
    </row>
    <row r="159">
      <c r="A159">
        <f>IF(AND(OR('Compliance Database'!$A159='Data Transfer'!$B$4,'Compliance Database'!$A159='Data Transfer'!$B$5),OR('Data Transfer'!$B$6="",ISNUMBER(SEARCH('Data Transfer'!$B$6,'Compliance Database'!$D159&amp;" "&amp;'Compliance Database'!$L159&amp;" "&amp;'Compliance Database'!$M159&amp;" "&amp;'Compliance Database'!$N159&amp;" "&amp;'Compliance Database'!$O159)))),1,0)</f>
        <v/>
      </c>
      <c r="B159">
        <f>IF($A159=1,SUM($A$2:$A159),"")</f>
        <v/>
      </c>
      <c r="C159">
        <f>IF($A159=1,SUM($A$2:$A159),0)</f>
        <v/>
      </c>
    </row>
    <row r="160">
      <c r="A160">
        <f>IF(AND(OR('Compliance Database'!$A160='Data Transfer'!$B$4,'Compliance Database'!$A160='Data Transfer'!$B$5),OR('Data Transfer'!$B$6="",ISNUMBER(SEARCH('Data Transfer'!$B$6,'Compliance Database'!$D160&amp;" "&amp;'Compliance Database'!$L160&amp;" "&amp;'Compliance Database'!$M160&amp;" "&amp;'Compliance Database'!$N160&amp;" "&amp;'Compliance Database'!$O160)))),1,0)</f>
        <v/>
      </c>
      <c r="B160">
        <f>IF($A160=1,SUM($A$2:$A160),"")</f>
        <v/>
      </c>
      <c r="C160">
        <f>IF($A160=1,SUM($A$2:$A160),0)</f>
        <v/>
      </c>
    </row>
    <row r="161">
      <c r="A161">
        <f>IF(AND(OR('Compliance Database'!$A161='Data Transfer'!$B$4,'Compliance Database'!$A161='Data Transfer'!$B$5),OR('Data Transfer'!$B$6="",ISNUMBER(SEARCH('Data Transfer'!$B$6,'Compliance Database'!$D161&amp;" "&amp;'Compliance Database'!$L161&amp;" "&amp;'Compliance Database'!$M161&amp;" "&amp;'Compliance Database'!$N161&amp;" "&amp;'Compliance Database'!$O161)))),1,0)</f>
        <v/>
      </c>
      <c r="B161">
        <f>IF($A161=1,SUM($A$2:$A161),"")</f>
        <v/>
      </c>
      <c r="C161">
        <f>IF($A161=1,SUM($A$2:$A161),0)</f>
        <v/>
      </c>
    </row>
    <row r="162">
      <c r="A162">
        <f>IF(AND(OR('Compliance Database'!$A162='Data Transfer'!$B$4,'Compliance Database'!$A162='Data Transfer'!$B$5),OR('Data Transfer'!$B$6="",ISNUMBER(SEARCH('Data Transfer'!$B$6,'Compliance Database'!$D162&amp;" "&amp;'Compliance Database'!$L162&amp;" "&amp;'Compliance Database'!$M162&amp;" "&amp;'Compliance Database'!$N162&amp;" "&amp;'Compliance Database'!$O162)))),1,0)</f>
        <v/>
      </c>
      <c r="B162">
        <f>IF($A162=1,SUM($A$2:$A162),"")</f>
        <v/>
      </c>
      <c r="C162">
        <f>IF($A162=1,SUM($A$2:$A162),0)</f>
        <v/>
      </c>
    </row>
    <row r="163">
      <c r="A163">
        <f>IF(AND(OR('Compliance Database'!$A163='Data Transfer'!$B$4,'Compliance Database'!$A163='Data Transfer'!$B$5),OR('Data Transfer'!$B$6="",ISNUMBER(SEARCH('Data Transfer'!$B$6,'Compliance Database'!$D163&amp;" "&amp;'Compliance Database'!$L163&amp;" "&amp;'Compliance Database'!$M163&amp;" "&amp;'Compliance Database'!$N163&amp;" "&amp;'Compliance Database'!$O163)))),1,0)</f>
        <v/>
      </c>
      <c r="B163">
        <f>IF($A163=1,SUM($A$2:$A163),"")</f>
        <v/>
      </c>
      <c r="C163">
        <f>IF($A163=1,SUM($A$2:$A163),0)</f>
        <v/>
      </c>
    </row>
    <row r="164">
      <c r="A164">
        <f>IF(AND(OR('Compliance Database'!$A164='Data Transfer'!$B$4,'Compliance Database'!$A164='Data Transfer'!$B$5),OR('Data Transfer'!$B$6="",ISNUMBER(SEARCH('Data Transfer'!$B$6,'Compliance Database'!$D164&amp;" "&amp;'Compliance Database'!$L164&amp;" "&amp;'Compliance Database'!$M164&amp;" "&amp;'Compliance Database'!$N164&amp;" "&amp;'Compliance Database'!$O164)))),1,0)</f>
        <v/>
      </c>
      <c r="B164">
        <f>IF($A164=1,SUM($A$2:$A164),"")</f>
        <v/>
      </c>
      <c r="C164">
        <f>IF($A164=1,SUM($A$2:$A164),0)</f>
        <v/>
      </c>
    </row>
    <row r="165">
      <c r="A165">
        <f>IF(AND(OR('Compliance Database'!$A165='Data Transfer'!$B$4,'Compliance Database'!$A165='Data Transfer'!$B$5),OR('Data Transfer'!$B$6="",ISNUMBER(SEARCH('Data Transfer'!$B$6,'Compliance Database'!$D165&amp;" "&amp;'Compliance Database'!$L165&amp;" "&amp;'Compliance Database'!$M165&amp;" "&amp;'Compliance Database'!$N165&amp;" "&amp;'Compliance Database'!$O165)))),1,0)</f>
        <v/>
      </c>
      <c r="B165">
        <f>IF($A165=1,SUM($A$2:$A165),"")</f>
        <v/>
      </c>
      <c r="C165">
        <f>IF($A165=1,SUM($A$2:$A165),0)</f>
        <v/>
      </c>
    </row>
    <row r="166">
      <c r="A166">
        <f>IF(AND(OR('Compliance Database'!$A166='Data Transfer'!$B$4,'Compliance Database'!$A166='Data Transfer'!$B$5),OR('Data Transfer'!$B$6="",ISNUMBER(SEARCH('Data Transfer'!$B$6,'Compliance Database'!$D166&amp;" "&amp;'Compliance Database'!$L166&amp;" "&amp;'Compliance Database'!$M166&amp;" "&amp;'Compliance Database'!$N166&amp;" "&amp;'Compliance Database'!$O166)))),1,0)</f>
        <v/>
      </c>
      <c r="B166">
        <f>IF($A166=1,SUM($A$2:$A166),"")</f>
        <v/>
      </c>
      <c r="C166">
        <f>IF($A166=1,SUM($A$2:$A166),0)</f>
        <v/>
      </c>
    </row>
    <row r="167">
      <c r="A167">
        <f>IF(AND(OR('Compliance Database'!$A167='Data Transfer'!$B$4,'Compliance Database'!$A167='Data Transfer'!$B$5),OR('Data Transfer'!$B$6="",ISNUMBER(SEARCH('Data Transfer'!$B$6,'Compliance Database'!$D167&amp;" "&amp;'Compliance Database'!$L167&amp;" "&amp;'Compliance Database'!$M167&amp;" "&amp;'Compliance Database'!$N167&amp;" "&amp;'Compliance Database'!$O167)))),1,0)</f>
        <v/>
      </c>
      <c r="B167">
        <f>IF($A167=1,SUM($A$2:$A167),"")</f>
        <v/>
      </c>
      <c r="C167">
        <f>IF($A167=1,SUM($A$2:$A167),0)</f>
        <v/>
      </c>
    </row>
    <row r="168">
      <c r="A168">
        <f>IF(AND(OR('Compliance Database'!$A168='Data Transfer'!$B$4,'Compliance Database'!$A168='Data Transfer'!$B$5),OR('Data Transfer'!$B$6="",ISNUMBER(SEARCH('Data Transfer'!$B$6,'Compliance Database'!$D168&amp;" "&amp;'Compliance Database'!$L168&amp;" "&amp;'Compliance Database'!$M168&amp;" "&amp;'Compliance Database'!$N168&amp;" "&amp;'Compliance Database'!$O168)))),1,0)</f>
        <v/>
      </c>
      <c r="B168">
        <f>IF($A168=1,SUM($A$2:$A168),"")</f>
        <v/>
      </c>
      <c r="C168">
        <f>IF($A168=1,SUM($A$2:$A168),0)</f>
        <v/>
      </c>
    </row>
    <row r="169">
      <c r="A169">
        <f>IF(AND(OR('Compliance Database'!$A169='Data Transfer'!$B$4,'Compliance Database'!$A169='Data Transfer'!$B$5),OR('Data Transfer'!$B$6="",ISNUMBER(SEARCH('Data Transfer'!$B$6,'Compliance Database'!$D169&amp;" "&amp;'Compliance Database'!$L169&amp;" "&amp;'Compliance Database'!$M169&amp;" "&amp;'Compliance Database'!$N169&amp;" "&amp;'Compliance Database'!$O169)))),1,0)</f>
        <v/>
      </c>
      <c r="B169">
        <f>IF($A169=1,SUM($A$2:$A169),"")</f>
        <v/>
      </c>
      <c r="C169">
        <f>IF($A169=1,SUM($A$2:$A169),0)</f>
        <v/>
      </c>
    </row>
    <row r="170">
      <c r="A170">
        <f>IF(AND(OR('Compliance Database'!$A170='Data Transfer'!$B$4,'Compliance Database'!$A170='Data Transfer'!$B$5),OR('Data Transfer'!$B$6="",ISNUMBER(SEARCH('Data Transfer'!$B$6,'Compliance Database'!$D170&amp;" "&amp;'Compliance Database'!$L170&amp;" "&amp;'Compliance Database'!$M170&amp;" "&amp;'Compliance Database'!$N170&amp;" "&amp;'Compliance Database'!$O170)))),1,0)</f>
        <v/>
      </c>
      <c r="B170">
        <f>IF($A170=1,SUM($A$2:$A170),"")</f>
        <v/>
      </c>
      <c r="C170">
        <f>IF($A170=1,SUM($A$2:$A170),0)</f>
        <v/>
      </c>
    </row>
    <row r="171">
      <c r="A171">
        <f>IF(AND(OR('Compliance Database'!$A171='Data Transfer'!$B$4,'Compliance Database'!$A171='Data Transfer'!$B$5),OR('Data Transfer'!$B$6="",ISNUMBER(SEARCH('Data Transfer'!$B$6,'Compliance Database'!$D171&amp;" "&amp;'Compliance Database'!$L171&amp;" "&amp;'Compliance Database'!$M171&amp;" "&amp;'Compliance Database'!$N171&amp;" "&amp;'Compliance Database'!$O171)))),1,0)</f>
        <v/>
      </c>
      <c r="B171">
        <f>IF($A171=1,SUM($A$2:$A171),"")</f>
        <v/>
      </c>
      <c r="C171">
        <f>IF($A171=1,SUM($A$2:$A171),0)</f>
        <v/>
      </c>
    </row>
    <row r="172">
      <c r="A172">
        <f>IF(AND(OR('Compliance Database'!$A172='Data Transfer'!$B$4,'Compliance Database'!$A172='Data Transfer'!$B$5),OR('Data Transfer'!$B$6="",ISNUMBER(SEARCH('Data Transfer'!$B$6,'Compliance Database'!$D172&amp;" "&amp;'Compliance Database'!$L172&amp;" "&amp;'Compliance Database'!$M172&amp;" "&amp;'Compliance Database'!$N172&amp;" "&amp;'Compliance Database'!$O172)))),1,0)</f>
        <v/>
      </c>
      <c r="B172">
        <f>IF($A172=1,SUM($A$2:$A172),"")</f>
        <v/>
      </c>
      <c r="C172">
        <f>IF($A172=1,SUM($A$2:$A172),0)</f>
        <v/>
      </c>
    </row>
    <row r="173">
      <c r="A173">
        <f>IF(AND(OR('Compliance Database'!$A173='Data Transfer'!$B$4,'Compliance Database'!$A173='Data Transfer'!$B$5),OR('Data Transfer'!$B$6="",ISNUMBER(SEARCH('Data Transfer'!$B$6,'Compliance Database'!$D173&amp;" "&amp;'Compliance Database'!$L173&amp;" "&amp;'Compliance Database'!$M173&amp;" "&amp;'Compliance Database'!$N173&amp;" "&amp;'Compliance Database'!$O173)))),1,0)</f>
        <v/>
      </c>
      <c r="B173">
        <f>IF($A173=1,SUM($A$2:$A173),"")</f>
        <v/>
      </c>
      <c r="C173">
        <f>IF($A173=1,SUM($A$2:$A173),0)</f>
        <v/>
      </c>
    </row>
    <row r="174">
      <c r="A174">
        <f>IF(AND(OR('Compliance Database'!$A174='Data Transfer'!$B$4,'Compliance Database'!$A174='Data Transfer'!$B$5),OR('Data Transfer'!$B$6="",ISNUMBER(SEARCH('Data Transfer'!$B$6,'Compliance Database'!$D174&amp;" "&amp;'Compliance Database'!$L174&amp;" "&amp;'Compliance Database'!$M174&amp;" "&amp;'Compliance Database'!$N174&amp;" "&amp;'Compliance Database'!$O174)))),1,0)</f>
        <v/>
      </c>
      <c r="B174">
        <f>IF($A174=1,SUM($A$2:$A174),"")</f>
        <v/>
      </c>
      <c r="C174">
        <f>IF($A174=1,SUM($A$2:$A174),0)</f>
        <v/>
      </c>
    </row>
    <row r="175">
      <c r="A175">
        <f>IF(AND(OR('Compliance Database'!$A175='Data Transfer'!$B$4,'Compliance Database'!$A175='Data Transfer'!$B$5),OR('Data Transfer'!$B$6="",ISNUMBER(SEARCH('Data Transfer'!$B$6,'Compliance Database'!$D175&amp;" "&amp;'Compliance Database'!$L175&amp;" "&amp;'Compliance Database'!$M175&amp;" "&amp;'Compliance Database'!$N175&amp;" "&amp;'Compliance Database'!$O175)))),1,0)</f>
        <v/>
      </c>
      <c r="B175">
        <f>IF($A175=1,SUM($A$2:$A175),"")</f>
        <v/>
      </c>
      <c r="C175">
        <f>IF($A175=1,SUM($A$2:$A175),0)</f>
        <v/>
      </c>
    </row>
    <row r="176">
      <c r="A176">
        <f>IF(AND(OR('Compliance Database'!$A176='Data Transfer'!$B$4,'Compliance Database'!$A176='Data Transfer'!$B$5),OR('Data Transfer'!$B$6="",ISNUMBER(SEARCH('Data Transfer'!$B$6,'Compliance Database'!$D176&amp;" "&amp;'Compliance Database'!$L176&amp;" "&amp;'Compliance Database'!$M176&amp;" "&amp;'Compliance Database'!$N176&amp;" "&amp;'Compliance Database'!$O176)))),1,0)</f>
        <v/>
      </c>
      <c r="B176">
        <f>IF($A176=1,SUM($A$2:$A176),"")</f>
        <v/>
      </c>
      <c r="C176">
        <f>IF($A176=1,SUM($A$2:$A176),0)</f>
        <v/>
      </c>
    </row>
    <row r="177">
      <c r="A177">
        <f>IF(AND(OR('Compliance Database'!$A177='Data Transfer'!$B$4,'Compliance Database'!$A177='Data Transfer'!$B$5),OR('Data Transfer'!$B$6="",ISNUMBER(SEARCH('Data Transfer'!$B$6,'Compliance Database'!$D177&amp;" "&amp;'Compliance Database'!$L177&amp;" "&amp;'Compliance Database'!$M177&amp;" "&amp;'Compliance Database'!$N177&amp;" "&amp;'Compliance Database'!$O177)))),1,0)</f>
        <v/>
      </c>
      <c r="B177">
        <f>IF($A177=1,SUM($A$2:$A177),"")</f>
        <v/>
      </c>
      <c r="C177">
        <f>IF($A177=1,SUM($A$2:$A177),0)</f>
        <v/>
      </c>
    </row>
    <row r="178">
      <c r="A178">
        <f>IF(AND(OR('Compliance Database'!$A178='Data Transfer'!$B$4,'Compliance Database'!$A178='Data Transfer'!$B$5),OR('Data Transfer'!$B$6="",ISNUMBER(SEARCH('Data Transfer'!$B$6,'Compliance Database'!$D178&amp;" "&amp;'Compliance Database'!$L178&amp;" "&amp;'Compliance Database'!$M178&amp;" "&amp;'Compliance Database'!$N178&amp;" "&amp;'Compliance Database'!$O178)))),1,0)</f>
        <v/>
      </c>
      <c r="B178">
        <f>IF($A178=1,SUM($A$2:$A178),"")</f>
        <v/>
      </c>
      <c r="C178">
        <f>IF($A178=1,SUM($A$2:$A178),0)</f>
        <v/>
      </c>
    </row>
    <row r="179">
      <c r="A179">
        <f>IF(AND(OR('Compliance Database'!$A179='Data Transfer'!$B$4,'Compliance Database'!$A179='Data Transfer'!$B$5),OR('Data Transfer'!$B$6="",ISNUMBER(SEARCH('Data Transfer'!$B$6,'Compliance Database'!$D179&amp;" "&amp;'Compliance Database'!$L179&amp;" "&amp;'Compliance Database'!$M179&amp;" "&amp;'Compliance Database'!$N179&amp;" "&amp;'Compliance Database'!$O179)))),1,0)</f>
        <v/>
      </c>
      <c r="B179">
        <f>IF($A179=1,SUM($A$2:$A179),"")</f>
        <v/>
      </c>
      <c r="C179">
        <f>IF($A179=1,SUM($A$2:$A179),0)</f>
        <v/>
      </c>
    </row>
    <row r="180">
      <c r="A180">
        <f>IF(AND(OR('Compliance Database'!$A180='Data Transfer'!$B$4,'Compliance Database'!$A180='Data Transfer'!$B$5),OR('Data Transfer'!$B$6="",ISNUMBER(SEARCH('Data Transfer'!$B$6,'Compliance Database'!$D180&amp;" "&amp;'Compliance Database'!$L180&amp;" "&amp;'Compliance Database'!$M180&amp;" "&amp;'Compliance Database'!$N180&amp;" "&amp;'Compliance Database'!$O180)))),1,0)</f>
        <v/>
      </c>
      <c r="B180">
        <f>IF($A180=1,SUM($A$2:$A180),"")</f>
        <v/>
      </c>
      <c r="C180">
        <f>IF($A180=1,SUM($A$2:$A180),0)</f>
        <v/>
      </c>
    </row>
    <row r="181">
      <c r="A181">
        <f>IF(AND(OR('Compliance Database'!$A181='Data Transfer'!$B$4,'Compliance Database'!$A181='Data Transfer'!$B$5),OR('Data Transfer'!$B$6="",ISNUMBER(SEARCH('Data Transfer'!$B$6,'Compliance Database'!$D181&amp;" "&amp;'Compliance Database'!$L181&amp;" "&amp;'Compliance Database'!$M181&amp;" "&amp;'Compliance Database'!$N181&amp;" "&amp;'Compliance Database'!$O181)))),1,0)</f>
        <v/>
      </c>
      <c r="B181">
        <f>IF($A181=1,SUM($A$2:$A181),"")</f>
        <v/>
      </c>
      <c r="C181">
        <f>IF($A181=1,SUM($A$2:$A181),0)</f>
        <v/>
      </c>
    </row>
    <row r="182">
      <c r="A182">
        <f>IF(AND(OR('Compliance Database'!$A182='Data Transfer'!$B$4,'Compliance Database'!$A182='Data Transfer'!$B$5),OR('Data Transfer'!$B$6="",ISNUMBER(SEARCH('Data Transfer'!$B$6,'Compliance Database'!$D182&amp;" "&amp;'Compliance Database'!$L182&amp;" "&amp;'Compliance Database'!$M182&amp;" "&amp;'Compliance Database'!$N182&amp;" "&amp;'Compliance Database'!$O182)))),1,0)</f>
        <v/>
      </c>
      <c r="B182">
        <f>IF($A182=1,SUM($A$2:$A182),"")</f>
        <v/>
      </c>
      <c r="C182">
        <f>IF($A182=1,SUM($A$2:$A182),0)</f>
        <v/>
      </c>
    </row>
    <row r="183">
      <c r="A183">
        <f>IF(AND(OR('Compliance Database'!$A183='Data Transfer'!$B$4,'Compliance Database'!$A183='Data Transfer'!$B$5),OR('Data Transfer'!$B$6="",ISNUMBER(SEARCH('Data Transfer'!$B$6,'Compliance Database'!$D183&amp;" "&amp;'Compliance Database'!$L183&amp;" "&amp;'Compliance Database'!$M183&amp;" "&amp;'Compliance Database'!$N183&amp;" "&amp;'Compliance Database'!$O183)))),1,0)</f>
        <v/>
      </c>
      <c r="B183">
        <f>IF($A183=1,SUM($A$2:$A183),"")</f>
        <v/>
      </c>
      <c r="C183">
        <f>IF($A183=1,SUM($A$2:$A183),0)</f>
        <v/>
      </c>
    </row>
    <row r="184">
      <c r="A184">
        <f>IF(AND(OR('Compliance Database'!$A184='Data Transfer'!$B$4,'Compliance Database'!$A184='Data Transfer'!$B$5),OR('Data Transfer'!$B$6="",ISNUMBER(SEARCH('Data Transfer'!$B$6,'Compliance Database'!$D184&amp;" "&amp;'Compliance Database'!$L184&amp;" "&amp;'Compliance Database'!$M184&amp;" "&amp;'Compliance Database'!$N184&amp;" "&amp;'Compliance Database'!$O184)))),1,0)</f>
        <v/>
      </c>
      <c r="B184">
        <f>IF($A184=1,SUM($A$2:$A184),"")</f>
        <v/>
      </c>
      <c r="C184">
        <f>IF($A184=1,SUM($A$2:$A184),0)</f>
        <v/>
      </c>
    </row>
    <row r="185">
      <c r="A185">
        <f>IF(AND(OR('Compliance Database'!$A185='Data Transfer'!$B$4,'Compliance Database'!$A185='Data Transfer'!$B$5),OR('Data Transfer'!$B$6="",ISNUMBER(SEARCH('Data Transfer'!$B$6,'Compliance Database'!$D185&amp;" "&amp;'Compliance Database'!$L185&amp;" "&amp;'Compliance Database'!$M185&amp;" "&amp;'Compliance Database'!$N185&amp;" "&amp;'Compliance Database'!$O185)))),1,0)</f>
        <v/>
      </c>
      <c r="B185">
        <f>IF($A185=1,SUM($A$2:$A185),"")</f>
        <v/>
      </c>
      <c r="C185">
        <f>IF($A185=1,SUM($A$2:$A185),0)</f>
        <v/>
      </c>
    </row>
    <row r="186">
      <c r="A186">
        <f>IF(AND(OR('Compliance Database'!$A186='Data Transfer'!$B$4,'Compliance Database'!$A186='Data Transfer'!$B$5),OR('Data Transfer'!$B$6="",ISNUMBER(SEARCH('Data Transfer'!$B$6,'Compliance Database'!$D186&amp;" "&amp;'Compliance Database'!$L186&amp;" "&amp;'Compliance Database'!$M186&amp;" "&amp;'Compliance Database'!$N186&amp;" "&amp;'Compliance Database'!$O186)))),1,0)</f>
        <v/>
      </c>
      <c r="B186">
        <f>IF($A186=1,SUM($A$2:$A186),"")</f>
        <v/>
      </c>
      <c r="C186">
        <f>IF($A186=1,SUM($A$2:$A186),0)</f>
        <v/>
      </c>
    </row>
    <row r="187">
      <c r="A187">
        <f>IF(AND(OR('Compliance Database'!$A187='Data Transfer'!$B$4,'Compliance Database'!$A187='Data Transfer'!$B$5),OR('Data Transfer'!$B$6="",ISNUMBER(SEARCH('Data Transfer'!$B$6,'Compliance Database'!$D187&amp;" "&amp;'Compliance Database'!$L187&amp;" "&amp;'Compliance Database'!$M187&amp;" "&amp;'Compliance Database'!$N187&amp;" "&amp;'Compliance Database'!$O187)))),1,0)</f>
        <v/>
      </c>
      <c r="B187">
        <f>IF($A187=1,SUM($A$2:$A187),"")</f>
        <v/>
      </c>
      <c r="C187">
        <f>IF($A187=1,SUM($A$2:$A187),0)</f>
        <v/>
      </c>
    </row>
    <row r="188">
      <c r="A188">
        <f>IF(AND(OR('Compliance Database'!$A188='Data Transfer'!$B$4,'Compliance Database'!$A188='Data Transfer'!$B$5),OR('Data Transfer'!$B$6="",ISNUMBER(SEARCH('Data Transfer'!$B$6,'Compliance Database'!$D188&amp;" "&amp;'Compliance Database'!$L188&amp;" "&amp;'Compliance Database'!$M188&amp;" "&amp;'Compliance Database'!$N188&amp;" "&amp;'Compliance Database'!$O188)))),1,0)</f>
        <v/>
      </c>
      <c r="B188">
        <f>IF($A188=1,SUM($A$2:$A188),"")</f>
        <v/>
      </c>
      <c r="C188">
        <f>IF($A188=1,SUM($A$2:$A188),0)</f>
        <v/>
      </c>
    </row>
    <row r="189">
      <c r="A189">
        <f>IF(AND(OR('Compliance Database'!$A189='Data Transfer'!$B$4,'Compliance Database'!$A189='Data Transfer'!$B$5),OR('Data Transfer'!$B$6="",ISNUMBER(SEARCH('Data Transfer'!$B$6,'Compliance Database'!$D189&amp;" "&amp;'Compliance Database'!$L189&amp;" "&amp;'Compliance Database'!$M189&amp;" "&amp;'Compliance Database'!$N189&amp;" "&amp;'Compliance Database'!$O189)))),1,0)</f>
        <v/>
      </c>
      <c r="B189">
        <f>IF($A189=1,SUM($A$2:$A189),"")</f>
        <v/>
      </c>
      <c r="C189">
        <f>IF($A189=1,SUM($A$2:$A189),0)</f>
        <v/>
      </c>
    </row>
    <row r="190">
      <c r="A190">
        <f>IF(AND(OR('Compliance Database'!$A190='Data Transfer'!$B$4,'Compliance Database'!$A190='Data Transfer'!$B$5),OR('Data Transfer'!$B$6="",ISNUMBER(SEARCH('Data Transfer'!$B$6,'Compliance Database'!$D190&amp;" "&amp;'Compliance Database'!$L190&amp;" "&amp;'Compliance Database'!$M190&amp;" "&amp;'Compliance Database'!$N190&amp;" "&amp;'Compliance Database'!$O190)))),1,0)</f>
        <v/>
      </c>
      <c r="B190">
        <f>IF($A190=1,SUM($A$2:$A190),"")</f>
        <v/>
      </c>
      <c r="C190">
        <f>IF($A190=1,SUM($A$2:$A190),0)</f>
        <v/>
      </c>
    </row>
    <row r="191">
      <c r="A191">
        <f>IF(AND(OR('Compliance Database'!$A191='Data Transfer'!$B$4,'Compliance Database'!$A191='Data Transfer'!$B$5),OR('Data Transfer'!$B$6="",ISNUMBER(SEARCH('Data Transfer'!$B$6,'Compliance Database'!$D191&amp;" "&amp;'Compliance Database'!$L191&amp;" "&amp;'Compliance Database'!$M191&amp;" "&amp;'Compliance Database'!$N191&amp;" "&amp;'Compliance Database'!$O191)))),1,0)</f>
        <v/>
      </c>
      <c r="B191">
        <f>IF($A191=1,SUM($A$2:$A191),"")</f>
        <v/>
      </c>
      <c r="C191">
        <f>IF($A191=1,SUM($A$2:$A191),0)</f>
        <v/>
      </c>
    </row>
    <row r="192">
      <c r="A192">
        <f>IF(AND(OR('Compliance Database'!$A192='Data Transfer'!$B$4,'Compliance Database'!$A192='Data Transfer'!$B$5),OR('Data Transfer'!$B$6="",ISNUMBER(SEARCH('Data Transfer'!$B$6,'Compliance Database'!$D192&amp;" "&amp;'Compliance Database'!$L192&amp;" "&amp;'Compliance Database'!$M192&amp;" "&amp;'Compliance Database'!$N192&amp;" "&amp;'Compliance Database'!$O192)))),1,0)</f>
        <v/>
      </c>
      <c r="B192">
        <f>IF($A192=1,SUM($A$2:$A192),"")</f>
        <v/>
      </c>
      <c r="C192">
        <f>IF($A192=1,SUM($A$2:$A192),0)</f>
        <v/>
      </c>
    </row>
    <row r="193">
      <c r="A193">
        <f>IF(AND(OR('Compliance Database'!$A193='Data Transfer'!$B$4,'Compliance Database'!$A193='Data Transfer'!$B$5),OR('Data Transfer'!$B$6="",ISNUMBER(SEARCH('Data Transfer'!$B$6,'Compliance Database'!$D193&amp;" "&amp;'Compliance Database'!$L193&amp;" "&amp;'Compliance Database'!$M193&amp;" "&amp;'Compliance Database'!$N193&amp;" "&amp;'Compliance Database'!$O193)))),1,0)</f>
        <v/>
      </c>
      <c r="B193">
        <f>IF($A193=1,SUM($A$2:$A193),"")</f>
        <v/>
      </c>
      <c r="C193">
        <f>IF($A193=1,SUM($A$2:$A193),0)</f>
        <v/>
      </c>
    </row>
    <row r="194">
      <c r="A194">
        <f>IF(AND(OR('Compliance Database'!$A194='Data Transfer'!$B$4,'Compliance Database'!$A194='Data Transfer'!$B$5),OR('Data Transfer'!$B$6="",ISNUMBER(SEARCH('Data Transfer'!$B$6,'Compliance Database'!$D194&amp;" "&amp;'Compliance Database'!$L194&amp;" "&amp;'Compliance Database'!$M194&amp;" "&amp;'Compliance Database'!$N194&amp;" "&amp;'Compliance Database'!$O194)))),1,0)</f>
        <v/>
      </c>
      <c r="B194">
        <f>IF($A194=1,SUM($A$2:$A194),"")</f>
        <v/>
      </c>
      <c r="C194">
        <f>IF($A194=1,SUM($A$2:$A194),0)</f>
        <v/>
      </c>
    </row>
    <row r="195">
      <c r="A195">
        <f>IF(AND(OR('Compliance Database'!$A195='Data Transfer'!$B$4,'Compliance Database'!$A195='Data Transfer'!$B$5),OR('Data Transfer'!$B$6="",ISNUMBER(SEARCH('Data Transfer'!$B$6,'Compliance Database'!$D195&amp;" "&amp;'Compliance Database'!$L195&amp;" "&amp;'Compliance Database'!$M195&amp;" "&amp;'Compliance Database'!$N195&amp;" "&amp;'Compliance Database'!$O195)))),1,0)</f>
        <v/>
      </c>
      <c r="B195">
        <f>IF($A195=1,SUM($A$2:$A195),"")</f>
        <v/>
      </c>
      <c r="C195">
        <f>IF($A195=1,SUM($A$2:$A195),0)</f>
        <v/>
      </c>
    </row>
    <row r="196">
      <c r="A196">
        <f>IF(AND(OR('Compliance Database'!$A196='Data Transfer'!$B$4,'Compliance Database'!$A196='Data Transfer'!$B$5),OR('Data Transfer'!$B$6="",ISNUMBER(SEARCH('Data Transfer'!$B$6,'Compliance Database'!$D196&amp;" "&amp;'Compliance Database'!$L196&amp;" "&amp;'Compliance Database'!$M196&amp;" "&amp;'Compliance Database'!$N196&amp;" "&amp;'Compliance Database'!$O196)))),1,0)</f>
        <v/>
      </c>
      <c r="B196">
        <f>IF($A196=1,SUM($A$2:$A196),"")</f>
        <v/>
      </c>
      <c r="C196">
        <f>IF($A196=1,SUM($A$2:$A196),0)</f>
        <v/>
      </c>
    </row>
    <row r="197">
      <c r="A197">
        <f>IF(AND(OR('Compliance Database'!$A197='Data Transfer'!$B$4,'Compliance Database'!$A197='Data Transfer'!$B$5),OR('Data Transfer'!$B$6="",ISNUMBER(SEARCH('Data Transfer'!$B$6,'Compliance Database'!$D197&amp;" "&amp;'Compliance Database'!$L197&amp;" "&amp;'Compliance Database'!$M197&amp;" "&amp;'Compliance Database'!$N197&amp;" "&amp;'Compliance Database'!$O197)))),1,0)</f>
        <v/>
      </c>
      <c r="B197">
        <f>IF($A197=1,SUM($A$2:$A197),"")</f>
        <v/>
      </c>
      <c r="C197">
        <f>IF($A197=1,SUM($A$2:$A197),0)</f>
        <v/>
      </c>
    </row>
    <row r="198">
      <c r="A198">
        <f>IF(AND(OR('Compliance Database'!$A198='Data Transfer'!$B$4,'Compliance Database'!$A198='Data Transfer'!$B$5),OR('Data Transfer'!$B$6="",ISNUMBER(SEARCH('Data Transfer'!$B$6,'Compliance Database'!$D198&amp;" "&amp;'Compliance Database'!$L198&amp;" "&amp;'Compliance Database'!$M198&amp;" "&amp;'Compliance Database'!$N198&amp;" "&amp;'Compliance Database'!$O198)))),1,0)</f>
        <v/>
      </c>
      <c r="B198">
        <f>IF($A198=1,SUM($A$2:$A198),"")</f>
        <v/>
      </c>
      <c r="C198">
        <f>IF($A198=1,SUM($A$2:$A198),0)</f>
        <v/>
      </c>
    </row>
    <row r="199">
      <c r="A199">
        <f>IF(AND(OR('Compliance Database'!$A199='Data Transfer'!$B$4,'Compliance Database'!$A199='Data Transfer'!$B$5),OR('Data Transfer'!$B$6="",ISNUMBER(SEARCH('Data Transfer'!$B$6,'Compliance Database'!$D199&amp;" "&amp;'Compliance Database'!$L199&amp;" "&amp;'Compliance Database'!$M199&amp;" "&amp;'Compliance Database'!$N199&amp;" "&amp;'Compliance Database'!$O199)))),1,0)</f>
        <v/>
      </c>
      <c r="B199">
        <f>IF($A199=1,SUM($A$2:$A199),"")</f>
        <v/>
      </c>
      <c r="C199">
        <f>IF($A199=1,SUM($A$2:$A199),0)</f>
        <v/>
      </c>
    </row>
    <row r="200">
      <c r="A200">
        <f>IF(AND(OR('Compliance Database'!$A200='Data Transfer'!$B$4,'Compliance Database'!$A200='Data Transfer'!$B$5),OR('Data Transfer'!$B$6="",ISNUMBER(SEARCH('Data Transfer'!$B$6,'Compliance Database'!$D200&amp;" "&amp;'Compliance Database'!$L200&amp;" "&amp;'Compliance Database'!$M200&amp;" "&amp;'Compliance Database'!$N200&amp;" "&amp;'Compliance Database'!$O200)))),1,0)</f>
        <v/>
      </c>
      <c r="B200">
        <f>IF($A200=1,SUM($A$2:$A200),"")</f>
        <v/>
      </c>
      <c r="C200">
        <f>IF($A200=1,SUM($A$2:$A200),0)</f>
        <v/>
      </c>
    </row>
    <row r="201">
      <c r="A201">
        <f>IF(AND(OR('Compliance Database'!$A201='Data Transfer'!$B$4,'Compliance Database'!$A201='Data Transfer'!$B$5),OR('Data Transfer'!$B$6="",ISNUMBER(SEARCH('Data Transfer'!$B$6,'Compliance Database'!$D201&amp;" "&amp;'Compliance Database'!$L201&amp;" "&amp;'Compliance Database'!$M201&amp;" "&amp;'Compliance Database'!$N201&amp;" "&amp;'Compliance Database'!$O201)))),1,0)</f>
        <v/>
      </c>
      <c r="B201">
        <f>IF($A201=1,SUM($A$2:$A201),"")</f>
        <v/>
      </c>
      <c r="C201">
        <f>IF($A201=1,SUM($A$2:$A201),0)</f>
        <v/>
      </c>
    </row>
    <row r="202">
      <c r="A202">
        <f>IF(AND(OR('Compliance Database'!$A202='Data Transfer'!$B$4,'Compliance Database'!$A202='Data Transfer'!$B$5),OR('Data Transfer'!$B$6="",ISNUMBER(SEARCH('Data Transfer'!$B$6,'Compliance Database'!$D202&amp;" "&amp;'Compliance Database'!$L202&amp;" "&amp;'Compliance Database'!$M202&amp;" "&amp;'Compliance Database'!$N202&amp;" "&amp;'Compliance Database'!$O202)))),1,0)</f>
        <v/>
      </c>
      <c r="B202">
        <f>IF($A202=1,SUM($A$2:$A202),"")</f>
        <v/>
      </c>
      <c r="C202">
        <f>IF($A202=1,SUM($A$2:$A202),0)</f>
        <v/>
      </c>
    </row>
    <row r="203">
      <c r="A203">
        <f>IF(AND(OR('Compliance Database'!$A203='Data Transfer'!$B$4,'Compliance Database'!$A203='Data Transfer'!$B$5),OR('Data Transfer'!$B$6="",ISNUMBER(SEARCH('Data Transfer'!$B$6,'Compliance Database'!$D203&amp;" "&amp;'Compliance Database'!$L203&amp;" "&amp;'Compliance Database'!$M203&amp;" "&amp;'Compliance Database'!$N203&amp;" "&amp;'Compliance Database'!$O203)))),1,0)</f>
        <v/>
      </c>
      <c r="B203">
        <f>IF($A203=1,SUM($A$2:$A203),"")</f>
        <v/>
      </c>
      <c r="C203">
        <f>IF($A203=1,SUM($A$2:$A203),0)</f>
        <v/>
      </c>
    </row>
    <row r="204">
      <c r="A204">
        <f>IF(AND(OR('Compliance Database'!$A204='Data Transfer'!$B$4,'Compliance Database'!$A204='Data Transfer'!$B$5),OR('Data Transfer'!$B$6="",ISNUMBER(SEARCH('Data Transfer'!$B$6,'Compliance Database'!$D204&amp;" "&amp;'Compliance Database'!$L204&amp;" "&amp;'Compliance Database'!$M204&amp;" "&amp;'Compliance Database'!$N204&amp;" "&amp;'Compliance Database'!$O204)))),1,0)</f>
        <v/>
      </c>
      <c r="B204">
        <f>IF($A204=1,SUM($A$2:$A204),"")</f>
        <v/>
      </c>
      <c r="C204">
        <f>IF($A204=1,SUM($A$2:$A204),0)</f>
        <v/>
      </c>
    </row>
    <row r="205">
      <c r="A205">
        <f>IF(AND(OR('Compliance Database'!$A205='Data Transfer'!$B$4,'Compliance Database'!$A205='Data Transfer'!$B$5),OR('Data Transfer'!$B$6="",ISNUMBER(SEARCH('Data Transfer'!$B$6,'Compliance Database'!$D205&amp;" "&amp;'Compliance Database'!$L205&amp;" "&amp;'Compliance Database'!$M205&amp;" "&amp;'Compliance Database'!$N205&amp;" "&amp;'Compliance Database'!$O205)))),1,0)</f>
        <v/>
      </c>
      <c r="B205">
        <f>IF($A205=1,SUM($A$2:$A205),"")</f>
        <v/>
      </c>
      <c r="C205">
        <f>IF($A205=1,SUM($A$2:$A205),0)</f>
        <v/>
      </c>
    </row>
    <row r="206">
      <c r="A206">
        <f>IF(AND(OR('Compliance Database'!$A206='Data Transfer'!$B$4,'Compliance Database'!$A206='Data Transfer'!$B$5),OR('Data Transfer'!$B$6="",ISNUMBER(SEARCH('Data Transfer'!$B$6,'Compliance Database'!$D206&amp;" "&amp;'Compliance Database'!$L206&amp;" "&amp;'Compliance Database'!$M206&amp;" "&amp;'Compliance Database'!$N206&amp;" "&amp;'Compliance Database'!$O206)))),1,0)</f>
        <v/>
      </c>
      <c r="B206">
        <f>IF($A206=1,SUM($A$2:$A206),"")</f>
        <v/>
      </c>
      <c r="C206">
        <f>IF($A206=1,SUM($A$2:$A206),0)</f>
        <v/>
      </c>
    </row>
    <row r="207">
      <c r="A207">
        <f>IF(AND(OR('Compliance Database'!$A207='Data Transfer'!$B$4,'Compliance Database'!$A207='Data Transfer'!$B$5),OR('Data Transfer'!$B$6="",ISNUMBER(SEARCH('Data Transfer'!$B$6,'Compliance Database'!$D207&amp;" "&amp;'Compliance Database'!$L207&amp;" "&amp;'Compliance Database'!$M207&amp;" "&amp;'Compliance Database'!$N207&amp;" "&amp;'Compliance Database'!$O207)))),1,0)</f>
        <v/>
      </c>
      <c r="B207">
        <f>IF($A207=1,SUM($A$2:$A207),"")</f>
        <v/>
      </c>
      <c r="C207">
        <f>IF($A207=1,SUM($A$2:$A207),0)</f>
        <v/>
      </c>
    </row>
    <row r="208">
      <c r="A208">
        <f>IF(AND(OR('Compliance Database'!$A208='Data Transfer'!$B$4,'Compliance Database'!$A208='Data Transfer'!$B$5),OR('Data Transfer'!$B$6="",ISNUMBER(SEARCH('Data Transfer'!$B$6,'Compliance Database'!$D208&amp;" "&amp;'Compliance Database'!$L208&amp;" "&amp;'Compliance Database'!$M208&amp;" "&amp;'Compliance Database'!$N208&amp;" "&amp;'Compliance Database'!$O208)))),1,0)</f>
        <v/>
      </c>
      <c r="B208">
        <f>IF($A208=1,SUM($A$2:$A208),"")</f>
        <v/>
      </c>
      <c r="C208">
        <f>IF($A208=1,SUM($A$2:$A208),0)</f>
        <v/>
      </c>
    </row>
    <row r="209">
      <c r="A209">
        <f>IF(AND(OR('Compliance Database'!$A209='Data Transfer'!$B$4,'Compliance Database'!$A209='Data Transfer'!$B$5),OR('Data Transfer'!$B$6="",ISNUMBER(SEARCH('Data Transfer'!$B$6,'Compliance Database'!$D209&amp;" "&amp;'Compliance Database'!$L209&amp;" "&amp;'Compliance Database'!$M209&amp;" "&amp;'Compliance Database'!$N209&amp;" "&amp;'Compliance Database'!$O209)))),1,0)</f>
        <v/>
      </c>
      <c r="B209">
        <f>IF($A209=1,SUM($A$2:$A209),"")</f>
        <v/>
      </c>
      <c r="C209">
        <f>IF($A209=1,SUM($A$2:$A209),0)</f>
        <v/>
      </c>
    </row>
    <row r="210">
      <c r="A210">
        <f>IF(AND(OR('Compliance Database'!$A210='Data Transfer'!$B$4,'Compliance Database'!$A210='Data Transfer'!$B$5),OR('Data Transfer'!$B$6="",ISNUMBER(SEARCH('Data Transfer'!$B$6,'Compliance Database'!$D210&amp;" "&amp;'Compliance Database'!$L210&amp;" "&amp;'Compliance Database'!$M210&amp;" "&amp;'Compliance Database'!$N210&amp;" "&amp;'Compliance Database'!$O210)))),1,0)</f>
        <v/>
      </c>
      <c r="B210">
        <f>IF($A210=1,SUM($A$2:$A210),"")</f>
        <v/>
      </c>
      <c r="C210">
        <f>IF($A210=1,SUM($A$2:$A210),0)</f>
        <v/>
      </c>
    </row>
    <row r="211">
      <c r="A211">
        <f>IF(AND(OR('Compliance Database'!$A211='Data Transfer'!$B$4,'Compliance Database'!$A211='Data Transfer'!$B$5),OR('Data Transfer'!$B$6="",ISNUMBER(SEARCH('Data Transfer'!$B$6,'Compliance Database'!$D211&amp;" "&amp;'Compliance Database'!$L211&amp;" "&amp;'Compliance Database'!$M211&amp;" "&amp;'Compliance Database'!$N211&amp;" "&amp;'Compliance Database'!$O211)))),1,0)</f>
        <v/>
      </c>
      <c r="B211">
        <f>IF($A211=1,SUM($A$2:$A211),"")</f>
        <v/>
      </c>
      <c r="C211">
        <f>IF($A211=1,SUM($A$2:$A211),0)</f>
        <v/>
      </c>
    </row>
    <row r="212">
      <c r="A212">
        <f>IF(AND(OR('Compliance Database'!$A212='Data Transfer'!$B$4,'Compliance Database'!$A212='Data Transfer'!$B$5),OR('Data Transfer'!$B$6="",ISNUMBER(SEARCH('Data Transfer'!$B$6,'Compliance Database'!$D212&amp;" "&amp;'Compliance Database'!$L212&amp;" "&amp;'Compliance Database'!$M212&amp;" "&amp;'Compliance Database'!$N212&amp;" "&amp;'Compliance Database'!$O212)))),1,0)</f>
        <v/>
      </c>
      <c r="B212">
        <f>IF($A212=1,SUM($A$2:$A212),"")</f>
        <v/>
      </c>
      <c r="C212">
        <f>IF($A212=1,SUM($A$2:$A212),0)</f>
        <v/>
      </c>
    </row>
    <row r="213">
      <c r="A213">
        <f>IF(AND(OR('Compliance Database'!$A213='Data Transfer'!$B$4,'Compliance Database'!$A213='Data Transfer'!$B$5),OR('Data Transfer'!$B$6="",ISNUMBER(SEARCH('Data Transfer'!$B$6,'Compliance Database'!$D213&amp;" "&amp;'Compliance Database'!$L213&amp;" "&amp;'Compliance Database'!$M213&amp;" "&amp;'Compliance Database'!$N213&amp;" "&amp;'Compliance Database'!$O213)))),1,0)</f>
        <v/>
      </c>
      <c r="B213">
        <f>IF($A213=1,SUM($A$2:$A213),"")</f>
        <v/>
      </c>
      <c r="C213">
        <f>IF($A213=1,SUM($A$2:$A213),0)</f>
        <v/>
      </c>
    </row>
    <row r="214">
      <c r="A214">
        <f>IF(AND(OR('Compliance Database'!$A214='Data Transfer'!$B$4,'Compliance Database'!$A214='Data Transfer'!$B$5),OR('Data Transfer'!$B$6="",ISNUMBER(SEARCH('Data Transfer'!$B$6,'Compliance Database'!$D214&amp;" "&amp;'Compliance Database'!$L214&amp;" "&amp;'Compliance Database'!$M214&amp;" "&amp;'Compliance Database'!$N214&amp;" "&amp;'Compliance Database'!$O214)))),1,0)</f>
        <v/>
      </c>
      <c r="B214">
        <f>IF($A214=1,SUM($A$2:$A214),"")</f>
        <v/>
      </c>
      <c r="C214">
        <f>IF($A214=1,SUM($A$2:$A214),0)</f>
        <v/>
      </c>
    </row>
    <row r="215">
      <c r="A215">
        <f>IF(AND(OR('Compliance Database'!$A215='Data Transfer'!$B$4,'Compliance Database'!$A215='Data Transfer'!$B$5),OR('Data Transfer'!$B$6="",ISNUMBER(SEARCH('Data Transfer'!$B$6,'Compliance Database'!$D215&amp;" "&amp;'Compliance Database'!$L215&amp;" "&amp;'Compliance Database'!$M215&amp;" "&amp;'Compliance Database'!$N215&amp;" "&amp;'Compliance Database'!$O215)))),1,0)</f>
        <v/>
      </c>
      <c r="B215">
        <f>IF($A215=1,SUM($A$2:$A215),"")</f>
        <v/>
      </c>
      <c r="C215">
        <f>IF($A215=1,SUM($A$2:$A215),0)</f>
        <v/>
      </c>
    </row>
    <row r="216">
      <c r="A216">
        <f>IF(AND(OR('Compliance Database'!$A216='Data Transfer'!$B$4,'Compliance Database'!$A216='Data Transfer'!$B$5),OR('Data Transfer'!$B$6="",ISNUMBER(SEARCH('Data Transfer'!$B$6,'Compliance Database'!$D216&amp;" "&amp;'Compliance Database'!$L216&amp;" "&amp;'Compliance Database'!$M216&amp;" "&amp;'Compliance Database'!$N216&amp;" "&amp;'Compliance Database'!$O216)))),1,0)</f>
        <v/>
      </c>
      <c r="B216">
        <f>IF($A216=1,SUM($A$2:$A216),"")</f>
        <v/>
      </c>
      <c r="C216">
        <f>IF($A216=1,SUM($A$2:$A216),0)</f>
        <v/>
      </c>
    </row>
    <row r="217">
      <c r="A217">
        <f>IF(AND(OR('Compliance Database'!$A217='Data Transfer'!$B$4,'Compliance Database'!$A217='Data Transfer'!$B$5),OR('Data Transfer'!$B$6="",ISNUMBER(SEARCH('Data Transfer'!$B$6,'Compliance Database'!$D217&amp;" "&amp;'Compliance Database'!$L217&amp;" "&amp;'Compliance Database'!$M217&amp;" "&amp;'Compliance Database'!$N217&amp;" "&amp;'Compliance Database'!$O217)))),1,0)</f>
        <v/>
      </c>
      <c r="B217">
        <f>IF($A217=1,SUM($A$2:$A217),"")</f>
        <v/>
      </c>
      <c r="C217">
        <f>IF($A217=1,SUM($A$2:$A217),0)</f>
        <v/>
      </c>
    </row>
    <row r="218">
      <c r="A218">
        <f>IF(AND(OR('Compliance Database'!$A218='Data Transfer'!$B$4,'Compliance Database'!$A218='Data Transfer'!$B$5),OR('Data Transfer'!$B$6="",ISNUMBER(SEARCH('Data Transfer'!$B$6,'Compliance Database'!$D218&amp;" "&amp;'Compliance Database'!$L218&amp;" "&amp;'Compliance Database'!$M218&amp;" "&amp;'Compliance Database'!$N218&amp;" "&amp;'Compliance Database'!$O218)))),1,0)</f>
        <v/>
      </c>
      <c r="B218">
        <f>IF($A218=1,SUM($A$2:$A218),"")</f>
        <v/>
      </c>
      <c r="C218">
        <f>IF($A218=1,SUM($A$2:$A218),0)</f>
        <v/>
      </c>
    </row>
    <row r="219">
      <c r="A219">
        <f>IF(AND(OR('Compliance Database'!$A219='Data Transfer'!$B$4,'Compliance Database'!$A219='Data Transfer'!$B$5),OR('Data Transfer'!$B$6="",ISNUMBER(SEARCH('Data Transfer'!$B$6,'Compliance Database'!$D219&amp;" "&amp;'Compliance Database'!$L219&amp;" "&amp;'Compliance Database'!$M219&amp;" "&amp;'Compliance Database'!$N219&amp;" "&amp;'Compliance Database'!$O219)))),1,0)</f>
        <v/>
      </c>
      <c r="B219">
        <f>IF($A219=1,SUM($A$2:$A219),"")</f>
        <v/>
      </c>
      <c r="C219">
        <f>IF($A219=1,SUM($A$2:$A219),0)</f>
        <v/>
      </c>
    </row>
    <row r="220">
      <c r="A220">
        <f>IF(AND(OR('Compliance Database'!$A220='Data Transfer'!$B$4,'Compliance Database'!$A220='Data Transfer'!$B$5),OR('Data Transfer'!$B$6="",ISNUMBER(SEARCH('Data Transfer'!$B$6,'Compliance Database'!$D220&amp;" "&amp;'Compliance Database'!$L220&amp;" "&amp;'Compliance Database'!$M220&amp;" "&amp;'Compliance Database'!$N220&amp;" "&amp;'Compliance Database'!$O220)))),1,0)</f>
        <v/>
      </c>
      <c r="B220">
        <f>IF($A220=1,SUM($A$2:$A220),"")</f>
        <v/>
      </c>
      <c r="C220">
        <f>IF($A220=1,SUM($A$2:$A220),0)</f>
        <v/>
      </c>
    </row>
    <row r="221">
      <c r="A221">
        <f>IF(AND(OR('Compliance Database'!$A221='Data Transfer'!$B$4,'Compliance Database'!$A221='Data Transfer'!$B$5),OR('Data Transfer'!$B$6="",ISNUMBER(SEARCH('Data Transfer'!$B$6,'Compliance Database'!$D221&amp;" "&amp;'Compliance Database'!$L221&amp;" "&amp;'Compliance Database'!$M221&amp;" "&amp;'Compliance Database'!$N221&amp;" "&amp;'Compliance Database'!$O221)))),1,0)</f>
        <v/>
      </c>
      <c r="B221">
        <f>IF($A221=1,SUM($A$2:$A221),"")</f>
        <v/>
      </c>
      <c r="C221">
        <f>IF($A221=1,SUM($A$2:$A221),0)</f>
        <v/>
      </c>
    </row>
    <row r="222">
      <c r="A222">
        <f>IF(AND(OR('Compliance Database'!$A222='Data Transfer'!$B$4,'Compliance Database'!$A222='Data Transfer'!$B$5),OR('Data Transfer'!$B$6="",ISNUMBER(SEARCH('Data Transfer'!$B$6,'Compliance Database'!$D222&amp;" "&amp;'Compliance Database'!$L222&amp;" "&amp;'Compliance Database'!$M222&amp;" "&amp;'Compliance Database'!$N222&amp;" "&amp;'Compliance Database'!$O222)))),1,0)</f>
        <v/>
      </c>
      <c r="B222">
        <f>IF($A222=1,SUM($A$2:$A222),"")</f>
        <v/>
      </c>
      <c r="C222">
        <f>IF($A222=1,SUM($A$2:$A222),0)</f>
        <v/>
      </c>
    </row>
    <row r="223">
      <c r="A223">
        <f>IF(AND(OR('Compliance Database'!$A223='Data Transfer'!$B$4,'Compliance Database'!$A223='Data Transfer'!$B$5),OR('Data Transfer'!$B$6="",ISNUMBER(SEARCH('Data Transfer'!$B$6,'Compliance Database'!$D223&amp;" "&amp;'Compliance Database'!$L223&amp;" "&amp;'Compliance Database'!$M223&amp;" "&amp;'Compliance Database'!$N223&amp;" "&amp;'Compliance Database'!$O223)))),1,0)</f>
        <v/>
      </c>
      <c r="B223">
        <f>IF($A223=1,SUM($A$2:$A223),"")</f>
        <v/>
      </c>
      <c r="C223">
        <f>IF($A223=1,SUM($A$2:$A223),0)</f>
        <v/>
      </c>
    </row>
    <row r="224">
      <c r="A224">
        <f>IF(AND(OR('Compliance Database'!$A224='Data Transfer'!$B$4,'Compliance Database'!$A224='Data Transfer'!$B$5),OR('Data Transfer'!$B$6="",ISNUMBER(SEARCH('Data Transfer'!$B$6,'Compliance Database'!$D224&amp;" "&amp;'Compliance Database'!$L224&amp;" "&amp;'Compliance Database'!$M224&amp;" "&amp;'Compliance Database'!$N224&amp;" "&amp;'Compliance Database'!$O224)))),1,0)</f>
        <v/>
      </c>
      <c r="B224">
        <f>IF($A224=1,SUM($A$2:$A224),"")</f>
        <v/>
      </c>
      <c r="C224">
        <f>IF($A224=1,SUM($A$2:$A224),0)</f>
        <v/>
      </c>
    </row>
    <row r="225">
      <c r="A225">
        <f>IF(AND(OR('Compliance Database'!$A225='Data Transfer'!$B$4,'Compliance Database'!$A225='Data Transfer'!$B$5),OR('Data Transfer'!$B$6="",ISNUMBER(SEARCH('Data Transfer'!$B$6,'Compliance Database'!$D225&amp;" "&amp;'Compliance Database'!$L225&amp;" "&amp;'Compliance Database'!$M225&amp;" "&amp;'Compliance Database'!$N225&amp;" "&amp;'Compliance Database'!$O225)))),1,0)</f>
        <v/>
      </c>
      <c r="B225">
        <f>IF($A225=1,SUM($A$2:$A225),"")</f>
        <v/>
      </c>
      <c r="C225">
        <f>IF($A225=1,SUM($A$2:$A225),0)</f>
        <v/>
      </c>
    </row>
    <row r="226">
      <c r="A226">
        <f>IF(AND(OR('Compliance Database'!$A226='Data Transfer'!$B$4,'Compliance Database'!$A226='Data Transfer'!$B$5),OR('Data Transfer'!$B$6="",ISNUMBER(SEARCH('Data Transfer'!$B$6,'Compliance Database'!$D226&amp;" "&amp;'Compliance Database'!$L226&amp;" "&amp;'Compliance Database'!$M226&amp;" "&amp;'Compliance Database'!$N226&amp;" "&amp;'Compliance Database'!$O226)))),1,0)</f>
        <v/>
      </c>
      <c r="B226">
        <f>IF($A226=1,SUM($A$2:$A226),"")</f>
        <v/>
      </c>
      <c r="C226">
        <f>IF($A226=1,SUM($A$2:$A226),0)</f>
        <v/>
      </c>
    </row>
    <row r="227">
      <c r="A227">
        <f>IF(AND(OR('Compliance Database'!$A227='Data Transfer'!$B$4,'Compliance Database'!$A227='Data Transfer'!$B$5),OR('Data Transfer'!$B$6="",ISNUMBER(SEARCH('Data Transfer'!$B$6,'Compliance Database'!$D227&amp;" "&amp;'Compliance Database'!$L227&amp;" "&amp;'Compliance Database'!$M227&amp;" "&amp;'Compliance Database'!$N227&amp;" "&amp;'Compliance Database'!$O227)))),1,0)</f>
        <v/>
      </c>
      <c r="B227">
        <f>IF($A227=1,SUM($A$2:$A227),"")</f>
        <v/>
      </c>
      <c r="C227">
        <f>IF($A227=1,SUM($A$2:$A227),0)</f>
        <v/>
      </c>
    </row>
    <row r="228">
      <c r="A228">
        <f>IF(AND(OR('Compliance Database'!$A228='Data Transfer'!$B$4,'Compliance Database'!$A228='Data Transfer'!$B$5),OR('Data Transfer'!$B$6="",ISNUMBER(SEARCH('Data Transfer'!$B$6,'Compliance Database'!$D228&amp;" "&amp;'Compliance Database'!$L228&amp;" "&amp;'Compliance Database'!$M228&amp;" "&amp;'Compliance Database'!$N228&amp;" "&amp;'Compliance Database'!$O228)))),1,0)</f>
        <v/>
      </c>
      <c r="B228">
        <f>IF($A228=1,SUM($A$2:$A228),"")</f>
        <v/>
      </c>
      <c r="C228">
        <f>IF($A228=1,SUM($A$2:$A228),0)</f>
        <v/>
      </c>
    </row>
    <row r="229">
      <c r="A229">
        <f>IF(AND(OR('Compliance Database'!$A229='Data Transfer'!$B$4,'Compliance Database'!$A229='Data Transfer'!$B$5),OR('Data Transfer'!$B$6="",ISNUMBER(SEARCH('Data Transfer'!$B$6,'Compliance Database'!$D229&amp;" "&amp;'Compliance Database'!$L229&amp;" "&amp;'Compliance Database'!$M229&amp;" "&amp;'Compliance Database'!$N229&amp;" "&amp;'Compliance Database'!$O229)))),1,0)</f>
        <v/>
      </c>
      <c r="B229">
        <f>IF($A229=1,SUM($A$2:$A229),"")</f>
        <v/>
      </c>
      <c r="C229">
        <f>IF($A229=1,SUM($A$2:$A229),0)</f>
        <v/>
      </c>
    </row>
    <row r="230">
      <c r="A230">
        <f>IF(AND(OR('Compliance Database'!$A230='Data Transfer'!$B$4,'Compliance Database'!$A230='Data Transfer'!$B$5),OR('Data Transfer'!$B$6="",ISNUMBER(SEARCH('Data Transfer'!$B$6,'Compliance Database'!$D230&amp;" "&amp;'Compliance Database'!$L230&amp;" "&amp;'Compliance Database'!$M230&amp;" "&amp;'Compliance Database'!$N230&amp;" "&amp;'Compliance Database'!$O230)))),1,0)</f>
        <v/>
      </c>
      <c r="B230">
        <f>IF($A230=1,SUM($A$2:$A230),"")</f>
        <v/>
      </c>
      <c r="C230">
        <f>IF($A230=1,SUM($A$2:$A230),0)</f>
        <v/>
      </c>
    </row>
    <row r="231">
      <c r="A231">
        <f>IF(AND(OR('Compliance Database'!$A231='Data Transfer'!$B$4,'Compliance Database'!$A231='Data Transfer'!$B$5),OR('Data Transfer'!$B$6="",ISNUMBER(SEARCH('Data Transfer'!$B$6,'Compliance Database'!$D231&amp;" "&amp;'Compliance Database'!$L231&amp;" "&amp;'Compliance Database'!$M231&amp;" "&amp;'Compliance Database'!$N231&amp;" "&amp;'Compliance Database'!$O231)))),1,0)</f>
        <v/>
      </c>
      <c r="B231">
        <f>IF($A231=1,SUM($A$2:$A231),"")</f>
        <v/>
      </c>
      <c r="C231">
        <f>IF($A231=1,SUM($A$2:$A231),0)</f>
        <v/>
      </c>
    </row>
    <row r="232">
      <c r="A232">
        <f>IF(AND(OR('Compliance Database'!$A232='Data Transfer'!$B$4,'Compliance Database'!$A232='Data Transfer'!$B$5),OR('Data Transfer'!$B$6="",ISNUMBER(SEARCH('Data Transfer'!$B$6,'Compliance Database'!$D232&amp;" "&amp;'Compliance Database'!$L232&amp;" "&amp;'Compliance Database'!$M232&amp;" "&amp;'Compliance Database'!$N232&amp;" "&amp;'Compliance Database'!$O232)))),1,0)</f>
        <v/>
      </c>
      <c r="B232">
        <f>IF($A232=1,SUM($A$2:$A232),"")</f>
        <v/>
      </c>
      <c r="C232">
        <f>IF($A232=1,SUM($A$2:$A232),0)</f>
        <v/>
      </c>
    </row>
    <row r="233">
      <c r="A233">
        <f>IF(AND(OR('Compliance Database'!$A233='Data Transfer'!$B$4,'Compliance Database'!$A233='Data Transfer'!$B$5),OR('Data Transfer'!$B$6="",ISNUMBER(SEARCH('Data Transfer'!$B$6,'Compliance Database'!$D233&amp;" "&amp;'Compliance Database'!$L233&amp;" "&amp;'Compliance Database'!$M233&amp;" "&amp;'Compliance Database'!$N233&amp;" "&amp;'Compliance Database'!$O233)))),1,0)</f>
        <v/>
      </c>
      <c r="B233">
        <f>IF($A233=1,SUM($A$2:$A233),"")</f>
        <v/>
      </c>
      <c r="C233">
        <f>IF($A233=1,SUM($A$2:$A233),0)</f>
        <v/>
      </c>
    </row>
    <row r="234">
      <c r="A234">
        <f>IF(AND(OR('Compliance Database'!$A234='Data Transfer'!$B$4,'Compliance Database'!$A234='Data Transfer'!$B$5),OR('Data Transfer'!$B$6="",ISNUMBER(SEARCH('Data Transfer'!$B$6,'Compliance Database'!$D234&amp;" "&amp;'Compliance Database'!$L234&amp;" "&amp;'Compliance Database'!$M234&amp;" "&amp;'Compliance Database'!$N234&amp;" "&amp;'Compliance Database'!$O234)))),1,0)</f>
        <v/>
      </c>
      <c r="B234">
        <f>IF($A234=1,SUM($A$2:$A234),"")</f>
        <v/>
      </c>
      <c r="C234">
        <f>IF($A234=1,SUM($A$2:$A234),0)</f>
        <v/>
      </c>
    </row>
    <row r="235">
      <c r="A235">
        <f>IF(AND(OR('Compliance Database'!$A235='Data Transfer'!$B$4,'Compliance Database'!$A235='Data Transfer'!$B$5),OR('Data Transfer'!$B$6="",ISNUMBER(SEARCH('Data Transfer'!$B$6,'Compliance Database'!$D235&amp;" "&amp;'Compliance Database'!$L235&amp;" "&amp;'Compliance Database'!$M235&amp;" "&amp;'Compliance Database'!$N235&amp;" "&amp;'Compliance Database'!$O235)))),1,0)</f>
        <v/>
      </c>
      <c r="B235">
        <f>IF($A235=1,SUM($A$2:$A235),"")</f>
        <v/>
      </c>
      <c r="C235">
        <f>IF($A235=1,SUM($A$2:$A235),0)</f>
        <v/>
      </c>
    </row>
    <row r="236">
      <c r="A236">
        <f>IF(AND(OR('Compliance Database'!$A236='Data Transfer'!$B$4,'Compliance Database'!$A236='Data Transfer'!$B$5),OR('Data Transfer'!$B$6="",ISNUMBER(SEARCH('Data Transfer'!$B$6,'Compliance Database'!$D236&amp;" "&amp;'Compliance Database'!$L236&amp;" "&amp;'Compliance Database'!$M236&amp;" "&amp;'Compliance Database'!$N236&amp;" "&amp;'Compliance Database'!$O236)))),1,0)</f>
        <v/>
      </c>
      <c r="B236">
        <f>IF($A236=1,SUM($A$2:$A236),"")</f>
        <v/>
      </c>
      <c r="C236">
        <f>IF($A236=1,SUM($A$2:$A236),0)</f>
        <v/>
      </c>
    </row>
    <row r="237">
      <c r="A237">
        <f>IF(AND(OR('Compliance Database'!$A237='Data Transfer'!$B$4,'Compliance Database'!$A237='Data Transfer'!$B$5),OR('Data Transfer'!$B$6="",ISNUMBER(SEARCH('Data Transfer'!$B$6,'Compliance Database'!$D237&amp;" "&amp;'Compliance Database'!$L237&amp;" "&amp;'Compliance Database'!$M237&amp;" "&amp;'Compliance Database'!$N237&amp;" "&amp;'Compliance Database'!$O237)))),1,0)</f>
        <v/>
      </c>
      <c r="B237">
        <f>IF($A237=1,SUM($A$2:$A237),"")</f>
        <v/>
      </c>
      <c r="C237">
        <f>IF($A237=1,SUM($A$2:$A237),0)</f>
        <v/>
      </c>
    </row>
    <row r="238">
      <c r="A238">
        <f>IF(AND(OR('Compliance Database'!$A238='Data Transfer'!$B$4,'Compliance Database'!$A238='Data Transfer'!$B$5),OR('Data Transfer'!$B$6="",ISNUMBER(SEARCH('Data Transfer'!$B$6,'Compliance Database'!$D238&amp;" "&amp;'Compliance Database'!$L238&amp;" "&amp;'Compliance Database'!$M238&amp;" "&amp;'Compliance Database'!$N238&amp;" "&amp;'Compliance Database'!$O238)))),1,0)</f>
        <v/>
      </c>
      <c r="B238">
        <f>IF($A238=1,SUM($A$2:$A238),"")</f>
        <v/>
      </c>
      <c r="C238">
        <f>IF($A238=1,SUM($A$2:$A238),0)</f>
        <v/>
      </c>
    </row>
    <row r="239">
      <c r="A239">
        <f>IF(AND(OR('Compliance Database'!$A239='Data Transfer'!$B$4,'Compliance Database'!$A239='Data Transfer'!$B$5),OR('Data Transfer'!$B$6="",ISNUMBER(SEARCH('Data Transfer'!$B$6,'Compliance Database'!$D239&amp;" "&amp;'Compliance Database'!$L239&amp;" "&amp;'Compliance Database'!$M239&amp;" "&amp;'Compliance Database'!$N239&amp;" "&amp;'Compliance Database'!$O239)))),1,0)</f>
        <v/>
      </c>
      <c r="B239">
        <f>IF($A239=1,SUM($A$2:$A239),"")</f>
        <v/>
      </c>
      <c r="C239">
        <f>IF($A239=1,SUM($A$2:$A239),0)</f>
        <v/>
      </c>
    </row>
    <row r="240">
      <c r="A240">
        <f>IF(AND(OR('Compliance Database'!$A240='Data Transfer'!$B$4,'Compliance Database'!$A240='Data Transfer'!$B$5),OR('Data Transfer'!$B$6="",ISNUMBER(SEARCH('Data Transfer'!$B$6,'Compliance Database'!$D240&amp;" "&amp;'Compliance Database'!$L240&amp;" "&amp;'Compliance Database'!$M240&amp;" "&amp;'Compliance Database'!$N240&amp;" "&amp;'Compliance Database'!$O240)))),1,0)</f>
        <v/>
      </c>
      <c r="B240">
        <f>IF($A240=1,SUM($A$2:$A240),"")</f>
        <v/>
      </c>
      <c r="C240">
        <f>IF($A240=1,SUM($A$2:$A240),0)</f>
        <v/>
      </c>
    </row>
    <row r="241">
      <c r="A241">
        <f>IF(AND(OR('Compliance Database'!$A241='Data Transfer'!$B$4,'Compliance Database'!$A241='Data Transfer'!$B$5),OR('Data Transfer'!$B$6="",ISNUMBER(SEARCH('Data Transfer'!$B$6,'Compliance Database'!$D241&amp;" "&amp;'Compliance Database'!$L241&amp;" "&amp;'Compliance Database'!$M241&amp;" "&amp;'Compliance Database'!$N241&amp;" "&amp;'Compliance Database'!$O241)))),1,0)</f>
        <v/>
      </c>
      <c r="B241">
        <f>IF($A241=1,SUM($A$2:$A241),"")</f>
        <v/>
      </c>
      <c r="C241">
        <f>IF($A241=1,SUM($A$2:$A241),0)</f>
        <v/>
      </c>
    </row>
    <row r="242">
      <c r="A242">
        <f>IF(AND(OR('Compliance Database'!$A242='Data Transfer'!$B$4,'Compliance Database'!$A242='Data Transfer'!$B$5),OR('Data Transfer'!$B$6="",ISNUMBER(SEARCH('Data Transfer'!$B$6,'Compliance Database'!$D242&amp;" "&amp;'Compliance Database'!$L242&amp;" "&amp;'Compliance Database'!$M242&amp;" "&amp;'Compliance Database'!$N242&amp;" "&amp;'Compliance Database'!$O242)))),1,0)</f>
        <v/>
      </c>
      <c r="B242">
        <f>IF($A242=1,SUM($A$2:$A242),"")</f>
        <v/>
      </c>
      <c r="C242">
        <f>IF($A242=1,SUM($A$2:$A242),0)</f>
        <v/>
      </c>
    </row>
    <row r="243">
      <c r="A243">
        <f>IF(AND(OR('Compliance Database'!$A243='Data Transfer'!$B$4,'Compliance Database'!$A243='Data Transfer'!$B$5),OR('Data Transfer'!$B$6="",ISNUMBER(SEARCH('Data Transfer'!$B$6,'Compliance Database'!$D243&amp;" "&amp;'Compliance Database'!$L243&amp;" "&amp;'Compliance Database'!$M243&amp;" "&amp;'Compliance Database'!$N243&amp;" "&amp;'Compliance Database'!$O243)))),1,0)</f>
        <v/>
      </c>
      <c r="B243">
        <f>IF($A243=1,SUM($A$2:$A243),"")</f>
        <v/>
      </c>
      <c r="C243">
        <f>IF($A243=1,SUM($A$2:$A243),0)</f>
        <v/>
      </c>
    </row>
    <row r="244">
      <c r="A244">
        <f>IF(AND(OR('Compliance Database'!$A244='Data Transfer'!$B$4,'Compliance Database'!$A244='Data Transfer'!$B$5),OR('Data Transfer'!$B$6="",ISNUMBER(SEARCH('Data Transfer'!$B$6,'Compliance Database'!$D244&amp;" "&amp;'Compliance Database'!$L244&amp;" "&amp;'Compliance Database'!$M244&amp;" "&amp;'Compliance Database'!$N244&amp;" "&amp;'Compliance Database'!$O244)))),1,0)</f>
        <v/>
      </c>
      <c r="B244">
        <f>IF($A244=1,SUM($A$2:$A244),"")</f>
        <v/>
      </c>
      <c r="C244">
        <f>IF($A244=1,SUM($A$2:$A244),0)</f>
        <v/>
      </c>
    </row>
    <row r="245">
      <c r="A245">
        <f>IF(AND(OR('Compliance Database'!$A245='Data Transfer'!$B$4,'Compliance Database'!$A245='Data Transfer'!$B$5),OR('Data Transfer'!$B$6="",ISNUMBER(SEARCH('Data Transfer'!$B$6,'Compliance Database'!$D245&amp;" "&amp;'Compliance Database'!$L245&amp;" "&amp;'Compliance Database'!$M245&amp;" "&amp;'Compliance Database'!$N245&amp;" "&amp;'Compliance Database'!$O245)))),1,0)</f>
        <v/>
      </c>
      <c r="B245">
        <f>IF($A245=1,SUM($A$2:$A245),"")</f>
        <v/>
      </c>
      <c r="C245">
        <f>IF($A245=1,SUM($A$2:$A245),0)</f>
        <v/>
      </c>
    </row>
    <row r="246">
      <c r="A246">
        <f>IF(AND(OR('Compliance Database'!$A246='Data Transfer'!$B$4,'Compliance Database'!$A246='Data Transfer'!$B$5),OR('Data Transfer'!$B$6="",ISNUMBER(SEARCH('Data Transfer'!$B$6,'Compliance Database'!$D246&amp;" "&amp;'Compliance Database'!$L246&amp;" "&amp;'Compliance Database'!$M246&amp;" "&amp;'Compliance Database'!$N246&amp;" "&amp;'Compliance Database'!$O246)))),1,0)</f>
        <v/>
      </c>
      <c r="B246">
        <f>IF($A246=1,SUM($A$2:$A246),"")</f>
        <v/>
      </c>
      <c r="C246">
        <f>IF($A246=1,SUM($A$2:$A246),0)</f>
        <v/>
      </c>
    </row>
    <row r="247">
      <c r="A247">
        <f>IF(AND(OR('Compliance Database'!$A247='Data Transfer'!$B$4,'Compliance Database'!$A247='Data Transfer'!$B$5),OR('Data Transfer'!$B$6="",ISNUMBER(SEARCH('Data Transfer'!$B$6,'Compliance Database'!$D247&amp;" "&amp;'Compliance Database'!$L247&amp;" "&amp;'Compliance Database'!$M247&amp;" "&amp;'Compliance Database'!$N247&amp;" "&amp;'Compliance Database'!$O247)))),1,0)</f>
        <v/>
      </c>
      <c r="B247">
        <f>IF($A247=1,SUM($A$2:$A247),"")</f>
        <v/>
      </c>
      <c r="C247">
        <f>IF($A247=1,SUM($A$2:$A247),0)</f>
        <v/>
      </c>
    </row>
    <row r="248">
      <c r="A248">
        <f>IF(AND(OR('Compliance Database'!$A248='Data Transfer'!$B$4,'Compliance Database'!$A248='Data Transfer'!$B$5),OR('Data Transfer'!$B$6="",ISNUMBER(SEARCH('Data Transfer'!$B$6,'Compliance Database'!$D248&amp;" "&amp;'Compliance Database'!$L248&amp;" "&amp;'Compliance Database'!$M248&amp;" "&amp;'Compliance Database'!$N248&amp;" "&amp;'Compliance Database'!$O248)))),1,0)</f>
        <v/>
      </c>
      <c r="B248">
        <f>IF($A248=1,SUM($A$2:$A248),"")</f>
        <v/>
      </c>
      <c r="C248">
        <f>IF($A248=1,SUM($A$2:$A248),0)</f>
        <v/>
      </c>
    </row>
    <row r="249">
      <c r="A249">
        <f>IF(AND(OR('Compliance Database'!$A249='Data Transfer'!$B$4,'Compliance Database'!$A249='Data Transfer'!$B$5),OR('Data Transfer'!$B$6="",ISNUMBER(SEARCH('Data Transfer'!$B$6,'Compliance Database'!$D249&amp;" "&amp;'Compliance Database'!$L249&amp;" "&amp;'Compliance Database'!$M249&amp;" "&amp;'Compliance Database'!$N249&amp;" "&amp;'Compliance Database'!$O249)))),1,0)</f>
        <v/>
      </c>
      <c r="B249">
        <f>IF($A249=1,SUM($A$2:$A249),"")</f>
        <v/>
      </c>
      <c r="C249">
        <f>IF($A249=1,SUM($A$2:$A249),0)</f>
        <v/>
      </c>
    </row>
    <row r="250">
      <c r="A250">
        <f>IF(AND(OR('Compliance Database'!$A250='Data Transfer'!$B$4,'Compliance Database'!$A250='Data Transfer'!$B$5),OR('Data Transfer'!$B$6="",ISNUMBER(SEARCH('Data Transfer'!$B$6,'Compliance Database'!$D250&amp;" "&amp;'Compliance Database'!$L250&amp;" "&amp;'Compliance Database'!$M250&amp;" "&amp;'Compliance Database'!$N250&amp;" "&amp;'Compliance Database'!$O250)))),1,0)</f>
        <v/>
      </c>
      <c r="B250">
        <f>IF($A250=1,SUM($A$2:$A250),"")</f>
        <v/>
      </c>
      <c r="C250">
        <f>IF($A250=1,SUM($A$2:$A250),0)</f>
        <v/>
      </c>
    </row>
    <row r="251">
      <c r="A251">
        <f>IF(AND(OR('Compliance Database'!$A251='Data Transfer'!$B$4,'Compliance Database'!$A251='Data Transfer'!$B$5),OR('Data Transfer'!$B$6="",ISNUMBER(SEARCH('Data Transfer'!$B$6,'Compliance Database'!$D251&amp;" "&amp;'Compliance Database'!$L251&amp;" "&amp;'Compliance Database'!$M251&amp;" "&amp;'Compliance Database'!$N251&amp;" "&amp;'Compliance Database'!$O251)))),1,0)</f>
        <v/>
      </c>
      <c r="B251">
        <f>IF($A251=1,SUM($A$2:$A251),"")</f>
        <v/>
      </c>
      <c r="C251">
        <f>IF($A251=1,SUM($A$2:$A251),0)</f>
        <v/>
      </c>
    </row>
    <row r="252">
      <c r="A252">
        <f>IF(AND(OR('Compliance Database'!$A252='Data Transfer'!$B$4,'Compliance Database'!$A252='Data Transfer'!$B$5),OR('Data Transfer'!$B$6="",ISNUMBER(SEARCH('Data Transfer'!$B$6,'Compliance Database'!$D252&amp;" "&amp;'Compliance Database'!$L252&amp;" "&amp;'Compliance Database'!$M252&amp;" "&amp;'Compliance Database'!$N252&amp;" "&amp;'Compliance Database'!$O252)))),1,0)</f>
        <v/>
      </c>
      <c r="B252">
        <f>IF($A252=1,SUM($A$2:$A252),"")</f>
        <v/>
      </c>
      <c r="C252">
        <f>IF($A252=1,SUM($A$2:$A252),0)</f>
        <v/>
      </c>
    </row>
    <row r="253">
      <c r="A253">
        <f>IF(AND(OR('Compliance Database'!$A253='Data Transfer'!$B$4,'Compliance Database'!$A253='Data Transfer'!$B$5),OR('Data Transfer'!$B$6="",ISNUMBER(SEARCH('Data Transfer'!$B$6,'Compliance Database'!$D253&amp;" "&amp;'Compliance Database'!$L253&amp;" "&amp;'Compliance Database'!$M253&amp;" "&amp;'Compliance Database'!$N253&amp;" "&amp;'Compliance Database'!$O253)))),1,0)</f>
        <v/>
      </c>
      <c r="B253">
        <f>IF($A253=1,SUM($A$2:$A253),"")</f>
        <v/>
      </c>
      <c r="C253">
        <f>IF($A253=1,SUM($A$2:$A253),0)</f>
        <v/>
      </c>
    </row>
    <row r="254">
      <c r="A254">
        <f>IF(AND(OR('Compliance Database'!$A254='Data Transfer'!$B$4,'Compliance Database'!$A254='Data Transfer'!$B$5),OR('Data Transfer'!$B$6="",ISNUMBER(SEARCH('Data Transfer'!$B$6,'Compliance Database'!$D254&amp;" "&amp;'Compliance Database'!$L254&amp;" "&amp;'Compliance Database'!$M254&amp;" "&amp;'Compliance Database'!$N254&amp;" "&amp;'Compliance Database'!$O254)))),1,0)</f>
        <v/>
      </c>
      <c r="B254">
        <f>IF($A254=1,SUM($A$2:$A254),"")</f>
        <v/>
      </c>
      <c r="C254">
        <f>IF($A254=1,SUM($A$2:$A254),0)</f>
        <v/>
      </c>
    </row>
    <row r="255">
      <c r="A255">
        <f>IF(AND(OR('Compliance Database'!$A255='Data Transfer'!$B$4,'Compliance Database'!$A255='Data Transfer'!$B$5),OR('Data Transfer'!$B$6="",ISNUMBER(SEARCH('Data Transfer'!$B$6,'Compliance Database'!$D255&amp;" "&amp;'Compliance Database'!$L255&amp;" "&amp;'Compliance Database'!$M255&amp;" "&amp;'Compliance Database'!$N255&amp;" "&amp;'Compliance Database'!$O255)))),1,0)</f>
        <v/>
      </c>
      <c r="B255">
        <f>IF($A255=1,SUM($A$2:$A255),"")</f>
        <v/>
      </c>
      <c r="C255">
        <f>IF($A255=1,SUM($A$2:$A255),0)</f>
        <v/>
      </c>
    </row>
    <row r="256">
      <c r="A256">
        <f>IF(AND(OR('Compliance Database'!$A256='Data Transfer'!$B$4,'Compliance Database'!$A256='Data Transfer'!$B$5),OR('Data Transfer'!$B$6="",ISNUMBER(SEARCH('Data Transfer'!$B$6,'Compliance Database'!$D256&amp;" "&amp;'Compliance Database'!$L256&amp;" "&amp;'Compliance Database'!$M256&amp;" "&amp;'Compliance Database'!$N256&amp;" "&amp;'Compliance Database'!$O256)))),1,0)</f>
        <v/>
      </c>
      <c r="B256">
        <f>IF($A256=1,SUM($A$2:$A256),"")</f>
        <v/>
      </c>
      <c r="C256">
        <f>IF($A256=1,SUM($A$2:$A256),0)</f>
        <v/>
      </c>
    </row>
    <row r="257">
      <c r="A257">
        <f>IF(AND(OR('Compliance Database'!$A257='Data Transfer'!$B$4,'Compliance Database'!$A257='Data Transfer'!$B$5),OR('Data Transfer'!$B$6="",ISNUMBER(SEARCH('Data Transfer'!$B$6,'Compliance Database'!$D257&amp;" "&amp;'Compliance Database'!$L257&amp;" "&amp;'Compliance Database'!$M257&amp;" "&amp;'Compliance Database'!$N257&amp;" "&amp;'Compliance Database'!$O257)))),1,0)</f>
        <v/>
      </c>
      <c r="B257">
        <f>IF($A257=1,SUM($A$2:$A257),"")</f>
        <v/>
      </c>
      <c r="C257">
        <f>IF($A257=1,SUM($A$2:$A257),0)</f>
        <v/>
      </c>
    </row>
    <row r="258">
      <c r="A258">
        <f>IF(AND(OR('Compliance Database'!$A258='Data Transfer'!$B$4,'Compliance Database'!$A258='Data Transfer'!$B$5),OR('Data Transfer'!$B$6="",ISNUMBER(SEARCH('Data Transfer'!$B$6,'Compliance Database'!$D258&amp;" "&amp;'Compliance Database'!$L258&amp;" "&amp;'Compliance Database'!$M258&amp;" "&amp;'Compliance Database'!$N258&amp;" "&amp;'Compliance Database'!$O258)))),1,0)</f>
        <v/>
      </c>
      <c r="B258">
        <f>IF($A258=1,SUM($A$2:$A258),"")</f>
        <v/>
      </c>
      <c r="C258">
        <f>IF($A258=1,SUM($A$2:$A258),0)</f>
        <v/>
      </c>
    </row>
    <row r="259">
      <c r="A259">
        <f>IF(AND(OR('Compliance Database'!$A259='Data Transfer'!$B$4,'Compliance Database'!$A259='Data Transfer'!$B$5),OR('Data Transfer'!$B$6="",ISNUMBER(SEARCH('Data Transfer'!$B$6,'Compliance Database'!$D259&amp;" "&amp;'Compliance Database'!$L259&amp;" "&amp;'Compliance Database'!$M259&amp;" "&amp;'Compliance Database'!$N259&amp;" "&amp;'Compliance Database'!$O259)))),1,0)</f>
        <v/>
      </c>
      <c r="B259">
        <f>IF($A259=1,SUM($A$2:$A259),"")</f>
        <v/>
      </c>
      <c r="C259">
        <f>IF($A259=1,SUM($A$2:$A259),0)</f>
        <v/>
      </c>
    </row>
    <row r="260">
      <c r="A260">
        <f>IF(AND(OR('Compliance Database'!$A260='Data Transfer'!$B$4,'Compliance Database'!$A260='Data Transfer'!$B$5),OR('Data Transfer'!$B$6="",ISNUMBER(SEARCH('Data Transfer'!$B$6,'Compliance Database'!$D260&amp;" "&amp;'Compliance Database'!$L260&amp;" "&amp;'Compliance Database'!$M260&amp;" "&amp;'Compliance Database'!$N260&amp;" "&amp;'Compliance Database'!$O260)))),1,0)</f>
        <v/>
      </c>
      <c r="B260">
        <f>IF($A260=1,SUM($A$2:$A260),"")</f>
        <v/>
      </c>
      <c r="C260">
        <f>IF($A260=1,SUM($A$2:$A260),0)</f>
        <v/>
      </c>
    </row>
    <row r="261">
      <c r="A261">
        <f>IF(AND(OR('Compliance Database'!$A261='Data Transfer'!$B$4,'Compliance Database'!$A261='Data Transfer'!$B$5),OR('Data Transfer'!$B$6="",ISNUMBER(SEARCH('Data Transfer'!$B$6,'Compliance Database'!$D261&amp;" "&amp;'Compliance Database'!$L261&amp;" "&amp;'Compliance Database'!$M261&amp;" "&amp;'Compliance Database'!$N261&amp;" "&amp;'Compliance Database'!$O261)))),1,0)</f>
        <v/>
      </c>
      <c r="B261">
        <f>IF($A261=1,SUM($A$2:$A261),"")</f>
        <v/>
      </c>
      <c r="C261">
        <f>IF($A261=1,SUM($A$2:$A261),0)</f>
        <v/>
      </c>
    </row>
    <row r="262">
      <c r="A262">
        <f>IF(AND(OR('Compliance Database'!$A262='Data Transfer'!$B$4,'Compliance Database'!$A262='Data Transfer'!$B$5),OR('Data Transfer'!$B$6="",ISNUMBER(SEARCH('Data Transfer'!$B$6,'Compliance Database'!$D262&amp;" "&amp;'Compliance Database'!$L262&amp;" "&amp;'Compliance Database'!$M262&amp;" "&amp;'Compliance Database'!$N262&amp;" "&amp;'Compliance Database'!$O262)))),1,0)</f>
        <v/>
      </c>
      <c r="B262">
        <f>IF($A262=1,SUM($A$2:$A262),"")</f>
        <v/>
      </c>
      <c r="C262">
        <f>IF($A262=1,SUM($A$2:$A262),0)</f>
        <v/>
      </c>
    </row>
    <row r="263">
      <c r="A263">
        <f>IF(AND(OR('Compliance Database'!$A263='Data Transfer'!$B$4,'Compliance Database'!$A263='Data Transfer'!$B$5),OR('Data Transfer'!$B$6="",ISNUMBER(SEARCH('Data Transfer'!$B$6,'Compliance Database'!$D263&amp;" "&amp;'Compliance Database'!$L263&amp;" "&amp;'Compliance Database'!$M263&amp;" "&amp;'Compliance Database'!$N263&amp;" "&amp;'Compliance Database'!$O263)))),1,0)</f>
        <v/>
      </c>
      <c r="B263">
        <f>IF($A263=1,SUM($A$2:$A263),"")</f>
        <v/>
      </c>
      <c r="C263">
        <f>IF($A263=1,SUM($A$2:$A263),0)</f>
        <v/>
      </c>
    </row>
    <row r="264">
      <c r="A264">
        <f>IF(AND(OR('Compliance Database'!$A264='Data Transfer'!$B$4,'Compliance Database'!$A264='Data Transfer'!$B$5),OR('Data Transfer'!$B$6="",ISNUMBER(SEARCH('Data Transfer'!$B$6,'Compliance Database'!$D264&amp;" "&amp;'Compliance Database'!$L264&amp;" "&amp;'Compliance Database'!$M264&amp;" "&amp;'Compliance Database'!$N264&amp;" "&amp;'Compliance Database'!$O264)))),1,0)</f>
        <v/>
      </c>
      <c r="B264">
        <f>IF($A264=1,SUM($A$2:$A264),"")</f>
        <v/>
      </c>
      <c r="C264">
        <f>IF($A264=1,SUM($A$2:$A264),0)</f>
        <v/>
      </c>
    </row>
    <row r="265">
      <c r="A265">
        <f>IF(AND(OR('Compliance Database'!$A265='Data Transfer'!$B$4,'Compliance Database'!$A265='Data Transfer'!$B$5),OR('Data Transfer'!$B$6="",ISNUMBER(SEARCH('Data Transfer'!$B$6,'Compliance Database'!$D265&amp;" "&amp;'Compliance Database'!$L265&amp;" "&amp;'Compliance Database'!$M265&amp;" "&amp;'Compliance Database'!$N265&amp;" "&amp;'Compliance Database'!$O265)))),1,0)</f>
        <v/>
      </c>
      <c r="B265">
        <f>IF($A265=1,SUM($A$2:$A265),"")</f>
        <v/>
      </c>
      <c r="C265">
        <f>IF($A265=1,SUM($A$2:$A265),0)</f>
        <v/>
      </c>
    </row>
    <row r="266">
      <c r="A266">
        <f>IF(AND(OR('Compliance Database'!$A266='Data Transfer'!$B$4,'Compliance Database'!$A266='Data Transfer'!$B$5),OR('Data Transfer'!$B$6="",ISNUMBER(SEARCH('Data Transfer'!$B$6,'Compliance Database'!$D266&amp;" "&amp;'Compliance Database'!$L266&amp;" "&amp;'Compliance Database'!$M266&amp;" "&amp;'Compliance Database'!$N266&amp;" "&amp;'Compliance Database'!$O266)))),1,0)</f>
        <v/>
      </c>
      <c r="B266">
        <f>IF($A266=1,SUM($A$2:$A266),"")</f>
        <v/>
      </c>
      <c r="C266">
        <f>IF($A266=1,SUM($A$2:$A266),0)</f>
        <v/>
      </c>
    </row>
    <row r="267">
      <c r="A267">
        <f>IF(AND(OR('Compliance Database'!$A267='Data Transfer'!$B$4,'Compliance Database'!$A267='Data Transfer'!$B$5),OR('Data Transfer'!$B$6="",ISNUMBER(SEARCH('Data Transfer'!$B$6,'Compliance Database'!$D267&amp;" "&amp;'Compliance Database'!$L267&amp;" "&amp;'Compliance Database'!$M267&amp;" "&amp;'Compliance Database'!$N267&amp;" "&amp;'Compliance Database'!$O267)))),1,0)</f>
        <v/>
      </c>
      <c r="B267">
        <f>IF($A267=1,SUM($A$2:$A267),"")</f>
        <v/>
      </c>
      <c r="C267">
        <f>IF($A267=1,SUM($A$2:$A267),0)</f>
        <v/>
      </c>
    </row>
    <row r="268">
      <c r="A268">
        <f>IF(AND(OR('Compliance Database'!$A268='Data Transfer'!$B$4,'Compliance Database'!$A268='Data Transfer'!$B$5),OR('Data Transfer'!$B$6="",ISNUMBER(SEARCH('Data Transfer'!$B$6,'Compliance Database'!$D268&amp;" "&amp;'Compliance Database'!$L268&amp;" "&amp;'Compliance Database'!$M268&amp;" "&amp;'Compliance Database'!$N268&amp;" "&amp;'Compliance Database'!$O268)))),1,0)</f>
        <v/>
      </c>
      <c r="B268">
        <f>IF($A268=1,SUM($A$2:$A268),"")</f>
        <v/>
      </c>
      <c r="C268">
        <f>IF($A268=1,SUM($A$2:$A268),0)</f>
        <v/>
      </c>
    </row>
    <row r="269">
      <c r="A269">
        <f>IF(AND(OR('Compliance Database'!$A269='Data Transfer'!$B$4,'Compliance Database'!$A269='Data Transfer'!$B$5),OR('Data Transfer'!$B$6="",ISNUMBER(SEARCH('Data Transfer'!$B$6,'Compliance Database'!$D269&amp;" "&amp;'Compliance Database'!$L269&amp;" "&amp;'Compliance Database'!$M269&amp;" "&amp;'Compliance Database'!$N269&amp;" "&amp;'Compliance Database'!$O269)))),1,0)</f>
        <v/>
      </c>
      <c r="B269">
        <f>IF($A269=1,SUM($A$2:$A269),"")</f>
        <v/>
      </c>
      <c r="C269">
        <f>IF($A269=1,SUM($A$2:$A269),0)</f>
        <v/>
      </c>
    </row>
    <row r="270">
      <c r="A270">
        <f>IF(AND(OR('Compliance Database'!$A270='Data Transfer'!$B$4,'Compliance Database'!$A270='Data Transfer'!$B$5),OR('Data Transfer'!$B$6="",ISNUMBER(SEARCH('Data Transfer'!$B$6,'Compliance Database'!$D270&amp;" "&amp;'Compliance Database'!$L270&amp;" "&amp;'Compliance Database'!$M270&amp;" "&amp;'Compliance Database'!$N270&amp;" "&amp;'Compliance Database'!$O270)))),1,0)</f>
        <v/>
      </c>
      <c r="B270">
        <f>IF($A270=1,SUM($A$2:$A270),"")</f>
        <v/>
      </c>
      <c r="C270">
        <f>IF($A270=1,SUM($A$2:$A270),0)</f>
        <v/>
      </c>
    </row>
    <row r="271">
      <c r="A271">
        <f>IF(AND(OR('Compliance Database'!$A271='Data Transfer'!$B$4,'Compliance Database'!$A271='Data Transfer'!$B$5),OR('Data Transfer'!$B$6="",ISNUMBER(SEARCH('Data Transfer'!$B$6,'Compliance Database'!$D271&amp;" "&amp;'Compliance Database'!$L271&amp;" "&amp;'Compliance Database'!$M271&amp;" "&amp;'Compliance Database'!$N271&amp;" "&amp;'Compliance Database'!$O271)))),1,0)</f>
        <v/>
      </c>
      <c r="B271">
        <f>IF($A271=1,SUM($A$2:$A271),"")</f>
        <v/>
      </c>
      <c r="C271">
        <f>IF($A271=1,SUM($A$2:$A271),0)</f>
        <v/>
      </c>
    </row>
    <row r="272">
      <c r="A272">
        <f>IF(AND(OR('Compliance Database'!$A272='Data Transfer'!$B$4,'Compliance Database'!$A272='Data Transfer'!$B$5),OR('Data Transfer'!$B$6="",ISNUMBER(SEARCH('Data Transfer'!$B$6,'Compliance Database'!$D272&amp;" "&amp;'Compliance Database'!$L272&amp;" "&amp;'Compliance Database'!$M272&amp;" "&amp;'Compliance Database'!$N272&amp;" "&amp;'Compliance Database'!$O272)))),1,0)</f>
        <v/>
      </c>
      <c r="B272">
        <f>IF($A272=1,SUM($A$2:$A272),"")</f>
        <v/>
      </c>
      <c r="C272">
        <f>IF($A272=1,SUM($A$2:$A272),0)</f>
        <v/>
      </c>
    </row>
    <row r="273">
      <c r="A273">
        <f>IF(AND(OR('Compliance Database'!$A273='Data Transfer'!$B$4,'Compliance Database'!$A273='Data Transfer'!$B$5),OR('Data Transfer'!$B$6="",ISNUMBER(SEARCH('Data Transfer'!$B$6,'Compliance Database'!$D273&amp;" "&amp;'Compliance Database'!$L273&amp;" "&amp;'Compliance Database'!$M273&amp;" "&amp;'Compliance Database'!$N273&amp;" "&amp;'Compliance Database'!$O273)))),1,0)</f>
        <v/>
      </c>
      <c r="B273">
        <f>IF($A273=1,SUM($A$2:$A273),"")</f>
        <v/>
      </c>
      <c r="C273">
        <f>IF($A273=1,SUM($A$2:$A273),0)</f>
        <v/>
      </c>
    </row>
    <row r="274">
      <c r="A274">
        <f>IF(AND(OR('Compliance Database'!$A274='Data Transfer'!$B$4,'Compliance Database'!$A274='Data Transfer'!$B$5),OR('Data Transfer'!$B$6="",ISNUMBER(SEARCH('Data Transfer'!$B$6,'Compliance Database'!$D274&amp;" "&amp;'Compliance Database'!$L274&amp;" "&amp;'Compliance Database'!$M274&amp;" "&amp;'Compliance Database'!$N274&amp;" "&amp;'Compliance Database'!$O274)))),1,0)</f>
        <v/>
      </c>
      <c r="B274">
        <f>IF($A274=1,SUM($A$2:$A274),"")</f>
        <v/>
      </c>
      <c r="C274">
        <f>IF($A274=1,SUM($A$2:$A274),0)</f>
        <v/>
      </c>
    </row>
    <row r="275">
      <c r="A275">
        <f>IF(AND(OR('Compliance Database'!$A275='Data Transfer'!$B$4,'Compliance Database'!$A275='Data Transfer'!$B$5),OR('Data Transfer'!$B$6="",ISNUMBER(SEARCH('Data Transfer'!$B$6,'Compliance Database'!$D275&amp;" "&amp;'Compliance Database'!$L275&amp;" "&amp;'Compliance Database'!$M275&amp;" "&amp;'Compliance Database'!$N275&amp;" "&amp;'Compliance Database'!$O275)))),1,0)</f>
        <v/>
      </c>
      <c r="B275">
        <f>IF($A275=1,SUM($A$2:$A275),"")</f>
        <v/>
      </c>
      <c r="C275">
        <f>IF($A275=1,SUM($A$2:$A275),0)</f>
        <v/>
      </c>
    </row>
    <row r="276">
      <c r="A276">
        <f>IF(AND(OR('Compliance Database'!$A276='Data Transfer'!$B$4,'Compliance Database'!$A276='Data Transfer'!$B$5),OR('Data Transfer'!$B$6="",ISNUMBER(SEARCH('Data Transfer'!$B$6,'Compliance Database'!$D276&amp;" "&amp;'Compliance Database'!$L276&amp;" "&amp;'Compliance Database'!$M276&amp;" "&amp;'Compliance Database'!$N276&amp;" "&amp;'Compliance Database'!$O276)))),1,0)</f>
        <v/>
      </c>
      <c r="B276">
        <f>IF($A276=1,SUM($A$2:$A276),"")</f>
        <v/>
      </c>
      <c r="C276">
        <f>IF($A276=1,SUM($A$2:$A276),0)</f>
        <v/>
      </c>
    </row>
    <row r="277">
      <c r="A277">
        <f>IF(AND(OR('Compliance Database'!$A277='Data Transfer'!$B$4,'Compliance Database'!$A277='Data Transfer'!$B$5),OR('Data Transfer'!$B$6="",ISNUMBER(SEARCH('Data Transfer'!$B$6,'Compliance Database'!$D277&amp;" "&amp;'Compliance Database'!$L277&amp;" "&amp;'Compliance Database'!$M277&amp;" "&amp;'Compliance Database'!$N277&amp;" "&amp;'Compliance Database'!$O277)))),1,0)</f>
        <v/>
      </c>
      <c r="B277">
        <f>IF($A277=1,SUM($A$2:$A277),"")</f>
        <v/>
      </c>
      <c r="C277">
        <f>IF($A277=1,SUM($A$2:$A277),0)</f>
        <v/>
      </c>
    </row>
    <row r="278">
      <c r="A278">
        <f>IF(AND(OR('Compliance Database'!$A278='Data Transfer'!$B$4,'Compliance Database'!$A278='Data Transfer'!$B$5),OR('Data Transfer'!$B$6="",ISNUMBER(SEARCH('Data Transfer'!$B$6,'Compliance Database'!$D278&amp;" "&amp;'Compliance Database'!$L278&amp;" "&amp;'Compliance Database'!$M278&amp;" "&amp;'Compliance Database'!$N278&amp;" "&amp;'Compliance Database'!$O278)))),1,0)</f>
        <v/>
      </c>
      <c r="B278">
        <f>IF($A278=1,SUM($A$2:$A278),"")</f>
        <v/>
      </c>
      <c r="C278">
        <f>IF($A278=1,SUM($A$2:$A278),0)</f>
        <v/>
      </c>
    </row>
    <row r="279">
      <c r="A279">
        <f>IF(AND(OR('Compliance Database'!$A279='Data Transfer'!$B$4,'Compliance Database'!$A279='Data Transfer'!$B$5),OR('Data Transfer'!$B$6="",ISNUMBER(SEARCH('Data Transfer'!$B$6,'Compliance Database'!$D279&amp;" "&amp;'Compliance Database'!$L279&amp;" "&amp;'Compliance Database'!$M279&amp;" "&amp;'Compliance Database'!$N279&amp;" "&amp;'Compliance Database'!$O279)))),1,0)</f>
        <v/>
      </c>
      <c r="B279">
        <f>IF($A279=1,SUM($A$2:$A279),"")</f>
        <v/>
      </c>
      <c r="C279">
        <f>IF($A279=1,SUM($A$2:$A279),0)</f>
        <v/>
      </c>
    </row>
    <row r="280">
      <c r="A280">
        <f>IF(AND(OR('Compliance Database'!$A280='Data Transfer'!$B$4,'Compliance Database'!$A280='Data Transfer'!$B$5),OR('Data Transfer'!$B$6="",ISNUMBER(SEARCH('Data Transfer'!$B$6,'Compliance Database'!$D280&amp;" "&amp;'Compliance Database'!$L280&amp;" "&amp;'Compliance Database'!$M280&amp;" "&amp;'Compliance Database'!$N280&amp;" "&amp;'Compliance Database'!$O280)))),1,0)</f>
        <v/>
      </c>
      <c r="B280">
        <f>IF($A280=1,SUM($A$2:$A280),"")</f>
        <v/>
      </c>
      <c r="C280">
        <f>IF($A280=1,SUM($A$2:$A280),0)</f>
        <v/>
      </c>
    </row>
    <row r="281">
      <c r="A281">
        <f>IF(AND(OR('Compliance Database'!$A281='Data Transfer'!$B$4,'Compliance Database'!$A281='Data Transfer'!$B$5),OR('Data Transfer'!$B$6="",ISNUMBER(SEARCH('Data Transfer'!$B$6,'Compliance Database'!$D281&amp;" "&amp;'Compliance Database'!$L281&amp;" "&amp;'Compliance Database'!$M281&amp;" "&amp;'Compliance Database'!$N281&amp;" "&amp;'Compliance Database'!$O281)))),1,0)</f>
        <v/>
      </c>
      <c r="B281">
        <f>IF($A281=1,SUM($A$2:$A281),"")</f>
        <v/>
      </c>
      <c r="C281">
        <f>IF($A281=1,SUM($A$2:$A281),0)</f>
        <v/>
      </c>
    </row>
    <row r="282">
      <c r="A282">
        <f>IF(AND(OR('Compliance Database'!$A282='Data Transfer'!$B$4,'Compliance Database'!$A282='Data Transfer'!$B$5),OR('Data Transfer'!$B$6="",ISNUMBER(SEARCH('Data Transfer'!$B$6,'Compliance Database'!$D282&amp;" "&amp;'Compliance Database'!$L282&amp;" "&amp;'Compliance Database'!$M282&amp;" "&amp;'Compliance Database'!$N282&amp;" "&amp;'Compliance Database'!$O282)))),1,0)</f>
        <v/>
      </c>
      <c r="B282">
        <f>IF($A282=1,SUM($A$2:$A282),"")</f>
        <v/>
      </c>
      <c r="C282">
        <f>IF($A282=1,SUM($A$2:$A282),0)</f>
        <v/>
      </c>
    </row>
    <row r="283">
      <c r="A283">
        <f>IF(AND(OR('Compliance Database'!$A283='Data Transfer'!$B$4,'Compliance Database'!$A283='Data Transfer'!$B$5),OR('Data Transfer'!$B$6="",ISNUMBER(SEARCH('Data Transfer'!$B$6,'Compliance Database'!$D283&amp;" "&amp;'Compliance Database'!$L283&amp;" "&amp;'Compliance Database'!$M283&amp;" "&amp;'Compliance Database'!$N283&amp;" "&amp;'Compliance Database'!$O283)))),1,0)</f>
        <v/>
      </c>
      <c r="B283">
        <f>IF($A283=1,SUM($A$2:$A283),"")</f>
        <v/>
      </c>
      <c r="C283">
        <f>IF($A283=1,SUM($A$2:$A283),0)</f>
        <v/>
      </c>
    </row>
    <row r="284">
      <c r="A284">
        <f>IF(AND(OR('Compliance Database'!$A284='Data Transfer'!$B$4,'Compliance Database'!$A284='Data Transfer'!$B$5),OR('Data Transfer'!$B$6="",ISNUMBER(SEARCH('Data Transfer'!$B$6,'Compliance Database'!$D284&amp;" "&amp;'Compliance Database'!$L284&amp;" "&amp;'Compliance Database'!$M284&amp;" "&amp;'Compliance Database'!$N284&amp;" "&amp;'Compliance Database'!$O284)))),1,0)</f>
        <v/>
      </c>
      <c r="B284">
        <f>IF($A284=1,SUM($A$2:$A284),"")</f>
        <v/>
      </c>
      <c r="C284">
        <f>IF($A284=1,SUM($A$2:$A284),0)</f>
        <v/>
      </c>
    </row>
    <row r="285">
      <c r="A285">
        <f>IF(AND(OR('Compliance Database'!$A285='Data Transfer'!$B$4,'Compliance Database'!$A285='Data Transfer'!$B$5),OR('Data Transfer'!$B$6="",ISNUMBER(SEARCH('Data Transfer'!$B$6,'Compliance Database'!$D285&amp;" "&amp;'Compliance Database'!$L285&amp;" "&amp;'Compliance Database'!$M285&amp;" "&amp;'Compliance Database'!$N285&amp;" "&amp;'Compliance Database'!$O285)))),1,0)</f>
        <v/>
      </c>
      <c r="B285">
        <f>IF($A285=1,SUM($A$2:$A285),"")</f>
        <v/>
      </c>
      <c r="C285">
        <f>IF($A285=1,SUM($A$2:$A285),0)</f>
        <v/>
      </c>
    </row>
    <row r="286">
      <c r="A286">
        <f>IF(AND(OR('Compliance Database'!$A286='Data Transfer'!$B$4,'Compliance Database'!$A286='Data Transfer'!$B$5),OR('Data Transfer'!$B$6="",ISNUMBER(SEARCH('Data Transfer'!$B$6,'Compliance Database'!$D286&amp;" "&amp;'Compliance Database'!$L286&amp;" "&amp;'Compliance Database'!$M286&amp;" "&amp;'Compliance Database'!$N286&amp;" "&amp;'Compliance Database'!$O286)))),1,0)</f>
        <v/>
      </c>
      <c r="B286">
        <f>IF($A286=1,SUM($A$2:$A286),"")</f>
        <v/>
      </c>
      <c r="C286">
        <f>IF($A286=1,SUM($A$2:$A286),0)</f>
        <v/>
      </c>
    </row>
    <row r="287">
      <c r="A287">
        <f>IF(AND(OR('Compliance Database'!$A287='Data Transfer'!$B$4,'Compliance Database'!$A287='Data Transfer'!$B$5),OR('Data Transfer'!$B$6="",ISNUMBER(SEARCH('Data Transfer'!$B$6,'Compliance Database'!$D287&amp;" "&amp;'Compliance Database'!$L287&amp;" "&amp;'Compliance Database'!$M287&amp;" "&amp;'Compliance Database'!$N287&amp;" "&amp;'Compliance Database'!$O287)))),1,0)</f>
        <v/>
      </c>
      <c r="B287">
        <f>IF($A287=1,SUM($A$2:$A287),"")</f>
        <v/>
      </c>
      <c r="C287">
        <f>IF($A287=1,SUM($A$2:$A287),0)</f>
        <v/>
      </c>
    </row>
    <row r="288">
      <c r="A288">
        <f>IF(AND(OR('Compliance Database'!$A288='Data Transfer'!$B$4,'Compliance Database'!$A288='Data Transfer'!$B$5),OR('Data Transfer'!$B$6="",ISNUMBER(SEARCH('Data Transfer'!$B$6,'Compliance Database'!$D288&amp;" "&amp;'Compliance Database'!$L288&amp;" "&amp;'Compliance Database'!$M288&amp;" "&amp;'Compliance Database'!$N288&amp;" "&amp;'Compliance Database'!$O288)))),1,0)</f>
        <v/>
      </c>
      <c r="B288">
        <f>IF($A288=1,SUM($A$2:$A288),"")</f>
        <v/>
      </c>
      <c r="C288">
        <f>IF($A288=1,SUM($A$2:$A288),0)</f>
        <v/>
      </c>
    </row>
    <row r="289">
      <c r="A289">
        <f>IF(AND(OR('Compliance Database'!$A289='Data Transfer'!$B$4,'Compliance Database'!$A289='Data Transfer'!$B$5),OR('Data Transfer'!$B$6="",ISNUMBER(SEARCH('Data Transfer'!$B$6,'Compliance Database'!$D289&amp;" "&amp;'Compliance Database'!$L289&amp;" "&amp;'Compliance Database'!$M289&amp;" "&amp;'Compliance Database'!$N289&amp;" "&amp;'Compliance Database'!$O289)))),1,0)</f>
        <v/>
      </c>
      <c r="B289">
        <f>IF($A289=1,SUM($A$2:$A289),"")</f>
        <v/>
      </c>
      <c r="C289">
        <f>IF($A289=1,SUM($A$2:$A289),0)</f>
        <v/>
      </c>
    </row>
    <row r="290">
      <c r="A290">
        <f>IF(AND(OR('Compliance Database'!$A290='Data Transfer'!$B$4,'Compliance Database'!$A290='Data Transfer'!$B$5),OR('Data Transfer'!$B$6="",ISNUMBER(SEARCH('Data Transfer'!$B$6,'Compliance Database'!$D290&amp;" "&amp;'Compliance Database'!$L290&amp;" "&amp;'Compliance Database'!$M290&amp;" "&amp;'Compliance Database'!$N290&amp;" "&amp;'Compliance Database'!$O290)))),1,0)</f>
        <v/>
      </c>
      <c r="B290">
        <f>IF($A290=1,SUM($A$2:$A290),"")</f>
        <v/>
      </c>
      <c r="C290">
        <f>IF($A290=1,SUM($A$2:$A290),0)</f>
        <v/>
      </c>
    </row>
    <row r="291">
      <c r="A291">
        <f>IF(AND(OR('Compliance Database'!$A291='Data Transfer'!$B$4,'Compliance Database'!$A291='Data Transfer'!$B$5),OR('Data Transfer'!$B$6="",ISNUMBER(SEARCH('Data Transfer'!$B$6,'Compliance Database'!$D291&amp;" "&amp;'Compliance Database'!$L291&amp;" "&amp;'Compliance Database'!$M291&amp;" "&amp;'Compliance Database'!$N291&amp;" "&amp;'Compliance Database'!$O291)))),1,0)</f>
        <v/>
      </c>
      <c r="B291">
        <f>IF($A291=1,SUM($A$2:$A291),"")</f>
        <v/>
      </c>
      <c r="C291">
        <f>IF($A291=1,SUM($A$2:$A291),0)</f>
        <v/>
      </c>
    </row>
    <row r="292">
      <c r="A292">
        <f>IF(AND(OR('Compliance Database'!$A292='Data Transfer'!$B$4,'Compliance Database'!$A292='Data Transfer'!$B$5),OR('Data Transfer'!$B$6="",ISNUMBER(SEARCH('Data Transfer'!$B$6,'Compliance Database'!$D292&amp;" "&amp;'Compliance Database'!$L292&amp;" "&amp;'Compliance Database'!$M292&amp;" "&amp;'Compliance Database'!$N292&amp;" "&amp;'Compliance Database'!$O292)))),1,0)</f>
        <v/>
      </c>
      <c r="B292">
        <f>IF($A292=1,SUM($A$2:$A292),"")</f>
        <v/>
      </c>
      <c r="C292">
        <f>IF($A292=1,SUM($A$2:$A292),0)</f>
        <v/>
      </c>
    </row>
    <row r="293">
      <c r="A293">
        <f>IF(AND(OR('Compliance Database'!$A293='Data Transfer'!$B$4,'Compliance Database'!$A293='Data Transfer'!$B$5),OR('Data Transfer'!$B$6="",ISNUMBER(SEARCH('Data Transfer'!$B$6,'Compliance Database'!$D293&amp;" "&amp;'Compliance Database'!$L293&amp;" "&amp;'Compliance Database'!$M293&amp;" "&amp;'Compliance Database'!$N293&amp;" "&amp;'Compliance Database'!$O293)))),1,0)</f>
        <v/>
      </c>
      <c r="B293">
        <f>IF($A293=1,SUM($A$2:$A293),"")</f>
        <v/>
      </c>
      <c r="C293">
        <f>IF($A293=1,SUM($A$2:$A293),0)</f>
        <v/>
      </c>
    </row>
    <row r="294">
      <c r="A294">
        <f>IF(AND(OR('Compliance Database'!$A294='Data Transfer'!$B$4,'Compliance Database'!$A294='Data Transfer'!$B$5),OR('Data Transfer'!$B$6="",ISNUMBER(SEARCH('Data Transfer'!$B$6,'Compliance Database'!$D294&amp;" "&amp;'Compliance Database'!$L294&amp;" "&amp;'Compliance Database'!$M294&amp;" "&amp;'Compliance Database'!$N294&amp;" "&amp;'Compliance Database'!$O294)))),1,0)</f>
        <v/>
      </c>
      <c r="B294">
        <f>IF($A294=1,SUM($A$2:$A294),"")</f>
        <v/>
      </c>
      <c r="C294">
        <f>IF($A294=1,SUM($A$2:$A294),0)</f>
        <v/>
      </c>
    </row>
    <row r="295">
      <c r="A295">
        <f>IF(AND(OR('Compliance Database'!$A295='Data Transfer'!$B$4,'Compliance Database'!$A295='Data Transfer'!$B$5),OR('Data Transfer'!$B$6="",ISNUMBER(SEARCH('Data Transfer'!$B$6,'Compliance Database'!$D295&amp;" "&amp;'Compliance Database'!$L295&amp;" "&amp;'Compliance Database'!$M295&amp;" "&amp;'Compliance Database'!$N295&amp;" "&amp;'Compliance Database'!$O295)))),1,0)</f>
        <v/>
      </c>
      <c r="B295">
        <f>IF($A295=1,SUM($A$2:$A295),"")</f>
        <v/>
      </c>
      <c r="C295">
        <f>IF($A295=1,SUM($A$2:$A295),0)</f>
        <v/>
      </c>
    </row>
    <row r="296">
      <c r="A296">
        <f>IF(AND(OR('Compliance Database'!$A296='Data Transfer'!$B$4,'Compliance Database'!$A296='Data Transfer'!$B$5),OR('Data Transfer'!$B$6="",ISNUMBER(SEARCH('Data Transfer'!$B$6,'Compliance Database'!$D296&amp;" "&amp;'Compliance Database'!$L296&amp;" "&amp;'Compliance Database'!$M296&amp;" "&amp;'Compliance Database'!$N296&amp;" "&amp;'Compliance Database'!$O296)))),1,0)</f>
        <v/>
      </c>
      <c r="B296">
        <f>IF($A296=1,SUM($A$2:$A296),"")</f>
        <v/>
      </c>
      <c r="C296">
        <f>IF($A296=1,SUM($A$2:$A296),0)</f>
        <v/>
      </c>
    </row>
    <row r="297">
      <c r="A297">
        <f>IF(AND(OR('Compliance Database'!$A297='Data Transfer'!$B$4,'Compliance Database'!$A297='Data Transfer'!$B$5),OR('Data Transfer'!$B$6="",ISNUMBER(SEARCH('Data Transfer'!$B$6,'Compliance Database'!$D297&amp;" "&amp;'Compliance Database'!$L297&amp;" "&amp;'Compliance Database'!$M297&amp;" "&amp;'Compliance Database'!$N297&amp;" "&amp;'Compliance Database'!$O297)))),1,0)</f>
        <v/>
      </c>
      <c r="B297">
        <f>IF($A297=1,SUM($A$2:$A297),"")</f>
        <v/>
      </c>
      <c r="C297">
        <f>IF($A297=1,SUM($A$2:$A297),0)</f>
        <v/>
      </c>
    </row>
    <row r="298">
      <c r="A298">
        <f>IF(AND(OR('Compliance Database'!$A298='Data Transfer'!$B$4,'Compliance Database'!$A298='Data Transfer'!$B$5),OR('Data Transfer'!$B$6="",ISNUMBER(SEARCH('Data Transfer'!$B$6,'Compliance Database'!$D298&amp;" "&amp;'Compliance Database'!$L298&amp;" "&amp;'Compliance Database'!$M298&amp;" "&amp;'Compliance Database'!$N298&amp;" "&amp;'Compliance Database'!$O298)))),1,0)</f>
        <v/>
      </c>
      <c r="B298">
        <f>IF($A298=1,SUM($A$2:$A298),"")</f>
        <v/>
      </c>
      <c r="C298">
        <f>IF($A298=1,SUM($A$2:$A298),0)</f>
        <v/>
      </c>
    </row>
    <row r="299">
      <c r="A299">
        <f>IF(AND(OR('Compliance Database'!$A299='Data Transfer'!$B$4,'Compliance Database'!$A299='Data Transfer'!$B$5),OR('Data Transfer'!$B$6="",ISNUMBER(SEARCH('Data Transfer'!$B$6,'Compliance Database'!$D299&amp;" "&amp;'Compliance Database'!$L299&amp;" "&amp;'Compliance Database'!$M299&amp;" "&amp;'Compliance Database'!$N299&amp;" "&amp;'Compliance Database'!$O299)))),1,0)</f>
        <v/>
      </c>
      <c r="B299">
        <f>IF($A299=1,SUM($A$2:$A299),"")</f>
        <v/>
      </c>
      <c r="C299">
        <f>IF($A299=1,SUM($A$2:$A299),0)</f>
        <v/>
      </c>
    </row>
    <row r="300">
      <c r="A300">
        <f>IF(AND(OR('Compliance Database'!$A300='Data Transfer'!$B$4,'Compliance Database'!$A300='Data Transfer'!$B$5),OR('Data Transfer'!$B$6="",ISNUMBER(SEARCH('Data Transfer'!$B$6,'Compliance Database'!$D300&amp;" "&amp;'Compliance Database'!$L300&amp;" "&amp;'Compliance Database'!$M300&amp;" "&amp;'Compliance Database'!$N300&amp;" "&amp;'Compliance Database'!$O300)))),1,0)</f>
        <v/>
      </c>
      <c r="B300">
        <f>IF($A300=1,SUM($A$2:$A300),"")</f>
        <v/>
      </c>
      <c r="C300">
        <f>IF($A300=1,SUM($A$2:$A300),0)</f>
        <v/>
      </c>
    </row>
    <row r="301">
      <c r="A301">
        <f>IF(AND(OR('Compliance Database'!$A301='Data Transfer'!$B$4,'Compliance Database'!$A301='Data Transfer'!$B$5),OR('Data Transfer'!$B$6="",ISNUMBER(SEARCH('Data Transfer'!$B$6,'Compliance Database'!$D301&amp;" "&amp;'Compliance Database'!$L301&amp;" "&amp;'Compliance Database'!$M301&amp;" "&amp;'Compliance Database'!$N301&amp;" "&amp;'Compliance Database'!$O301)))),1,0)</f>
        <v/>
      </c>
      <c r="B301">
        <f>IF($A301=1,SUM($A$2:$A301),"")</f>
        <v/>
      </c>
      <c r="C301">
        <f>IF($A301=1,SUM($A$2:$A301),0)</f>
        <v/>
      </c>
    </row>
    <row r="302">
      <c r="A302">
        <f>IF(AND(OR('Compliance Database'!$A302='Data Transfer'!$B$4,'Compliance Database'!$A302='Data Transfer'!$B$5),OR('Data Transfer'!$B$6="",ISNUMBER(SEARCH('Data Transfer'!$B$6,'Compliance Database'!$D302&amp;" "&amp;'Compliance Database'!$L302&amp;" "&amp;'Compliance Database'!$M302&amp;" "&amp;'Compliance Database'!$N302&amp;" "&amp;'Compliance Database'!$O302)))),1,0)</f>
        <v/>
      </c>
      <c r="B302">
        <f>IF($A302=1,SUM($A$2:$A302),"")</f>
        <v/>
      </c>
      <c r="C302">
        <f>IF($A302=1,SUM($A$2:$A302),0)</f>
        <v/>
      </c>
    </row>
    <row r="303">
      <c r="A303">
        <f>IF(AND(OR('Compliance Database'!$A303='Data Transfer'!$B$4,'Compliance Database'!$A303='Data Transfer'!$B$5),OR('Data Transfer'!$B$6="",ISNUMBER(SEARCH('Data Transfer'!$B$6,'Compliance Database'!$D303&amp;" "&amp;'Compliance Database'!$L303&amp;" "&amp;'Compliance Database'!$M303&amp;" "&amp;'Compliance Database'!$N303&amp;" "&amp;'Compliance Database'!$O303)))),1,0)</f>
        <v/>
      </c>
      <c r="B303">
        <f>IF($A303=1,SUM($A$2:$A303),"")</f>
        <v/>
      </c>
      <c r="C303">
        <f>IF($A303=1,SUM($A$2:$A303),0)</f>
        <v/>
      </c>
    </row>
    <row r="304">
      <c r="A304">
        <f>IF(AND(OR('Compliance Database'!$A304='Data Transfer'!$B$4,'Compliance Database'!$A304='Data Transfer'!$B$5),OR('Data Transfer'!$B$6="",ISNUMBER(SEARCH('Data Transfer'!$B$6,'Compliance Database'!$D304&amp;" "&amp;'Compliance Database'!$L304&amp;" "&amp;'Compliance Database'!$M304&amp;" "&amp;'Compliance Database'!$N304&amp;" "&amp;'Compliance Database'!$O304)))),1,0)</f>
        <v/>
      </c>
      <c r="B304">
        <f>IF($A304=1,SUM($A$2:$A304),"")</f>
        <v/>
      </c>
      <c r="C304">
        <f>IF($A304=1,SUM($A$2:$A304),0)</f>
        <v/>
      </c>
    </row>
    <row r="305">
      <c r="A305">
        <f>IF(AND(OR('Compliance Database'!$A305='Data Transfer'!$B$4,'Compliance Database'!$A305='Data Transfer'!$B$5),OR('Data Transfer'!$B$6="",ISNUMBER(SEARCH('Data Transfer'!$B$6,'Compliance Database'!$D305&amp;" "&amp;'Compliance Database'!$L305&amp;" "&amp;'Compliance Database'!$M305&amp;" "&amp;'Compliance Database'!$N305&amp;" "&amp;'Compliance Database'!$O305)))),1,0)</f>
        <v/>
      </c>
      <c r="B305">
        <f>IF($A305=1,SUM($A$2:$A305),"")</f>
        <v/>
      </c>
      <c r="C305">
        <f>IF($A305=1,SUM($A$2:$A305),0)</f>
        <v/>
      </c>
    </row>
    <row r="306">
      <c r="A306">
        <f>IF(AND(OR('Compliance Database'!$A306='Data Transfer'!$B$4,'Compliance Database'!$A306='Data Transfer'!$B$5),OR('Data Transfer'!$B$6="",ISNUMBER(SEARCH('Data Transfer'!$B$6,'Compliance Database'!$D306&amp;" "&amp;'Compliance Database'!$L306&amp;" "&amp;'Compliance Database'!$M306&amp;" "&amp;'Compliance Database'!$N306&amp;" "&amp;'Compliance Database'!$O306)))),1,0)</f>
        <v/>
      </c>
      <c r="B306">
        <f>IF($A306=1,SUM($A$2:$A306),"")</f>
        <v/>
      </c>
      <c r="C306">
        <f>IF($A306=1,SUM($A$2:$A306),0)</f>
        <v/>
      </c>
    </row>
    <row r="307">
      <c r="A307">
        <f>IF(AND(OR('Compliance Database'!$A307='Data Transfer'!$B$4,'Compliance Database'!$A307='Data Transfer'!$B$5),OR('Data Transfer'!$B$6="",ISNUMBER(SEARCH('Data Transfer'!$B$6,'Compliance Database'!$D307&amp;" "&amp;'Compliance Database'!$L307&amp;" "&amp;'Compliance Database'!$M307&amp;" "&amp;'Compliance Database'!$N307&amp;" "&amp;'Compliance Database'!$O307)))),1,0)</f>
        <v/>
      </c>
      <c r="B307">
        <f>IF($A307=1,SUM($A$2:$A307),"")</f>
        <v/>
      </c>
      <c r="C307">
        <f>IF($A307=1,SUM($A$2:$A307),0)</f>
        <v/>
      </c>
    </row>
    <row r="308">
      <c r="A308">
        <f>IF(AND(OR('Compliance Database'!$A308='Data Transfer'!$B$4,'Compliance Database'!$A308='Data Transfer'!$B$5),OR('Data Transfer'!$B$6="",ISNUMBER(SEARCH('Data Transfer'!$B$6,'Compliance Database'!$D308&amp;" "&amp;'Compliance Database'!$L308&amp;" "&amp;'Compliance Database'!$M308&amp;" "&amp;'Compliance Database'!$N308&amp;" "&amp;'Compliance Database'!$O308)))),1,0)</f>
        <v/>
      </c>
      <c r="B308">
        <f>IF($A308=1,SUM($A$2:$A308),"")</f>
        <v/>
      </c>
      <c r="C308">
        <f>IF($A308=1,SUM($A$2:$A308),0)</f>
        <v/>
      </c>
    </row>
    <row r="309">
      <c r="A309">
        <f>IF(AND(OR('Compliance Database'!$A309='Data Transfer'!$B$4,'Compliance Database'!$A309='Data Transfer'!$B$5),OR('Data Transfer'!$B$6="",ISNUMBER(SEARCH('Data Transfer'!$B$6,'Compliance Database'!$D309&amp;" "&amp;'Compliance Database'!$L309&amp;" "&amp;'Compliance Database'!$M309&amp;" "&amp;'Compliance Database'!$N309&amp;" "&amp;'Compliance Database'!$O309)))),1,0)</f>
        <v/>
      </c>
      <c r="B309">
        <f>IF($A309=1,SUM($A$2:$A309),"")</f>
        <v/>
      </c>
      <c r="C309">
        <f>IF($A309=1,SUM($A$2:$A309),0)</f>
        <v/>
      </c>
    </row>
    <row r="310">
      <c r="A310">
        <f>IF(AND(OR('Compliance Database'!$A310='Data Transfer'!$B$4,'Compliance Database'!$A310='Data Transfer'!$B$5),OR('Data Transfer'!$B$6="",ISNUMBER(SEARCH('Data Transfer'!$B$6,'Compliance Database'!$D310&amp;" "&amp;'Compliance Database'!$L310&amp;" "&amp;'Compliance Database'!$M310&amp;" "&amp;'Compliance Database'!$N310&amp;" "&amp;'Compliance Database'!$O310)))),1,0)</f>
        <v/>
      </c>
      <c r="B310">
        <f>IF($A310=1,SUM($A$2:$A310),"")</f>
        <v/>
      </c>
      <c r="C310">
        <f>IF($A310=1,SUM($A$2:$A310),0)</f>
        <v/>
      </c>
    </row>
    <row r="311">
      <c r="A311">
        <f>IF(AND(OR('Compliance Database'!$A311='Data Transfer'!$B$4,'Compliance Database'!$A311='Data Transfer'!$B$5),OR('Data Transfer'!$B$6="",ISNUMBER(SEARCH('Data Transfer'!$B$6,'Compliance Database'!$D311&amp;" "&amp;'Compliance Database'!$L311&amp;" "&amp;'Compliance Database'!$M311&amp;" "&amp;'Compliance Database'!$N311&amp;" "&amp;'Compliance Database'!$O311)))),1,0)</f>
        <v/>
      </c>
      <c r="B311">
        <f>IF($A311=1,SUM($A$2:$A311),"")</f>
        <v/>
      </c>
      <c r="C311">
        <f>IF($A311=1,SUM($A$2:$A311),0)</f>
        <v/>
      </c>
    </row>
    <row r="312">
      <c r="A312">
        <f>IF(AND(OR('Compliance Database'!$A312='Data Transfer'!$B$4,'Compliance Database'!$A312='Data Transfer'!$B$5),OR('Data Transfer'!$B$6="",ISNUMBER(SEARCH('Data Transfer'!$B$6,'Compliance Database'!$D312&amp;" "&amp;'Compliance Database'!$L312&amp;" "&amp;'Compliance Database'!$M312&amp;" "&amp;'Compliance Database'!$N312&amp;" "&amp;'Compliance Database'!$O312)))),1,0)</f>
        <v/>
      </c>
      <c r="B312">
        <f>IF($A312=1,SUM($A$2:$A312),"")</f>
        <v/>
      </c>
      <c r="C312">
        <f>IF($A312=1,SUM($A$2:$A312),0)</f>
        <v/>
      </c>
    </row>
    <row r="313">
      <c r="A313">
        <f>IF(AND(OR('Compliance Database'!$A313='Data Transfer'!$B$4,'Compliance Database'!$A313='Data Transfer'!$B$5),OR('Data Transfer'!$B$6="",ISNUMBER(SEARCH('Data Transfer'!$B$6,'Compliance Database'!$D313&amp;" "&amp;'Compliance Database'!$L313&amp;" "&amp;'Compliance Database'!$M313&amp;" "&amp;'Compliance Database'!$N313&amp;" "&amp;'Compliance Database'!$O313)))),1,0)</f>
        <v/>
      </c>
      <c r="B313">
        <f>IF($A313=1,SUM($A$2:$A313),"")</f>
        <v/>
      </c>
      <c r="C313">
        <f>IF($A313=1,SUM($A$2:$A313),0)</f>
        <v/>
      </c>
    </row>
    <row r="314">
      <c r="A314">
        <f>IF(AND(OR('Compliance Database'!$A314='Data Transfer'!$B$4,'Compliance Database'!$A314='Data Transfer'!$B$5),OR('Data Transfer'!$B$6="",ISNUMBER(SEARCH('Data Transfer'!$B$6,'Compliance Database'!$D314&amp;" "&amp;'Compliance Database'!$L314&amp;" "&amp;'Compliance Database'!$M314&amp;" "&amp;'Compliance Database'!$N314&amp;" "&amp;'Compliance Database'!$O314)))),1,0)</f>
        <v/>
      </c>
      <c r="B314">
        <f>IF($A314=1,SUM($A$2:$A314),"")</f>
        <v/>
      </c>
      <c r="C314">
        <f>IF($A314=1,SUM($A$2:$A314),0)</f>
        <v/>
      </c>
    </row>
    <row r="315">
      <c r="A315">
        <f>IF(AND(OR('Compliance Database'!$A315='Data Transfer'!$B$4,'Compliance Database'!$A315='Data Transfer'!$B$5),OR('Data Transfer'!$B$6="",ISNUMBER(SEARCH('Data Transfer'!$B$6,'Compliance Database'!$D315&amp;" "&amp;'Compliance Database'!$L315&amp;" "&amp;'Compliance Database'!$M315&amp;" "&amp;'Compliance Database'!$N315&amp;" "&amp;'Compliance Database'!$O315)))),1,0)</f>
        <v/>
      </c>
      <c r="B315">
        <f>IF($A315=1,SUM($A$2:$A315),"")</f>
        <v/>
      </c>
      <c r="C315">
        <f>IF($A315=1,SUM($A$2:$A315),0)</f>
        <v/>
      </c>
    </row>
    <row r="316">
      <c r="A316">
        <f>IF(AND(OR('Compliance Database'!$A316='Data Transfer'!$B$4,'Compliance Database'!$A316='Data Transfer'!$B$5),OR('Data Transfer'!$B$6="",ISNUMBER(SEARCH('Data Transfer'!$B$6,'Compliance Database'!$D316&amp;" "&amp;'Compliance Database'!$L316&amp;" "&amp;'Compliance Database'!$M316&amp;" "&amp;'Compliance Database'!$N316&amp;" "&amp;'Compliance Database'!$O316)))),1,0)</f>
        <v/>
      </c>
      <c r="B316">
        <f>IF($A316=1,SUM($A$2:$A316),"")</f>
        <v/>
      </c>
      <c r="C316">
        <f>IF($A316=1,SUM($A$2:$A316),0)</f>
        <v/>
      </c>
    </row>
    <row r="317">
      <c r="A317">
        <f>IF(AND(OR('Compliance Database'!$A317='Data Transfer'!$B$4,'Compliance Database'!$A317='Data Transfer'!$B$5),OR('Data Transfer'!$B$6="",ISNUMBER(SEARCH('Data Transfer'!$B$6,'Compliance Database'!$D317&amp;" "&amp;'Compliance Database'!$L317&amp;" "&amp;'Compliance Database'!$M317&amp;" "&amp;'Compliance Database'!$N317&amp;" "&amp;'Compliance Database'!$O317)))),1,0)</f>
        <v/>
      </c>
      <c r="B317">
        <f>IF($A317=1,SUM($A$2:$A317),"")</f>
        <v/>
      </c>
      <c r="C317">
        <f>IF($A317=1,SUM($A$2:$A317),0)</f>
        <v/>
      </c>
    </row>
    <row r="318">
      <c r="A318">
        <f>IF(AND(OR('Compliance Database'!$A318='Data Transfer'!$B$4,'Compliance Database'!$A318='Data Transfer'!$B$5),OR('Data Transfer'!$B$6="",ISNUMBER(SEARCH('Data Transfer'!$B$6,'Compliance Database'!$D318&amp;" "&amp;'Compliance Database'!$L318&amp;" "&amp;'Compliance Database'!$M318&amp;" "&amp;'Compliance Database'!$N318&amp;" "&amp;'Compliance Database'!$O318)))),1,0)</f>
        <v/>
      </c>
      <c r="B318">
        <f>IF($A318=1,SUM($A$2:$A318),"")</f>
        <v/>
      </c>
      <c r="C318">
        <f>IF($A318=1,SUM($A$2:$A318),0)</f>
        <v/>
      </c>
    </row>
    <row r="319">
      <c r="A319">
        <f>IF(AND(OR('Compliance Database'!$A319='Data Transfer'!$B$4,'Compliance Database'!$A319='Data Transfer'!$B$5),OR('Data Transfer'!$B$6="",ISNUMBER(SEARCH('Data Transfer'!$B$6,'Compliance Database'!$D319&amp;" "&amp;'Compliance Database'!$L319&amp;" "&amp;'Compliance Database'!$M319&amp;" "&amp;'Compliance Database'!$N319&amp;" "&amp;'Compliance Database'!$O319)))),1,0)</f>
        <v/>
      </c>
      <c r="B319">
        <f>IF($A319=1,SUM($A$2:$A319),"")</f>
        <v/>
      </c>
      <c r="C319">
        <f>IF($A319=1,SUM($A$2:$A319),0)</f>
        <v/>
      </c>
    </row>
    <row r="320">
      <c r="A320">
        <f>IF(AND(OR('Compliance Database'!$A320='Data Transfer'!$B$4,'Compliance Database'!$A320='Data Transfer'!$B$5),OR('Data Transfer'!$B$6="",ISNUMBER(SEARCH('Data Transfer'!$B$6,'Compliance Database'!$D320&amp;" "&amp;'Compliance Database'!$L320&amp;" "&amp;'Compliance Database'!$M320&amp;" "&amp;'Compliance Database'!$N320&amp;" "&amp;'Compliance Database'!$O320)))),1,0)</f>
        <v/>
      </c>
      <c r="B320">
        <f>IF($A320=1,SUM($A$2:$A320),"")</f>
        <v/>
      </c>
      <c r="C320">
        <f>IF($A320=1,SUM($A$2:$A320),0)</f>
        <v/>
      </c>
    </row>
    <row r="321">
      <c r="A321">
        <f>IF(AND(OR('Compliance Database'!$A321='Data Transfer'!$B$4,'Compliance Database'!$A321='Data Transfer'!$B$5),OR('Data Transfer'!$B$6="",ISNUMBER(SEARCH('Data Transfer'!$B$6,'Compliance Database'!$D321&amp;" "&amp;'Compliance Database'!$L321&amp;" "&amp;'Compliance Database'!$M321&amp;" "&amp;'Compliance Database'!$N321&amp;" "&amp;'Compliance Database'!$O321)))),1,0)</f>
        <v/>
      </c>
      <c r="B321">
        <f>IF($A321=1,SUM($A$2:$A321),"")</f>
        <v/>
      </c>
      <c r="C321">
        <f>IF($A321=1,SUM($A$2:$A321),0)</f>
        <v/>
      </c>
    </row>
    <row r="322">
      <c r="A322">
        <f>IF(AND(OR('Compliance Database'!$A322='Data Transfer'!$B$4,'Compliance Database'!$A322='Data Transfer'!$B$5),OR('Data Transfer'!$B$6="",ISNUMBER(SEARCH('Data Transfer'!$B$6,'Compliance Database'!$D322&amp;" "&amp;'Compliance Database'!$L322&amp;" "&amp;'Compliance Database'!$M322&amp;" "&amp;'Compliance Database'!$N322&amp;" "&amp;'Compliance Database'!$O322)))),1,0)</f>
        <v/>
      </c>
      <c r="B322">
        <f>IF($A322=1,SUM($A$2:$A322),"")</f>
        <v/>
      </c>
      <c r="C322">
        <f>IF($A322=1,SUM($A$2:$A322),0)</f>
        <v/>
      </c>
    </row>
    <row r="323">
      <c r="A323">
        <f>IF(AND(OR('Compliance Database'!$A323='Data Transfer'!$B$4,'Compliance Database'!$A323='Data Transfer'!$B$5),OR('Data Transfer'!$B$6="",ISNUMBER(SEARCH('Data Transfer'!$B$6,'Compliance Database'!$D323&amp;" "&amp;'Compliance Database'!$L323&amp;" "&amp;'Compliance Database'!$M323&amp;" "&amp;'Compliance Database'!$N323&amp;" "&amp;'Compliance Database'!$O323)))),1,0)</f>
        <v/>
      </c>
      <c r="B323">
        <f>IF($A323=1,SUM($A$2:$A323),"")</f>
        <v/>
      </c>
      <c r="C323">
        <f>IF($A323=1,SUM($A$2:$A323),0)</f>
        <v/>
      </c>
    </row>
    <row r="324">
      <c r="A324">
        <f>IF(AND(OR('Compliance Database'!$A324='Data Transfer'!$B$4,'Compliance Database'!$A324='Data Transfer'!$B$5),OR('Data Transfer'!$B$6="",ISNUMBER(SEARCH('Data Transfer'!$B$6,'Compliance Database'!$D324&amp;" "&amp;'Compliance Database'!$L324&amp;" "&amp;'Compliance Database'!$M324&amp;" "&amp;'Compliance Database'!$N324&amp;" "&amp;'Compliance Database'!$O324)))),1,0)</f>
        <v/>
      </c>
      <c r="B324">
        <f>IF($A324=1,SUM($A$2:$A324),"")</f>
        <v/>
      </c>
      <c r="C324">
        <f>IF($A324=1,SUM($A$2:$A324),0)</f>
        <v/>
      </c>
    </row>
    <row r="325">
      <c r="A325">
        <f>IF(AND(OR('Compliance Database'!$A325='Data Transfer'!$B$4,'Compliance Database'!$A325='Data Transfer'!$B$5),OR('Data Transfer'!$B$6="",ISNUMBER(SEARCH('Data Transfer'!$B$6,'Compliance Database'!$D325&amp;" "&amp;'Compliance Database'!$L325&amp;" "&amp;'Compliance Database'!$M325&amp;" "&amp;'Compliance Database'!$N325&amp;" "&amp;'Compliance Database'!$O325)))),1,0)</f>
        <v/>
      </c>
      <c r="B325">
        <f>IF($A325=1,SUM($A$2:$A325),"")</f>
        <v/>
      </c>
      <c r="C325">
        <f>IF($A325=1,SUM($A$2:$A325),0)</f>
        <v/>
      </c>
    </row>
    <row r="326">
      <c r="A326">
        <f>IF(AND(OR('Compliance Database'!$A326='Data Transfer'!$B$4,'Compliance Database'!$A326='Data Transfer'!$B$5),OR('Data Transfer'!$B$6="",ISNUMBER(SEARCH('Data Transfer'!$B$6,'Compliance Database'!$D326&amp;" "&amp;'Compliance Database'!$L326&amp;" "&amp;'Compliance Database'!$M326&amp;" "&amp;'Compliance Database'!$N326&amp;" "&amp;'Compliance Database'!$O326)))),1,0)</f>
        <v/>
      </c>
      <c r="B326">
        <f>IF($A326=1,SUM($A$2:$A326),"")</f>
        <v/>
      </c>
      <c r="C326">
        <f>IF($A326=1,SUM($A$2:$A326),0)</f>
        <v/>
      </c>
    </row>
    <row r="327">
      <c r="A327">
        <f>IF(AND(OR('Compliance Database'!$A327='Data Transfer'!$B$4,'Compliance Database'!$A327='Data Transfer'!$B$5),OR('Data Transfer'!$B$6="",ISNUMBER(SEARCH('Data Transfer'!$B$6,'Compliance Database'!$D327&amp;" "&amp;'Compliance Database'!$L327&amp;" "&amp;'Compliance Database'!$M327&amp;" "&amp;'Compliance Database'!$N327&amp;" "&amp;'Compliance Database'!$O327)))),1,0)</f>
        <v/>
      </c>
      <c r="B327">
        <f>IF($A327=1,SUM($A$2:$A327),"")</f>
        <v/>
      </c>
      <c r="C327">
        <f>IF($A327=1,SUM($A$2:$A327),0)</f>
        <v/>
      </c>
    </row>
    <row r="328">
      <c r="A328">
        <f>IF(AND(OR('Compliance Database'!$A328='Data Transfer'!$B$4,'Compliance Database'!$A328='Data Transfer'!$B$5),OR('Data Transfer'!$B$6="",ISNUMBER(SEARCH('Data Transfer'!$B$6,'Compliance Database'!$D328&amp;" "&amp;'Compliance Database'!$L328&amp;" "&amp;'Compliance Database'!$M328&amp;" "&amp;'Compliance Database'!$N328&amp;" "&amp;'Compliance Database'!$O328)))),1,0)</f>
        <v/>
      </c>
      <c r="B328">
        <f>IF($A328=1,SUM($A$2:$A328),"")</f>
        <v/>
      </c>
      <c r="C328">
        <f>IF($A328=1,SUM($A$2:$A328),0)</f>
        <v/>
      </c>
    </row>
    <row r="329">
      <c r="A329">
        <f>IF(AND(OR('Compliance Database'!$A329='Data Transfer'!$B$4,'Compliance Database'!$A329='Data Transfer'!$B$5),OR('Data Transfer'!$B$6="",ISNUMBER(SEARCH('Data Transfer'!$B$6,'Compliance Database'!$D329&amp;" "&amp;'Compliance Database'!$L329&amp;" "&amp;'Compliance Database'!$M329&amp;" "&amp;'Compliance Database'!$N329&amp;" "&amp;'Compliance Database'!$O329)))),1,0)</f>
        <v/>
      </c>
      <c r="B329">
        <f>IF($A329=1,SUM($A$2:$A329),"")</f>
        <v/>
      </c>
      <c r="C329">
        <f>IF($A329=1,SUM($A$2:$A329),0)</f>
        <v/>
      </c>
    </row>
    <row r="330">
      <c r="A330">
        <f>IF(AND(OR('Compliance Database'!$A330='Data Transfer'!$B$4,'Compliance Database'!$A330='Data Transfer'!$B$5),OR('Data Transfer'!$B$6="",ISNUMBER(SEARCH('Data Transfer'!$B$6,'Compliance Database'!$D330&amp;" "&amp;'Compliance Database'!$L330&amp;" "&amp;'Compliance Database'!$M330&amp;" "&amp;'Compliance Database'!$N330&amp;" "&amp;'Compliance Database'!$O330)))),1,0)</f>
        <v/>
      </c>
      <c r="B330">
        <f>IF($A330=1,SUM($A$2:$A330),"")</f>
        <v/>
      </c>
      <c r="C330">
        <f>IF($A330=1,SUM($A$2:$A330),0)</f>
        <v/>
      </c>
    </row>
    <row r="331">
      <c r="A331">
        <f>IF(AND(OR('Compliance Database'!$A331='Data Transfer'!$B$4,'Compliance Database'!$A331='Data Transfer'!$B$5),OR('Data Transfer'!$B$6="",ISNUMBER(SEARCH('Data Transfer'!$B$6,'Compliance Database'!$D331&amp;" "&amp;'Compliance Database'!$L331&amp;" "&amp;'Compliance Database'!$M331&amp;" "&amp;'Compliance Database'!$N331&amp;" "&amp;'Compliance Database'!$O331)))),1,0)</f>
        <v/>
      </c>
      <c r="B331">
        <f>IF($A331=1,SUM($A$2:$A331),"")</f>
        <v/>
      </c>
      <c r="C331">
        <f>IF($A331=1,SUM($A$2:$A331),0)</f>
        <v/>
      </c>
    </row>
    <row r="332">
      <c r="A332">
        <f>IF(AND(OR('Compliance Database'!$A332='Data Transfer'!$B$4,'Compliance Database'!$A332='Data Transfer'!$B$5),OR('Data Transfer'!$B$6="",ISNUMBER(SEARCH('Data Transfer'!$B$6,'Compliance Database'!$D332&amp;" "&amp;'Compliance Database'!$L332&amp;" "&amp;'Compliance Database'!$M332&amp;" "&amp;'Compliance Database'!$N332&amp;" "&amp;'Compliance Database'!$O332)))),1,0)</f>
        <v/>
      </c>
      <c r="B332">
        <f>IF($A332=1,SUM($A$2:$A332),"")</f>
        <v/>
      </c>
      <c r="C332">
        <f>IF($A332=1,SUM($A$2:$A332),0)</f>
        <v/>
      </c>
    </row>
    <row r="333">
      <c r="A333">
        <f>IF(AND(OR('Compliance Database'!$A333='Data Transfer'!$B$4,'Compliance Database'!$A333='Data Transfer'!$B$5),OR('Data Transfer'!$B$6="",ISNUMBER(SEARCH('Data Transfer'!$B$6,'Compliance Database'!$D333&amp;" "&amp;'Compliance Database'!$L333&amp;" "&amp;'Compliance Database'!$M333&amp;" "&amp;'Compliance Database'!$N333&amp;" "&amp;'Compliance Database'!$O333)))),1,0)</f>
        <v/>
      </c>
      <c r="B333">
        <f>IF($A333=1,SUM($A$2:$A333),"")</f>
        <v/>
      </c>
      <c r="C333">
        <f>IF($A333=1,SUM($A$2:$A333),0)</f>
        <v/>
      </c>
    </row>
    <row r="334">
      <c r="A334">
        <f>IF(AND(OR('Compliance Database'!$A334='Data Transfer'!$B$4,'Compliance Database'!$A334='Data Transfer'!$B$5),OR('Data Transfer'!$B$6="",ISNUMBER(SEARCH('Data Transfer'!$B$6,'Compliance Database'!$D334&amp;" "&amp;'Compliance Database'!$L334&amp;" "&amp;'Compliance Database'!$M334&amp;" "&amp;'Compliance Database'!$N334&amp;" "&amp;'Compliance Database'!$O334)))),1,0)</f>
        <v/>
      </c>
      <c r="B334">
        <f>IF($A334=1,SUM($A$2:$A334),"")</f>
        <v/>
      </c>
      <c r="C334">
        <f>IF($A334=1,SUM($A$2:$A334),0)</f>
        <v/>
      </c>
    </row>
    <row r="335">
      <c r="A335">
        <f>IF(AND(OR('Compliance Database'!$A335='Data Transfer'!$B$4,'Compliance Database'!$A335='Data Transfer'!$B$5),OR('Data Transfer'!$B$6="",ISNUMBER(SEARCH('Data Transfer'!$B$6,'Compliance Database'!$D335&amp;" "&amp;'Compliance Database'!$L335&amp;" "&amp;'Compliance Database'!$M335&amp;" "&amp;'Compliance Database'!$N335&amp;" "&amp;'Compliance Database'!$O335)))),1,0)</f>
        <v/>
      </c>
      <c r="B335">
        <f>IF($A335=1,SUM($A$2:$A335),"")</f>
        <v/>
      </c>
      <c r="C335">
        <f>IF($A335=1,SUM($A$2:$A335),0)</f>
        <v/>
      </c>
    </row>
    <row r="336">
      <c r="A336">
        <f>IF(AND(OR('Compliance Database'!$A336='Data Transfer'!$B$4,'Compliance Database'!$A336='Data Transfer'!$B$5),OR('Data Transfer'!$B$6="",ISNUMBER(SEARCH('Data Transfer'!$B$6,'Compliance Database'!$D336&amp;" "&amp;'Compliance Database'!$L336&amp;" "&amp;'Compliance Database'!$M336&amp;" "&amp;'Compliance Database'!$N336&amp;" "&amp;'Compliance Database'!$O336)))),1,0)</f>
        <v/>
      </c>
      <c r="B336">
        <f>IF($A336=1,SUM($A$2:$A336),"")</f>
        <v/>
      </c>
      <c r="C336">
        <f>IF($A336=1,SUM($A$2:$A336),0)</f>
        <v/>
      </c>
    </row>
    <row r="337">
      <c r="A337">
        <f>IF(AND(OR('Compliance Database'!$A337='Data Transfer'!$B$4,'Compliance Database'!$A337='Data Transfer'!$B$5),OR('Data Transfer'!$B$6="",ISNUMBER(SEARCH('Data Transfer'!$B$6,'Compliance Database'!$D337&amp;" "&amp;'Compliance Database'!$L337&amp;" "&amp;'Compliance Database'!$M337&amp;" "&amp;'Compliance Database'!$N337&amp;" "&amp;'Compliance Database'!$O337)))),1,0)</f>
        <v/>
      </c>
      <c r="B337">
        <f>IF($A337=1,SUM($A$2:$A337),"")</f>
        <v/>
      </c>
      <c r="C337">
        <f>IF($A337=1,SUM($A$2:$A337),0)</f>
        <v/>
      </c>
    </row>
    <row r="338">
      <c r="A338">
        <f>IF(AND(OR('Compliance Database'!$A338='Data Transfer'!$B$4,'Compliance Database'!$A338='Data Transfer'!$B$5),OR('Data Transfer'!$B$6="",ISNUMBER(SEARCH('Data Transfer'!$B$6,'Compliance Database'!$D338&amp;" "&amp;'Compliance Database'!$L338&amp;" "&amp;'Compliance Database'!$M338&amp;" "&amp;'Compliance Database'!$N338&amp;" "&amp;'Compliance Database'!$O338)))),1,0)</f>
        <v/>
      </c>
      <c r="B338">
        <f>IF($A338=1,SUM($A$2:$A338),"")</f>
        <v/>
      </c>
      <c r="C338">
        <f>IF($A338=1,SUM($A$2:$A338),0)</f>
        <v/>
      </c>
    </row>
    <row r="339">
      <c r="A339">
        <f>IF(AND(OR('Compliance Database'!$A339='Data Transfer'!$B$4,'Compliance Database'!$A339='Data Transfer'!$B$5),OR('Data Transfer'!$B$6="",ISNUMBER(SEARCH('Data Transfer'!$B$6,'Compliance Database'!$D339&amp;" "&amp;'Compliance Database'!$L339&amp;" "&amp;'Compliance Database'!$M339&amp;" "&amp;'Compliance Database'!$N339&amp;" "&amp;'Compliance Database'!$O339)))),1,0)</f>
        <v/>
      </c>
      <c r="B339">
        <f>IF($A339=1,SUM($A$2:$A339),"")</f>
        <v/>
      </c>
      <c r="C339">
        <f>IF($A339=1,SUM($A$2:$A339),0)</f>
        <v/>
      </c>
    </row>
    <row r="340">
      <c r="A340">
        <f>IF(AND(OR('Compliance Database'!$A340='Data Transfer'!$B$4,'Compliance Database'!$A340='Data Transfer'!$B$5),OR('Data Transfer'!$B$6="",ISNUMBER(SEARCH('Data Transfer'!$B$6,'Compliance Database'!$D340&amp;" "&amp;'Compliance Database'!$L340&amp;" "&amp;'Compliance Database'!$M340&amp;" "&amp;'Compliance Database'!$N340&amp;" "&amp;'Compliance Database'!$O340)))),1,0)</f>
        <v/>
      </c>
      <c r="B340">
        <f>IF($A340=1,SUM($A$2:$A340),"")</f>
        <v/>
      </c>
      <c r="C340">
        <f>IF($A340=1,SUM($A$2:$A340),0)</f>
        <v/>
      </c>
    </row>
    <row r="341">
      <c r="A341">
        <f>IF(AND(OR('Compliance Database'!$A341='Data Transfer'!$B$4,'Compliance Database'!$A341='Data Transfer'!$B$5),OR('Data Transfer'!$B$6="",ISNUMBER(SEARCH('Data Transfer'!$B$6,'Compliance Database'!$D341&amp;" "&amp;'Compliance Database'!$L341&amp;" "&amp;'Compliance Database'!$M341&amp;" "&amp;'Compliance Database'!$N341&amp;" "&amp;'Compliance Database'!$O341)))),1,0)</f>
        <v/>
      </c>
      <c r="B341">
        <f>IF($A341=1,SUM($A$2:$A341),"")</f>
        <v/>
      </c>
      <c r="C341">
        <f>IF($A341=1,SUM($A$2:$A341),0)</f>
        <v/>
      </c>
    </row>
    <row r="342">
      <c r="A342">
        <f>IF(AND(OR('Compliance Database'!$A342='Data Transfer'!$B$4,'Compliance Database'!$A342='Data Transfer'!$B$5),OR('Data Transfer'!$B$6="",ISNUMBER(SEARCH('Data Transfer'!$B$6,'Compliance Database'!$D342&amp;" "&amp;'Compliance Database'!$L342&amp;" "&amp;'Compliance Database'!$M342&amp;" "&amp;'Compliance Database'!$N342&amp;" "&amp;'Compliance Database'!$O342)))),1,0)</f>
        <v/>
      </c>
      <c r="B342">
        <f>IF($A342=1,SUM($A$2:$A342),"")</f>
        <v/>
      </c>
      <c r="C342">
        <f>IF($A342=1,SUM($A$2:$A342),0)</f>
        <v/>
      </c>
    </row>
    <row r="343">
      <c r="A343">
        <f>IF(AND(OR('Compliance Database'!$A343='Data Transfer'!$B$4,'Compliance Database'!$A343='Data Transfer'!$B$5),OR('Data Transfer'!$B$6="",ISNUMBER(SEARCH('Data Transfer'!$B$6,'Compliance Database'!$D343&amp;" "&amp;'Compliance Database'!$L343&amp;" "&amp;'Compliance Database'!$M343&amp;" "&amp;'Compliance Database'!$N343&amp;" "&amp;'Compliance Database'!$O343)))),1,0)</f>
        <v/>
      </c>
      <c r="B343">
        <f>IF($A343=1,SUM($A$2:$A343),"")</f>
        <v/>
      </c>
      <c r="C343">
        <f>IF($A343=1,SUM($A$2:$A343),0)</f>
        <v/>
      </c>
    </row>
    <row r="344">
      <c r="A344">
        <f>IF(AND(OR('Compliance Database'!$A344='Data Transfer'!$B$4,'Compliance Database'!$A344='Data Transfer'!$B$5),OR('Data Transfer'!$B$6="",ISNUMBER(SEARCH('Data Transfer'!$B$6,'Compliance Database'!$D344&amp;" "&amp;'Compliance Database'!$L344&amp;" "&amp;'Compliance Database'!$M344&amp;" "&amp;'Compliance Database'!$N344&amp;" "&amp;'Compliance Database'!$O344)))),1,0)</f>
        <v/>
      </c>
      <c r="B344">
        <f>IF($A344=1,SUM($A$2:$A344),"")</f>
        <v/>
      </c>
      <c r="C344">
        <f>IF($A344=1,SUM($A$2:$A344),0)</f>
        <v/>
      </c>
    </row>
    <row r="345">
      <c r="A345">
        <f>IF(AND(OR('Compliance Database'!$A345='Data Transfer'!$B$4,'Compliance Database'!$A345='Data Transfer'!$B$5),OR('Data Transfer'!$B$6="",ISNUMBER(SEARCH('Data Transfer'!$B$6,'Compliance Database'!$D345&amp;" "&amp;'Compliance Database'!$L345&amp;" "&amp;'Compliance Database'!$M345&amp;" "&amp;'Compliance Database'!$N345&amp;" "&amp;'Compliance Database'!$O345)))),1,0)</f>
        <v/>
      </c>
      <c r="B345">
        <f>IF($A345=1,SUM($A$2:$A345),"")</f>
        <v/>
      </c>
      <c r="C345">
        <f>IF($A345=1,SUM($A$2:$A345),0)</f>
        <v/>
      </c>
    </row>
    <row r="346">
      <c r="A346">
        <f>IF(AND(OR('Compliance Database'!$A346='Data Transfer'!$B$4,'Compliance Database'!$A346='Data Transfer'!$B$5),OR('Data Transfer'!$B$6="",ISNUMBER(SEARCH('Data Transfer'!$B$6,'Compliance Database'!$D346&amp;" "&amp;'Compliance Database'!$L346&amp;" "&amp;'Compliance Database'!$M346&amp;" "&amp;'Compliance Database'!$N346&amp;" "&amp;'Compliance Database'!$O346)))),1,0)</f>
        <v/>
      </c>
      <c r="B346">
        <f>IF($A346=1,SUM($A$2:$A346),"")</f>
        <v/>
      </c>
      <c r="C346">
        <f>IF($A346=1,SUM($A$2:$A346),0)</f>
        <v/>
      </c>
    </row>
    <row r="347">
      <c r="A347">
        <f>IF(AND(OR('Compliance Database'!$A347='Data Transfer'!$B$4,'Compliance Database'!$A347='Data Transfer'!$B$5),OR('Data Transfer'!$B$6="",ISNUMBER(SEARCH('Data Transfer'!$B$6,'Compliance Database'!$D347&amp;" "&amp;'Compliance Database'!$L347&amp;" "&amp;'Compliance Database'!$M347&amp;" "&amp;'Compliance Database'!$N347&amp;" "&amp;'Compliance Database'!$O347)))),1,0)</f>
        <v/>
      </c>
      <c r="B347">
        <f>IF($A347=1,SUM($A$2:$A347),"")</f>
        <v/>
      </c>
      <c r="C347">
        <f>IF($A347=1,SUM($A$2:$A347),0)</f>
        <v/>
      </c>
    </row>
    <row r="348">
      <c r="A348">
        <f>IF(AND(OR('Compliance Database'!$A348='Data Transfer'!$B$4,'Compliance Database'!$A348='Data Transfer'!$B$5),OR('Data Transfer'!$B$6="",ISNUMBER(SEARCH('Data Transfer'!$B$6,'Compliance Database'!$D348&amp;" "&amp;'Compliance Database'!$L348&amp;" "&amp;'Compliance Database'!$M348&amp;" "&amp;'Compliance Database'!$N348&amp;" "&amp;'Compliance Database'!$O348)))),1,0)</f>
        <v/>
      </c>
      <c r="B348">
        <f>IF($A348=1,SUM($A$2:$A348),"")</f>
        <v/>
      </c>
      <c r="C348">
        <f>IF($A348=1,SUM($A$2:$A348),0)</f>
        <v/>
      </c>
    </row>
    <row r="349">
      <c r="A349">
        <f>IF(AND(OR('Compliance Database'!$A349='Data Transfer'!$B$4,'Compliance Database'!$A349='Data Transfer'!$B$5),OR('Data Transfer'!$B$6="",ISNUMBER(SEARCH('Data Transfer'!$B$6,'Compliance Database'!$D349&amp;" "&amp;'Compliance Database'!$L349&amp;" "&amp;'Compliance Database'!$M349&amp;" "&amp;'Compliance Database'!$N349&amp;" "&amp;'Compliance Database'!$O349)))),1,0)</f>
        <v/>
      </c>
      <c r="B349">
        <f>IF($A349=1,SUM($A$2:$A349),"")</f>
        <v/>
      </c>
      <c r="C349">
        <f>IF($A349=1,SUM($A$2:$A349),0)</f>
        <v/>
      </c>
    </row>
    <row r="350">
      <c r="A350">
        <f>IF(AND(OR('Compliance Database'!$A350='Data Transfer'!$B$4,'Compliance Database'!$A350='Data Transfer'!$B$5),OR('Data Transfer'!$B$6="",ISNUMBER(SEARCH('Data Transfer'!$B$6,'Compliance Database'!$D350&amp;" "&amp;'Compliance Database'!$L350&amp;" "&amp;'Compliance Database'!$M350&amp;" "&amp;'Compliance Database'!$N350&amp;" "&amp;'Compliance Database'!$O350)))),1,0)</f>
        <v/>
      </c>
      <c r="B350">
        <f>IF($A350=1,SUM($A$2:$A350),"")</f>
        <v/>
      </c>
      <c r="C350">
        <f>IF($A350=1,SUM($A$2:$A350),0)</f>
        <v/>
      </c>
    </row>
    <row r="351">
      <c r="A351">
        <f>IF(AND(OR('Compliance Database'!$A351='Data Transfer'!$B$4,'Compliance Database'!$A351='Data Transfer'!$B$5),OR('Data Transfer'!$B$6="",ISNUMBER(SEARCH('Data Transfer'!$B$6,'Compliance Database'!$D351&amp;" "&amp;'Compliance Database'!$L351&amp;" "&amp;'Compliance Database'!$M351&amp;" "&amp;'Compliance Database'!$N351&amp;" "&amp;'Compliance Database'!$O351)))),1,0)</f>
        <v/>
      </c>
      <c r="B351">
        <f>IF($A351=1,SUM($A$2:$A351),"")</f>
        <v/>
      </c>
      <c r="C351">
        <f>IF($A351=1,SUM($A$2:$A351),0)</f>
        <v/>
      </c>
    </row>
    <row r="352">
      <c r="A352">
        <f>IF(AND(OR('Compliance Database'!$A352='Data Transfer'!$B$4,'Compliance Database'!$A352='Data Transfer'!$B$5),OR('Data Transfer'!$B$6="",ISNUMBER(SEARCH('Data Transfer'!$B$6,'Compliance Database'!$D352&amp;" "&amp;'Compliance Database'!$L352&amp;" "&amp;'Compliance Database'!$M352&amp;" "&amp;'Compliance Database'!$N352&amp;" "&amp;'Compliance Database'!$O352)))),1,0)</f>
        <v/>
      </c>
      <c r="B352">
        <f>IF($A352=1,SUM($A$2:$A352),"")</f>
        <v/>
      </c>
      <c r="C352">
        <f>IF($A352=1,SUM($A$2:$A352),0)</f>
        <v/>
      </c>
    </row>
    <row r="353">
      <c r="A353">
        <f>IF(AND(OR('Compliance Database'!$A353='Data Transfer'!$B$4,'Compliance Database'!$A353='Data Transfer'!$B$5),OR('Data Transfer'!$B$6="",ISNUMBER(SEARCH('Data Transfer'!$B$6,'Compliance Database'!$D353&amp;" "&amp;'Compliance Database'!$L353&amp;" "&amp;'Compliance Database'!$M353&amp;" "&amp;'Compliance Database'!$N353&amp;" "&amp;'Compliance Database'!$O353)))),1,0)</f>
        <v/>
      </c>
      <c r="B353">
        <f>IF($A353=1,SUM($A$2:$A353),"")</f>
        <v/>
      </c>
      <c r="C353">
        <f>IF($A353=1,SUM($A$2:$A353),0)</f>
        <v/>
      </c>
    </row>
    <row r="354">
      <c r="A354">
        <f>IF(AND(OR('Compliance Database'!$A354='Data Transfer'!$B$4,'Compliance Database'!$A354='Data Transfer'!$B$5),OR('Data Transfer'!$B$6="",ISNUMBER(SEARCH('Data Transfer'!$B$6,'Compliance Database'!$D354&amp;" "&amp;'Compliance Database'!$L354&amp;" "&amp;'Compliance Database'!$M354&amp;" "&amp;'Compliance Database'!$N354&amp;" "&amp;'Compliance Database'!$O354)))),1,0)</f>
        <v/>
      </c>
      <c r="B354">
        <f>IF($A354=1,SUM($A$2:$A354),"")</f>
        <v/>
      </c>
      <c r="C354">
        <f>IF($A354=1,SUM($A$2:$A354),0)</f>
        <v/>
      </c>
    </row>
    <row r="355">
      <c r="A355">
        <f>IF(AND(OR('Compliance Database'!$A355='Data Transfer'!$B$4,'Compliance Database'!$A355='Data Transfer'!$B$5),OR('Data Transfer'!$B$6="",ISNUMBER(SEARCH('Data Transfer'!$B$6,'Compliance Database'!$D355&amp;" "&amp;'Compliance Database'!$L355&amp;" "&amp;'Compliance Database'!$M355&amp;" "&amp;'Compliance Database'!$N355&amp;" "&amp;'Compliance Database'!$O355)))),1,0)</f>
        <v/>
      </c>
      <c r="B355">
        <f>IF($A355=1,SUM($A$2:$A355),"")</f>
        <v/>
      </c>
      <c r="C355">
        <f>IF($A355=1,SUM($A$2:$A355),0)</f>
        <v/>
      </c>
    </row>
    <row r="356">
      <c r="A356">
        <f>IF(AND(OR('Compliance Database'!$A356='Data Transfer'!$B$4,'Compliance Database'!$A356='Data Transfer'!$B$5),OR('Data Transfer'!$B$6="",ISNUMBER(SEARCH('Data Transfer'!$B$6,'Compliance Database'!$D356&amp;" "&amp;'Compliance Database'!$L356&amp;" "&amp;'Compliance Database'!$M356&amp;" "&amp;'Compliance Database'!$N356&amp;" "&amp;'Compliance Database'!$O356)))),1,0)</f>
        <v/>
      </c>
      <c r="B356">
        <f>IF($A356=1,SUM($A$2:$A356),"")</f>
        <v/>
      </c>
      <c r="C356">
        <f>IF($A356=1,SUM($A$2:$A356),0)</f>
        <v/>
      </c>
    </row>
    <row r="357">
      <c r="A357">
        <f>IF(AND(OR('Compliance Database'!$A357='Data Transfer'!$B$4,'Compliance Database'!$A357='Data Transfer'!$B$5),OR('Data Transfer'!$B$6="",ISNUMBER(SEARCH('Data Transfer'!$B$6,'Compliance Database'!$D357&amp;" "&amp;'Compliance Database'!$L357&amp;" "&amp;'Compliance Database'!$M357&amp;" "&amp;'Compliance Database'!$N357&amp;" "&amp;'Compliance Database'!$O357)))),1,0)</f>
        <v/>
      </c>
      <c r="B357">
        <f>IF($A357=1,SUM($A$2:$A357),"")</f>
        <v/>
      </c>
      <c r="C357">
        <f>IF($A357=1,SUM($A$2:$A357),0)</f>
        <v/>
      </c>
    </row>
    <row r="358">
      <c r="A358">
        <f>IF(AND(OR('Compliance Database'!$A358='Data Transfer'!$B$4,'Compliance Database'!$A358='Data Transfer'!$B$5),OR('Data Transfer'!$B$6="",ISNUMBER(SEARCH('Data Transfer'!$B$6,'Compliance Database'!$D358&amp;" "&amp;'Compliance Database'!$L358&amp;" "&amp;'Compliance Database'!$M358&amp;" "&amp;'Compliance Database'!$N358&amp;" "&amp;'Compliance Database'!$O358)))),1,0)</f>
        <v/>
      </c>
      <c r="B358">
        <f>IF($A358=1,SUM($A$2:$A358),"")</f>
        <v/>
      </c>
      <c r="C358">
        <f>IF($A358=1,SUM($A$2:$A358),0)</f>
        <v/>
      </c>
    </row>
    <row r="359">
      <c r="A359">
        <f>IF(AND(OR('Compliance Database'!$A359='Data Transfer'!$B$4,'Compliance Database'!$A359='Data Transfer'!$B$5),OR('Data Transfer'!$B$6="",ISNUMBER(SEARCH('Data Transfer'!$B$6,'Compliance Database'!$D359&amp;" "&amp;'Compliance Database'!$L359&amp;" "&amp;'Compliance Database'!$M359&amp;" "&amp;'Compliance Database'!$N359&amp;" "&amp;'Compliance Database'!$O359)))),1,0)</f>
        <v/>
      </c>
      <c r="B359">
        <f>IF($A359=1,SUM($A$2:$A359),"")</f>
        <v/>
      </c>
      <c r="C359">
        <f>IF($A359=1,SUM($A$2:$A359),0)</f>
        <v/>
      </c>
    </row>
    <row r="360">
      <c r="A360">
        <f>IF(AND(OR('Compliance Database'!$A360='Data Transfer'!$B$4,'Compliance Database'!$A360='Data Transfer'!$B$5),OR('Data Transfer'!$B$6="",ISNUMBER(SEARCH('Data Transfer'!$B$6,'Compliance Database'!$D360&amp;" "&amp;'Compliance Database'!$L360&amp;" "&amp;'Compliance Database'!$M360&amp;" "&amp;'Compliance Database'!$N360&amp;" "&amp;'Compliance Database'!$O360)))),1,0)</f>
        <v/>
      </c>
      <c r="B360">
        <f>IF($A360=1,SUM($A$2:$A360),"")</f>
        <v/>
      </c>
      <c r="C360">
        <f>IF($A360=1,SUM($A$2:$A360),0)</f>
        <v/>
      </c>
    </row>
    <row r="361">
      <c r="A361">
        <f>IF(AND(OR('Compliance Database'!$A361='Data Transfer'!$B$4,'Compliance Database'!$A361='Data Transfer'!$B$5),OR('Data Transfer'!$B$6="",ISNUMBER(SEARCH('Data Transfer'!$B$6,'Compliance Database'!$D361&amp;" "&amp;'Compliance Database'!$L361&amp;" "&amp;'Compliance Database'!$M361&amp;" "&amp;'Compliance Database'!$N361&amp;" "&amp;'Compliance Database'!$O361)))),1,0)</f>
        <v/>
      </c>
      <c r="B361">
        <f>IF($A361=1,SUM($A$2:$A361),"")</f>
        <v/>
      </c>
      <c r="C361">
        <f>IF($A361=1,SUM($A$2:$A361),0)</f>
        <v/>
      </c>
    </row>
    <row r="362">
      <c r="A362">
        <f>IF(AND(OR('Compliance Database'!$A362='Data Transfer'!$B$4,'Compliance Database'!$A362='Data Transfer'!$B$5),OR('Data Transfer'!$B$6="",ISNUMBER(SEARCH('Data Transfer'!$B$6,'Compliance Database'!$D362&amp;" "&amp;'Compliance Database'!$L362&amp;" "&amp;'Compliance Database'!$M362&amp;" "&amp;'Compliance Database'!$N362&amp;" "&amp;'Compliance Database'!$O362)))),1,0)</f>
        <v/>
      </c>
      <c r="B362">
        <f>IF($A362=1,SUM($A$2:$A362),"")</f>
        <v/>
      </c>
      <c r="C362">
        <f>IF($A362=1,SUM($A$2:$A362),0)</f>
        <v/>
      </c>
    </row>
    <row r="363">
      <c r="A363">
        <f>IF(AND(OR('Compliance Database'!$A363='Data Transfer'!$B$4,'Compliance Database'!$A363='Data Transfer'!$B$5),OR('Data Transfer'!$B$6="",ISNUMBER(SEARCH('Data Transfer'!$B$6,'Compliance Database'!$D363&amp;" "&amp;'Compliance Database'!$L363&amp;" "&amp;'Compliance Database'!$M363&amp;" "&amp;'Compliance Database'!$N363&amp;" "&amp;'Compliance Database'!$O363)))),1,0)</f>
        <v/>
      </c>
      <c r="B363">
        <f>IF($A363=1,SUM($A$2:$A363),"")</f>
        <v/>
      </c>
      <c r="C363">
        <f>IF($A363=1,SUM($A$2:$A363),0)</f>
        <v/>
      </c>
    </row>
    <row r="364">
      <c r="A364">
        <f>IF(AND(OR('Compliance Database'!$A364='Data Transfer'!$B$4,'Compliance Database'!$A364='Data Transfer'!$B$5),OR('Data Transfer'!$B$6="",ISNUMBER(SEARCH('Data Transfer'!$B$6,'Compliance Database'!$D364&amp;" "&amp;'Compliance Database'!$L364&amp;" "&amp;'Compliance Database'!$M364&amp;" "&amp;'Compliance Database'!$N364&amp;" "&amp;'Compliance Database'!$O364)))),1,0)</f>
        <v/>
      </c>
      <c r="B364">
        <f>IF($A364=1,SUM($A$2:$A364),"")</f>
        <v/>
      </c>
      <c r="C364">
        <f>IF($A364=1,SUM($A$2:$A364),0)</f>
        <v/>
      </c>
    </row>
    <row r="365">
      <c r="A365">
        <f>IF(AND(OR('Compliance Database'!$A365='Data Transfer'!$B$4,'Compliance Database'!$A365='Data Transfer'!$B$5),OR('Data Transfer'!$B$6="",ISNUMBER(SEARCH('Data Transfer'!$B$6,'Compliance Database'!$D365&amp;" "&amp;'Compliance Database'!$L365&amp;" "&amp;'Compliance Database'!$M365&amp;" "&amp;'Compliance Database'!$N365&amp;" "&amp;'Compliance Database'!$O365)))),1,0)</f>
        <v/>
      </c>
      <c r="B365">
        <f>IF($A365=1,SUM($A$2:$A365),"")</f>
        <v/>
      </c>
      <c r="C365">
        <f>IF($A365=1,SUM($A$2:$A365),0)</f>
        <v/>
      </c>
    </row>
    <row r="366">
      <c r="A366">
        <f>IF(AND(OR('Compliance Database'!$A366='Data Transfer'!$B$4,'Compliance Database'!$A366='Data Transfer'!$B$5),OR('Data Transfer'!$B$6="",ISNUMBER(SEARCH('Data Transfer'!$B$6,'Compliance Database'!$D366&amp;" "&amp;'Compliance Database'!$L366&amp;" "&amp;'Compliance Database'!$M366&amp;" "&amp;'Compliance Database'!$N366&amp;" "&amp;'Compliance Database'!$O366)))),1,0)</f>
        <v/>
      </c>
      <c r="B366">
        <f>IF($A366=1,SUM($A$2:$A366),"")</f>
        <v/>
      </c>
      <c r="C366">
        <f>IF($A366=1,SUM($A$2:$A366),0)</f>
        <v/>
      </c>
    </row>
    <row r="367">
      <c r="A367">
        <f>IF(AND(OR('Compliance Database'!$A367='Data Transfer'!$B$4,'Compliance Database'!$A367='Data Transfer'!$B$5),OR('Data Transfer'!$B$6="",ISNUMBER(SEARCH('Data Transfer'!$B$6,'Compliance Database'!$D367&amp;" "&amp;'Compliance Database'!$L367&amp;" "&amp;'Compliance Database'!$M367&amp;" "&amp;'Compliance Database'!$N367&amp;" "&amp;'Compliance Database'!$O367)))),1,0)</f>
        <v/>
      </c>
      <c r="B367">
        <f>IF($A367=1,SUM($A$2:$A367),"")</f>
        <v/>
      </c>
      <c r="C367">
        <f>IF($A367=1,SUM($A$2:$A367),0)</f>
        <v/>
      </c>
    </row>
    <row r="368">
      <c r="A368">
        <f>IF(AND(OR('Compliance Database'!$A368='Data Transfer'!$B$4,'Compliance Database'!$A368='Data Transfer'!$B$5),OR('Data Transfer'!$B$6="",ISNUMBER(SEARCH('Data Transfer'!$B$6,'Compliance Database'!$D368&amp;" "&amp;'Compliance Database'!$L368&amp;" "&amp;'Compliance Database'!$M368&amp;" "&amp;'Compliance Database'!$N368&amp;" "&amp;'Compliance Database'!$O368)))),1,0)</f>
        <v/>
      </c>
      <c r="B368">
        <f>IF($A368=1,SUM($A$2:$A368),"")</f>
        <v/>
      </c>
      <c r="C368">
        <f>IF($A368=1,SUM($A$2:$A368),0)</f>
        <v/>
      </c>
    </row>
    <row r="369">
      <c r="A369">
        <f>IF(AND(OR('Compliance Database'!$A369='Data Transfer'!$B$4,'Compliance Database'!$A369='Data Transfer'!$B$5),OR('Data Transfer'!$B$6="",ISNUMBER(SEARCH('Data Transfer'!$B$6,'Compliance Database'!$D369&amp;" "&amp;'Compliance Database'!$L369&amp;" "&amp;'Compliance Database'!$M369&amp;" "&amp;'Compliance Database'!$N369&amp;" "&amp;'Compliance Database'!$O369)))),1,0)</f>
        <v/>
      </c>
      <c r="B369">
        <f>IF($A369=1,SUM($A$2:$A369),"")</f>
        <v/>
      </c>
      <c r="C369">
        <f>IF($A369=1,SUM($A$2:$A369),0)</f>
        <v/>
      </c>
    </row>
    <row r="370">
      <c r="A370">
        <f>IF(AND(OR('Compliance Database'!$A370='Data Transfer'!$B$4,'Compliance Database'!$A370='Data Transfer'!$B$5),OR('Data Transfer'!$B$6="",ISNUMBER(SEARCH('Data Transfer'!$B$6,'Compliance Database'!$D370&amp;" "&amp;'Compliance Database'!$L370&amp;" "&amp;'Compliance Database'!$M370&amp;" "&amp;'Compliance Database'!$N370&amp;" "&amp;'Compliance Database'!$O370)))),1,0)</f>
        <v/>
      </c>
      <c r="B370">
        <f>IF($A370=1,SUM($A$2:$A370),"")</f>
        <v/>
      </c>
      <c r="C370">
        <f>IF($A370=1,SUM($A$2:$A370),0)</f>
        <v/>
      </c>
    </row>
    <row r="371">
      <c r="A371">
        <f>IF(AND(OR('Compliance Database'!$A371='Data Transfer'!$B$4,'Compliance Database'!$A371='Data Transfer'!$B$5),OR('Data Transfer'!$B$6="",ISNUMBER(SEARCH('Data Transfer'!$B$6,'Compliance Database'!$D371&amp;" "&amp;'Compliance Database'!$L371&amp;" "&amp;'Compliance Database'!$M371&amp;" "&amp;'Compliance Database'!$N371&amp;" "&amp;'Compliance Database'!$O371)))),1,0)</f>
        <v/>
      </c>
      <c r="B371">
        <f>IF($A371=1,SUM($A$2:$A371),"")</f>
        <v/>
      </c>
      <c r="C371">
        <f>IF($A371=1,SUM($A$2:$A371),0)</f>
        <v/>
      </c>
    </row>
    <row r="372">
      <c r="A372">
        <f>IF(AND(OR('Compliance Database'!$A372='Data Transfer'!$B$4,'Compliance Database'!$A372='Data Transfer'!$B$5),OR('Data Transfer'!$B$6="",ISNUMBER(SEARCH('Data Transfer'!$B$6,'Compliance Database'!$D372&amp;" "&amp;'Compliance Database'!$L372&amp;" "&amp;'Compliance Database'!$M372&amp;" "&amp;'Compliance Database'!$N372&amp;" "&amp;'Compliance Database'!$O372)))),1,0)</f>
        <v/>
      </c>
      <c r="B372">
        <f>IF($A372=1,SUM($A$2:$A372),"")</f>
        <v/>
      </c>
      <c r="C372">
        <f>IF($A372=1,SUM($A$2:$A372),0)</f>
        <v/>
      </c>
    </row>
    <row r="373">
      <c r="A373">
        <f>IF(AND(OR('Compliance Database'!$A373='Data Transfer'!$B$4,'Compliance Database'!$A373='Data Transfer'!$B$5),OR('Data Transfer'!$B$6="",ISNUMBER(SEARCH('Data Transfer'!$B$6,'Compliance Database'!$D373&amp;" "&amp;'Compliance Database'!$L373&amp;" "&amp;'Compliance Database'!$M373&amp;" "&amp;'Compliance Database'!$N373&amp;" "&amp;'Compliance Database'!$O373)))),1,0)</f>
        <v/>
      </c>
      <c r="B373">
        <f>IF($A373=1,SUM($A$2:$A373),"")</f>
        <v/>
      </c>
      <c r="C373">
        <f>IF($A373=1,SUM($A$2:$A373),0)</f>
        <v/>
      </c>
    </row>
    <row r="374">
      <c r="A374">
        <f>IF(AND(OR('Compliance Database'!$A374='Data Transfer'!$B$4,'Compliance Database'!$A374='Data Transfer'!$B$5),OR('Data Transfer'!$B$6="",ISNUMBER(SEARCH('Data Transfer'!$B$6,'Compliance Database'!$D374&amp;" "&amp;'Compliance Database'!$L374&amp;" "&amp;'Compliance Database'!$M374&amp;" "&amp;'Compliance Database'!$N374&amp;" "&amp;'Compliance Database'!$O374)))),1,0)</f>
        <v/>
      </c>
      <c r="B374">
        <f>IF($A374=1,SUM($A$2:$A374),"")</f>
        <v/>
      </c>
      <c r="C374">
        <f>IF($A374=1,SUM($A$2:$A374),0)</f>
        <v/>
      </c>
    </row>
    <row r="375">
      <c r="A375">
        <f>IF(AND(OR('Compliance Database'!$A375='Data Transfer'!$B$4,'Compliance Database'!$A375='Data Transfer'!$B$5),OR('Data Transfer'!$B$6="",ISNUMBER(SEARCH('Data Transfer'!$B$6,'Compliance Database'!$D375&amp;" "&amp;'Compliance Database'!$L375&amp;" "&amp;'Compliance Database'!$M375&amp;" "&amp;'Compliance Database'!$N375&amp;" "&amp;'Compliance Database'!$O375)))),1,0)</f>
        <v/>
      </c>
      <c r="B375">
        <f>IF($A375=1,SUM($A$2:$A375),"")</f>
        <v/>
      </c>
      <c r="C375">
        <f>IF($A375=1,SUM($A$2:$A375),0)</f>
        <v/>
      </c>
    </row>
    <row r="376">
      <c r="A376">
        <f>IF(AND(OR('Compliance Database'!$A376='Data Transfer'!$B$4,'Compliance Database'!$A376='Data Transfer'!$B$5),OR('Data Transfer'!$B$6="",ISNUMBER(SEARCH('Data Transfer'!$B$6,'Compliance Database'!$D376&amp;" "&amp;'Compliance Database'!$L376&amp;" "&amp;'Compliance Database'!$M376&amp;" "&amp;'Compliance Database'!$N376&amp;" "&amp;'Compliance Database'!$O376)))),1,0)</f>
        <v/>
      </c>
      <c r="B376">
        <f>IF($A376=1,SUM($A$2:$A376),"")</f>
        <v/>
      </c>
      <c r="C376">
        <f>IF($A376=1,SUM($A$2:$A376),0)</f>
        <v/>
      </c>
    </row>
    <row r="377">
      <c r="A377">
        <f>IF(AND(OR('Compliance Database'!$A377='Data Transfer'!$B$4,'Compliance Database'!$A377='Data Transfer'!$B$5),OR('Data Transfer'!$B$6="",ISNUMBER(SEARCH('Data Transfer'!$B$6,'Compliance Database'!$D377&amp;" "&amp;'Compliance Database'!$L377&amp;" "&amp;'Compliance Database'!$M377&amp;" "&amp;'Compliance Database'!$N377&amp;" "&amp;'Compliance Database'!$O377)))),1,0)</f>
        <v/>
      </c>
      <c r="B377">
        <f>IF($A377=1,SUM($A$2:$A377),"")</f>
        <v/>
      </c>
      <c r="C377">
        <f>IF($A377=1,SUM($A$2:$A377),0)</f>
        <v/>
      </c>
    </row>
    <row r="378">
      <c r="A378">
        <f>IF(AND(OR('Compliance Database'!$A378='Data Transfer'!$B$4,'Compliance Database'!$A378='Data Transfer'!$B$5),OR('Data Transfer'!$B$6="",ISNUMBER(SEARCH('Data Transfer'!$B$6,'Compliance Database'!$D378&amp;" "&amp;'Compliance Database'!$L378&amp;" "&amp;'Compliance Database'!$M378&amp;" "&amp;'Compliance Database'!$N378&amp;" "&amp;'Compliance Database'!$O378)))),1,0)</f>
        <v/>
      </c>
      <c r="B378">
        <f>IF($A378=1,SUM($A$2:$A378),"")</f>
        <v/>
      </c>
      <c r="C378">
        <f>IF($A378=1,SUM($A$2:$A378),0)</f>
        <v/>
      </c>
    </row>
    <row r="379">
      <c r="A379">
        <f>IF(AND(OR('Compliance Database'!$A379='Data Transfer'!$B$4,'Compliance Database'!$A379='Data Transfer'!$B$5),OR('Data Transfer'!$B$6="",ISNUMBER(SEARCH('Data Transfer'!$B$6,'Compliance Database'!$D379&amp;" "&amp;'Compliance Database'!$L379&amp;" "&amp;'Compliance Database'!$M379&amp;" "&amp;'Compliance Database'!$N379&amp;" "&amp;'Compliance Database'!$O379)))),1,0)</f>
        <v/>
      </c>
      <c r="B379">
        <f>IF($A379=1,SUM($A$2:$A379),"")</f>
        <v/>
      </c>
      <c r="C379">
        <f>IF($A379=1,SUM($A$2:$A379),0)</f>
        <v/>
      </c>
    </row>
    <row r="380">
      <c r="A380">
        <f>IF(AND(OR('Compliance Database'!$A380='Data Transfer'!$B$4,'Compliance Database'!$A380='Data Transfer'!$B$5),OR('Data Transfer'!$B$6="",ISNUMBER(SEARCH('Data Transfer'!$B$6,'Compliance Database'!$D380&amp;" "&amp;'Compliance Database'!$L380&amp;" "&amp;'Compliance Database'!$M380&amp;" "&amp;'Compliance Database'!$N380&amp;" "&amp;'Compliance Database'!$O380)))),1,0)</f>
        <v/>
      </c>
      <c r="B380">
        <f>IF($A380=1,SUM($A$2:$A380),"")</f>
        <v/>
      </c>
      <c r="C380">
        <f>IF($A380=1,SUM($A$2:$A380),0)</f>
        <v/>
      </c>
    </row>
    <row r="381">
      <c r="A381">
        <f>IF(AND(OR('Compliance Database'!$A381='Data Transfer'!$B$4,'Compliance Database'!$A381='Data Transfer'!$B$5),OR('Data Transfer'!$B$6="",ISNUMBER(SEARCH('Data Transfer'!$B$6,'Compliance Database'!$D381&amp;" "&amp;'Compliance Database'!$L381&amp;" "&amp;'Compliance Database'!$M381&amp;" "&amp;'Compliance Database'!$N381&amp;" "&amp;'Compliance Database'!$O381)))),1,0)</f>
        <v/>
      </c>
      <c r="B381">
        <f>IF($A381=1,SUM($A$2:$A381),"")</f>
        <v/>
      </c>
      <c r="C381">
        <f>IF($A381=1,SUM($A$2:$A381),0)</f>
        <v/>
      </c>
    </row>
    <row r="382">
      <c r="A382">
        <f>IF(AND(OR('Compliance Database'!$A382='Data Transfer'!$B$4,'Compliance Database'!$A382='Data Transfer'!$B$5),OR('Data Transfer'!$B$6="",ISNUMBER(SEARCH('Data Transfer'!$B$6,'Compliance Database'!$D382&amp;" "&amp;'Compliance Database'!$L382&amp;" "&amp;'Compliance Database'!$M382&amp;" "&amp;'Compliance Database'!$N382&amp;" "&amp;'Compliance Database'!$O382)))),1,0)</f>
        <v/>
      </c>
      <c r="B382">
        <f>IF($A382=1,SUM($A$2:$A382),"")</f>
        <v/>
      </c>
      <c r="C382">
        <f>IF($A382=1,SUM($A$2:$A382),0)</f>
        <v/>
      </c>
    </row>
    <row r="383">
      <c r="A383">
        <f>IF(AND(OR('Compliance Database'!$A383='Data Transfer'!$B$4,'Compliance Database'!$A383='Data Transfer'!$B$5),OR('Data Transfer'!$B$6="",ISNUMBER(SEARCH('Data Transfer'!$B$6,'Compliance Database'!$D383&amp;" "&amp;'Compliance Database'!$L383&amp;" "&amp;'Compliance Database'!$M383&amp;" "&amp;'Compliance Database'!$N383&amp;" "&amp;'Compliance Database'!$O383)))),1,0)</f>
        <v/>
      </c>
      <c r="B383">
        <f>IF($A383=1,SUM($A$2:$A383),"")</f>
        <v/>
      </c>
      <c r="C383">
        <f>IF($A383=1,SUM($A$2:$A383),0)</f>
        <v/>
      </c>
    </row>
    <row r="384">
      <c r="A384">
        <f>IF(AND(OR('Compliance Database'!$A384='Data Transfer'!$B$4,'Compliance Database'!$A384='Data Transfer'!$B$5),OR('Data Transfer'!$B$6="",ISNUMBER(SEARCH('Data Transfer'!$B$6,'Compliance Database'!$D384&amp;" "&amp;'Compliance Database'!$L384&amp;" "&amp;'Compliance Database'!$M384&amp;" "&amp;'Compliance Database'!$N384&amp;" "&amp;'Compliance Database'!$O384)))),1,0)</f>
        <v/>
      </c>
      <c r="B384">
        <f>IF($A384=1,SUM($A$2:$A384),"")</f>
        <v/>
      </c>
      <c r="C384">
        <f>IF($A384=1,SUM($A$2:$A384),0)</f>
        <v/>
      </c>
    </row>
    <row r="385">
      <c r="A385">
        <f>IF(AND(OR('Compliance Database'!$A385='Data Transfer'!$B$4,'Compliance Database'!$A385='Data Transfer'!$B$5),OR('Data Transfer'!$B$6="",ISNUMBER(SEARCH('Data Transfer'!$B$6,'Compliance Database'!$D385&amp;" "&amp;'Compliance Database'!$L385&amp;" "&amp;'Compliance Database'!$M385&amp;" "&amp;'Compliance Database'!$N385&amp;" "&amp;'Compliance Database'!$O385)))),1,0)</f>
        <v/>
      </c>
      <c r="B385">
        <f>IF($A385=1,SUM($A$2:$A385),"")</f>
        <v/>
      </c>
      <c r="C385">
        <f>IF($A385=1,SUM($A$2:$A385),0)</f>
        <v/>
      </c>
    </row>
    <row r="386">
      <c r="A386">
        <f>IF(AND(OR('Compliance Database'!$A386='Data Transfer'!$B$4,'Compliance Database'!$A386='Data Transfer'!$B$5),OR('Data Transfer'!$B$6="",ISNUMBER(SEARCH('Data Transfer'!$B$6,'Compliance Database'!$D386&amp;" "&amp;'Compliance Database'!$L386&amp;" "&amp;'Compliance Database'!$M386&amp;" "&amp;'Compliance Database'!$N386&amp;" "&amp;'Compliance Database'!$O386)))),1,0)</f>
        <v/>
      </c>
      <c r="B386">
        <f>IF($A386=1,SUM($A$2:$A386),"")</f>
        <v/>
      </c>
      <c r="C386">
        <f>IF($A386=1,SUM($A$2:$A386),0)</f>
        <v/>
      </c>
    </row>
    <row r="387">
      <c r="A387">
        <f>IF(AND(OR('Compliance Database'!$A387='Data Transfer'!$B$4,'Compliance Database'!$A387='Data Transfer'!$B$5),OR('Data Transfer'!$B$6="",ISNUMBER(SEARCH('Data Transfer'!$B$6,'Compliance Database'!$D387&amp;" "&amp;'Compliance Database'!$L387&amp;" "&amp;'Compliance Database'!$M387&amp;" "&amp;'Compliance Database'!$N387&amp;" "&amp;'Compliance Database'!$O387)))),1,0)</f>
        <v/>
      </c>
      <c r="B387">
        <f>IF($A387=1,SUM($A$2:$A387),"")</f>
        <v/>
      </c>
      <c r="C387">
        <f>IF($A387=1,SUM($A$2:$A387),0)</f>
        <v/>
      </c>
    </row>
    <row r="388">
      <c r="A388">
        <f>IF(AND(OR('Compliance Database'!$A388='Data Transfer'!$B$4,'Compliance Database'!$A388='Data Transfer'!$B$5),OR('Data Transfer'!$B$6="",ISNUMBER(SEARCH('Data Transfer'!$B$6,'Compliance Database'!$D388&amp;" "&amp;'Compliance Database'!$L388&amp;" "&amp;'Compliance Database'!$M388&amp;" "&amp;'Compliance Database'!$N388&amp;" "&amp;'Compliance Database'!$O388)))),1,0)</f>
        <v/>
      </c>
      <c r="B388">
        <f>IF($A388=1,SUM($A$2:$A388),"")</f>
        <v/>
      </c>
      <c r="C388">
        <f>IF($A388=1,SUM($A$2:$A388),0)</f>
        <v/>
      </c>
    </row>
    <row r="389">
      <c r="A389">
        <f>IF(AND(OR('Compliance Database'!$A389='Data Transfer'!$B$4,'Compliance Database'!$A389='Data Transfer'!$B$5),OR('Data Transfer'!$B$6="",ISNUMBER(SEARCH('Data Transfer'!$B$6,'Compliance Database'!$D389&amp;" "&amp;'Compliance Database'!$L389&amp;" "&amp;'Compliance Database'!$M389&amp;" "&amp;'Compliance Database'!$N389&amp;" "&amp;'Compliance Database'!$O389)))),1,0)</f>
        <v/>
      </c>
      <c r="B389">
        <f>IF($A389=1,SUM($A$2:$A389),"")</f>
        <v/>
      </c>
      <c r="C389">
        <f>IF($A389=1,SUM($A$2:$A389),0)</f>
        <v/>
      </c>
    </row>
    <row r="390">
      <c r="A390">
        <f>IF(AND(OR('Compliance Database'!$A390='Data Transfer'!$B$4,'Compliance Database'!$A390='Data Transfer'!$B$5),OR('Data Transfer'!$B$6="",ISNUMBER(SEARCH('Data Transfer'!$B$6,'Compliance Database'!$D390&amp;" "&amp;'Compliance Database'!$L390&amp;" "&amp;'Compliance Database'!$M390&amp;" "&amp;'Compliance Database'!$N390&amp;" "&amp;'Compliance Database'!$O390)))),1,0)</f>
        <v/>
      </c>
      <c r="B390">
        <f>IF($A390=1,SUM($A$2:$A390),"")</f>
        <v/>
      </c>
      <c r="C390">
        <f>IF($A390=1,SUM($A$2:$A390),0)</f>
        <v/>
      </c>
    </row>
    <row r="391">
      <c r="A391">
        <f>IF(AND(OR('Compliance Database'!$A391='Data Transfer'!$B$4,'Compliance Database'!$A391='Data Transfer'!$B$5),OR('Data Transfer'!$B$6="",ISNUMBER(SEARCH('Data Transfer'!$B$6,'Compliance Database'!$D391&amp;" "&amp;'Compliance Database'!$L391&amp;" "&amp;'Compliance Database'!$M391&amp;" "&amp;'Compliance Database'!$N391&amp;" "&amp;'Compliance Database'!$O391)))),1,0)</f>
        <v/>
      </c>
      <c r="B391">
        <f>IF($A391=1,SUM($A$2:$A391),"")</f>
        <v/>
      </c>
      <c r="C391">
        <f>IF($A391=1,SUM($A$2:$A391),0)</f>
        <v/>
      </c>
    </row>
    <row r="392">
      <c r="A392">
        <f>IF(AND(OR('Compliance Database'!$A392='Data Transfer'!$B$4,'Compliance Database'!$A392='Data Transfer'!$B$5),OR('Data Transfer'!$B$6="",ISNUMBER(SEARCH('Data Transfer'!$B$6,'Compliance Database'!$D392&amp;" "&amp;'Compliance Database'!$L392&amp;" "&amp;'Compliance Database'!$M392&amp;" "&amp;'Compliance Database'!$N392&amp;" "&amp;'Compliance Database'!$O392)))),1,0)</f>
        <v/>
      </c>
      <c r="B392">
        <f>IF($A392=1,SUM($A$2:$A392),"")</f>
        <v/>
      </c>
      <c r="C392">
        <f>IF($A392=1,SUM($A$2:$A392),0)</f>
        <v/>
      </c>
    </row>
    <row r="393">
      <c r="A393">
        <f>IF(AND(OR('Compliance Database'!$A393='Data Transfer'!$B$4,'Compliance Database'!$A393='Data Transfer'!$B$5),OR('Data Transfer'!$B$6="",ISNUMBER(SEARCH('Data Transfer'!$B$6,'Compliance Database'!$D393&amp;" "&amp;'Compliance Database'!$L393&amp;" "&amp;'Compliance Database'!$M393&amp;" "&amp;'Compliance Database'!$N393&amp;" "&amp;'Compliance Database'!$O393)))),1,0)</f>
        <v/>
      </c>
      <c r="B393">
        <f>IF($A393=1,SUM($A$2:$A393),"")</f>
        <v/>
      </c>
      <c r="C393">
        <f>IF($A393=1,SUM($A$2:$A393),0)</f>
        <v/>
      </c>
    </row>
    <row r="394">
      <c r="A394">
        <f>IF(AND(OR('Compliance Database'!$A394='Data Transfer'!$B$4,'Compliance Database'!$A394='Data Transfer'!$B$5),OR('Data Transfer'!$B$6="",ISNUMBER(SEARCH('Data Transfer'!$B$6,'Compliance Database'!$D394&amp;" "&amp;'Compliance Database'!$L394&amp;" "&amp;'Compliance Database'!$M394&amp;" "&amp;'Compliance Database'!$N394&amp;" "&amp;'Compliance Database'!$O394)))),1,0)</f>
        <v/>
      </c>
      <c r="B394">
        <f>IF($A394=1,SUM($A$2:$A394),"")</f>
        <v/>
      </c>
      <c r="C394">
        <f>IF($A394=1,SUM($A$2:$A394),0)</f>
        <v/>
      </c>
    </row>
    <row r="395">
      <c r="A395">
        <f>IF(AND(OR('Compliance Database'!$A395='Data Transfer'!$B$4,'Compliance Database'!$A395='Data Transfer'!$B$5),OR('Data Transfer'!$B$6="",ISNUMBER(SEARCH('Data Transfer'!$B$6,'Compliance Database'!$D395&amp;" "&amp;'Compliance Database'!$L395&amp;" "&amp;'Compliance Database'!$M395&amp;" "&amp;'Compliance Database'!$N395&amp;" "&amp;'Compliance Database'!$O395)))),1,0)</f>
        <v/>
      </c>
      <c r="B395">
        <f>IF($A395=1,SUM($A$2:$A395),"")</f>
        <v/>
      </c>
      <c r="C395">
        <f>IF($A395=1,SUM($A$2:$A395),0)</f>
        <v/>
      </c>
    </row>
    <row r="396">
      <c r="A396">
        <f>IF(AND(OR('Compliance Database'!$A396='Data Transfer'!$B$4,'Compliance Database'!$A396='Data Transfer'!$B$5),OR('Data Transfer'!$B$6="",ISNUMBER(SEARCH('Data Transfer'!$B$6,'Compliance Database'!$D396&amp;" "&amp;'Compliance Database'!$L396&amp;" "&amp;'Compliance Database'!$M396&amp;" "&amp;'Compliance Database'!$N396&amp;" "&amp;'Compliance Database'!$O396)))),1,0)</f>
        <v/>
      </c>
      <c r="B396">
        <f>IF($A396=1,SUM($A$2:$A396),"")</f>
        <v/>
      </c>
      <c r="C396">
        <f>IF($A396=1,SUM($A$2:$A396),0)</f>
        <v/>
      </c>
    </row>
    <row r="397">
      <c r="A397">
        <f>IF(AND(OR('Compliance Database'!$A397='Data Transfer'!$B$4,'Compliance Database'!$A397='Data Transfer'!$B$5),OR('Data Transfer'!$B$6="",ISNUMBER(SEARCH('Data Transfer'!$B$6,'Compliance Database'!$D397&amp;" "&amp;'Compliance Database'!$L397&amp;" "&amp;'Compliance Database'!$M397&amp;" "&amp;'Compliance Database'!$N397&amp;" "&amp;'Compliance Database'!$O397)))),1,0)</f>
        <v/>
      </c>
      <c r="B397">
        <f>IF($A397=1,SUM($A$2:$A397),"")</f>
        <v/>
      </c>
      <c r="C397">
        <f>IF($A397=1,SUM($A$2:$A397),0)</f>
        <v/>
      </c>
    </row>
    <row r="398">
      <c r="A398">
        <f>IF(AND(OR('Compliance Database'!$A398='Data Transfer'!$B$4,'Compliance Database'!$A398='Data Transfer'!$B$5),OR('Data Transfer'!$B$6="",ISNUMBER(SEARCH('Data Transfer'!$B$6,'Compliance Database'!$D398&amp;" "&amp;'Compliance Database'!$L398&amp;" "&amp;'Compliance Database'!$M398&amp;" "&amp;'Compliance Database'!$N398&amp;" "&amp;'Compliance Database'!$O398)))),1,0)</f>
        <v/>
      </c>
      <c r="B398">
        <f>IF($A398=1,SUM($A$2:$A398),"")</f>
        <v/>
      </c>
      <c r="C398">
        <f>IF($A398=1,SUM($A$2:$A398),0)</f>
        <v/>
      </c>
    </row>
    <row r="399">
      <c r="A399">
        <f>IF(AND(OR('Compliance Database'!$A399='Data Transfer'!$B$4,'Compliance Database'!$A399='Data Transfer'!$B$5),OR('Data Transfer'!$B$6="",ISNUMBER(SEARCH('Data Transfer'!$B$6,'Compliance Database'!$D399&amp;" "&amp;'Compliance Database'!$L399&amp;" "&amp;'Compliance Database'!$M399&amp;" "&amp;'Compliance Database'!$N399&amp;" "&amp;'Compliance Database'!$O399)))),1,0)</f>
        <v/>
      </c>
      <c r="B399">
        <f>IF($A399=1,SUM($A$2:$A399),"")</f>
        <v/>
      </c>
      <c r="C399">
        <f>IF($A399=1,SUM($A$2:$A399),0)</f>
        <v/>
      </c>
    </row>
    <row r="400">
      <c r="A400">
        <f>IF(AND(OR('Compliance Database'!$A400='Data Transfer'!$B$4,'Compliance Database'!$A400='Data Transfer'!$B$5),OR('Data Transfer'!$B$6="",ISNUMBER(SEARCH('Data Transfer'!$B$6,'Compliance Database'!$D400&amp;" "&amp;'Compliance Database'!$L400&amp;" "&amp;'Compliance Database'!$M400&amp;" "&amp;'Compliance Database'!$N400&amp;" "&amp;'Compliance Database'!$O400)))),1,0)</f>
        <v/>
      </c>
      <c r="B400">
        <f>IF($A400=1,SUM($A$2:$A400),"")</f>
        <v/>
      </c>
      <c r="C400">
        <f>IF($A400=1,SUM($A$2:$A400),0)</f>
        <v/>
      </c>
    </row>
    <row r="401">
      <c r="A401">
        <f>IF(AND(OR('Compliance Database'!$A401='Data Transfer'!$B$4,'Compliance Database'!$A401='Data Transfer'!$B$5),OR('Data Transfer'!$B$6="",ISNUMBER(SEARCH('Data Transfer'!$B$6,'Compliance Database'!$D401&amp;" "&amp;'Compliance Database'!$L401&amp;" "&amp;'Compliance Database'!$M401&amp;" "&amp;'Compliance Database'!$N401&amp;" "&amp;'Compliance Database'!$O401)))),1,0)</f>
        <v/>
      </c>
      <c r="B401">
        <f>IF($A401=1,SUM($A$2:$A401),"")</f>
        <v/>
      </c>
      <c r="C401">
        <f>IF($A401=1,SUM($A$2:$A401),0)</f>
        <v/>
      </c>
    </row>
    <row r="402">
      <c r="A402">
        <f>IF(AND(OR('Compliance Database'!$A402='Data Transfer'!$B$4,'Compliance Database'!$A402='Data Transfer'!$B$5),OR('Data Transfer'!$B$6="",ISNUMBER(SEARCH('Data Transfer'!$B$6,'Compliance Database'!$D402&amp;" "&amp;'Compliance Database'!$L402&amp;" "&amp;'Compliance Database'!$M402&amp;" "&amp;'Compliance Database'!$N402&amp;" "&amp;'Compliance Database'!$O402)))),1,0)</f>
        <v/>
      </c>
      <c r="B402">
        <f>IF($A402=1,SUM($A$2:$A402),"")</f>
        <v/>
      </c>
      <c r="C402">
        <f>IF($A402=1,SUM($A$2:$A402),0)</f>
        <v/>
      </c>
    </row>
    <row r="403">
      <c r="A403">
        <f>IF(AND(OR('Compliance Database'!$A403='Data Transfer'!$B$4,'Compliance Database'!$A403='Data Transfer'!$B$5),OR('Data Transfer'!$B$6="",ISNUMBER(SEARCH('Data Transfer'!$B$6,'Compliance Database'!$D403&amp;" "&amp;'Compliance Database'!$L403&amp;" "&amp;'Compliance Database'!$M403&amp;" "&amp;'Compliance Database'!$N403&amp;" "&amp;'Compliance Database'!$O403)))),1,0)</f>
        <v/>
      </c>
      <c r="B403">
        <f>IF($A403=1,SUM($A$2:$A403),"")</f>
        <v/>
      </c>
      <c r="C403">
        <f>IF($A403=1,SUM($A$2:$A403),0)</f>
        <v/>
      </c>
    </row>
    <row r="404">
      <c r="A404">
        <f>IF(AND(OR('Compliance Database'!$A404='Data Transfer'!$B$4,'Compliance Database'!$A404='Data Transfer'!$B$5),OR('Data Transfer'!$B$6="",ISNUMBER(SEARCH('Data Transfer'!$B$6,'Compliance Database'!$D404&amp;" "&amp;'Compliance Database'!$L404&amp;" "&amp;'Compliance Database'!$M404&amp;" "&amp;'Compliance Database'!$N404&amp;" "&amp;'Compliance Database'!$O404)))),1,0)</f>
        <v/>
      </c>
      <c r="B404">
        <f>IF($A404=1,SUM($A$2:$A404),"")</f>
        <v/>
      </c>
      <c r="C404">
        <f>IF($A404=1,SUM($A$2:$A404),0)</f>
        <v/>
      </c>
    </row>
    <row r="405">
      <c r="A405">
        <f>IF(AND(OR('Compliance Database'!$A405='Data Transfer'!$B$4,'Compliance Database'!$A405='Data Transfer'!$B$5),OR('Data Transfer'!$B$6="",ISNUMBER(SEARCH('Data Transfer'!$B$6,'Compliance Database'!$D405&amp;" "&amp;'Compliance Database'!$L405&amp;" "&amp;'Compliance Database'!$M405&amp;" "&amp;'Compliance Database'!$N405&amp;" "&amp;'Compliance Database'!$O405)))),1,0)</f>
        <v/>
      </c>
      <c r="B405">
        <f>IF($A405=1,SUM($A$2:$A405),"")</f>
        <v/>
      </c>
      <c r="C405">
        <f>IF($A405=1,SUM($A$2:$A405),0)</f>
        <v/>
      </c>
    </row>
    <row r="406">
      <c r="A406">
        <f>IF(AND(OR('Compliance Database'!$A406='Data Transfer'!$B$4,'Compliance Database'!$A406='Data Transfer'!$B$5),OR('Data Transfer'!$B$6="",ISNUMBER(SEARCH('Data Transfer'!$B$6,'Compliance Database'!$D406&amp;" "&amp;'Compliance Database'!$L406&amp;" "&amp;'Compliance Database'!$M406&amp;" "&amp;'Compliance Database'!$N406&amp;" "&amp;'Compliance Database'!$O406)))),1,0)</f>
        <v/>
      </c>
      <c r="B406">
        <f>IF($A406=1,SUM($A$2:$A406),"")</f>
        <v/>
      </c>
      <c r="C406">
        <f>IF($A406=1,SUM($A$2:$A406),0)</f>
        <v/>
      </c>
    </row>
    <row r="407">
      <c r="A407">
        <f>IF(AND(OR('Compliance Database'!$A407='Data Transfer'!$B$4,'Compliance Database'!$A407='Data Transfer'!$B$5),OR('Data Transfer'!$B$6="",ISNUMBER(SEARCH('Data Transfer'!$B$6,'Compliance Database'!$D407&amp;" "&amp;'Compliance Database'!$L407&amp;" "&amp;'Compliance Database'!$M407&amp;" "&amp;'Compliance Database'!$N407&amp;" "&amp;'Compliance Database'!$O407)))),1,0)</f>
        <v/>
      </c>
      <c r="B407">
        <f>IF($A407=1,SUM($A$2:$A407),"")</f>
        <v/>
      </c>
      <c r="C407">
        <f>IF($A407=1,SUM($A$2:$A407),0)</f>
        <v/>
      </c>
    </row>
    <row r="408">
      <c r="A408">
        <f>IF(AND(OR('Compliance Database'!$A408='Data Transfer'!$B$4,'Compliance Database'!$A408='Data Transfer'!$B$5),OR('Data Transfer'!$B$6="",ISNUMBER(SEARCH('Data Transfer'!$B$6,'Compliance Database'!$D408&amp;" "&amp;'Compliance Database'!$L408&amp;" "&amp;'Compliance Database'!$M408&amp;" "&amp;'Compliance Database'!$N408&amp;" "&amp;'Compliance Database'!$O408)))),1,0)</f>
        <v/>
      </c>
      <c r="B408">
        <f>IF($A408=1,SUM($A$2:$A408),"")</f>
        <v/>
      </c>
      <c r="C408">
        <f>IF($A408=1,SUM($A$2:$A408),0)</f>
        <v/>
      </c>
    </row>
    <row r="409">
      <c r="A409">
        <f>IF(AND(OR('Compliance Database'!$A409='Data Transfer'!$B$4,'Compliance Database'!$A409='Data Transfer'!$B$5),OR('Data Transfer'!$B$6="",ISNUMBER(SEARCH('Data Transfer'!$B$6,'Compliance Database'!$D409&amp;" "&amp;'Compliance Database'!$L409&amp;" "&amp;'Compliance Database'!$M409&amp;" "&amp;'Compliance Database'!$N409&amp;" "&amp;'Compliance Database'!$O409)))),1,0)</f>
        <v/>
      </c>
      <c r="B409">
        <f>IF($A409=1,SUM($A$2:$A409),"")</f>
        <v/>
      </c>
      <c r="C409">
        <f>IF($A409=1,SUM($A$2:$A409),0)</f>
        <v/>
      </c>
    </row>
    <row r="410">
      <c r="A410">
        <f>IF(AND(OR('Compliance Database'!$A410='Data Transfer'!$B$4,'Compliance Database'!$A410='Data Transfer'!$B$5),OR('Data Transfer'!$B$6="",ISNUMBER(SEARCH('Data Transfer'!$B$6,'Compliance Database'!$D410&amp;" "&amp;'Compliance Database'!$L410&amp;" "&amp;'Compliance Database'!$M410&amp;" "&amp;'Compliance Database'!$N410&amp;" "&amp;'Compliance Database'!$O410)))),1,0)</f>
        <v/>
      </c>
      <c r="B410">
        <f>IF($A410=1,SUM($A$2:$A410),"")</f>
        <v/>
      </c>
      <c r="C410">
        <f>IF($A410=1,SUM($A$2:$A410),0)</f>
        <v/>
      </c>
    </row>
    <row r="411">
      <c r="A411">
        <f>IF(AND(OR('Compliance Database'!$A411='Data Transfer'!$B$4,'Compliance Database'!$A411='Data Transfer'!$B$5),OR('Data Transfer'!$B$6="",ISNUMBER(SEARCH('Data Transfer'!$B$6,'Compliance Database'!$D411&amp;" "&amp;'Compliance Database'!$L411&amp;" "&amp;'Compliance Database'!$M411&amp;" "&amp;'Compliance Database'!$N411&amp;" "&amp;'Compliance Database'!$O411)))),1,0)</f>
        <v/>
      </c>
      <c r="B411">
        <f>IF($A411=1,SUM($A$2:$A411),"")</f>
        <v/>
      </c>
      <c r="C411">
        <f>IF($A411=1,SUM($A$2:$A411),0)</f>
        <v/>
      </c>
    </row>
    <row r="412">
      <c r="A412">
        <f>IF(AND(OR('Compliance Database'!$A412='Data Transfer'!$B$4,'Compliance Database'!$A412='Data Transfer'!$B$5),OR('Data Transfer'!$B$6="",ISNUMBER(SEARCH('Data Transfer'!$B$6,'Compliance Database'!$D412&amp;" "&amp;'Compliance Database'!$L412&amp;" "&amp;'Compliance Database'!$M412&amp;" "&amp;'Compliance Database'!$N412&amp;" "&amp;'Compliance Database'!$O412)))),1,0)</f>
        <v/>
      </c>
      <c r="B412">
        <f>IF($A412=1,SUM($A$2:$A412),"")</f>
        <v/>
      </c>
      <c r="C412">
        <f>IF($A412=1,SUM($A$2:$A412),0)</f>
        <v/>
      </c>
    </row>
    <row r="413">
      <c r="A413">
        <f>IF(AND(OR('Compliance Database'!$A413='Data Transfer'!$B$4,'Compliance Database'!$A413='Data Transfer'!$B$5),OR('Data Transfer'!$B$6="",ISNUMBER(SEARCH('Data Transfer'!$B$6,'Compliance Database'!$D413&amp;" "&amp;'Compliance Database'!$L413&amp;" "&amp;'Compliance Database'!$M413&amp;" "&amp;'Compliance Database'!$N413&amp;" "&amp;'Compliance Database'!$O413)))),1,0)</f>
        <v/>
      </c>
      <c r="B413">
        <f>IF($A413=1,SUM($A$2:$A413),"")</f>
        <v/>
      </c>
      <c r="C413">
        <f>IF($A413=1,SUM($A$2:$A413),0)</f>
        <v/>
      </c>
    </row>
    <row r="414">
      <c r="A414">
        <f>IF(AND(OR('Compliance Database'!$A414='Data Transfer'!$B$4,'Compliance Database'!$A414='Data Transfer'!$B$5),OR('Data Transfer'!$B$6="",ISNUMBER(SEARCH('Data Transfer'!$B$6,'Compliance Database'!$D414&amp;" "&amp;'Compliance Database'!$L414&amp;" "&amp;'Compliance Database'!$M414&amp;" "&amp;'Compliance Database'!$N414&amp;" "&amp;'Compliance Database'!$O414)))),1,0)</f>
        <v/>
      </c>
      <c r="B414">
        <f>IF($A414=1,SUM($A$2:$A414),"")</f>
        <v/>
      </c>
      <c r="C414">
        <f>IF($A414=1,SUM($A$2:$A414),0)</f>
        <v/>
      </c>
    </row>
    <row r="415">
      <c r="A415">
        <f>IF(AND(OR('Compliance Database'!$A415='Data Transfer'!$B$4,'Compliance Database'!$A415='Data Transfer'!$B$5),OR('Data Transfer'!$B$6="",ISNUMBER(SEARCH('Data Transfer'!$B$6,'Compliance Database'!$D415&amp;" "&amp;'Compliance Database'!$L415&amp;" "&amp;'Compliance Database'!$M415&amp;" "&amp;'Compliance Database'!$N415&amp;" "&amp;'Compliance Database'!$O415)))),1,0)</f>
        <v/>
      </c>
      <c r="B415">
        <f>IF($A415=1,SUM($A$2:$A415),"")</f>
        <v/>
      </c>
      <c r="C415">
        <f>IF($A415=1,SUM($A$2:$A415),0)</f>
        <v/>
      </c>
    </row>
    <row r="416">
      <c r="A416">
        <f>IF(AND(OR('Compliance Database'!$A416='Data Transfer'!$B$4,'Compliance Database'!$A416='Data Transfer'!$B$5),OR('Data Transfer'!$B$6="",ISNUMBER(SEARCH('Data Transfer'!$B$6,'Compliance Database'!$D416&amp;" "&amp;'Compliance Database'!$L416&amp;" "&amp;'Compliance Database'!$M416&amp;" "&amp;'Compliance Database'!$N416&amp;" "&amp;'Compliance Database'!$O416)))),1,0)</f>
        <v/>
      </c>
      <c r="B416">
        <f>IF($A416=1,SUM($A$2:$A416),"")</f>
        <v/>
      </c>
      <c r="C416">
        <f>IF($A416=1,SUM($A$2:$A416),0)</f>
        <v/>
      </c>
    </row>
    <row r="417">
      <c r="A417">
        <f>IF(AND(OR('Compliance Database'!$A417='Data Transfer'!$B$4,'Compliance Database'!$A417='Data Transfer'!$B$5),OR('Data Transfer'!$B$6="",ISNUMBER(SEARCH('Data Transfer'!$B$6,'Compliance Database'!$D417&amp;" "&amp;'Compliance Database'!$L417&amp;" "&amp;'Compliance Database'!$M417&amp;" "&amp;'Compliance Database'!$N417&amp;" "&amp;'Compliance Database'!$O417)))),1,0)</f>
        <v/>
      </c>
      <c r="B417">
        <f>IF($A417=1,SUM($A$2:$A417),"")</f>
        <v/>
      </c>
      <c r="C417">
        <f>IF($A417=1,SUM($A$2:$A417),0)</f>
        <v/>
      </c>
    </row>
    <row r="418">
      <c r="A418">
        <f>IF(AND(OR('Compliance Database'!$A418='Data Transfer'!$B$4,'Compliance Database'!$A418='Data Transfer'!$B$5),OR('Data Transfer'!$B$6="",ISNUMBER(SEARCH('Data Transfer'!$B$6,'Compliance Database'!$D418&amp;" "&amp;'Compliance Database'!$L418&amp;" "&amp;'Compliance Database'!$M418&amp;" "&amp;'Compliance Database'!$N418&amp;" "&amp;'Compliance Database'!$O418)))),1,0)</f>
        <v/>
      </c>
      <c r="B418">
        <f>IF($A418=1,SUM($A$2:$A418),"")</f>
        <v/>
      </c>
      <c r="C418">
        <f>IF($A418=1,SUM($A$2:$A418),0)</f>
        <v/>
      </c>
    </row>
    <row r="419">
      <c r="A419">
        <f>IF(AND(OR('Compliance Database'!$A419='Data Transfer'!$B$4,'Compliance Database'!$A419='Data Transfer'!$B$5),OR('Data Transfer'!$B$6="",ISNUMBER(SEARCH('Data Transfer'!$B$6,'Compliance Database'!$D419&amp;" "&amp;'Compliance Database'!$L419&amp;" "&amp;'Compliance Database'!$M419&amp;" "&amp;'Compliance Database'!$N419&amp;" "&amp;'Compliance Database'!$O419)))),1,0)</f>
        <v/>
      </c>
      <c r="B419">
        <f>IF($A419=1,SUM($A$2:$A419),"")</f>
        <v/>
      </c>
      <c r="C419">
        <f>IF($A419=1,SUM($A$2:$A419),0)</f>
        <v/>
      </c>
    </row>
    <row r="420">
      <c r="A420">
        <f>IF(AND(OR('Compliance Database'!$A420='Data Transfer'!$B$4,'Compliance Database'!$A420='Data Transfer'!$B$5),OR('Data Transfer'!$B$6="",ISNUMBER(SEARCH('Data Transfer'!$B$6,'Compliance Database'!$D420&amp;" "&amp;'Compliance Database'!$L420&amp;" "&amp;'Compliance Database'!$M420&amp;" "&amp;'Compliance Database'!$N420&amp;" "&amp;'Compliance Database'!$O420)))),1,0)</f>
        <v/>
      </c>
      <c r="B420">
        <f>IF($A420=1,SUM($A$2:$A420),"")</f>
        <v/>
      </c>
      <c r="C420">
        <f>IF($A420=1,SUM($A$2:$A420),0)</f>
        <v/>
      </c>
    </row>
    <row r="421">
      <c r="A421">
        <f>IF(AND(OR('Compliance Database'!$A421='Data Transfer'!$B$4,'Compliance Database'!$A421='Data Transfer'!$B$5),OR('Data Transfer'!$B$6="",ISNUMBER(SEARCH('Data Transfer'!$B$6,'Compliance Database'!$D421&amp;" "&amp;'Compliance Database'!$L421&amp;" "&amp;'Compliance Database'!$M421&amp;" "&amp;'Compliance Database'!$N421&amp;" "&amp;'Compliance Database'!$O421)))),1,0)</f>
        <v/>
      </c>
      <c r="B421">
        <f>IF($A421=1,SUM($A$2:$A421),"")</f>
        <v/>
      </c>
      <c r="C421">
        <f>IF($A421=1,SUM($A$2:$A421),0)</f>
        <v/>
      </c>
    </row>
    <row r="422">
      <c r="A422">
        <f>IF(AND(OR('Compliance Database'!$A422='Data Transfer'!$B$4,'Compliance Database'!$A422='Data Transfer'!$B$5),OR('Data Transfer'!$B$6="",ISNUMBER(SEARCH('Data Transfer'!$B$6,'Compliance Database'!$D422&amp;" "&amp;'Compliance Database'!$L422&amp;" "&amp;'Compliance Database'!$M422&amp;" "&amp;'Compliance Database'!$N422&amp;" "&amp;'Compliance Database'!$O422)))),1,0)</f>
        <v/>
      </c>
      <c r="B422">
        <f>IF($A422=1,SUM($A$2:$A422),"")</f>
        <v/>
      </c>
      <c r="C422">
        <f>IF($A422=1,SUM($A$2:$A422),0)</f>
        <v/>
      </c>
    </row>
    <row r="423">
      <c r="A423">
        <f>IF(AND(OR('Compliance Database'!$A423='Data Transfer'!$B$4,'Compliance Database'!$A423='Data Transfer'!$B$5),OR('Data Transfer'!$B$6="",ISNUMBER(SEARCH('Data Transfer'!$B$6,'Compliance Database'!$D423&amp;" "&amp;'Compliance Database'!$L423&amp;" "&amp;'Compliance Database'!$M423&amp;" "&amp;'Compliance Database'!$N423&amp;" "&amp;'Compliance Database'!$O423)))),1,0)</f>
        <v/>
      </c>
      <c r="B423">
        <f>IF($A423=1,SUM($A$2:$A423),"")</f>
        <v/>
      </c>
      <c r="C423">
        <f>IF($A423=1,SUM($A$2:$A423),0)</f>
        <v/>
      </c>
    </row>
    <row r="424">
      <c r="A424">
        <f>IF(AND(OR('Compliance Database'!$A424='Data Transfer'!$B$4,'Compliance Database'!$A424='Data Transfer'!$B$5),OR('Data Transfer'!$B$6="",ISNUMBER(SEARCH('Data Transfer'!$B$6,'Compliance Database'!$D424&amp;" "&amp;'Compliance Database'!$L424&amp;" "&amp;'Compliance Database'!$M424&amp;" "&amp;'Compliance Database'!$N424&amp;" "&amp;'Compliance Database'!$O424)))),1,0)</f>
        <v/>
      </c>
      <c r="B424">
        <f>IF($A424=1,SUM($A$2:$A424),"")</f>
        <v/>
      </c>
      <c r="C424">
        <f>IF($A424=1,SUM($A$2:$A424),0)</f>
        <v/>
      </c>
    </row>
    <row r="425">
      <c r="A425">
        <f>IF(AND(OR('Compliance Database'!$A425='Data Transfer'!$B$4,'Compliance Database'!$A425='Data Transfer'!$B$5),OR('Data Transfer'!$B$6="",ISNUMBER(SEARCH('Data Transfer'!$B$6,'Compliance Database'!$D425&amp;" "&amp;'Compliance Database'!$L425&amp;" "&amp;'Compliance Database'!$M425&amp;" "&amp;'Compliance Database'!$N425&amp;" "&amp;'Compliance Database'!$O425)))),1,0)</f>
        <v/>
      </c>
      <c r="B425">
        <f>IF($A425=1,SUM($A$2:$A425),"")</f>
        <v/>
      </c>
      <c r="C425">
        <f>IF($A425=1,SUM($A$2:$A425),0)</f>
        <v/>
      </c>
    </row>
    <row r="426">
      <c r="A426">
        <f>IF(AND(OR('Compliance Database'!$A426='Data Transfer'!$B$4,'Compliance Database'!$A426='Data Transfer'!$B$5),OR('Data Transfer'!$B$6="",ISNUMBER(SEARCH('Data Transfer'!$B$6,'Compliance Database'!$D426&amp;" "&amp;'Compliance Database'!$L426&amp;" "&amp;'Compliance Database'!$M426&amp;" "&amp;'Compliance Database'!$N426&amp;" "&amp;'Compliance Database'!$O426)))),1,0)</f>
        <v/>
      </c>
      <c r="B426">
        <f>IF($A426=1,SUM($A$2:$A426),"")</f>
        <v/>
      </c>
      <c r="C426">
        <f>IF($A426=1,SUM($A$2:$A426),0)</f>
        <v/>
      </c>
    </row>
    <row r="427">
      <c r="A427">
        <f>IF(AND(OR('Compliance Database'!$A427='Data Transfer'!$B$4,'Compliance Database'!$A427='Data Transfer'!$B$5),OR('Data Transfer'!$B$6="",ISNUMBER(SEARCH('Data Transfer'!$B$6,'Compliance Database'!$D427&amp;" "&amp;'Compliance Database'!$L427&amp;" "&amp;'Compliance Database'!$M427&amp;" "&amp;'Compliance Database'!$N427&amp;" "&amp;'Compliance Database'!$O427)))),1,0)</f>
        <v/>
      </c>
      <c r="B427">
        <f>IF($A427=1,SUM($A$2:$A427),"")</f>
        <v/>
      </c>
      <c r="C427">
        <f>IF($A427=1,SUM($A$2:$A427),0)</f>
        <v/>
      </c>
    </row>
    <row r="428">
      <c r="A428">
        <f>IF(AND(OR('Compliance Database'!$A428='Data Transfer'!$B$4,'Compliance Database'!$A428='Data Transfer'!$B$5),OR('Data Transfer'!$B$6="",ISNUMBER(SEARCH('Data Transfer'!$B$6,'Compliance Database'!$D428&amp;" "&amp;'Compliance Database'!$L428&amp;" "&amp;'Compliance Database'!$M428&amp;" "&amp;'Compliance Database'!$N428&amp;" "&amp;'Compliance Database'!$O428)))),1,0)</f>
        <v/>
      </c>
      <c r="B428">
        <f>IF($A428=1,SUM($A$2:$A428),"")</f>
        <v/>
      </c>
      <c r="C428">
        <f>IF($A428=1,SUM($A$2:$A428),0)</f>
        <v/>
      </c>
    </row>
    <row r="429">
      <c r="A429">
        <f>IF(AND(OR('Compliance Database'!$A429='Data Transfer'!$B$4,'Compliance Database'!$A429='Data Transfer'!$B$5),OR('Data Transfer'!$B$6="",ISNUMBER(SEARCH('Data Transfer'!$B$6,'Compliance Database'!$D429&amp;" "&amp;'Compliance Database'!$L429&amp;" "&amp;'Compliance Database'!$M429&amp;" "&amp;'Compliance Database'!$N429&amp;" "&amp;'Compliance Database'!$O429)))),1,0)</f>
        <v/>
      </c>
      <c r="B429">
        <f>IF($A429=1,SUM($A$2:$A429),"")</f>
        <v/>
      </c>
      <c r="C429">
        <f>IF($A429=1,SUM($A$2:$A429),0)</f>
        <v/>
      </c>
    </row>
    <row r="430">
      <c r="A430">
        <f>IF(AND(OR('Compliance Database'!$A430='Data Transfer'!$B$4,'Compliance Database'!$A430='Data Transfer'!$B$5),OR('Data Transfer'!$B$6="",ISNUMBER(SEARCH('Data Transfer'!$B$6,'Compliance Database'!$D430&amp;" "&amp;'Compliance Database'!$L430&amp;" "&amp;'Compliance Database'!$M430&amp;" "&amp;'Compliance Database'!$N430&amp;" "&amp;'Compliance Database'!$O430)))),1,0)</f>
        <v/>
      </c>
      <c r="B430">
        <f>IF($A430=1,SUM($A$2:$A430),"")</f>
        <v/>
      </c>
      <c r="C430">
        <f>IF($A430=1,SUM($A$2:$A430),0)</f>
        <v/>
      </c>
    </row>
    <row r="431">
      <c r="A431">
        <f>IF(AND(OR('Compliance Database'!$A431='Data Transfer'!$B$4,'Compliance Database'!$A431='Data Transfer'!$B$5),OR('Data Transfer'!$B$6="",ISNUMBER(SEARCH('Data Transfer'!$B$6,'Compliance Database'!$D431&amp;" "&amp;'Compliance Database'!$L431&amp;" "&amp;'Compliance Database'!$M431&amp;" "&amp;'Compliance Database'!$N431&amp;" "&amp;'Compliance Database'!$O431)))),1,0)</f>
        <v/>
      </c>
      <c r="B431">
        <f>IF($A431=1,SUM($A$2:$A431),"")</f>
        <v/>
      </c>
      <c r="C431">
        <f>IF($A431=1,SUM($A$2:$A431),0)</f>
        <v/>
      </c>
    </row>
    <row r="432">
      <c r="A432">
        <f>IF(AND(OR('Compliance Database'!$A432='Data Transfer'!$B$4,'Compliance Database'!$A432='Data Transfer'!$B$5),OR('Data Transfer'!$B$6="",ISNUMBER(SEARCH('Data Transfer'!$B$6,'Compliance Database'!$D432&amp;" "&amp;'Compliance Database'!$L432&amp;" "&amp;'Compliance Database'!$M432&amp;" "&amp;'Compliance Database'!$N432&amp;" "&amp;'Compliance Database'!$O432)))),1,0)</f>
        <v/>
      </c>
      <c r="B432">
        <f>IF($A432=1,SUM($A$2:$A432),"")</f>
        <v/>
      </c>
      <c r="C432">
        <f>IF($A432=1,SUM($A$2:$A432),0)</f>
        <v/>
      </c>
    </row>
    <row r="433">
      <c r="A433">
        <f>IF(AND(OR('Compliance Database'!$A433='Data Transfer'!$B$4,'Compliance Database'!$A433='Data Transfer'!$B$5),OR('Data Transfer'!$B$6="",ISNUMBER(SEARCH('Data Transfer'!$B$6,'Compliance Database'!$D433&amp;" "&amp;'Compliance Database'!$L433&amp;" "&amp;'Compliance Database'!$M433&amp;" "&amp;'Compliance Database'!$N433&amp;" "&amp;'Compliance Database'!$O433)))),1,0)</f>
        <v/>
      </c>
      <c r="B433">
        <f>IF($A433=1,SUM($A$2:$A433),"")</f>
        <v/>
      </c>
      <c r="C433">
        <f>IF($A433=1,SUM($A$2:$A433),0)</f>
        <v/>
      </c>
    </row>
    <row r="434">
      <c r="A434">
        <f>IF(AND(OR('Compliance Database'!$A434='Data Transfer'!$B$4,'Compliance Database'!$A434='Data Transfer'!$B$5),OR('Data Transfer'!$B$6="",ISNUMBER(SEARCH('Data Transfer'!$B$6,'Compliance Database'!$D434&amp;" "&amp;'Compliance Database'!$L434&amp;" "&amp;'Compliance Database'!$M434&amp;" "&amp;'Compliance Database'!$N434&amp;" "&amp;'Compliance Database'!$O434)))),1,0)</f>
        <v/>
      </c>
      <c r="B434">
        <f>IF($A434=1,SUM($A$2:$A434),"")</f>
        <v/>
      </c>
      <c r="C434">
        <f>IF($A434=1,SUM($A$2:$A434),0)</f>
        <v/>
      </c>
    </row>
    <row r="435">
      <c r="A435">
        <f>IF(AND(OR('Compliance Database'!$A435='Data Transfer'!$B$4,'Compliance Database'!$A435='Data Transfer'!$B$5),OR('Data Transfer'!$B$6="",ISNUMBER(SEARCH('Data Transfer'!$B$6,'Compliance Database'!$D435&amp;" "&amp;'Compliance Database'!$L435&amp;" "&amp;'Compliance Database'!$M435&amp;" "&amp;'Compliance Database'!$N435&amp;" "&amp;'Compliance Database'!$O435)))),1,0)</f>
        <v/>
      </c>
      <c r="B435">
        <f>IF($A435=1,SUM($A$2:$A435),"")</f>
        <v/>
      </c>
      <c r="C435">
        <f>IF($A435=1,SUM($A$2:$A435),0)</f>
        <v/>
      </c>
    </row>
    <row r="436">
      <c r="A436">
        <f>IF(AND(OR('Compliance Database'!$A436='Data Transfer'!$B$4,'Compliance Database'!$A436='Data Transfer'!$B$5),OR('Data Transfer'!$B$6="",ISNUMBER(SEARCH('Data Transfer'!$B$6,'Compliance Database'!$D436&amp;" "&amp;'Compliance Database'!$L436&amp;" "&amp;'Compliance Database'!$M436&amp;" "&amp;'Compliance Database'!$N436&amp;" "&amp;'Compliance Database'!$O436)))),1,0)</f>
        <v/>
      </c>
      <c r="B436">
        <f>IF($A436=1,SUM($A$2:$A436),"")</f>
        <v/>
      </c>
      <c r="C436">
        <f>IF($A436=1,SUM($A$2:$A436),0)</f>
        <v/>
      </c>
    </row>
    <row r="437">
      <c r="A437">
        <f>IF(AND(OR('Compliance Database'!$A437='Data Transfer'!$B$4,'Compliance Database'!$A437='Data Transfer'!$B$5),OR('Data Transfer'!$B$6="",ISNUMBER(SEARCH('Data Transfer'!$B$6,'Compliance Database'!$D437&amp;" "&amp;'Compliance Database'!$L437&amp;" "&amp;'Compliance Database'!$M437&amp;" "&amp;'Compliance Database'!$N437&amp;" "&amp;'Compliance Database'!$O437)))),1,0)</f>
        <v/>
      </c>
      <c r="B437">
        <f>IF($A437=1,SUM($A$2:$A437),"")</f>
        <v/>
      </c>
      <c r="C437">
        <f>IF($A437=1,SUM($A$2:$A437),0)</f>
        <v/>
      </c>
    </row>
    <row r="438">
      <c r="A438">
        <f>IF(AND(OR('Compliance Database'!$A438='Data Transfer'!$B$4,'Compliance Database'!$A438='Data Transfer'!$B$5),OR('Data Transfer'!$B$6="",ISNUMBER(SEARCH('Data Transfer'!$B$6,'Compliance Database'!$D438&amp;" "&amp;'Compliance Database'!$L438&amp;" "&amp;'Compliance Database'!$M438&amp;" "&amp;'Compliance Database'!$N438&amp;" "&amp;'Compliance Database'!$O438)))),1,0)</f>
        <v/>
      </c>
      <c r="B438">
        <f>IF($A438=1,SUM($A$2:$A438),"")</f>
        <v/>
      </c>
      <c r="C438">
        <f>IF($A438=1,SUM($A$2:$A438),0)</f>
        <v/>
      </c>
    </row>
    <row r="439">
      <c r="A439">
        <f>IF(AND(OR('Compliance Database'!$A439='Data Transfer'!$B$4,'Compliance Database'!$A439='Data Transfer'!$B$5),OR('Data Transfer'!$B$6="",ISNUMBER(SEARCH('Data Transfer'!$B$6,'Compliance Database'!$D439&amp;" "&amp;'Compliance Database'!$L439&amp;" "&amp;'Compliance Database'!$M439&amp;" "&amp;'Compliance Database'!$N439&amp;" "&amp;'Compliance Database'!$O439)))),1,0)</f>
        <v/>
      </c>
      <c r="B439">
        <f>IF($A439=1,SUM($A$2:$A439),"")</f>
        <v/>
      </c>
      <c r="C439">
        <f>IF($A439=1,SUM($A$2:$A439),0)</f>
        <v/>
      </c>
    </row>
    <row r="440">
      <c r="A440">
        <f>IF(AND(OR('Compliance Database'!$A440='Data Transfer'!$B$4,'Compliance Database'!$A440='Data Transfer'!$B$5),OR('Data Transfer'!$B$6="",ISNUMBER(SEARCH('Data Transfer'!$B$6,'Compliance Database'!$D440&amp;" "&amp;'Compliance Database'!$L440&amp;" "&amp;'Compliance Database'!$M440&amp;" "&amp;'Compliance Database'!$N440&amp;" "&amp;'Compliance Database'!$O440)))),1,0)</f>
        <v/>
      </c>
      <c r="B440">
        <f>IF($A440=1,SUM($A$2:$A440),"")</f>
        <v/>
      </c>
      <c r="C440">
        <f>IF($A440=1,SUM($A$2:$A440),0)</f>
        <v/>
      </c>
    </row>
    <row r="441">
      <c r="A441">
        <f>IF(AND(OR('Compliance Database'!$A441='Data Transfer'!$B$4,'Compliance Database'!$A441='Data Transfer'!$B$5),OR('Data Transfer'!$B$6="",ISNUMBER(SEARCH('Data Transfer'!$B$6,'Compliance Database'!$D441&amp;" "&amp;'Compliance Database'!$L441&amp;" "&amp;'Compliance Database'!$M441&amp;" "&amp;'Compliance Database'!$N441&amp;" "&amp;'Compliance Database'!$O441)))),1,0)</f>
        <v/>
      </c>
      <c r="B441">
        <f>IF($A441=1,SUM($A$2:$A441),"")</f>
        <v/>
      </c>
      <c r="C441">
        <f>IF($A441=1,SUM($A$2:$A441),0)</f>
        <v/>
      </c>
    </row>
    <row r="442">
      <c r="A442">
        <f>IF(AND(OR('Compliance Database'!$A442='Data Transfer'!$B$4,'Compliance Database'!$A442='Data Transfer'!$B$5),OR('Data Transfer'!$B$6="",ISNUMBER(SEARCH('Data Transfer'!$B$6,'Compliance Database'!$D442&amp;" "&amp;'Compliance Database'!$L442&amp;" "&amp;'Compliance Database'!$M442&amp;" "&amp;'Compliance Database'!$N442&amp;" "&amp;'Compliance Database'!$O442)))),1,0)</f>
        <v/>
      </c>
      <c r="B442">
        <f>IF($A442=1,SUM($A$2:$A442),"")</f>
        <v/>
      </c>
      <c r="C442">
        <f>IF($A442=1,SUM($A$2:$A442),0)</f>
        <v/>
      </c>
    </row>
    <row r="443">
      <c r="A443">
        <f>IF(AND(OR('Compliance Database'!$A443='Data Transfer'!$B$4,'Compliance Database'!$A443='Data Transfer'!$B$5),OR('Data Transfer'!$B$6="",ISNUMBER(SEARCH('Data Transfer'!$B$6,'Compliance Database'!$D443&amp;" "&amp;'Compliance Database'!$L443&amp;" "&amp;'Compliance Database'!$M443&amp;" "&amp;'Compliance Database'!$N443&amp;" "&amp;'Compliance Database'!$O443)))),1,0)</f>
        <v/>
      </c>
      <c r="B443">
        <f>IF($A443=1,SUM($A$2:$A443),"")</f>
        <v/>
      </c>
      <c r="C443">
        <f>IF($A443=1,SUM($A$2:$A443),0)</f>
        <v/>
      </c>
    </row>
    <row r="444">
      <c r="A444">
        <f>IF(AND(OR('Compliance Database'!$A444='Data Transfer'!$B$4,'Compliance Database'!$A444='Data Transfer'!$B$5),OR('Data Transfer'!$B$6="",ISNUMBER(SEARCH('Data Transfer'!$B$6,'Compliance Database'!$D444&amp;" "&amp;'Compliance Database'!$L444&amp;" "&amp;'Compliance Database'!$M444&amp;" "&amp;'Compliance Database'!$N444&amp;" "&amp;'Compliance Database'!$O444)))),1,0)</f>
        <v/>
      </c>
      <c r="B444">
        <f>IF($A444=1,SUM($A$2:$A444),"")</f>
        <v/>
      </c>
      <c r="C444">
        <f>IF($A444=1,SUM($A$2:$A444),0)</f>
        <v/>
      </c>
    </row>
    <row r="445">
      <c r="A445">
        <f>IF(AND(OR('Compliance Database'!$A445='Data Transfer'!$B$4,'Compliance Database'!$A445='Data Transfer'!$B$5),OR('Data Transfer'!$B$6="",ISNUMBER(SEARCH('Data Transfer'!$B$6,'Compliance Database'!$D445&amp;" "&amp;'Compliance Database'!$L445&amp;" "&amp;'Compliance Database'!$M445&amp;" "&amp;'Compliance Database'!$N445&amp;" "&amp;'Compliance Database'!$O445)))),1,0)</f>
        <v/>
      </c>
      <c r="B445">
        <f>IF($A445=1,SUM($A$2:$A445),"")</f>
        <v/>
      </c>
      <c r="C445">
        <f>IF($A445=1,SUM($A$2:$A445),0)</f>
        <v/>
      </c>
    </row>
    <row r="446">
      <c r="A446">
        <f>IF(AND(OR('Compliance Database'!$A446='Data Transfer'!$B$4,'Compliance Database'!$A446='Data Transfer'!$B$5),OR('Data Transfer'!$B$6="",ISNUMBER(SEARCH('Data Transfer'!$B$6,'Compliance Database'!$D446&amp;" "&amp;'Compliance Database'!$L446&amp;" "&amp;'Compliance Database'!$M446&amp;" "&amp;'Compliance Database'!$N446&amp;" "&amp;'Compliance Database'!$O446)))),1,0)</f>
        <v/>
      </c>
      <c r="B446">
        <f>IF($A446=1,SUM($A$2:$A446),"")</f>
        <v/>
      </c>
      <c r="C446">
        <f>IF($A446=1,SUM($A$2:$A446),0)</f>
        <v/>
      </c>
    </row>
    <row r="447">
      <c r="A447">
        <f>IF(AND(OR('Compliance Database'!$A447='Data Transfer'!$B$4,'Compliance Database'!$A447='Data Transfer'!$B$5),OR('Data Transfer'!$B$6="",ISNUMBER(SEARCH('Data Transfer'!$B$6,'Compliance Database'!$D447&amp;" "&amp;'Compliance Database'!$L447&amp;" "&amp;'Compliance Database'!$M447&amp;" "&amp;'Compliance Database'!$N447&amp;" "&amp;'Compliance Database'!$O447)))),1,0)</f>
        <v/>
      </c>
      <c r="B447">
        <f>IF($A447=1,SUM($A$2:$A447),"")</f>
        <v/>
      </c>
      <c r="C447">
        <f>IF($A447=1,SUM($A$2:$A447),0)</f>
        <v/>
      </c>
    </row>
    <row r="448">
      <c r="A448">
        <f>IF(AND(OR('Compliance Database'!$A448='Data Transfer'!$B$4,'Compliance Database'!$A448='Data Transfer'!$B$5),OR('Data Transfer'!$B$6="",ISNUMBER(SEARCH('Data Transfer'!$B$6,'Compliance Database'!$D448&amp;" "&amp;'Compliance Database'!$L448&amp;" "&amp;'Compliance Database'!$M448&amp;" "&amp;'Compliance Database'!$N448&amp;" "&amp;'Compliance Database'!$O448)))),1,0)</f>
        <v/>
      </c>
      <c r="B448">
        <f>IF($A448=1,SUM($A$2:$A448),"")</f>
        <v/>
      </c>
      <c r="C448">
        <f>IF($A448=1,SUM($A$2:$A448),0)</f>
        <v/>
      </c>
    </row>
    <row r="449">
      <c r="A449">
        <f>IF(AND(OR('Compliance Database'!$A449='Data Transfer'!$B$4,'Compliance Database'!$A449='Data Transfer'!$B$5),OR('Data Transfer'!$B$6="",ISNUMBER(SEARCH('Data Transfer'!$B$6,'Compliance Database'!$D449&amp;" "&amp;'Compliance Database'!$L449&amp;" "&amp;'Compliance Database'!$M449&amp;" "&amp;'Compliance Database'!$N449&amp;" "&amp;'Compliance Database'!$O449)))),1,0)</f>
        <v/>
      </c>
      <c r="B449">
        <f>IF($A449=1,SUM($A$2:$A449),"")</f>
        <v/>
      </c>
      <c r="C449">
        <f>IF($A449=1,SUM($A$2:$A449),0)</f>
        <v/>
      </c>
    </row>
    <row r="450">
      <c r="A450">
        <f>IF(AND(OR('Compliance Database'!$A450='Data Transfer'!$B$4,'Compliance Database'!$A450='Data Transfer'!$B$5),OR('Data Transfer'!$B$6="",ISNUMBER(SEARCH('Data Transfer'!$B$6,'Compliance Database'!$D450&amp;" "&amp;'Compliance Database'!$L450&amp;" "&amp;'Compliance Database'!$M450&amp;" "&amp;'Compliance Database'!$N450&amp;" "&amp;'Compliance Database'!$O450)))),1,0)</f>
        <v/>
      </c>
      <c r="B450">
        <f>IF($A450=1,SUM($A$2:$A450),"")</f>
        <v/>
      </c>
      <c r="C450">
        <f>IF($A450=1,SUM($A$2:$A450),0)</f>
        <v/>
      </c>
    </row>
    <row r="451">
      <c r="A451">
        <f>IF(AND(OR('Compliance Database'!$A451='Data Transfer'!$B$4,'Compliance Database'!$A451='Data Transfer'!$B$5),OR('Data Transfer'!$B$6="",ISNUMBER(SEARCH('Data Transfer'!$B$6,'Compliance Database'!$D451&amp;" "&amp;'Compliance Database'!$L451&amp;" "&amp;'Compliance Database'!$M451&amp;" "&amp;'Compliance Database'!$N451&amp;" "&amp;'Compliance Database'!$O451)))),1,0)</f>
        <v/>
      </c>
      <c r="B451">
        <f>IF($A451=1,SUM($A$2:$A451),"")</f>
        <v/>
      </c>
      <c r="C451">
        <f>IF($A451=1,SUM($A$2:$A451),0)</f>
        <v/>
      </c>
    </row>
    <row r="452">
      <c r="A452">
        <f>IF(AND(OR('Compliance Database'!$A452='Data Transfer'!$B$4,'Compliance Database'!$A452='Data Transfer'!$B$5),OR('Data Transfer'!$B$6="",ISNUMBER(SEARCH('Data Transfer'!$B$6,'Compliance Database'!$D452&amp;" "&amp;'Compliance Database'!$L452&amp;" "&amp;'Compliance Database'!$M452&amp;" "&amp;'Compliance Database'!$N452&amp;" "&amp;'Compliance Database'!$O452)))),1,0)</f>
        <v/>
      </c>
      <c r="B452">
        <f>IF($A452=1,SUM($A$2:$A452),"")</f>
        <v/>
      </c>
      <c r="C452">
        <f>IF($A452=1,SUM($A$2:$A452),0)</f>
        <v/>
      </c>
    </row>
    <row r="453">
      <c r="A453">
        <f>IF(AND(OR('Compliance Database'!$A453='Data Transfer'!$B$4,'Compliance Database'!$A453='Data Transfer'!$B$5),OR('Data Transfer'!$B$6="",ISNUMBER(SEARCH('Data Transfer'!$B$6,'Compliance Database'!$D453&amp;" "&amp;'Compliance Database'!$L453&amp;" "&amp;'Compliance Database'!$M453&amp;" "&amp;'Compliance Database'!$N453&amp;" "&amp;'Compliance Database'!$O453)))),1,0)</f>
        <v/>
      </c>
      <c r="B453">
        <f>IF($A453=1,SUM($A$2:$A453),"")</f>
        <v/>
      </c>
      <c r="C453">
        <f>IF($A453=1,SUM($A$2:$A453),0)</f>
        <v/>
      </c>
    </row>
    <row r="454">
      <c r="A454">
        <f>IF(AND(OR('Compliance Database'!$A454='Data Transfer'!$B$4,'Compliance Database'!$A454='Data Transfer'!$B$5),OR('Data Transfer'!$B$6="",ISNUMBER(SEARCH('Data Transfer'!$B$6,'Compliance Database'!$D454&amp;" "&amp;'Compliance Database'!$L454&amp;" "&amp;'Compliance Database'!$M454&amp;" "&amp;'Compliance Database'!$N454&amp;" "&amp;'Compliance Database'!$O454)))),1,0)</f>
        <v/>
      </c>
      <c r="B454">
        <f>IF($A454=1,SUM($A$2:$A454),"")</f>
        <v/>
      </c>
      <c r="C454">
        <f>IF($A454=1,SUM($A$2:$A454),0)</f>
        <v/>
      </c>
    </row>
    <row r="455">
      <c r="A455">
        <f>IF(AND(OR('Compliance Database'!$A455='Data Transfer'!$B$4,'Compliance Database'!$A455='Data Transfer'!$B$5),OR('Data Transfer'!$B$6="",ISNUMBER(SEARCH('Data Transfer'!$B$6,'Compliance Database'!$D455&amp;" "&amp;'Compliance Database'!$L455&amp;" "&amp;'Compliance Database'!$M455&amp;" "&amp;'Compliance Database'!$N455&amp;" "&amp;'Compliance Database'!$O455)))),1,0)</f>
        <v/>
      </c>
      <c r="B455">
        <f>IF($A455=1,SUM($A$2:$A455),"")</f>
        <v/>
      </c>
      <c r="C455">
        <f>IF($A455=1,SUM($A$2:$A455),0)</f>
        <v/>
      </c>
    </row>
    <row r="456">
      <c r="A456">
        <f>IF(AND(OR('Compliance Database'!$A456='Data Transfer'!$B$4,'Compliance Database'!$A456='Data Transfer'!$B$5),OR('Data Transfer'!$B$6="",ISNUMBER(SEARCH('Data Transfer'!$B$6,'Compliance Database'!$D456&amp;" "&amp;'Compliance Database'!$L456&amp;" "&amp;'Compliance Database'!$M456&amp;" "&amp;'Compliance Database'!$N456&amp;" "&amp;'Compliance Database'!$O456)))),1,0)</f>
        <v/>
      </c>
      <c r="B456">
        <f>IF($A456=1,SUM($A$2:$A456),"")</f>
        <v/>
      </c>
      <c r="C456">
        <f>IF($A456=1,SUM($A$2:$A456),0)</f>
        <v/>
      </c>
    </row>
    <row r="457">
      <c r="A457">
        <f>IF(AND(OR('Compliance Database'!$A457='Data Transfer'!$B$4,'Compliance Database'!$A457='Data Transfer'!$B$5),OR('Data Transfer'!$B$6="",ISNUMBER(SEARCH('Data Transfer'!$B$6,'Compliance Database'!$D457&amp;" "&amp;'Compliance Database'!$L457&amp;" "&amp;'Compliance Database'!$M457&amp;" "&amp;'Compliance Database'!$N457&amp;" "&amp;'Compliance Database'!$O457)))),1,0)</f>
        <v/>
      </c>
      <c r="B457">
        <f>IF($A457=1,SUM($A$2:$A457),"")</f>
        <v/>
      </c>
      <c r="C457">
        <f>IF($A457=1,SUM($A$2:$A457),0)</f>
        <v/>
      </c>
    </row>
    <row r="458">
      <c r="A458">
        <f>IF(AND(OR('Compliance Database'!$A458='Data Transfer'!$B$4,'Compliance Database'!$A458='Data Transfer'!$B$5),OR('Data Transfer'!$B$6="",ISNUMBER(SEARCH('Data Transfer'!$B$6,'Compliance Database'!$D458&amp;" "&amp;'Compliance Database'!$L458&amp;" "&amp;'Compliance Database'!$M458&amp;" "&amp;'Compliance Database'!$N458&amp;" "&amp;'Compliance Database'!$O458)))),1,0)</f>
        <v/>
      </c>
      <c r="B458">
        <f>IF($A458=1,SUM($A$2:$A458),"")</f>
        <v/>
      </c>
      <c r="C458">
        <f>IF($A458=1,SUM($A$2:$A458),0)</f>
        <v/>
      </c>
    </row>
    <row r="459">
      <c r="A459">
        <f>IF(AND(OR('Compliance Database'!$A459='Data Transfer'!$B$4,'Compliance Database'!$A459='Data Transfer'!$B$5),OR('Data Transfer'!$B$6="",ISNUMBER(SEARCH('Data Transfer'!$B$6,'Compliance Database'!$D459&amp;" "&amp;'Compliance Database'!$L459&amp;" "&amp;'Compliance Database'!$M459&amp;" "&amp;'Compliance Database'!$N459&amp;" "&amp;'Compliance Database'!$O459)))),1,0)</f>
        <v/>
      </c>
      <c r="B459">
        <f>IF($A459=1,SUM($A$2:$A459),"")</f>
        <v/>
      </c>
      <c r="C459">
        <f>IF($A459=1,SUM($A$2:$A459),0)</f>
        <v/>
      </c>
    </row>
    <row r="460">
      <c r="A460">
        <f>IF(AND(OR('Compliance Database'!$A460='Data Transfer'!$B$4,'Compliance Database'!$A460='Data Transfer'!$B$5),OR('Data Transfer'!$B$6="",ISNUMBER(SEARCH('Data Transfer'!$B$6,'Compliance Database'!$D460&amp;" "&amp;'Compliance Database'!$L460&amp;" "&amp;'Compliance Database'!$M460&amp;" "&amp;'Compliance Database'!$N460&amp;" "&amp;'Compliance Database'!$O460)))),1,0)</f>
        <v/>
      </c>
      <c r="B460">
        <f>IF($A460=1,SUM($A$2:$A460),"")</f>
        <v/>
      </c>
      <c r="C460">
        <f>IF($A460=1,SUM($A$2:$A460),0)</f>
        <v/>
      </c>
    </row>
    <row r="461">
      <c r="A461">
        <f>IF(AND(OR('Compliance Database'!$A461='Data Transfer'!$B$4,'Compliance Database'!$A461='Data Transfer'!$B$5),OR('Data Transfer'!$B$6="",ISNUMBER(SEARCH('Data Transfer'!$B$6,'Compliance Database'!$D461&amp;" "&amp;'Compliance Database'!$L461&amp;" "&amp;'Compliance Database'!$M461&amp;" "&amp;'Compliance Database'!$N461&amp;" "&amp;'Compliance Database'!$O461)))),1,0)</f>
        <v/>
      </c>
      <c r="B461">
        <f>IF($A461=1,SUM($A$2:$A461),"")</f>
        <v/>
      </c>
      <c r="C461">
        <f>IF($A461=1,SUM($A$2:$A461),0)</f>
        <v/>
      </c>
    </row>
    <row r="462">
      <c r="A462">
        <f>IF(AND(OR('Compliance Database'!$A462='Data Transfer'!$B$4,'Compliance Database'!$A462='Data Transfer'!$B$5),OR('Data Transfer'!$B$6="",ISNUMBER(SEARCH('Data Transfer'!$B$6,'Compliance Database'!$D462&amp;" "&amp;'Compliance Database'!$L462&amp;" "&amp;'Compliance Database'!$M462&amp;" "&amp;'Compliance Database'!$N462&amp;" "&amp;'Compliance Database'!$O462)))),1,0)</f>
        <v/>
      </c>
      <c r="B462">
        <f>IF($A462=1,SUM($A$2:$A462),"")</f>
        <v/>
      </c>
      <c r="C462">
        <f>IF($A462=1,SUM($A$2:$A462),0)</f>
        <v/>
      </c>
    </row>
    <row r="463">
      <c r="A463">
        <f>IF(AND(OR('Compliance Database'!$A463='Data Transfer'!$B$4,'Compliance Database'!$A463='Data Transfer'!$B$5),OR('Data Transfer'!$B$6="",ISNUMBER(SEARCH('Data Transfer'!$B$6,'Compliance Database'!$D463&amp;" "&amp;'Compliance Database'!$L463&amp;" "&amp;'Compliance Database'!$M463&amp;" "&amp;'Compliance Database'!$N463&amp;" "&amp;'Compliance Database'!$O463)))),1,0)</f>
        <v/>
      </c>
      <c r="B463">
        <f>IF($A463=1,SUM($A$2:$A463),"")</f>
        <v/>
      </c>
      <c r="C463">
        <f>IF($A463=1,SUM($A$2:$A463),0)</f>
        <v/>
      </c>
    </row>
    <row r="464">
      <c r="A464">
        <f>IF(AND(OR('Compliance Database'!$A464='Data Transfer'!$B$4,'Compliance Database'!$A464='Data Transfer'!$B$5),OR('Data Transfer'!$B$6="",ISNUMBER(SEARCH('Data Transfer'!$B$6,'Compliance Database'!$D464&amp;" "&amp;'Compliance Database'!$L464&amp;" "&amp;'Compliance Database'!$M464&amp;" "&amp;'Compliance Database'!$N464&amp;" "&amp;'Compliance Database'!$O464)))),1,0)</f>
        <v/>
      </c>
      <c r="B464">
        <f>IF($A464=1,SUM($A$2:$A464),"")</f>
        <v/>
      </c>
      <c r="C464">
        <f>IF($A464=1,SUM($A$2:$A464),0)</f>
        <v/>
      </c>
    </row>
    <row r="465">
      <c r="A465">
        <f>IF(AND(OR('Compliance Database'!$A465='Data Transfer'!$B$4,'Compliance Database'!$A465='Data Transfer'!$B$5),OR('Data Transfer'!$B$6="",ISNUMBER(SEARCH('Data Transfer'!$B$6,'Compliance Database'!$D465&amp;" "&amp;'Compliance Database'!$L465&amp;" "&amp;'Compliance Database'!$M465&amp;" "&amp;'Compliance Database'!$N465&amp;" "&amp;'Compliance Database'!$O465)))),1,0)</f>
        <v/>
      </c>
      <c r="B465">
        <f>IF($A465=1,SUM($A$2:$A465),"")</f>
        <v/>
      </c>
      <c r="C465">
        <f>IF($A465=1,SUM($A$2:$A465),0)</f>
        <v/>
      </c>
    </row>
    <row r="466">
      <c r="A466">
        <f>IF(AND(OR('Compliance Database'!$A466='Data Transfer'!$B$4,'Compliance Database'!$A466='Data Transfer'!$B$5),OR('Data Transfer'!$B$6="",ISNUMBER(SEARCH('Data Transfer'!$B$6,'Compliance Database'!$D466&amp;" "&amp;'Compliance Database'!$L466&amp;" "&amp;'Compliance Database'!$M466&amp;" "&amp;'Compliance Database'!$N466&amp;" "&amp;'Compliance Database'!$O466)))),1,0)</f>
        <v/>
      </c>
      <c r="B466">
        <f>IF($A466=1,SUM($A$2:$A466),"")</f>
        <v/>
      </c>
      <c r="C466">
        <f>IF($A466=1,SUM($A$2:$A466),0)</f>
        <v/>
      </c>
    </row>
    <row r="467">
      <c r="A467">
        <f>IF(AND(OR('Compliance Database'!$A467='Data Transfer'!$B$4,'Compliance Database'!$A467='Data Transfer'!$B$5),OR('Data Transfer'!$B$6="",ISNUMBER(SEARCH('Data Transfer'!$B$6,'Compliance Database'!$D467&amp;" "&amp;'Compliance Database'!$L467&amp;" "&amp;'Compliance Database'!$M467&amp;" "&amp;'Compliance Database'!$N467&amp;" "&amp;'Compliance Database'!$O467)))),1,0)</f>
        <v/>
      </c>
      <c r="B467">
        <f>IF($A467=1,SUM($A$2:$A467),"")</f>
        <v/>
      </c>
      <c r="C467">
        <f>IF($A467=1,SUM($A$2:$A467),0)</f>
        <v/>
      </c>
    </row>
    <row r="468">
      <c r="A468">
        <f>IF(AND(OR('Compliance Database'!$A468='Data Transfer'!$B$4,'Compliance Database'!$A468='Data Transfer'!$B$5),OR('Data Transfer'!$B$6="",ISNUMBER(SEARCH('Data Transfer'!$B$6,'Compliance Database'!$D468&amp;" "&amp;'Compliance Database'!$L468&amp;" "&amp;'Compliance Database'!$M468&amp;" "&amp;'Compliance Database'!$N468&amp;" "&amp;'Compliance Database'!$O468)))),1,0)</f>
        <v/>
      </c>
      <c r="B468">
        <f>IF($A468=1,SUM($A$2:$A468),"")</f>
        <v/>
      </c>
      <c r="C468">
        <f>IF($A468=1,SUM($A$2:$A468),0)</f>
        <v/>
      </c>
    </row>
    <row r="469">
      <c r="A469">
        <f>IF(AND(OR('Compliance Database'!$A469='Data Transfer'!$B$4,'Compliance Database'!$A469='Data Transfer'!$B$5),OR('Data Transfer'!$B$6="",ISNUMBER(SEARCH('Data Transfer'!$B$6,'Compliance Database'!$D469&amp;" "&amp;'Compliance Database'!$L469&amp;" "&amp;'Compliance Database'!$M469&amp;" "&amp;'Compliance Database'!$N469&amp;" "&amp;'Compliance Database'!$O469)))),1,0)</f>
        <v/>
      </c>
      <c r="B469">
        <f>IF($A469=1,SUM($A$2:$A469),"")</f>
        <v/>
      </c>
      <c r="C469">
        <f>IF($A469=1,SUM($A$2:$A469),0)</f>
        <v/>
      </c>
    </row>
    <row r="470">
      <c r="A470">
        <f>IF(AND(OR('Compliance Database'!$A470='Data Transfer'!$B$4,'Compliance Database'!$A470='Data Transfer'!$B$5),OR('Data Transfer'!$B$6="",ISNUMBER(SEARCH('Data Transfer'!$B$6,'Compliance Database'!$D470&amp;" "&amp;'Compliance Database'!$L470&amp;" "&amp;'Compliance Database'!$M470&amp;" "&amp;'Compliance Database'!$N470&amp;" "&amp;'Compliance Database'!$O470)))),1,0)</f>
        <v/>
      </c>
      <c r="B470">
        <f>IF($A470=1,SUM($A$2:$A470),"")</f>
        <v/>
      </c>
      <c r="C470">
        <f>IF($A470=1,SUM($A$2:$A470),0)</f>
        <v/>
      </c>
    </row>
    <row r="471">
      <c r="A471">
        <f>IF(AND(OR('Compliance Database'!$A471='Data Transfer'!$B$4,'Compliance Database'!$A471='Data Transfer'!$B$5),OR('Data Transfer'!$B$6="",ISNUMBER(SEARCH('Data Transfer'!$B$6,'Compliance Database'!$D471&amp;" "&amp;'Compliance Database'!$L471&amp;" "&amp;'Compliance Database'!$M471&amp;" "&amp;'Compliance Database'!$N471&amp;" "&amp;'Compliance Database'!$O471)))),1,0)</f>
        <v/>
      </c>
      <c r="B471">
        <f>IF($A471=1,SUM($A$2:$A471),"")</f>
        <v/>
      </c>
      <c r="C471">
        <f>IF($A471=1,SUM($A$2:$A471),0)</f>
        <v/>
      </c>
    </row>
    <row r="472">
      <c r="A472">
        <f>IF(AND(OR('Compliance Database'!$A472='Data Transfer'!$B$4,'Compliance Database'!$A472='Data Transfer'!$B$5),OR('Data Transfer'!$B$6="",ISNUMBER(SEARCH('Data Transfer'!$B$6,'Compliance Database'!$D472&amp;" "&amp;'Compliance Database'!$L472&amp;" "&amp;'Compliance Database'!$M472&amp;" "&amp;'Compliance Database'!$N472&amp;" "&amp;'Compliance Database'!$O472)))),1,0)</f>
        <v/>
      </c>
      <c r="B472">
        <f>IF($A472=1,SUM($A$2:$A472),"")</f>
        <v/>
      </c>
      <c r="C472">
        <f>IF($A472=1,SUM($A$2:$A472),0)</f>
        <v/>
      </c>
    </row>
    <row r="473">
      <c r="A473">
        <f>IF(AND(OR('Compliance Database'!$A473='Data Transfer'!$B$4,'Compliance Database'!$A473='Data Transfer'!$B$5),OR('Data Transfer'!$B$6="",ISNUMBER(SEARCH('Data Transfer'!$B$6,'Compliance Database'!$D473&amp;" "&amp;'Compliance Database'!$L473&amp;" "&amp;'Compliance Database'!$M473&amp;" "&amp;'Compliance Database'!$N473&amp;" "&amp;'Compliance Database'!$O473)))),1,0)</f>
        <v/>
      </c>
      <c r="B473">
        <f>IF($A473=1,SUM($A$2:$A473),"")</f>
        <v/>
      </c>
      <c r="C473">
        <f>IF($A473=1,SUM($A$2:$A473),0)</f>
        <v/>
      </c>
    </row>
    <row r="474">
      <c r="A474">
        <f>IF(AND(OR('Compliance Database'!$A474='Data Transfer'!$B$4,'Compliance Database'!$A474='Data Transfer'!$B$5),OR('Data Transfer'!$B$6="",ISNUMBER(SEARCH('Data Transfer'!$B$6,'Compliance Database'!$D474&amp;" "&amp;'Compliance Database'!$L474&amp;" "&amp;'Compliance Database'!$M474&amp;" "&amp;'Compliance Database'!$N474&amp;" "&amp;'Compliance Database'!$O474)))),1,0)</f>
        <v/>
      </c>
      <c r="B474">
        <f>IF($A474=1,SUM($A$2:$A474),"")</f>
        <v/>
      </c>
      <c r="C474">
        <f>IF($A474=1,SUM($A$2:$A474),0)</f>
        <v/>
      </c>
    </row>
    <row r="475">
      <c r="A475">
        <f>IF(AND(OR('Compliance Database'!$A475='Data Transfer'!$B$4,'Compliance Database'!$A475='Data Transfer'!$B$5),OR('Data Transfer'!$B$6="",ISNUMBER(SEARCH('Data Transfer'!$B$6,'Compliance Database'!$D475&amp;" "&amp;'Compliance Database'!$L475&amp;" "&amp;'Compliance Database'!$M475&amp;" "&amp;'Compliance Database'!$N475&amp;" "&amp;'Compliance Database'!$O475)))),1,0)</f>
        <v/>
      </c>
      <c r="B475">
        <f>IF($A475=1,SUM($A$2:$A475),"")</f>
        <v/>
      </c>
      <c r="C475">
        <f>IF($A475=1,SUM($A$2:$A475),0)</f>
        <v/>
      </c>
    </row>
    <row r="476">
      <c r="A476">
        <f>IF(AND(OR('Compliance Database'!$A476='Data Transfer'!$B$4,'Compliance Database'!$A476='Data Transfer'!$B$5),OR('Data Transfer'!$B$6="",ISNUMBER(SEARCH('Data Transfer'!$B$6,'Compliance Database'!$D476&amp;" "&amp;'Compliance Database'!$L476&amp;" "&amp;'Compliance Database'!$M476&amp;" "&amp;'Compliance Database'!$N476&amp;" "&amp;'Compliance Database'!$O476)))),1,0)</f>
        <v/>
      </c>
      <c r="B476">
        <f>IF($A476=1,SUM($A$2:$A476),"")</f>
        <v/>
      </c>
      <c r="C476">
        <f>IF($A476=1,SUM($A$2:$A476),0)</f>
        <v/>
      </c>
    </row>
    <row r="477">
      <c r="A477">
        <f>IF(AND(OR('Compliance Database'!$A477='Data Transfer'!$B$4,'Compliance Database'!$A477='Data Transfer'!$B$5),OR('Data Transfer'!$B$6="",ISNUMBER(SEARCH('Data Transfer'!$B$6,'Compliance Database'!$D477&amp;" "&amp;'Compliance Database'!$L477&amp;" "&amp;'Compliance Database'!$M477&amp;" "&amp;'Compliance Database'!$N477&amp;" "&amp;'Compliance Database'!$O477)))),1,0)</f>
        <v/>
      </c>
      <c r="B477">
        <f>IF($A477=1,SUM($A$2:$A477),"")</f>
        <v/>
      </c>
      <c r="C477">
        <f>IF($A477=1,SUM($A$2:$A477),0)</f>
        <v/>
      </c>
    </row>
    <row r="478">
      <c r="A478">
        <f>IF(AND(OR('Compliance Database'!$A478='Data Transfer'!$B$4,'Compliance Database'!$A478='Data Transfer'!$B$5),OR('Data Transfer'!$B$6="",ISNUMBER(SEARCH('Data Transfer'!$B$6,'Compliance Database'!$D478&amp;" "&amp;'Compliance Database'!$L478&amp;" "&amp;'Compliance Database'!$M478&amp;" "&amp;'Compliance Database'!$N478&amp;" "&amp;'Compliance Database'!$O478)))),1,0)</f>
        <v/>
      </c>
      <c r="B478">
        <f>IF($A478=1,SUM($A$2:$A478),"")</f>
        <v/>
      </c>
      <c r="C478">
        <f>IF($A478=1,SUM($A$2:$A478),0)</f>
        <v/>
      </c>
    </row>
    <row r="479">
      <c r="A479">
        <f>IF(AND(OR('Compliance Database'!$A479='Data Transfer'!$B$4,'Compliance Database'!$A479='Data Transfer'!$B$5),OR('Data Transfer'!$B$6="",ISNUMBER(SEARCH('Data Transfer'!$B$6,'Compliance Database'!$D479&amp;" "&amp;'Compliance Database'!$L479&amp;" "&amp;'Compliance Database'!$M479&amp;" "&amp;'Compliance Database'!$N479&amp;" "&amp;'Compliance Database'!$O479)))),1,0)</f>
        <v/>
      </c>
      <c r="B479">
        <f>IF($A479=1,SUM($A$2:$A479),"")</f>
        <v/>
      </c>
      <c r="C479">
        <f>IF($A479=1,SUM($A$2:$A479),0)</f>
        <v/>
      </c>
    </row>
    <row r="480">
      <c r="A480">
        <f>IF(AND(OR('Compliance Database'!$A480='Data Transfer'!$B$4,'Compliance Database'!$A480='Data Transfer'!$B$5),OR('Data Transfer'!$B$6="",ISNUMBER(SEARCH('Data Transfer'!$B$6,'Compliance Database'!$D480&amp;" "&amp;'Compliance Database'!$L480&amp;" "&amp;'Compliance Database'!$M480&amp;" "&amp;'Compliance Database'!$N480&amp;" "&amp;'Compliance Database'!$O480)))),1,0)</f>
        <v/>
      </c>
      <c r="B480">
        <f>IF($A480=1,SUM($A$2:$A480),"")</f>
        <v/>
      </c>
      <c r="C480">
        <f>IF($A480=1,SUM($A$2:$A480),0)</f>
        <v/>
      </c>
    </row>
    <row r="481">
      <c r="A481">
        <f>IF(AND(OR('Compliance Database'!$A481='Data Transfer'!$B$4,'Compliance Database'!$A481='Data Transfer'!$B$5),OR('Data Transfer'!$B$6="",ISNUMBER(SEARCH('Data Transfer'!$B$6,'Compliance Database'!$D481&amp;" "&amp;'Compliance Database'!$L481&amp;" "&amp;'Compliance Database'!$M481&amp;" "&amp;'Compliance Database'!$N481&amp;" "&amp;'Compliance Database'!$O481)))),1,0)</f>
        <v/>
      </c>
      <c r="B481">
        <f>IF($A481=1,SUM($A$2:$A481),"")</f>
        <v/>
      </c>
      <c r="C481">
        <f>IF($A481=1,SUM($A$2:$A481),0)</f>
        <v/>
      </c>
    </row>
    <row r="482">
      <c r="A482">
        <f>IF(AND(OR('Compliance Database'!$A482='Data Transfer'!$B$4,'Compliance Database'!$A482='Data Transfer'!$B$5),OR('Data Transfer'!$B$6="",ISNUMBER(SEARCH('Data Transfer'!$B$6,'Compliance Database'!$D482&amp;" "&amp;'Compliance Database'!$L482&amp;" "&amp;'Compliance Database'!$M482&amp;" "&amp;'Compliance Database'!$N482&amp;" "&amp;'Compliance Database'!$O482)))),1,0)</f>
        <v/>
      </c>
      <c r="B482">
        <f>IF($A482=1,SUM($A$2:$A482),"")</f>
        <v/>
      </c>
      <c r="C482">
        <f>IF($A482=1,SUM($A$2:$A482),0)</f>
        <v/>
      </c>
    </row>
    <row r="483">
      <c r="A483">
        <f>IF(AND(OR('Compliance Database'!$A483='Data Transfer'!$B$4,'Compliance Database'!$A483='Data Transfer'!$B$5),OR('Data Transfer'!$B$6="",ISNUMBER(SEARCH('Data Transfer'!$B$6,'Compliance Database'!$D483&amp;" "&amp;'Compliance Database'!$L483&amp;" "&amp;'Compliance Database'!$M483&amp;" "&amp;'Compliance Database'!$N483&amp;" "&amp;'Compliance Database'!$O483)))),1,0)</f>
        <v/>
      </c>
      <c r="B483">
        <f>IF($A483=1,SUM($A$2:$A483),"")</f>
        <v/>
      </c>
      <c r="C483">
        <f>IF($A483=1,SUM($A$2:$A483),0)</f>
        <v/>
      </c>
    </row>
    <row r="484">
      <c r="A484">
        <f>IF(AND(OR('Compliance Database'!$A484='Data Transfer'!$B$4,'Compliance Database'!$A484='Data Transfer'!$B$5),OR('Data Transfer'!$B$6="",ISNUMBER(SEARCH('Data Transfer'!$B$6,'Compliance Database'!$D484&amp;" "&amp;'Compliance Database'!$L484&amp;" "&amp;'Compliance Database'!$M484&amp;" "&amp;'Compliance Database'!$N484&amp;" "&amp;'Compliance Database'!$O484)))),1,0)</f>
        <v/>
      </c>
      <c r="B484">
        <f>IF($A484=1,SUM($A$2:$A484),"")</f>
        <v/>
      </c>
      <c r="C484">
        <f>IF($A484=1,SUM($A$2:$A484),0)</f>
        <v/>
      </c>
    </row>
    <row r="485">
      <c r="A485">
        <f>IF(AND(OR('Compliance Database'!$A485='Data Transfer'!$B$4,'Compliance Database'!$A485='Data Transfer'!$B$5),OR('Data Transfer'!$B$6="",ISNUMBER(SEARCH('Data Transfer'!$B$6,'Compliance Database'!$D485&amp;" "&amp;'Compliance Database'!$L485&amp;" "&amp;'Compliance Database'!$M485&amp;" "&amp;'Compliance Database'!$N485&amp;" "&amp;'Compliance Database'!$O485)))),1,0)</f>
        <v/>
      </c>
      <c r="B485">
        <f>IF($A485=1,SUM($A$2:$A485),"")</f>
        <v/>
      </c>
      <c r="C485">
        <f>IF($A485=1,SUM($A$2:$A485),0)</f>
        <v/>
      </c>
    </row>
    <row r="486">
      <c r="A486">
        <f>IF(AND(OR('Compliance Database'!$A486='Data Transfer'!$B$4,'Compliance Database'!$A486='Data Transfer'!$B$5),OR('Data Transfer'!$B$6="",ISNUMBER(SEARCH('Data Transfer'!$B$6,'Compliance Database'!$D486&amp;" "&amp;'Compliance Database'!$L486&amp;" "&amp;'Compliance Database'!$M486&amp;" "&amp;'Compliance Database'!$N486&amp;" "&amp;'Compliance Database'!$O486)))),1,0)</f>
        <v/>
      </c>
      <c r="B486">
        <f>IF($A486=1,SUM($A$2:$A486),"")</f>
        <v/>
      </c>
      <c r="C486">
        <f>IF($A486=1,SUM($A$2:$A486),0)</f>
        <v/>
      </c>
    </row>
    <row r="487">
      <c r="A487">
        <f>IF(AND(OR('Compliance Database'!$A487='Data Transfer'!$B$4,'Compliance Database'!$A487='Data Transfer'!$B$5),OR('Data Transfer'!$B$6="",ISNUMBER(SEARCH('Data Transfer'!$B$6,'Compliance Database'!$D487&amp;" "&amp;'Compliance Database'!$L487&amp;" "&amp;'Compliance Database'!$M487&amp;" "&amp;'Compliance Database'!$N487&amp;" "&amp;'Compliance Database'!$O487)))),1,0)</f>
        <v/>
      </c>
      <c r="B487">
        <f>IF($A487=1,SUM($A$2:$A487),"")</f>
        <v/>
      </c>
      <c r="C487">
        <f>IF($A487=1,SUM($A$2:$A487),0)</f>
        <v/>
      </c>
    </row>
    <row r="488">
      <c r="A488">
        <f>IF(AND(OR('Compliance Database'!$A488='Data Transfer'!$B$4,'Compliance Database'!$A488='Data Transfer'!$B$5),OR('Data Transfer'!$B$6="",ISNUMBER(SEARCH('Data Transfer'!$B$6,'Compliance Database'!$D488&amp;" "&amp;'Compliance Database'!$L488&amp;" "&amp;'Compliance Database'!$M488&amp;" "&amp;'Compliance Database'!$N488&amp;" "&amp;'Compliance Database'!$O488)))),1,0)</f>
        <v/>
      </c>
      <c r="B488">
        <f>IF($A488=1,SUM($A$2:$A488),"")</f>
        <v/>
      </c>
      <c r="C488">
        <f>IF($A488=1,SUM($A$2:$A488),0)</f>
        <v/>
      </c>
    </row>
    <row r="489">
      <c r="A489">
        <f>IF(AND(OR('Compliance Database'!$A489='Data Transfer'!$B$4,'Compliance Database'!$A489='Data Transfer'!$B$5),OR('Data Transfer'!$B$6="",ISNUMBER(SEARCH('Data Transfer'!$B$6,'Compliance Database'!$D489&amp;" "&amp;'Compliance Database'!$L489&amp;" "&amp;'Compliance Database'!$M489&amp;" "&amp;'Compliance Database'!$N489&amp;" "&amp;'Compliance Database'!$O489)))),1,0)</f>
        <v/>
      </c>
      <c r="B489">
        <f>IF($A489=1,SUM($A$2:$A489),"")</f>
        <v/>
      </c>
      <c r="C489">
        <f>IF($A489=1,SUM($A$2:$A489),0)</f>
        <v/>
      </c>
    </row>
    <row r="490">
      <c r="A490">
        <f>IF(AND(OR('Compliance Database'!$A490='Data Transfer'!$B$4,'Compliance Database'!$A490='Data Transfer'!$B$5),OR('Data Transfer'!$B$6="",ISNUMBER(SEARCH('Data Transfer'!$B$6,'Compliance Database'!$D490&amp;" "&amp;'Compliance Database'!$L490&amp;" "&amp;'Compliance Database'!$M490&amp;" "&amp;'Compliance Database'!$N490&amp;" "&amp;'Compliance Database'!$O490)))),1,0)</f>
        <v/>
      </c>
      <c r="B490">
        <f>IF($A490=1,SUM($A$2:$A490),"")</f>
        <v/>
      </c>
      <c r="C490">
        <f>IF($A490=1,SUM($A$2:$A490),0)</f>
        <v/>
      </c>
    </row>
    <row r="491">
      <c r="A491">
        <f>IF(AND(OR('Compliance Database'!$A491='Data Transfer'!$B$4,'Compliance Database'!$A491='Data Transfer'!$B$5),OR('Data Transfer'!$B$6="",ISNUMBER(SEARCH('Data Transfer'!$B$6,'Compliance Database'!$D491&amp;" "&amp;'Compliance Database'!$L491&amp;" "&amp;'Compliance Database'!$M491&amp;" "&amp;'Compliance Database'!$N491&amp;" "&amp;'Compliance Database'!$O491)))),1,0)</f>
        <v/>
      </c>
      <c r="B491">
        <f>IF($A491=1,SUM($A$2:$A491),"")</f>
        <v/>
      </c>
      <c r="C491">
        <f>IF($A491=1,SUM($A$2:$A491),0)</f>
        <v/>
      </c>
    </row>
    <row r="492">
      <c r="A492">
        <f>IF(AND(OR('Compliance Database'!$A492='Data Transfer'!$B$4,'Compliance Database'!$A492='Data Transfer'!$B$5),OR('Data Transfer'!$B$6="",ISNUMBER(SEARCH('Data Transfer'!$B$6,'Compliance Database'!$D492&amp;" "&amp;'Compliance Database'!$L492&amp;" "&amp;'Compliance Database'!$M492&amp;" "&amp;'Compliance Database'!$N492&amp;" "&amp;'Compliance Database'!$O492)))),1,0)</f>
        <v/>
      </c>
      <c r="B492">
        <f>IF($A492=1,SUM($A$2:$A492),"")</f>
        <v/>
      </c>
      <c r="C492">
        <f>IF($A492=1,SUM($A$2:$A492),0)</f>
        <v/>
      </c>
    </row>
    <row r="493">
      <c r="A493">
        <f>IF(AND(OR('Compliance Database'!$A493='Data Transfer'!$B$4,'Compliance Database'!$A493='Data Transfer'!$B$5),OR('Data Transfer'!$B$6="",ISNUMBER(SEARCH('Data Transfer'!$B$6,'Compliance Database'!$D493&amp;" "&amp;'Compliance Database'!$L493&amp;" "&amp;'Compliance Database'!$M493&amp;" "&amp;'Compliance Database'!$N493&amp;" "&amp;'Compliance Database'!$O493)))),1,0)</f>
        <v/>
      </c>
      <c r="B493">
        <f>IF($A493=1,SUM($A$2:$A493),"")</f>
        <v/>
      </c>
      <c r="C493">
        <f>IF($A493=1,SUM($A$2:$A493),0)</f>
        <v/>
      </c>
    </row>
    <row r="494">
      <c r="A494">
        <f>IF(AND(OR('Compliance Database'!$A494='Data Transfer'!$B$4,'Compliance Database'!$A494='Data Transfer'!$B$5),OR('Data Transfer'!$B$6="",ISNUMBER(SEARCH('Data Transfer'!$B$6,'Compliance Database'!$D494&amp;" "&amp;'Compliance Database'!$L494&amp;" "&amp;'Compliance Database'!$M494&amp;" "&amp;'Compliance Database'!$N494&amp;" "&amp;'Compliance Database'!$O494)))),1,0)</f>
        <v/>
      </c>
      <c r="B494">
        <f>IF($A494=1,SUM($A$2:$A494),"")</f>
        <v/>
      </c>
      <c r="C494">
        <f>IF($A494=1,SUM($A$2:$A494),0)</f>
        <v/>
      </c>
    </row>
    <row r="495">
      <c r="A495">
        <f>IF(AND(OR('Compliance Database'!$A495='Data Transfer'!$B$4,'Compliance Database'!$A495='Data Transfer'!$B$5),OR('Data Transfer'!$B$6="",ISNUMBER(SEARCH('Data Transfer'!$B$6,'Compliance Database'!$D495&amp;" "&amp;'Compliance Database'!$L495&amp;" "&amp;'Compliance Database'!$M495&amp;" "&amp;'Compliance Database'!$N495&amp;" "&amp;'Compliance Database'!$O495)))),1,0)</f>
        <v/>
      </c>
      <c r="B495">
        <f>IF($A495=1,SUM($A$2:$A495),"")</f>
        <v/>
      </c>
      <c r="C495">
        <f>IF($A495=1,SUM($A$2:$A495),0)</f>
        <v/>
      </c>
    </row>
    <row r="496">
      <c r="A496">
        <f>IF(AND(OR('Compliance Database'!$A496='Data Transfer'!$B$4,'Compliance Database'!$A496='Data Transfer'!$B$5),OR('Data Transfer'!$B$6="",ISNUMBER(SEARCH('Data Transfer'!$B$6,'Compliance Database'!$D496&amp;" "&amp;'Compliance Database'!$L496&amp;" "&amp;'Compliance Database'!$M496&amp;" "&amp;'Compliance Database'!$N496&amp;" "&amp;'Compliance Database'!$O496)))),1,0)</f>
        <v/>
      </c>
      <c r="B496">
        <f>IF($A496=1,SUM($A$2:$A496),"")</f>
        <v/>
      </c>
      <c r="C496">
        <f>IF($A496=1,SUM($A$2:$A496),0)</f>
        <v/>
      </c>
    </row>
    <row r="497">
      <c r="A497">
        <f>IF(AND(OR('Compliance Database'!$A497='Data Transfer'!$B$4,'Compliance Database'!$A497='Data Transfer'!$B$5),OR('Data Transfer'!$B$6="",ISNUMBER(SEARCH('Data Transfer'!$B$6,'Compliance Database'!$D497&amp;" "&amp;'Compliance Database'!$L497&amp;" "&amp;'Compliance Database'!$M497&amp;" "&amp;'Compliance Database'!$N497&amp;" "&amp;'Compliance Database'!$O497)))),1,0)</f>
        <v/>
      </c>
      <c r="B497">
        <f>IF($A497=1,SUM($A$2:$A497),"")</f>
        <v/>
      </c>
      <c r="C497">
        <f>IF($A497=1,SUM($A$2:$A497),0)</f>
        <v/>
      </c>
    </row>
    <row r="498">
      <c r="A498">
        <f>IF(AND(OR('Compliance Database'!$A498='Data Transfer'!$B$4,'Compliance Database'!$A498='Data Transfer'!$B$5),OR('Data Transfer'!$B$6="",ISNUMBER(SEARCH('Data Transfer'!$B$6,'Compliance Database'!$D498&amp;" "&amp;'Compliance Database'!$L498&amp;" "&amp;'Compliance Database'!$M498&amp;" "&amp;'Compliance Database'!$N498&amp;" "&amp;'Compliance Database'!$O498)))),1,0)</f>
        <v/>
      </c>
      <c r="B498">
        <f>IF($A498=1,SUM($A$2:$A498),"")</f>
        <v/>
      </c>
      <c r="C498">
        <f>IF($A498=1,SUM($A$2:$A498),0)</f>
        <v/>
      </c>
    </row>
    <row r="499">
      <c r="A499">
        <f>IF(AND(OR('Compliance Database'!$A499='Data Transfer'!$B$4,'Compliance Database'!$A499='Data Transfer'!$B$5),OR('Data Transfer'!$B$6="",ISNUMBER(SEARCH('Data Transfer'!$B$6,'Compliance Database'!$D499&amp;" "&amp;'Compliance Database'!$L499&amp;" "&amp;'Compliance Database'!$M499&amp;" "&amp;'Compliance Database'!$N499&amp;" "&amp;'Compliance Database'!$O499)))),1,0)</f>
        <v/>
      </c>
      <c r="B499">
        <f>IF($A499=1,SUM($A$2:$A499),"")</f>
        <v/>
      </c>
      <c r="C499">
        <f>IF($A499=1,SUM($A$2:$A499),0)</f>
        <v/>
      </c>
    </row>
    <row r="500">
      <c r="A500">
        <f>IF(AND(OR('Compliance Database'!$A500='Data Transfer'!$B$4,'Compliance Database'!$A500='Data Transfer'!$B$5),OR('Data Transfer'!$B$6="",ISNUMBER(SEARCH('Data Transfer'!$B$6,'Compliance Database'!$D500&amp;" "&amp;'Compliance Database'!$L500&amp;" "&amp;'Compliance Database'!$M500&amp;" "&amp;'Compliance Database'!$N500&amp;" "&amp;'Compliance Database'!$O500)))),1,0)</f>
        <v/>
      </c>
      <c r="B500">
        <f>IF($A500=1,SUM($A$2:$A500),"")</f>
        <v/>
      </c>
      <c r="C500">
        <f>IF($A500=1,SUM($A$2:$A500),0)</f>
        <v/>
      </c>
    </row>
    <row r="501">
      <c r="A501">
        <f>IF(AND(OR('Compliance Database'!$A501='Data Transfer'!$B$4,'Compliance Database'!$A501='Data Transfer'!$B$5),OR('Data Transfer'!$B$6="",ISNUMBER(SEARCH('Data Transfer'!$B$6,'Compliance Database'!$D501&amp;" "&amp;'Compliance Database'!$L501&amp;" "&amp;'Compliance Database'!$M501&amp;" "&amp;'Compliance Database'!$N501&amp;" "&amp;'Compliance Database'!$O501)))),1,0)</f>
        <v/>
      </c>
      <c r="B501">
        <f>IF($A501=1,SUM($A$2:$A501),"")</f>
        <v/>
      </c>
      <c r="C501">
        <f>IF($A501=1,SUM($A$2:$A501),0)</f>
        <v/>
      </c>
    </row>
    <row r="502">
      <c r="A502">
        <f>IF(AND(OR('Compliance Database'!$A502='Data Transfer'!$B$4,'Compliance Database'!$A502='Data Transfer'!$B$5),OR('Data Transfer'!$B$6="",ISNUMBER(SEARCH('Data Transfer'!$B$6,'Compliance Database'!$D502&amp;" "&amp;'Compliance Database'!$L502&amp;" "&amp;'Compliance Database'!$M502&amp;" "&amp;'Compliance Database'!$N502&amp;" "&amp;'Compliance Database'!$O502)))),1,0)</f>
        <v/>
      </c>
      <c r="B502">
        <f>IF($A502=1,SUM($A$2:$A502),"")</f>
        <v/>
      </c>
      <c r="C502">
        <f>IF($A502=1,SUM($A$2:$A502),0)</f>
        <v/>
      </c>
    </row>
    <row r="503">
      <c r="A503">
        <f>IF(AND(OR('Compliance Database'!$A503='Data Transfer'!$B$4,'Compliance Database'!$A503='Data Transfer'!$B$5),OR('Data Transfer'!$B$6="",ISNUMBER(SEARCH('Data Transfer'!$B$6,'Compliance Database'!$D503&amp;" "&amp;'Compliance Database'!$L503&amp;" "&amp;'Compliance Database'!$M503&amp;" "&amp;'Compliance Database'!$N503&amp;" "&amp;'Compliance Database'!$O503)))),1,0)</f>
        <v/>
      </c>
      <c r="B503">
        <f>IF($A503=1,SUM($A$2:$A503),"")</f>
        <v/>
      </c>
      <c r="C503">
        <f>IF($A503=1,SUM($A$2:$A503),0)</f>
        <v/>
      </c>
    </row>
    <row r="504">
      <c r="A504">
        <f>IF(AND(OR('Compliance Database'!$A504='Data Transfer'!$B$4,'Compliance Database'!$A504='Data Transfer'!$B$5),OR('Data Transfer'!$B$6="",ISNUMBER(SEARCH('Data Transfer'!$B$6,'Compliance Database'!$D504&amp;" "&amp;'Compliance Database'!$L504&amp;" "&amp;'Compliance Database'!$M504&amp;" "&amp;'Compliance Database'!$N504&amp;" "&amp;'Compliance Database'!$O504)))),1,0)</f>
        <v/>
      </c>
      <c r="B504">
        <f>IF($A504=1,SUM($A$2:$A504),"")</f>
        <v/>
      </c>
      <c r="C504">
        <f>IF($A504=1,SUM($A$2:$A504),0)</f>
        <v/>
      </c>
    </row>
    <row r="505">
      <c r="A505">
        <f>IF(AND(OR('Compliance Database'!$A505='Data Transfer'!$B$4,'Compliance Database'!$A505='Data Transfer'!$B$5),OR('Data Transfer'!$B$6="",ISNUMBER(SEARCH('Data Transfer'!$B$6,'Compliance Database'!$D505&amp;" "&amp;'Compliance Database'!$L505&amp;" "&amp;'Compliance Database'!$M505&amp;" "&amp;'Compliance Database'!$N505&amp;" "&amp;'Compliance Database'!$O505)))),1,0)</f>
        <v/>
      </c>
      <c r="B505">
        <f>IF($A505=1,SUM($A$2:$A505),"")</f>
        <v/>
      </c>
      <c r="C505">
        <f>IF($A505=1,SUM($A$2:$A505),0)</f>
        <v/>
      </c>
    </row>
    <row r="506">
      <c r="A506">
        <f>IF(AND(OR('Compliance Database'!$A506='Data Transfer'!$B$4,'Compliance Database'!$A506='Data Transfer'!$B$5),OR('Data Transfer'!$B$6="",ISNUMBER(SEARCH('Data Transfer'!$B$6,'Compliance Database'!$D506&amp;" "&amp;'Compliance Database'!$L506&amp;" "&amp;'Compliance Database'!$M506&amp;" "&amp;'Compliance Database'!$N506&amp;" "&amp;'Compliance Database'!$O506)))),1,0)</f>
        <v/>
      </c>
      <c r="B506">
        <f>IF($A506=1,SUM($A$2:$A506),"")</f>
        <v/>
      </c>
      <c r="C506">
        <f>IF($A506=1,SUM($A$2:$A506),0)</f>
        <v/>
      </c>
    </row>
    <row r="507">
      <c r="A507">
        <f>IF(AND(OR('Compliance Database'!$A507='Data Transfer'!$B$4,'Compliance Database'!$A507='Data Transfer'!$B$5),OR('Data Transfer'!$B$6="",ISNUMBER(SEARCH('Data Transfer'!$B$6,'Compliance Database'!$D507&amp;" "&amp;'Compliance Database'!$L507&amp;" "&amp;'Compliance Database'!$M507&amp;" "&amp;'Compliance Database'!$N507&amp;" "&amp;'Compliance Database'!$O507)))),1,0)</f>
        <v/>
      </c>
      <c r="B507">
        <f>IF($A507=1,SUM($A$2:$A507),"")</f>
        <v/>
      </c>
      <c r="C507">
        <f>IF($A507=1,SUM($A$2:$A507),0)</f>
        <v/>
      </c>
    </row>
    <row r="508">
      <c r="A508">
        <f>IF(AND(OR('Compliance Database'!$A508='Data Transfer'!$B$4,'Compliance Database'!$A508='Data Transfer'!$B$5),OR('Data Transfer'!$B$6="",ISNUMBER(SEARCH('Data Transfer'!$B$6,'Compliance Database'!$D508&amp;" "&amp;'Compliance Database'!$L508&amp;" "&amp;'Compliance Database'!$M508&amp;" "&amp;'Compliance Database'!$N508&amp;" "&amp;'Compliance Database'!$O508)))),1,0)</f>
        <v/>
      </c>
      <c r="B508">
        <f>IF($A508=1,SUM($A$2:$A508),"")</f>
        <v/>
      </c>
      <c r="C508">
        <f>IF($A508=1,SUM($A$2:$A508),0)</f>
        <v/>
      </c>
    </row>
    <row r="509">
      <c r="A509">
        <f>IF(AND(OR('Compliance Database'!$A509='Data Transfer'!$B$4,'Compliance Database'!$A509='Data Transfer'!$B$5),OR('Data Transfer'!$B$6="",ISNUMBER(SEARCH('Data Transfer'!$B$6,'Compliance Database'!$D509&amp;" "&amp;'Compliance Database'!$L509&amp;" "&amp;'Compliance Database'!$M509&amp;" "&amp;'Compliance Database'!$N509&amp;" "&amp;'Compliance Database'!$O509)))),1,0)</f>
        <v/>
      </c>
      <c r="B509">
        <f>IF($A509=1,SUM($A$2:$A509),"")</f>
        <v/>
      </c>
      <c r="C509">
        <f>IF($A509=1,SUM($A$2:$A509),0)</f>
        <v/>
      </c>
    </row>
    <row r="510">
      <c r="A510">
        <f>IF(AND(OR('Compliance Database'!$A510='Data Transfer'!$B$4,'Compliance Database'!$A510='Data Transfer'!$B$5),OR('Data Transfer'!$B$6="",ISNUMBER(SEARCH('Data Transfer'!$B$6,'Compliance Database'!$D510&amp;" "&amp;'Compliance Database'!$L510&amp;" "&amp;'Compliance Database'!$M510&amp;" "&amp;'Compliance Database'!$N510&amp;" "&amp;'Compliance Database'!$O510)))),1,0)</f>
        <v/>
      </c>
      <c r="B510">
        <f>IF($A510=1,SUM($A$2:$A510),"")</f>
        <v/>
      </c>
      <c r="C510">
        <f>IF($A510=1,SUM($A$2:$A510),0)</f>
        <v/>
      </c>
    </row>
    <row r="511">
      <c r="A511">
        <f>IF(AND(OR('Compliance Database'!$A511='Data Transfer'!$B$4,'Compliance Database'!$A511='Data Transfer'!$B$5),OR('Data Transfer'!$B$6="",ISNUMBER(SEARCH('Data Transfer'!$B$6,'Compliance Database'!$D511&amp;" "&amp;'Compliance Database'!$L511&amp;" "&amp;'Compliance Database'!$M511&amp;" "&amp;'Compliance Database'!$N511&amp;" "&amp;'Compliance Database'!$O511)))),1,0)</f>
        <v/>
      </c>
      <c r="B511">
        <f>IF($A511=1,SUM($A$2:$A511),"")</f>
        <v/>
      </c>
      <c r="C511">
        <f>IF($A511=1,SUM($A$2:$A511),0)</f>
        <v/>
      </c>
    </row>
    <row r="512">
      <c r="A512">
        <f>IF(AND(OR('Compliance Database'!$A512='Data Transfer'!$B$4,'Compliance Database'!$A512='Data Transfer'!$B$5),OR('Data Transfer'!$B$6="",ISNUMBER(SEARCH('Data Transfer'!$B$6,'Compliance Database'!$D512&amp;" "&amp;'Compliance Database'!$L512&amp;" "&amp;'Compliance Database'!$M512&amp;" "&amp;'Compliance Database'!$N512&amp;" "&amp;'Compliance Database'!$O512)))),1,0)</f>
        <v/>
      </c>
      <c r="B512">
        <f>IF($A512=1,SUM($A$2:$A512),"")</f>
        <v/>
      </c>
      <c r="C512">
        <f>IF($A512=1,SUM($A$2:$A512),0)</f>
        <v/>
      </c>
    </row>
    <row r="513">
      <c r="A513">
        <f>IF(AND(OR('Compliance Database'!$A513='Data Transfer'!$B$4,'Compliance Database'!$A513='Data Transfer'!$B$5),OR('Data Transfer'!$B$6="",ISNUMBER(SEARCH('Data Transfer'!$B$6,'Compliance Database'!$D513&amp;" "&amp;'Compliance Database'!$L513&amp;" "&amp;'Compliance Database'!$M513&amp;" "&amp;'Compliance Database'!$N513&amp;" "&amp;'Compliance Database'!$O513)))),1,0)</f>
        <v/>
      </c>
      <c r="B513">
        <f>IF($A513=1,SUM($A$2:$A513),"")</f>
        <v/>
      </c>
      <c r="C513">
        <f>IF($A513=1,SUM($A$2:$A513),0)</f>
        <v/>
      </c>
    </row>
    <row r="514">
      <c r="A514">
        <f>IF(AND(OR('Compliance Database'!$A514='Data Transfer'!$B$4,'Compliance Database'!$A514='Data Transfer'!$B$5),OR('Data Transfer'!$B$6="",ISNUMBER(SEARCH('Data Transfer'!$B$6,'Compliance Database'!$D514&amp;" "&amp;'Compliance Database'!$L514&amp;" "&amp;'Compliance Database'!$M514&amp;" "&amp;'Compliance Database'!$N514&amp;" "&amp;'Compliance Database'!$O514)))),1,0)</f>
        <v/>
      </c>
      <c r="B514">
        <f>IF($A514=1,SUM($A$2:$A514),"")</f>
        <v/>
      </c>
      <c r="C514">
        <f>IF($A514=1,SUM($A$2:$A514),0)</f>
        <v/>
      </c>
    </row>
    <row r="515">
      <c r="A515">
        <f>IF(AND(OR('Compliance Database'!$A515='Data Transfer'!$B$4,'Compliance Database'!$A515='Data Transfer'!$B$5),OR('Data Transfer'!$B$6="",ISNUMBER(SEARCH('Data Transfer'!$B$6,'Compliance Database'!$D515&amp;" "&amp;'Compliance Database'!$L515&amp;" "&amp;'Compliance Database'!$M515&amp;" "&amp;'Compliance Database'!$N515&amp;" "&amp;'Compliance Database'!$O515)))),1,0)</f>
        <v/>
      </c>
      <c r="B515">
        <f>IF($A515=1,SUM($A$2:$A515),"")</f>
        <v/>
      </c>
      <c r="C515">
        <f>IF($A515=1,SUM($A$2:$A515),0)</f>
        <v/>
      </c>
    </row>
    <row r="516">
      <c r="A516">
        <f>IF(AND(OR('Compliance Database'!$A516='Data Transfer'!$B$4,'Compliance Database'!$A516='Data Transfer'!$B$5),OR('Data Transfer'!$B$6="",ISNUMBER(SEARCH('Data Transfer'!$B$6,'Compliance Database'!$D516&amp;" "&amp;'Compliance Database'!$L516&amp;" "&amp;'Compliance Database'!$M516&amp;" "&amp;'Compliance Database'!$N516&amp;" "&amp;'Compliance Database'!$O516)))),1,0)</f>
        <v/>
      </c>
      <c r="B516">
        <f>IF($A516=1,SUM($A$2:$A516),"")</f>
        <v/>
      </c>
      <c r="C516">
        <f>IF($A516=1,SUM($A$2:$A516),0)</f>
        <v/>
      </c>
    </row>
    <row r="517">
      <c r="A517">
        <f>IF(AND(OR('Compliance Database'!$A517='Data Transfer'!$B$4,'Compliance Database'!$A517='Data Transfer'!$B$5),OR('Data Transfer'!$B$6="",ISNUMBER(SEARCH('Data Transfer'!$B$6,'Compliance Database'!$D517&amp;" "&amp;'Compliance Database'!$L517&amp;" "&amp;'Compliance Database'!$M517&amp;" "&amp;'Compliance Database'!$N517&amp;" "&amp;'Compliance Database'!$O517)))),1,0)</f>
        <v/>
      </c>
      <c r="B517">
        <f>IF($A517=1,SUM($A$2:$A517),"")</f>
        <v/>
      </c>
      <c r="C517">
        <f>IF($A517=1,SUM($A$2:$A517),0)</f>
        <v/>
      </c>
    </row>
    <row r="518">
      <c r="A518">
        <f>IF(AND(OR('Compliance Database'!$A518='Data Transfer'!$B$4,'Compliance Database'!$A518='Data Transfer'!$B$5),OR('Data Transfer'!$B$6="",ISNUMBER(SEARCH('Data Transfer'!$B$6,'Compliance Database'!$D518&amp;" "&amp;'Compliance Database'!$L518&amp;" "&amp;'Compliance Database'!$M518&amp;" "&amp;'Compliance Database'!$N518&amp;" "&amp;'Compliance Database'!$O518)))),1,0)</f>
        <v/>
      </c>
      <c r="B518">
        <f>IF($A518=1,SUM($A$2:$A518),"")</f>
        <v/>
      </c>
      <c r="C518">
        <f>IF($A518=1,SUM($A$2:$A518),0)</f>
        <v/>
      </c>
    </row>
    <row r="519">
      <c r="A519">
        <f>IF(AND(OR('Compliance Database'!$A519='Data Transfer'!$B$4,'Compliance Database'!$A519='Data Transfer'!$B$5),OR('Data Transfer'!$B$6="",ISNUMBER(SEARCH('Data Transfer'!$B$6,'Compliance Database'!$D519&amp;" "&amp;'Compliance Database'!$L519&amp;" "&amp;'Compliance Database'!$M519&amp;" "&amp;'Compliance Database'!$N519&amp;" "&amp;'Compliance Database'!$O519)))),1,0)</f>
        <v/>
      </c>
      <c r="B519">
        <f>IF($A519=1,SUM($A$2:$A519),"")</f>
        <v/>
      </c>
      <c r="C519">
        <f>IF($A519=1,SUM($A$2:$A519),0)</f>
        <v/>
      </c>
    </row>
    <row r="520">
      <c r="A520">
        <f>IF(AND(OR('Compliance Database'!$A520='Data Transfer'!$B$4,'Compliance Database'!$A520='Data Transfer'!$B$5),OR('Data Transfer'!$B$6="",ISNUMBER(SEARCH('Data Transfer'!$B$6,'Compliance Database'!$D520&amp;" "&amp;'Compliance Database'!$L520&amp;" "&amp;'Compliance Database'!$M520&amp;" "&amp;'Compliance Database'!$N520&amp;" "&amp;'Compliance Database'!$O520)))),1,0)</f>
        <v/>
      </c>
      <c r="B520">
        <f>IF($A520=1,SUM($A$2:$A520),"")</f>
        <v/>
      </c>
      <c r="C520">
        <f>IF($A520=1,SUM($A$2:$A520),0)</f>
        <v/>
      </c>
    </row>
    <row r="521">
      <c r="A521">
        <f>IF(AND(OR('Compliance Database'!$A521='Data Transfer'!$B$4,'Compliance Database'!$A521='Data Transfer'!$B$5),OR('Data Transfer'!$B$6="",ISNUMBER(SEARCH('Data Transfer'!$B$6,'Compliance Database'!$D521&amp;" "&amp;'Compliance Database'!$L521&amp;" "&amp;'Compliance Database'!$M521&amp;" "&amp;'Compliance Database'!$N521&amp;" "&amp;'Compliance Database'!$O521)))),1,0)</f>
        <v/>
      </c>
      <c r="B521">
        <f>IF($A521=1,SUM($A$2:$A521),"")</f>
        <v/>
      </c>
      <c r="C521">
        <f>IF($A521=1,SUM($A$2:$A521),0)</f>
        <v/>
      </c>
    </row>
    <row r="522">
      <c r="A522">
        <f>IF(AND(OR('Compliance Database'!$A522='Data Transfer'!$B$4,'Compliance Database'!$A522='Data Transfer'!$B$5),OR('Data Transfer'!$B$6="",ISNUMBER(SEARCH('Data Transfer'!$B$6,'Compliance Database'!$D522&amp;" "&amp;'Compliance Database'!$L522&amp;" "&amp;'Compliance Database'!$M522&amp;" "&amp;'Compliance Database'!$N522&amp;" "&amp;'Compliance Database'!$O522)))),1,0)</f>
        <v/>
      </c>
      <c r="B522">
        <f>IF($A522=1,SUM($A$2:$A522),"")</f>
        <v/>
      </c>
      <c r="C522">
        <f>IF($A522=1,SUM($A$2:$A522),0)</f>
        <v/>
      </c>
    </row>
    <row r="523">
      <c r="A523">
        <f>IF(AND(OR('Compliance Database'!$A523='Data Transfer'!$B$4,'Compliance Database'!$A523='Data Transfer'!$B$5),OR('Data Transfer'!$B$6="",ISNUMBER(SEARCH('Data Transfer'!$B$6,'Compliance Database'!$D523&amp;" "&amp;'Compliance Database'!$L523&amp;" "&amp;'Compliance Database'!$M523&amp;" "&amp;'Compliance Database'!$N523&amp;" "&amp;'Compliance Database'!$O523)))),1,0)</f>
        <v/>
      </c>
      <c r="B523">
        <f>IF($A523=1,SUM($A$2:$A523),"")</f>
        <v/>
      </c>
      <c r="C523">
        <f>IF($A523=1,SUM($A$2:$A523),0)</f>
        <v/>
      </c>
    </row>
    <row r="524">
      <c r="A524">
        <f>IF(AND(OR('Compliance Database'!$A524='Data Transfer'!$B$4,'Compliance Database'!$A524='Data Transfer'!$B$5),OR('Data Transfer'!$B$6="",ISNUMBER(SEARCH('Data Transfer'!$B$6,'Compliance Database'!$D524&amp;" "&amp;'Compliance Database'!$L524&amp;" "&amp;'Compliance Database'!$M524&amp;" "&amp;'Compliance Database'!$N524&amp;" "&amp;'Compliance Database'!$O524)))),1,0)</f>
        <v/>
      </c>
      <c r="B524">
        <f>IF($A524=1,SUM($A$2:$A524),"")</f>
        <v/>
      </c>
      <c r="C524">
        <f>IF($A524=1,SUM($A$2:$A524),0)</f>
        <v/>
      </c>
    </row>
    <row r="525">
      <c r="A525">
        <f>IF(AND(OR('Compliance Database'!$A525='Data Transfer'!$B$4,'Compliance Database'!$A525='Data Transfer'!$B$5),OR('Data Transfer'!$B$6="",ISNUMBER(SEARCH('Data Transfer'!$B$6,'Compliance Database'!$D525&amp;" "&amp;'Compliance Database'!$L525&amp;" "&amp;'Compliance Database'!$M525&amp;" "&amp;'Compliance Database'!$N525&amp;" "&amp;'Compliance Database'!$O525)))),1,0)</f>
        <v/>
      </c>
      <c r="B525">
        <f>IF($A525=1,SUM($A$2:$A525),"")</f>
        <v/>
      </c>
      <c r="C525">
        <f>IF($A525=1,SUM($A$2:$A525),0)</f>
        <v/>
      </c>
    </row>
    <row r="526">
      <c r="A526">
        <f>IF(AND(OR('Compliance Database'!$A526='Data Transfer'!$B$4,'Compliance Database'!$A526='Data Transfer'!$B$5),OR('Data Transfer'!$B$6="",ISNUMBER(SEARCH('Data Transfer'!$B$6,'Compliance Database'!$D526&amp;" "&amp;'Compliance Database'!$L526&amp;" "&amp;'Compliance Database'!$M526&amp;" "&amp;'Compliance Database'!$N526&amp;" "&amp;'Compliance Database'!$O526)))),1,0)</f>
        <v/>
      </c>
      <c r="B526">
        <f>IF($A526=1,SUM($A$2:$A526),"")</f>
        <v/>
      </c>
      <c r="C526">
        <f>IF($A526=1,SUM($A$2:$A526),0)</f>
        <v/>
      </c>
    </row>
    <row r="527">
      <c r="A527">
        <f>IF(AND(OR('Compliance Database'!$A527='Data Transfer'!$B$4,'Compliance Database'!$A527='Data Transfer'!$B$5),OR('Data Transfer'!$B$6="",ISNUMBER(SEARCH('Data Transfer'!$B$6,'Compliance Database'!$D527&amp;" "&amp;'Compliance Database'!$L527&amp;" "&amp;'Compliance Database'!$M527&amp;" "&amp;'Compliance Database'!$N527&amp;" "&amp;'Compliance Database'!$O527)))),1,0)</f>
        <v/>
      </c>
      <c r="B527">
        <f>IF($A527=1,SUM($A$2:$A527),"")</f>
        <v/>
      </c>
      <c r="C527">
        <f>IF($A527=1,SUM($A$2:$A527),0)</f>
        <v/>
      </c>
    </row>
    <row r="528">
      <c r="A528">
        <f>IF(AND(OR('Compliance Database'!$A528='Data Transfer'!$B$4,'Compliance Database'!$A528='Data Transfer'!$B$5),OR('Data Transfer'!$B$6="",ISNUMBER(SEARCH('Data Transfer'!$B$6,'Compliance Database'!$D528&amp;" "&amp;'Compliance Database'!$L528&amp;" "&amp;'Compliance Database'!$M528&amp;" "&amp;'Compliance Database'!$N528&amp;" "&amp;'Compliance Database'!$O528)))),1,0)</f>
        <v/>
      </c>
      <c r="B528">
        <f>IF($A528=1,SUM($A$2:$A528),"")</f>
        <v/>
      </c>
      <c r="C528">
        <f>IF($A528=1,SUM($A$2:$A528),0)</f>
        <v/>
      </c>
    </row>
    <row r="529">
      <c r="A529">
        <f>IF(AND(OR('Compliance Database'!$A529='Data Transfer'!$B$4,'Compliance Database'!$A529='Data Transfer'!$B$5),OR('Data Transfer'!$B$6="",ISNUMBER(SEARCH('Data Transfer'!$B$6,'Compliance Database'!$D529&amp;" "&amp;'Compliance Database'!$L529&amp;" "&amp;'Compliance Database'!$M529&amp;" "&amp;'Compliance Database'!$N529&amp;" "&amp;'Compliance Database'!$O529)))),1,0)</f>
        <v/>
      </c>
      <c r="B529">
        <f>IF($A529=1,SUM($A$2:$A529),"")</f>
        <v/>
      </c>
      <c r="C529">
        <f>IF($A529=1,SUM($A$2:$A529),0)</f>
        <v/>
      </c>
    </row>
    <row r="530">
      <c r="A530">
        <f>IF(AND(OR('Compliance Database'!$A530='Data Transfer'!$B$4,'Compliance Database'!$A530='Data Transfer'!$B$5),OR('Data Transfer'!$B$6="",ISNUMBER(SEARCH('Data Transfer'!$B$6,'Compliance Database'!$D530&amp;" "&amp;'Compliance Database'!$L530&amp;" "&amp;'Compliance Database'!$M530&amp;" "&amp;'Compliance Database'!$N530&amp;" "&amp;'Compliance Database'!$O530)))),1,0)</f>
        <v/>
      </c>
      <c r="B530">
        <f>IF($A530=1,SUM($A$2:$A530),"")</f>
        <v/>
      </c>
      <c r="C530">
        <f>IF($A530=1,SUM($A$2:$A530),0)</f>
        <v/>
      </c>
    </row>
    <row r="531">
      <c r="A531">
        <f>IF(AND(OR('Compliance Database'!$A531='Data Transfer'!$B$4,'Compliance Database'!$A531='Data Transfer'!$B$5),OR('Data Transfer'!$B$6="",ISNUMBER(SEARCH('Data Transfer'!$B$6,'Compliance Database'!$D531&amp;" "&amp;'Compliance Database'!$L531&amp;" "&amp;'Compliance Database'!$M531&amp;" "&amp;'Compliance Database'!$N531&amp;" "&amp;'Compliance Database'!$O531)))),1,0)</f>
        <v/>
      </c>
      <c r="B531">
        <f>IF($A531=1,SUM($A$2:$A531),"")</f>
        <v/>
      </c>
      <c r="C531">
        <f>IF($A531=1,SUM($A$2:$A531),0)</f>
        <v/>
      </c>
    </row>
    <row r="532">
      <c r="A532">
        <f>IF(AND(OR('Compliance Database'!$A532='Data Transfer'!$B$4,'Compliance Database'!$A532='Data Transfer'!$B$5),OR('Data Transfer'!$B$6="",ISNUMBER(SEARCH('Data Transfer'!$B$6,'Compliance Database'!$D532&amp;" "&amp;'Compliance Database'!$L532&amp;" "&amp;'Compliance Database'!$M532&amp;" "&amp;'Compliance Database'!$N532&amp;" "&amp;'Compliance Database'!$O532)))),1,0)</f>
        <v/>
      </c>
      <c r="B532">
        <f>IF($A532=1,SUM($A$2:$A532),"")</f>
        <v/>
      </c>
      <c r="C532">
        <f>IF($A532=1,SUM($A$2:$A532),0)</f>
        <v/>
      </c>
    </row>
    <row r="533">
      <c r="A533">
        <f>IF(AND(OR('Compliance Database'!$A533='Data Transfer'!$B$4,'Compliance Database'!$A533='Data Transfer'!$B$5),OR('Data Transfer'!$B$6="",ISNUMBER(SEARCH('Data Transfer'!$B$6,'Compliance Database'!$D533&amp;" "&amp;'Compliance Database'!$L533&amp;" "&amp;'Compliance Database'!$M533&amp;" "&amp;'Compliance Database'!$N533&amp;" "&amp;'Compliance Database'!$O533)))),1,0)</f>
        <v/>
      </c>
      <c r="B533">
        <f>IF($A533=1,SUM($A$2:$A533),"")</f>
        <v/>
      </c>
      <c r="C533">
        <f>IF($A533=1,SUM($A$2:$A533),0)</f>
        <v/>
      </c>
    </row>
    <row r="534">
      <c r="A534">
        <f>IF(AND(OR('Compliance Database'!$A534='Data Transfer'!$B$4,'Compliance Database'!$A534='Data Transfer'!$B$5),OR('Data Transfer'!$B$6="",ISNUMBER(SEARCH('Data Transfer'!$B$6,'Compliance Database'!$D534&amp;" "&amp;'Compliance Database'!$L534&amp;" "&amp;'Compliance Database'!$M534&amp;" "&amp;'Compliance Database'!$N534&amp;" "&amp;'Compliance Database'!$O534)))),1,0)</f>
        <v/>
      </c>
      <c r="B534">
        <f>IF($A534=1,SUM($A$2:$A534),"")</f>
        <v/>
      </c>
      <c r="C534">
        <f>IF($A534=1,SUM($A$2:$A534),0)</f>
        <v/>
      </c>
    </row>
    <row r="535">
      <c r="A535">
        <f>IF(AND(OR('Compliance Database'!$A535='Data Transfer'!$B$4,'Compliance Database'!$A535='Data Transfer'!$B$5),OR('Data Transfer'!$B$6="",ISNUMBER(SEARCH('Data Transfer'!$B$6,'Compliance Database'!$D535&amp;" "&amp;'Compliance Database'!$L535&amp;" "&amp;'Compliance Database'!$M535&amp;" "&amp;'Compliance Database'!$N535&amp;" "&amp;'Compliance Database'!$O535)))),1,0)</f>
        <v/>
      </c>
      <c r="B535">
        <f>IF($A535=1,SUM($A$2:$A535),"")</f>
        <v/>
      </c>
      <c r="C535">
        <f>IF($A535=1,SUM($A$2:$A535),0)</f>
        <v/>
      </c>
    </row>
    <row r="536">
      <c r="A536">
        <f>IF(AND(OR('Compliance Database'!$A536='Data Transfer'!$B$4,'Compliance Database'!$A536='Data Transfer'!$B$5),OR('Data Transfer'!$B$6="",ISNUMBER(SEARCH('Data Transfer'!$B$6,'Compliance Database'!$D536&amp;" "&amp;'Compliance Database'!$L536&amp;" "&amp;'Compliance Database'!$M536&amp;" "&amp;'Compliance Database'!$N536&amp;" "&amp;'Compliance Database'!$O536)))),1,0)</f>
        <v/>
      </c>
      <c r="B536">
        <f>IF($A536=1,SUM($A$2:$A536),"")</f>
        <v/>
      </c>
      <c r="C536">
        <f>IF($A536=1,SUM($A$2:$A536),0)</f>
        <v/>
      </c>
    </row>
    <row r="537">
      <c r="A537">
        <f>IF(AND(OR('Compliance Database'!$A537='Data Transfer'!$B$4,'Compliance Database'!$A537='Data Transfer'!$B$5),OR('Data Transfer'!$B$6="",ISNUMBER(SEARCH('Data Transfer'!$B$6,'Compliance Database'!$D537&amp;" "&amp;'Compliance Database'!$L537&amp;" "&amp;'Compliance Database'!$M537&amp;" "&amp;'Compliance Database'!$N537&amp;" "&amp;'Compliance Database'!$O537)))),1,0)</f>
        <v/>
      </c>
      <c r="B537">
        <f>IF($A537=1,SUM($A$2:$A537),"")</f>
        <v/>
      </c>
      <c r="C537">
        <f>IF($A537=1,SUM($A$2:$A537),0)</f>
        <v/>
      </c>
    </row>
    <row r="538">
      <c r="A538">
        <f>IF(AND(OR('Compliance Database'!$A538='Data Transfer'!$B$4,'Compliance Database'!$A538='Data Transfer'!$B$5),OR('Data Transfer'!$B$6="",ISNUMBER(SEARCH('Data Transfer'!$B$6,'Compliance Database'!$D538&amp;" "&amp;'Compliance Database'!$L538&amp;" "&amp;'Compliance Database'!$M538&amp;" "&amp;'Compliance Database'!$N538&amp;" "&amp;'Compliance Database'!$O538)))),1,0)</f>
        <v/>
      </c>
      <c r="B538">
        <f>IF($A538=1,SUM($A$2:$A538),"")</f>
        <v/>
      </c>
      <c r="C538">
        <f>IF($A538=1,SUM($A$2:$A538),0)</f>
        <v/>
      </c>
    </row>
    <row r="539">
      <c r="A539">
        <f>IF(AND(OR('Compliance Database'!$A539='Data Transfer'!$B$4,'Compliance Database'!$A539='Data Transfer'!$B$5),OR('Data Transfer'!$B$6="",ISNUMBER(SEARCH('Data Transfer'!$B$6,'Compliance Database'!$D539&amp;" "&amp;'Compliance Database'!$L539&amp;" "&amp;'Compliance Database'!$M539&amp;" "&amp;'Compliance Database'!$N539&amp;" "&amp;'Compliance Database'!$O539)))),1,0)</f>
        <v/>
      </c>
      <c r="B539">
        <f>IF($A539=1,SUM($A$2:$A539),"")</f>
        <v/>
      </c>
      <c r="C539">
        <f>IF($A539=1,SUM($A$2:$A539),0)</f>
        <v/>
      </c>
    </row>
    <row r="540">
      <c r="A540">
        <f>IF(AND(OR('Compliance Database'!$A540='Data Transfer'!$B$4,'Compliance Database'!$A540='Data Transfer'!$B$5),OR('Data Transfer'!$B$6="",ISNUMBER(SEARCH('Data Transfer'!$B$6,'Compliance Database'!$D540&amp;" "&amp;'Compliance Database'!$L540&amp;" "&amp;'Compliance Database'!$M540&amp;" "&amp;'Compliance Database'!$N540&amp;" "&amp;'Compliance Database'!$O540)))),1,0)</f>
        <v/>
      </c>
      <c r="B540">
        <f>IF($A540=1,SUM($A$2:$A540),"")</f>
        <v/>
      </c>
      <c r="C540">
        <f>IF($A540=1,SUM($A$2:$A540),0)</f>
        <v/>
      </c>
    </row>
    <row r="541">
      <c r="A541">
        <f>IF(AND(OR('Compliance Database'!$A541='Data Transfer'!$B$4,'Compliance Database'!$A541='Data Transfer'!$B$5),OR('Data Transfer'!$B$6="",ISNUMBER(SEARCH('Data Transfer'!$B$6,'Compliance Database'!$D541&amp;" "&amp;'Compliance Database'!$L541&amp;" "&amp;'Compliance Database'!$M541&amp;" "&amp;'Compliance Database'!$N541&amp;" "&amp;'Compliance Database'!$O541)))),1,0)</f>
        <v/>
      </c>
      <c r="B541">
        <f>IF($A541=1,SUM($A$2:$A541),"")</f>
        <v/>
      </c>
      <c r="C541">
        <f>IF($A541=1,SUM($A$2:$A541),0)</f>
        <v/>
      </c>
    </row>
    <row r="542">
      <c r="A542">
        <f>IF(AND(OR('Compliance Database'!$A542='Data Transfer'!$B$4,'Compliance Database'!$A542='Data Transfer'!$B$5),OR('Data Transfer'!$B$6="",ISNUMBER(SEARCH('Data Transfer'!$B$6,'Compliance Database'!$D542&amp;" "&amp;'Compliance Database'!$L542&amp;" "&amp;'Compliance Database'!$M542&amp;" "&amp;'Compliance Database'!$N542&amp;" "&amp;'Compliance Database'!$O542)))),1,0)</f>
        <v/>
      </c>
      <c r="B542">
        <f>IF($A542=1,SUM($A$2:$A542),"")</f>
        <v/>
      </c>
      <c r="C542">
        <f>IF($A542=1,SUM($A$2:$A542),0)</f>
        <v/>
      </c>
    </row>
    <row r="543">
      <c r="A543">
        <f>IF(AND(OR('Compliance Database'!$A543='Data Transfer'!$B$4,'Compliance Database'!$A543='Data Transfer'!$B$5),OR('Data Transfer'!$B$6="",ISNUMBER(SEARCH('Data Transfer'!$B$6,'Compliance Database'!$D543&amp;" "&amp;'Compliance Database'!$L543&amp;" "&amp;'Compliance Database'!$M543&amp;" "&amp;'Compliance Database'!$N543&amp;" "&amp;'Compliance Database'!$O543)))),1,0)</f>
        <v/>
      </c>
      <c r="B543">
        <f>IF($A543=1,SUM($A$2:$A543),"")</f>
        <v/>
      </c>
      <c r="C543">
        <f>IF($A543=1,SUM($A$2:$A543),0)</f>
        <v/>
      </c>
    </row>
    <row r="544">
      <c r="A544">
        <f>IF(AND(OR('Compliance Database'!$A544='Data Transfer'!$B$4,'Compliance Database'!$A544='Data Transfer'!$B$5),OR('Data Transfer'!$B$6="",ISNUMBER(SEARCH('Data Transfer'!$B$6,'Compliance Database'!$D544&amp;" "&amp;'Compliance Database'!$L544&amp;" "&amp;'Compliance Database'!$M544&amp;" "&amp;'Compliance Database'!$N544&amp;" "&amp;'Compliance Database'!$O544)))),1,0)</f>
        <v/>
      </c>
      <c r="B544">
        <f>IF($A544=1,SUM($A$2:$A544),"")</f>
        <v/>
      </c>
      <c r="C544">
        <f>IF($A544=1,SUM($A$2:$A544),0)</f>
        <v/>
      </c>
    </row>
    <row r="545">
      <c r="A545">
        <f>IF(AND(OR('Compliance Database'!$A545='Data Transfer'!$B$4,'Compliance Database'!$A545='Data Transfer'!$B$5),OR('Data Transfer'!$B$6="",ISNUMBER(SEARCH('Data Transfer'!$B$6,'Compliance Database'!$D545&amp;" "&amp;'Compliance Database'!$L545&amp;" "&amp;'Compliance Database'!$M545&amp;" "&amp;'Compliance Database'!$N545&amp;" "&amp;'Compliance Database'!$O545)))),1,0)</f>
        <v/>
      </c>
      <c r="B545">
        <f>IF($A545=1,SUM($A$2:$A545),"")</f>
        <v/>
      </c>
      <c r="C545">
        <f>IF($A545=1,SUM($A$2:$A545),0)</f>
        <v/>
      </c>
    </row>
    <row r="546">
      <c r="A546">
        <f>IF(AND(OR('Compliance Database'!$A546='Data Transfer'!$B$4,'Compliance Database'!$A546='Data Transfer'!$B$5),OR('Data Transfer'!$B$6="",ISNUMBER(SEARCH('Data Transfer'!$B$6,'Compliance Database'!$D546&amp;" "&amp;'Compliance Database'!$L546&amp;" "&amp;'Compliance Database'!$M546&amp;" "&amp;'Compliance Database'!$N546&amp;" "&amp;'Compliance Database'!$O546)))),1,0)</f>
        <v/>
      </c>
      <c r="B546">
        <f>IF($A546=1,SUM($A$2:$A546),"")</f>
        <v/>
      </c>
      <c r="C546">
        <f>IF($A546=1,SUM($A$2:$A546),0)</f>
        <v/>
      </c>
    </row>
    <row r="547">
      <c r="A547">
        <f>IF(AND(OR('Compliance Database'!$A547='Data Transfer'!$B$4,'Compliance Database'!$A547='Data Transfer'!$B$5),OR('Data Transfer'!$B$6="",ISNUMBER(SEARCH('Data Transfer'!$B$6,'Compliance Database'!$D547&amp;" "&amp;'Compliance Database'!$L547&amp;" "&amp;'Compliance Database'!$M547&amp;" "&amp;'Compliance Database'!$N547&amp;" "&amp;'Compliance Database'!$O547)))),1,0)</f>
        <v/>
      </c>
      <c r="B547">
        <f>IF($A547=1,SUM($A$2:$A547),"")</f>
        <v/>
      </c>
      <c r="C547">
        <f>IF($A547=1,SUM($A$2:$A547),0)</f>
        <v/>
      </c>
    </row>
    <row r="548">
      <c r="A548">
        <f>IF(AND(OR('Compliance Database'!$A548='Data Transfer'!$B$4,'Compliance Database'!$A548='Data Transfer'!$B$5),OR('Data Transfer'!$B$6="",ISNUMBER(SEARCH('Data Transfer'!$B$6,'Compliance Database'!$D548&amp;" "&amp;'Compliance Database'!$L548&amp;" "&amp;'Compliance Database'!$M548&amp;" "&amp;'Compliance Database'!$N548&amp;" "&amp;'Compliance Database'!$O548)))),1,0)</f>
        <v/>
      </c>
      <c r="B548">
        <f>IF($A548=1,SUM($A$2:$A548),"")</f>
        <v/>
      </c>
      <c r="C548">
        <f>IF($A548=1,SUM($A$2:$A548),0)</f>
        <v/>
      </c>
    </row>
    <row r="549">
      <c r="A549">
        <f>IF(AND(OR('Compliance Database'!$A549='Data Transfer'!$B$4,'Compliance Database'!$A549='Data Transfer'!$B$5),OR('Data Transfer'!$B$6="",ISNUMBER(SEARCH('Data Transfer'!$B$6,'Compliance Database'!$D549&amp;" "&amp;'Compliance Database'!$L549&amp;" "&amp;'Compliance Database'!$M549&amp;" "&amp;'Compliance Database'!$N549&amp;" "&amp;'Compliance Database'!$O549)))),1,0)</f>
        <v/>
      </c>
      <c r="B549">
        <f>IF($A549=1,SUM($A$2:$A549),"")</f>
        <v/>
      </c>
      <c r="C549">
        <f>IF($A549=1,SUM($A$2:$A549),0)</f>
        <v/>
      </c>
    </row>
    <row r="550">
      <c r="A550">
        <f>IF(AND(OR('Compliance Database'!$A550='Data Transfer'!$B$4,'Compliance Database'!$A550='Data Transfer'!$B$5),OR('Data Transfer'!$B$6="",ISNUMBER(SEARCH('Data Transfer'!$B$6,'Compliance Database'!$D550&amp;" "&amp;'Compliance Database'!$L550&amp;" "&amp;'Compliance Database'!$M550&amp;" "&amp;'Compliance Database'!$N550&amp;" "&amp;'Compliance Database'!$O550)))),1,0)</f>
        <v/>
      </c>
      <c r="B550">
        <f>IF($A550=1,SUM($A$2:$A550),"")</f>
        <v/>
      </c>
      <c r="C550">
        <f>IF($A550=1,SUM($A$2:$A550),0)</f>
        <v/>
      </c>
    </row>
    <row r="551">
      <c r="A551">
        <f>IF(AND(OR('Compliance Database'!$A551='Data Transfer'!$B$4,'Compliance Database'!$A551='Data Transfer'!$B$5),OR('Data Transfer'!$B$6="",ISNUMBER(SEARCH('Data Transfer'!$B$6,'Compliance Database'!$D551&amp;" "&amp;'Compliance Database'!$L551&amp;" "&amp;'Compliance Database'!$M551&amp;" "&amp;'Compliance Database'!$N551&amp;" "&amp;'Compliance Database'!$O551)))),1,0)</f>
        <v/>
      </c>
      <c r="B551">
        <f>IF($A551=1,SUM($A$2:$A551),"")</f>
        <v/>
      </c>
      <c r="C551">
        <f>IF($A551=1,SUM($A$2:$A551),0)</f>
        <v/>
      </c>
    </row>
    <row r="552">
      <c r="A552">
        <f>IF(AND(OR('Compliance Database'!$A552='Data Transfer'!$B$4,'Compliance Database'!$A552='Data Transfer'!$B$5),OR('Data Transfer'!$B$6="",ISNUMBER(SEARCH('Data Transfer'!$B$6,'Compliance Database'!$D552&amp;" "&amp;'Compliance Database'!$L552&amp;" "&amp;'Compliance Database'!$M552&amp;" "&amp;'Compliance Database'!$N552&amp;" "&amp;'Compliance Database'!$O552)))),1,0)</f>
        <v/>
      </c>
      <c r="B552">
        <f>IF($A552=1,SUM($A$2:$A552),"")</f>
        <v/>
      </c>
      <c r="C552">
        <f>IF($A552=1,SUM($A$2:$A552),0)</f>
        <v/>
      </c>
    </row>
    <row r="553">
      <c r="A553">
        <f>IF(AND(OR('Compliance Database'!$A553='Data Transfer'!$B$4,'Compliance Database'!$A553='Data Transfer'!$B$5),OR('Data Transfer'!$B$6="",ISNUMBER(SEARCH('Data Transfer'!$B$6,'Compliance Database'!$D553&amp;" "&amp;'Compliance Database'!$L553&amp;" "&amp;'Compliance Database'!$M553&amp;" "&amp;'Compliance Database'!$N553&amp;" "&amp;'Compliance Database'!$O553)))),1,0)</f>
        <v/>
      </c>
      <c r="B553">
        <f>IF($A553=1,SUM($A$2:$A553),"")</f>
        <v/>
      </c>
      <c r="C553">
        <f>IF($A553=1,SUM($A$2:$A553),0)</f>
        <v/>
      </c>
    </row>
    <row r="554">
      <c r="A554">
        <f>IF(AND(OR('Compliance Database'!$A554='Data Transfer'!$B$4,'Compliance Database'!$A554='Data Transfer'!$B$5),OR('Data Transfer'!$B$6="",ISNUMBER(SEARCH('Data Transfer'!$B$6,'Compliance Database'!$D554&amp;" "&amp;'Compliance Database'!$L554&amp;" "&amp;'Compliance Database'!$M554&amp;" "&amp;'Compliance Database'!$N554&amp;" "&amp;'Compliance Database'!$O554)))),1,0)</f>
        <v/>
      </c>
      <c r="B554">
        <f>IF($A554=1,SUM($A$2:$A554),"")</f>
        <v/>
      </c>
      <c r="C554">
        <f>IF($A554=1,SUM($A$2:$A554),0)</f>
        <v/>
      </c>
    </row>
    <row r="555">
      <c r="A555">
        <f>IF(AND(OR('Compliance Database'!$A555='Data Transfer'!$B$4,'Compliance Database'!$A555='Data Transfer'!$B$5),OR('Data Transfer'!$B$6="",ISNUMBER(SEARCH('Data Transfer'!$B$6,'Compliance Database'!$D555&amp;" "&amp;'Compliance Database'!$L555&amp;" "&amp;'Compliance Database'!$M555&amp;" "&amp;'Compliance Database'!$N555&amp;" "&amp;'Compliance Database'!$O555)))),1,0)</f>
        <v/>
      </c>
      <c r="B555">
        <f>IF($A555=1,SUM($A$2:$A555),"")</f>
        <v/>
      </c>
      <c r="C555">
        <f>IF($A555=1,SUM($A$2:$A555),0)</f>
        <v/>
      </c>
    </row>
    <row r="556">
      <c r="A556">
        <f>IF(AND(OR('Compliance Database'!$A556='Data Transfer'!$B$4,'Compliance Database'!$A556='Data Transfer'!$B$5),OR('Data Transfer'!$B$6="",ISNUMBER(SEARCH('Data Transfer'!$B$6,'Compliance Database'!$D556&amp;" "&amp;'Compliance Database'!$L556&amp;" "&amp;'Compliance Database'!$M556&amp;" "&amp;'Compliance Database'!$N556&amp;" "&amp;'Compliance Database'!$O556)))),1,0)</f>
        <v/>
      </c>
      <c r="B556">
        <f>IF($A556=1,SUM($A$2:$A556),"")</f>
        <v/>
      </c>
      <c r="C556">
        <f>IF($A556=1,SUM($A$2:$A556),0)</f>
        <v/>
      </c>
    </row>
    <row r="557">
      <c r="A557">
        <f>IF(AND(OR('Compliance Database'!$A557='Data Transfer'!$B$4,'Compliance Database'!$A557='Data Transfer'!$B$5),OR('Data Transfer'!$B$6="",ISNUMBER(SEARCH('Data Transfer'!$B$6,'Compliance Database'!$D557&amp;" "&amp;'Compliance Database'!$L557&amp;" "&amp;'Compliance Database'!$M557&amp;" "&amp;'Compliance Database'!$N557&amp;" "&amp;'Compliance Database'!$O557)))),1,0)</f>
        <v/>
      </c>
      <c r="B557">
        <f>IF($A557=1,SUM($A$2:$A557),"")</f>
        <v/>
      </c>
      <c r="C557">
        <f>IF($A557=1,SUM($A$2:$A557),0)</f>
        <v/>
      </c>
    </row>
    <row r="558">
      <c r="A558">
        <f>IF(AND(OR('Compliance Database'!$A558='Data Transfer'!$B$4,'Compliance Database'!$A558='Data Transfer'!$B$5),OR('Data Transfer'!$B$6="",ISNUMBER(SEARCH('Data Transfer'!$B$6,'Compliance Database'!$D558&amp;" "&amp;'Compliance Database'!$L558&amp;" "&amp;'Compliance Database'!$M558&amp;" "&amp;'Compliance Database'!$N558&amp;" "&amp;'Compliance Database'!$O558)))),1,0)</f>
        <v/>
      </c>
      <c r="B558">
        <f>IF($A558=1,SUM($A$2:$A558),"")</f>
        <v/>
      </c>
      <c r="C558">
        <f>IF($A558=1,SUM($A$2:$A558),0)</f>
        <v/>
      </c>
    </row>
    <row r="559">
      <c r="A559">
        <f>IF(AND(OR('Compliance Database'!$A559='Data Transfer'!$B$4,'Compliance Database'!$A559='Data Transfer'!$B$5),OR('Data Transfer'!$B$6="",ISNUMBER(SEARCH('Data Transfer'!$B$6,'Compliance Database'!$D559&amp;" "&amp;'Compliance Database'!$L559&amp;" "&amp;'Compliance Database'!$M559&amp;" "&amp;'Compliance Database'!$N559&amp;" "&amp;'Compliance Database'!$O559)))),1,0)</f>
        <v/>
      </c>
      <c r="B559">
        <f>IF($A559=1,SUM($A$2:$A559),"")</f>
        <v/>
      </c>
      <c r="C559">
        <f>IF($A559=1,SUM($A$2:$A559),0)</f>
        <v/>
      </c>
    </row>
    <row r="560">
      <c r="A560">
        <f>IF(AND(OR('Compliance Database'!$A560='Data Transfer'!$B$4,'Compliance Database'!$A560='Data Transfer'!$B$5),OR('Data Transfer'!$B$6="",ISNUMBER(SEARCH('Data Transfer'!$B$6,'Compliance Database'!$D560&amp;" "&amp;'Compliance Database'!$L560&amp;" "&amp;'Compliance Database'!$M560&amp;" "&amp;'Compliance Database'!$N560&amp;" "&amp;'Compliance Database'!$O560)))),1,0)</f>
        <v/>
      </c>
      <c r="B560">
        <f>IF($A560=1,SUM($A$2:$A560),"")</f>
        <v/>
      </c>
      <c r="C560">
        <f>IF($A560=1,SUM($A$2:$A560),0)</f>
        <v/>
      </c>
    </row>
    <row r="561">
      <c r="A561">
        <f>IF(AND(OR('Compliance Database'!$A561='Data Transfer'!$B$4,'Compliance Database'!$A561='Data Transfer'!$B$5),OR('Data Transfer'!$B$6="",ISNUMBER(SEARCH('Data Transfer'!$B$6,'Compliance Database'!$D561&amp;" "&amp;'Compliance Database'!$L561&amp;" "&amp;'Compliance Database'!$M561&amp;" "&amp;'Compliance Database'!$N561&amp;" "&amp;'Compliance Database'!$O561)))),1,0)</f>
        <v/>
      </c>
      <c r="B561">
        <f>IF($A561=1,SUM($A$2:$A561),"")</f>
        <v/>
      </c>
      <c r="C561">
        <f>IF($A561=1,SUM($A$2:$A561),0)</f>
        <v/>
      </c>
    </row>
    <row r="562">
      <c r="A562">
        <f>IF(AND(OR('Compliance Database'!$A562='Data Transfer'!$B$4,'Compliance Database'!$A562='Data Transfer'!$B$5),OR('Data Transfer'!$B$6="",ISNUMBER(SEARCH('Data Transfer'!$B$6,'Compliance Database'!$D562&amp;" "&amp;'Compliance Database'!$L562&amp;" "&amp;'Compliance Database'!$M562&amp;" "&amp;'Compliance Database'!$N562&amp;" "&amp;'Compliance Database'!$O562)))),1,0)</f>
        <v/>
      </c>
      <c r="B562">
        <f>IF($A562=1,SUM($A$2:$A562),"")</f>
        <v/>
      </c>
      <c r="C562">
        <f>IF($A562=1,SUM($A$2:$A562),0)</f>
        <v/>
      </c>
    </row>
    <row r="563">
      <c r="A563">
        <f>IF(AND(OR('Compliance Database'!$A563='Data Transfer'!$B$4,'Compliance Database'!$A563='Data Transfer'!$B$5),OR('Data Transfer'!$B$6="",ISNUMBER(SEARCH('Data Transfer'!$B$6,'Compliance Database'!$D563&amp;" "&amp;'Compliance Database'!$L563&amp;" "&amp;'Compliance Database'!$M563&amp;" "&amp;'Compliance Database'!$N563&amp;" "&amp;'Compliance Database'!$O563)))),1,0)</f>
        <v/>
      </c>
      <c r="B563">
        <f>IF($A563=1,SUM($A$2:$A563),"")</f>
        <v/>
      </c>
      <c r="C563">
        <f>IF($A563=1,SUM($A$2:$A563),0)</f>
        <v/>
      </c>
    </row>
    <row r="564">
      <c r="A564">
        <f>IF(AND(OR('Compliance Database'!$A564='Data Transfer'!$B$4,'Compliance Database'!$A564='Data Transfer'!$B$5),OR('Data Transfer'!$B$6="",ISNUMBER(SEARCH('Data Transfer'!$B$6,'Compliance Database'!$D564&amp;" "&amp;'Compliance Database'!$L564&amp;" "&amp;'Compliance Database'!$M564&amp;" "&amp;'Compliance Database'!$N564&amp;" "&amp;'Compliance Database'!$O564)))),1,0)</f>
        <v/>
      </c>
      <c r="B564">
        <f>IF($A564=1,SUM($A$2:$A564),"")</f>
        <v/>
      </c>
      <c r="C564">
        <f>IF($A564=1,SUM($A$2:$A564),0)</f>
        <v/>
      </c>
    </row>
    <row r="565">
      <c r="A565">
        <f>IF(AND(OR('Compliance Database'!$A565='Data Transfer'!$B$4,'Compliance Database'!$A565='Data Transfer'!$B$5),OR('Data Transfer'!$B$6="",ISNUMBER(SEARCH('Data Transfer'!$B$6,'Compliance Database'!$D565&amp;" "&amp;'Compliance Database'!$L565&amp;" "&amp;'Compliance Database'!$M565&amp;" "&amp;'Compliance Database'!$N565&amp;" "&amp;'Compliance Database'!$O565)))),1,0)</f>
        <v/>
      </c>
      <c r="B565">
        <f>IF($A565=1,SUM($A$2:$A565),"")</f>
        <v/>
      </c>
      <c r="C565">
        <f>IF($A565=1,SUM($A$2:$A565),0)</f>
        <v/>
      </c>
    </row>
    <row r="566">
      <c r="A566">
        <f>IF(AND(OR('Compliance Database'!$A566='Data Transfer'!$B$4,'Compliance Database'!$A566='Data Transfer'!$B$5),OR('Data Transfer'!$B$6="",ISNUMBER(SEARCH('Data Transfer'!$B$6,'Compliance Database'!$D566&amp;" "&amp;'Compliance Database'!$L566&amp;" "&amp;'Compliance Database'!$M566&amp;" "&amp;'Compliance Database'!$N566&amp;" "&amp;'Compliance Database'!$O566)))),1,0)</f>
        <v/>
      </c>
      <c r="B566">
        <f>IF($A566=1,SUM($A$2:$A566),"")</f>
        <v/>
      </c>
      <c r="C566">
        <f>IF($A566=1,SUM($A$2:$A566),0)</f>
        <v/>
      </c>
    </row>
    <row r="567">
      <c r="A567">
        <f>IF(AND(OR('Compliance Database'!$A567='Data Transfer'!$B$4,'Compliance Database'!$A567='Data Transfer'!$B$5),OR('Data Transfer'!$B$6="",ISNUMBER(SEARCH('Data Transfer'!$B$6,'Compliance Database'!$D567&amp;" "&amp;'Compliance Database'!$L567&amp;" "&amp;'Compliance Database'!$M567&amp;" "&amp;'Compliance Database'!$N567&amp;" "&amp;'Compliance Database'!$O567)))),1,0)</f>
        <v/>
      </c>
      <c r="B567">
        <f>IF($A567=1,SUM($A$2:$A567),"")</f>
        <v/>
      </c>
      <c r="C567">
        <f>IF($A567=1,SUM($A$2:$A567),0)</f>
        <v/>
      </c>
    </row>
    <row r="568">
      <c r="A568">
        <f>IF(AND(OR('Compliance Database'!$A568='Data Transfer'!$B$4,'Compliance Database'!$A568='Data Transfer'!$B$5),OR('Data Transfer'!$B$6="",ISNUMBER(SEARCH('Data Transfer'!$B$6,'Compliance Database'!$D568&amp;" "&amp;'Compliance Database'!$L568&amp;" "&amp;'Compliance Database'!$M568&amp;" "&amp;'Compliance Database'!$N568&amp;" "&amp;'Compliance Database'!$O568)))),1,0)</f>
        <v/>
      </c>
      <c r="B568">
        <f>IF($A568=1,SUM($A$2:$A568),"")</f>
        <v/>
      </c>
      <c r="C568">
        <f>IF($A568=1,SUM($A$2:$A568),0)</f>
        <v/>
      </c>
    </row>
    <row r="569">
      <c r="A569">
        <f>IF(AND(OR('Compliance Database'!$A569='Data Transfer'!$B$4,'Compliance Database'!$A569='Data Transfer'!$B$5),OR('Data Transfer'!$B$6="",ISNUMBER(SEARCH('Data Transfer'!$B$6,'Compliance Database'!$D569&amp;" "&amp;'Compliance Database'!$L569&amp;" "&amp;'Compliance Database'!$M569&amp;" "&amp;'Compliance Database'!$N569&amp;" "&amp;'Compliance Database'!$O569)))),1,0)</f>
        <v/>
      </c>
      <c r="B569">
        <f>IF($A569=1,SUM($A$2:$A569),"")</f>
        <v/>
      </c>
      <c r="C569">
        <f>IF($A569=1,SUM($A$2:$A569),0)</f>
        <v/>
      </c>
    </row>
    <row r="570">
      <c r="A570">
        <f>IF(AND(OR('Compliance Database'!$A570='Data Transfer'!$B$4,'Compliance Database'!$A570='Data Transfer'!$B$5),OR('Data Transfer'!$B$6="",ISNUMBER(SEARCH('Data Transfer'!$B$6,'Compliance Database'!$D570&amp;" "&amp;'Compliance Database'!$L570&amp;" "&amp;'Compliance Database'!$M570&amp;" "&amp;'Compliance Database'!$N570&amp;" "&amp;'Compliance Database'!$O570)))),1,0)</f>
        <v/>
      </c>
      <c r="B570">
        <f>IF($A570=1,SUM($A$2:$A570),"")</f>
        <v/>
      </c>
      <c r="C570">
        <f>IF($A570=1,SUM($A$2:$A570),0)</f>
        <v/>
      </c>
    </row>
    <row r="571">
      <c r="A571">
        <f>IF(AND(OR('Compliance Database'!$A571='Data Transfer'!$B$4,'Compliance Database'!$A571='Data Transfer'!$B$5),OR('Data Transfer'!$B$6="",ISNUMBER(SEARCH('Data Transfer'!$B$6,'Compliance Database'!$D571&amp;" "&amp;'Compliance Database'!$L571&amp;" "&amp;'Compliance Database'!$M571&amp;" "&amp;'Compliance Database'!$N571&amp;" "&amp;'Compliance Database'!$O571)))),1,0)</f>
        <v/>
      </c>
      <c r="B571">
        <f>IF($A571=1,SUM($A$2:$A571),"")</f>
        <v/>
      </c>
      <c r="C571">
        <f>IF($A571=1,SUM($A$2:$A571),0)</f>
        <v/>
      </c>
    </row>
    <row r="572">
      <c r="A572">
        <f>IF(AND(OR('Compliance Database'!$A572='Data Transfer'!$B$4,'Compliance Database'!$A572='Data Transfer'!$B$5),OR('Data Transfer'!$B$6="",ISNUMBER(SEARCH('Data Transfer'!$B$6,'Compliance Database'!$D572&amp;" "&amp;'Compliance Database'!$L572&amp;" "&amp;'Compliance Database'!$M572&amp;" "&amp;'Compliance Database'!$N572&amp;" "&amp;'Compliance Database'!$O572)))),1,0)</f>
        <v/>
      </c>
      <c r="B572">
        <f>IF($A572=1,SUM($A$2:$A572),"")</f>
        <v/>
      </c>
      <c r="C572">
        <f>IF($A572=1,SUM($A$2:$A572),0)</f>
        <v/>
      </c>
    </row>
    <row r="573">
      <c r="A573">
        <f>IF(AND(OR('Compliance Database'!$A573='Data Transfer'!$B$4,'Compliance Database'!$A573='Data Transfer'!$B$5),OR('Data Transfer'!$B$6="",ISNUMBER(SEARCH('Data Transfer'!$B$6,'Compliance Database'!$D573&amp;" "&amp;'Compliance Database'!$L573&amp;" "&amp;'Compliance Database'!$M573&amp;" "&amp;'Compliance Database'!$N573&amp;" "&amp;'Compliance Database'!$O573)))),1,0)</f>
        <v/>
      </c>
      <c r="B573">
        <f>IF($A573=1,SUM($A$2:$A573),"")</f>
        <v/>
      </c>
      <c r="C573">
        <f>IF($A573=1,SUM($A$2:$A573),0)</f>
        <v/>
      </c>
    </row>
    <row r="574">
      <c r="A574">
        <f>IF(AND(OR('Compliance Database'!$A574='Data Transfer'!$B$4,'Compliance Database'!$A574='Data Transfer'!$B$5),OR('Data Transfer'!$B$6="",ISNUMBER(SEARCH('Data Transfer'!$B$6,'Compliance Database'!$D574&amp;" "&amp;'Compliance Database'!$L574&amp;" "&amp;'Compliance Database'!$M574&amp;" "&amp;'Compliance Database'!$N574&amp;" "&amp;'Compliance Database'!$O574)))),1,0)</f>
        <v/>
      </c>
      <c r="B574">
        <f>IF($A574=1,SUM($A$2:$A574),"")</f>
        <v/>
      </c>
      <c r="C574">
        <f>IF($A574=1,SUM($A$2:$A574),0)</f>
        <v/>
      </c>
    </row>
    <row r="575">
      <c r="A575">
        <f>IF(AND(OR('Compliance Database'!$A575='Data Transfer'!$B$4,'Compliance Database'!$A575='Data Transfer'!$B$5),OR('Data Transfer'!$B$6="",ISNUMBER(SEARCH('Data Transfer'!$B$6,'Compliance Database'!$D575&amp;" "&amp;'Compliance Database'!$L575&amp;" "&amp;'Compliance Database'!$M575&amp;" "&amp;'Compliance Database'!$N575&amp;" "&amp;'Compliance Database'!$O575)))),1,0)</f>
        <v/>
      </c>
      <c r="B575">
        <f>IF($A575=1,SUM($A$2:$A575),"")</f>
        <v/>
      </c>
      <c r="C575">
        <f>IF($A575=1,SUM($A$2:$A575),0)</f>
        <v/>
      </c>
    </row>
    <row r="576">
      <c r="A576">
        <f>IF(AND(OR('Compliance Database'!$A576='Data Transfer'!$B$4,'Compliance Database'!$A576='Data Transfer'!$B$5),OR('Data Transfer'!$B$6="",ISNUMBER(SEARCH('Data Transfer'!$B$6,'Compliance Database'!$D576&amp;" "&amp;'Compliance Database'!$L576&amp;" "&amp;'Compliance Database'!$M576&amp;" "&amp;'Compliance Database'!$N576&amp;" "&amp;'Compliance Database'!$O576)))),1,0)</f>
        <v/>
      </c>
      <c r="B576">
        <f>IF($A576=1,SUM($A$2:$A576),"")</f>
        <v/>
      </c>
      <c r="C576">
        <f>IF($A576=1,SUM($A$2:$A576),0)</f>
        <v/>
      </c>
    </row>
    <row r="577">
      <c r="A577">
        <f>IF(AND(OR('Compliance Database'!$A577='Data Transfer'!$B$4,'Compliance Database'!$A577='Data Transfer'!$B$5),OR('Data Transfer'!$B$6="",ISNUMBER(SEARCH('Data Transfer'!$B$6,'Compliance Database'!$D577&amp;" "&amp;'Compliance Database'!$L577&amp;" "&amp;'Compliance Database'!$M577&amp;" "&amp;'Compliance Database'!$N577&amp;" "&amp;'Compliance Database'!$O577)))),1,0)</f>
        <v/>
      </c>
      <c r="B577">
        <f>IF($A577=1,SUM($A$2:$A577),"")</f>
        <v/>
      </c>
      <c r="C577">
        <f>IF($A577=1,SUM($A$2:$A577),0)</f>
        <v/>
      </c>
    </row>
    <row r="578">
      <c r="A578">
        <f>IF(AND(OR('Compliance Database'!$A578='Data Transfer'!$B$4,'Compliance Database'!$A578='Data Transfer'!$B$5),OR('Data Transfer'!$B$6="",ISNUMBER(SEARCH('Data Transfer'!$B$6,'Compliance Database'!$D578&amp;" "&amp;'Compliance Database'!$L578&amp;" "&amp;'Compliance Database'!$M578&amp;" "&amp;'Compliance Database'!$N578&amp;" "&amp;'Compliance Database'!$O578)))),1,0)</f>
        <v/>
      </c>
      <c r="B578">
        <f>IF($A578=1,SUM($A$2:$A578),"")</f>
        <v/>
      </c>
      <c r="C578">
        <f>IF($A578=1,SUM($A$2:$A578),0)</f>
        <v/>
      </c>
    </row>
    <row r="579">
      <c r="A579">
        <f>IF(AND(OR('Compliance Database'!$A579='Data Transfer'!$B$4,'Compliance Database'!$A579='Data Transfer'!$B$5),OR('Data Transfer'!$B$6="",ISNUMBER(SEARCH('Data Transfer'!$B$6,'Compliance Database'!$D579&amp;" "&amp;'Compliance Database'!$L579&amp;" "&amp;'Compliance Database'!$M579&amp;" "&amp;'Compliance Database'!$N579&amp;" "&amp;'Compliance Database'!$O579)))),1,0)</f>
        <v/>
      </c>
      <c r="B579">
        <f>IF($A579=1,SUM($A$2:$A579),"")</f>
        <v/>
      </c>
      <c r="C579">
        <f>IF($A579=1,SUM($A$2:$A579),0)</f>
        <v/>
      </c>
    </row>
    <row r="580">
      <c r="A580">
        <f>IF(AND(OR('Compliance Database'!$A580='Data Transfer'!$B$4,'Compliance Database'!$A580='Data Transfer'!$B$5),OR('Data Transfer'!$B$6="",ISNUMBER(SEARCH('Data Transfer'!$B$6,'Compliance Database'!$D580&amp;" "&amp;'Compliance Database'!$L580&amp;" "&amp;'Compliance Database'!$M580&amp;" "&amp;'Compliance Database'!$N580&amp;" "&amp;'Compliance Database'!$O580)))),1,0)</f>
        <v/>
      </c>
      <c r="B580">
        <f>IF($A580=1,SUM($A$2:$A580),"")</f>
        <v/>
      </c>
      <c r="C580">
        <f>IF($A580=1,SUM($A$2:$A580),0)</f>
        <v/>
      </c>
    </row>
    <row r="581">
      <c r="A581">
        <f>IF(AND(OR('Compliance Database'!$A581='Data Transfer'!$B$4,'Compliance Database'!$A581='Data Transfer'!$B$5),OR('Data Transfer'!$B$6="",ISNUMBER(SEARCH('Data Transfer'!$B$6,'Compliance Database'!$D581&amp;" "&amp;'Compliance Database'!$L581&amp;" "&amp;'Compliance Database'!$M581&amp;" "&amp;'Compliance Database'!$N581&amp;" "&amp;'Compliance Database'!$O581)))),1,0)</f>
        <v/>
      </c>
      <c r="B581">
        <f>IF($A581=1,SUM($A$2:$A581),"")</f>
        <v/>
      </c>
      <c r="C581">
        <f>IF($A581=1,SUM($A$2:$A581),0)</f>
        <v/>
      </c>
    </row>
    <row r="582">
      <c r="A582">
        <f>IF(AND(OR('Compliance Database'!$A582='Data Transfer'!$B$4,'Compliance Database'!$A582='Data Transfer'!$B$5),OR('Data Transfer'!$B$6="",ISNUMBER(SEARCH('Data Transfer'!$B$6,'Compliance Database'!$D582&amp;" "&amp;'Compliance Database'!$L582&amp;" "&amp;'Compliance Database'!$M582&amp;" "&amp;'Compliance Database'!$N582&amp;" "&amp;'Compliance Database'!$O582)))),1,0)</f>
        <v/>
      </c>
      <c r="B582">
        <f>IF($A582=1,SUM($A$2:$A582),"")</f>
        <v/>
      </c>
      <c r="C582">
        <f>IF($A582=1,SUM($A$2:$A582),0)</f>
        <v/>
      </c>
    </row>
    <row r="583">
      <c r="A583">
        <f>IF(AND(OR('Compliance Database'!$A583='Data Transfer'!$B$4,'Compliance Database'!$A583='Data Transfer'!$B$5),OR('Data Transfer'!$B$6="",ISNUMBER(SEARCH('Data Transfer'!$B$6,'Compliance Database'!$D583&amp;" "&amp;'Compliance Database'!$L583&amp;" "&amp;'Compliance Database'!$M583&amp;" "&amp;'Compliance Database'!$N583&amp;" "&amp;'Compliance Database'!$O583)))),1,0)</f>
        <v/>
      </c>
      <c r="B583">
        <f>IF($A583=1,SUM($A$2:$A583),"")</f>
        <v/>
      </c>
      <c r="C583">
        <f>IF($A583=1,SUM($A$2:$A583),0)</f>
        <v/>
      </c>
    </row>
    <row r="584">
      <c r="A584">
        <f>IF(AND(OR('Compliance Database'!$A584='Data Transfer'!$B$4,'Compliance Database'!$A584='Data Transfer'!$B$5),OR('Data Transfer'!$B$6="",ISNUMBER(SEARCH('Data Transfer'!$B$6,'Compliance Database'!$D584&amp;" "&amp;'Compliance Database'!$L584&amp;" "&amp;'Compliance Database'!$M584&amp;" "&amp;'Compliance Database'!$N584&amp;" "&amp;'Compliance Database'!$O584)))),1,0)</f>
        <v/>
      </c>
      <c r="B584">
        <f>IF($A584=1,SUM($A$2:$A584),"")</f>
        <v/>
      </c>
      <c r="C584">
        <f>IF($A584=1,SUM($A$2:$A584),0)</f>
        <v/>
      </c>
    </row>
    <row r="585">
      <c r="A585">
        <f>IF(AND(OR('Compliance Database'!$A585='Data Transfer'!$B$4,'Compliance Database'!$A585='Data Transfer'!$B$5),OR('Data Transfer'!$B$6="",ISNUMBER(SEARCH('Data Transfer'!$B$6,'Compliance Database'!$D585&amp;" "&amp;'Compliance Database'!$L585&amp;" "&amp;'Compliance Database'!$M585&amp;" "&amp;'Compliance Database'!$N585&amp;" "&amp;'Compliance Database'!$O585)))),1,0)</f>
        <v/>
      </c>
      <c r="B585">
        <f>IF($A585=1,SUM($A$2:$A585),"")</f>
        <v/>
      </c>
      <c r="C585">
        <f>IF($A585=1,SUM($A$2:$A585),0)</f>
        <v/>
      </c>
    </row>
    <row r="586">
      <c r="A586">
        <f>IF(AND(OR('Compliance Database'!$A586='Data Transfer'!$B$4,'Compliance Database'!$A586='Data Transfer'!$B$5),OR('Data Transfer'!$B$6="",ISNUMBER(SEARCH('Data Transfer'!$B$6,'Compliance Database'!$D586&amp;" "&amp;'Compliance Database'!$L586&amp;" "&amp;'Compliance Database'!$M586&amp;" "&amp;'Compliance Database'!$N586&amp;" "&amp;'Compliance Database'!$O586)))),1,0)</f>
        <v/>
      </c>
      <c r="B586">
        <f>IF($A586=1,SUM($A$2:$A586),"")</f>
        <v/>
      </c>
      <c r="C586">
        <f>IF($A586=1,SUM($A$2:$A586),0)</f>
        <v/>
      </c>
    </row>
    <row r="587">
      <c r="A587">
        <f>IF(AND(OR('Compliance Database'!$A587='Data Transfer'!$B$4,'Compliance Database'!$A587='Data Transfer'!$B$5),OR('Data Transfer'!$B$6="",ISNUMBER(SEARCH('Data Transfer'!$B$6,'Compliance Database'!$D587&amp;" "&amp;'Compliance Database'!$L587&amp;" "&amp;'Compliance Database'!$M587&amp;" "&amp;'Compliance Database'!$N587&amp;" "&amp;'Compliance Database'!$O587)))),1,0)</f>
        <v/>
      </c>
      <c r="B587">
        <f>IF($A587=1,SUM($A$2:$A587),"")</f>
        <v/>
      </c>
      <c r="C587">
        <f>IF($A587=1,SUM($A$2:$A587),0)</f>
        <v/>
      </c>
    </row>
    <row r="588">
      <c r="A588">
        <f>IF(AND(OR('Compliance Database'!$A588='Data Transfer'!$B$4,'Compliance Database'!$A588='Data Transfer'!$B$5),OR('Data Transfer'!$B$6="",ISNUMBER(SEARCH('Data Transfer'!$B$6,'Compliance Database'!$D588&amp;" "&amp;'Compliance Database'!$L588&amp;" "&amp;'Compliance Database'!$M588&amp;" "&amp;'Compliance Database'!$N588&amp;" "&amp;'Compliance Database'!$O588)))),1,0)</f>
        <v/>
      </c>
      <c r="B588">
        <f>IF($A588=1,SUM($A$2:$A588),"")</f>
        <v/>
      </c>
      <c r="C588">
        <f>IF($A588=1,SUM($A$2:$A588),0)</f>
        <v/>
      </c>
    </row>
    <row r="589">
      <c r="A589">
        <f>IF(AND(OR('Compliance Database'!$A589='Data Transfer'!$B$4,'Compliance Database'!$A589='Data Transfer'!$B$5),OR('Data Transfer'!$B$6="",ISNUMBER(SEARCH('Data Transfer'!$B$6,'Compliance Database'!$D589&amp;" "&amp;'Compliance Database'!$L589&amp;" "&amp;'Compliance Database'!$M589&amp;" "&amp;'Compliance Database'!$N589&amp;" "&amp;'Compliance Database'!$O589)))),1,0)</f>
        <v/>
      </c>
      <c r="B589">
        <f>IF($A589=1,SUM($A$2:$A589),"")</f>
        <v/>
      </c>
      <c r="C589">
        <f>IF($A589=1,SUM($A$2:$A589),0)</f>
        <v/>
      </c>
    </row>
    <row r="590">
      <c r="A590">
        <f>IF(AND(OR('Compliance Database'!$A590='Data Transfer'!$B$4,'Compliance Database'!$A590='Data Transfer'!$B$5),OR('Data Transfer'!$B$6="",ISNUMBER(SEARCH('Data Transfer'!$B$6,'Compliance Database'!$D590&amp;" "&amp;'Compliance Database'!$L590&amp;" "&amp;'Compliance Database'!$M590&amp;" "&amp;'Compliance Database'!$N590&amp;" "&amp;'Compliance Database'!$O590)))),1,0)</f>
        <v/>
      </c>
      <c r="B590">
        <f>IF($A590=1,SUM($A$2:$A590),"")</f>
        <v/>
      </c>
      <c r="C590">
        <f>IF($A590=1,SUM($A$2:$A590),0)</f>
        <v/>
      </c>
    </row>
    <row r="591">
      <c r="A591">
        <f>IF(AND(OR('Compliance Database'!$A591='Data Transfer'!$B$4,'Compliance Database'!$A591='Data Transfer'!$B$5),OR('Data Transfer'!$B$6="",ISNUMBER(SEARCH('Data Transfer'!$B$6,'Compliance Database'!$D591&amp;" "&amp;'Compliance Database'!$L591&amp;" "&amp;'Compliance Database'!$M591&amp;" "&amp;'Compliance Database'!$N591&amp;" "&amp;'Compliance Database'!$O591)))),1,0)</f>
        <v/>
      </c>
      <c r="B591">
        <f>IF($A591=1,SUM($A$2:$A591),"")</f>
        <v/>
      </c>
      <c r="C591">
        <f>IF($A591=1,SUM($A$2:$A591),0)</f>
        <v/>
      </c>
    </row>
    <row r="592">
      <c r="A592">
        <f>IF(AND(OR('Compliance Database'!$A592='Data Transfer'!$B$4,'Compliance Database'!$A592='Data Transfer'!$B$5),OR('Data Transfer'!$B$6="",ISNUMBER(SEARCH('Data Transfer'!$B$6,'Compliance Database'!$D592&amp;" "&amp;'Compliance Database'!$L592&amp;" "&amp;'Compliance Database'!$M592&amp;" "&amp;'Compliance Database'!$N592&amp;" "&amp;'Compliance Database'!$O592)))),1,0)</f>
        <v/>
      </c>
      <c r="B592">
        <f>IF($A592=1,SUM($A$2:$A592),"")</f>
        <v/>
      </c>
      <c r="C592">
        <f>IF($A592=1,SUM($A$2:$A592),0)</f>
        <v/>
      </c>
    </row>
    <row r="593">
      <c r="A593">
        <f>IF(AND(OR('Compliance Database'!$A593='Data Transfer'!$B$4,'Compliance Database'!$A593='Data Transfer'!$B$5),OR('Data Transfer'!$B$6="",ISNUMBER(SEARCH('Data Transfer'!$B$6,'Compliance Database'!$D593&amp;" "&amp;'Compliance Database'!$L593&amp;" "&amp;'Compliance Database'!$M593&amp;" "&amp;'Compliance Database'!$N593&amp;" "&amp;'Compliance Database'!$O593)))),1,0)</f>
        <v/>
      </c>
      <c r="B593">
        <f>IF($A593=1,SUM($A$2:$A593),"")</f>
        <v/>
      </c>
      <c r="C593">
        <f>IF($A593=1,SUM($A$2:$A593),0)</f>
        <v/>
      </c>
    </row>
    <row r="594">
      <c r="A594">
        <f>IF(AND(OR('Compliance Database'!$A594='Data Transfer'!$B$4,'Compliance Database'!$A594='Data Transfer'!$B$5),OR('Data Transfer'!$B$6="",ISNUMBER(SEARCH('Data Transfer'!$B$6,'Compliance Database'!$D594&amp;" "&amp;'Compliance Database'!$L594&amp;" "&amp;'Compliance Database'!$M594&amp;" "&amp;'Compliance Database'!$N594&amp;" "&amp;'Compliance Database'!$O594)))),1,0)</f>
        <v/>
      </c>
      <c r="B594">
        <f>IF($A594=1,SUM($A$2:$A594),"")</f>
        <v/>
      </c>
      <c r="C594">
        <f>IF($A594=1,SUM($A$2:$A594),0)</f>
        <v/>
      </c>
    </row>
    <row r="595">
      <c r="A595">
        <f>IF(AND(OR('Compliance Database'!$A595='Data Transfer'!$B$4,'Compliance Database'!$A595='Data Transfer'!$B$5),OR('Data Transfer'!$B$6="",ISNUMBER(SEARCH('Data Transfer'!$B$6,'Compliance Database'!$D595&amp;" "&amp;'Compliance Database'!$L595&amp;" "&amp;'Compliance Database'!$M595&amp;" "&amp;'Compliance Database'!$N595&amp;" "&amp;'Compliance Database'!$O595)))),1,0)</f>
        <v/>
      </c>
      <c r="B595">
        <f>IF($A595=1,SUM($A$2:$A595),"")</f>
        <v/>
      </c>
      <c r="C595">
        <f>IF($A595=1,SUM($A$2:$A595),0)</f>
        <v/>
      </c>
    </row>
    <row r="596">
      <c r="A596">
        <f>IF(AND(OR('Compliance Database'!$A596='Data Transfer'!$B$4,'Compliance Database'!$A596='Data Transfer'!$B$5),OR('Data Transfer'!$B$6="",ISNUMBER(SEARCH('Data Transfer'!$B$6,'Compliance Database'!$D596&amp;" "&amp;'Compliance Database'!$L596&amp;" "&amp;'Compliance Database'!$M596&amp;" "&amp;'Compliance Database'!$N596&amp;" "&amp;'Compliance Database'!$O596)))),1,0)</f>
        <v/>
      </c>
      <c r="B596">
        <f>IF($A596=1,SUM($A$2:$A596),"")</f>
        <v/>
      </c>
      <c r="C596">
        <f>IF($A596=1,SUM($A$2:$A596),0)</f>
        <v/>
      </c>
    </row>
    <row r="597">
      <c r="A597">
        <f>IF(AND(OR('Compliance Database'!$A597='Data Transfer'!$B$4,'Compliance Database'!$A597='Data Transfer'!$B$5),OR('Data Transfer'!$B$6="",ISNUMBER(SEARCH('Data Transfer'!$B$6,'Compliance Database'!$D597&amp;" "&amp;'Compliance Database'!$L597&amp;" "&amp;'Compliance Database'!$M597&amp;" "&amp;'Compliance Database'!$N597&amp;" "&amp;'Compliance Database'!$O597)))),1,0)</f>
        <v/>
      </c>
      <c r="B597">
        <f>IF($A597=1,SUM($A$2:$A597),"")</f>
        <v/>
      </c>
      <c r="C597">
        <f>IF($A597=1,SUM($A$2:$A597),0)</f>
        <v/>
      </c>
    </row>
    <row r="598">
      <c r="A598">
        <f>IF(AND(OR('Compliance Database'!$A598='Data Transfer'!$B$4,'Compliance Database'!$A598='Data Transfer'!$B$5),OR('Data Transfer'!$B$6="",ISNUMBER(SEARCH('Data Transfer'!$B$6,'Compliance Database'!$D598&amp;" "&amp;'Compliance Database'!$L598&amp;" "&amp;'Compliance Database'!$M598&amp;" "&amp;'Compliance Database'!$N598&amp;" "&amp;'Compliance Database'!$O598)))),1,0)</f>
        <v/>
      </c>
      <c r="B598">
        <f>IF($A598=1,SUM($A$2:$A598),"")</f>
        <v/>
      </c>
      <c r="C598">
        <f>IF($A598=1,SUM($A$2:$A598),0)</f>
        <v/>
      </c>
    </row>
    <row r="599">
      <c r="A599">
        <f>IF(AND(OR('Compliance Database'!$A599='Data Transfer'!$B$4,'Compliance Database'!$A599='Data Transfer'!$B$5),OR('Data Transfer'!$B$6="",ISNUMBER(SEARCH('Data Transfer'!$B$6,'Compliance Database'!$D599&amp;" "&amp;'Compliance Database'!$L599&amp;" "&amp;'Compliance Database'!$M599&amp;" "&amp;'Compliance Database'!$N599&amp;" "&amp;'Compliance Database'!$O599)))),1,0)</f>
        <v/>
      </c>
      <c r="B599">
        <f>IF($A599=1,SUM($A$2:$A599),"")</f>
        <v/>
      </c>
      <c r="C599">
        <f>IF($A599=1,SUM($A$2:$A599),0)</f>
        <v/>
      </c>
    </row>
    <row r="600">
      <c r="A600">
        <f>IF(AND(OR('Compliance Database'!$A600='Data Transfer'!$B$4,'Compliance Database'!$A600='Data Transfer'!$B$5),OR('Data Transfer'!$B$6="",ISNUMBER(SEARCH('Data Transfer'!$B$6,'Compliance Database'!$D600&amp;" "&amp;'Compliance Database'!$L600&amp;" "&amp;'Compliance Database'!$M600&amp;" "&amp;'Compliance Database'!$N600&amp;" "&amp;'Compliance Database'!$O600)))),1,0)</f>
        <v/>
      </c>
      <c r="B600">
        <f>IF($A600=1,SUM($A$2:$A600),"")</f>
        <v/>
      </c>
      <c r="C600">
        <f>IF($A600=1,SUM($A$2:$A600),0)</f>
        <v/>
      </c>
    </row>
    <row r="601">
      <c r="A601">
        <f>IF(AND(OR('Compliance Database'!$A601='Data Transfer'!$B$4,'Compliance Database'!$A601='Data Transfer'!$B$5),OR('Data Transfer'!$B$6="",ISNUMBER(SEARCH('Data Transfer'!$B$6,'Compliance Database'!$D601&amp;" "&amp;'Compliance Database'!$L601&amp;" "&amp;'Compliance Database'!$M601&amp;" "&amp;'Compliance Database'!$N601&amp;" "&amp;'Compliance Database'!$O601)))),1,0)</f>
        <v/>
      </c>
      <c r="B601">
        <f>IF($A601=1,SUM($A$2:$A601),"")</f>
        <v/>
      </c>
      <c r="C601">
        <f>IF($A601=1,SUM($A$2:$A601),0)</f>
        <v/>
      </c>
    </row>
    <row r="602">
      <c r="A602">
        <f>IF(AND(OR('Compliance Database'!$A602='Data Transfer'!$B$4,'Compliance Database'!$A602='Data Transfer'!$B$5),OR('Data Transfer'!$B$6="",ISNUMBER(SEARCH('Data Transfer'!$B$6,'Compliance Database'!$D602&amp;" "&amp;'Compliance Database'!$L602&amp;" "&amp;'Compliance Database'!$M602&amp;" "&amp;'Compliance Database'!$N602&amp;" "&amp;'Compliance Database'!$O602)))),1,0)</f>
        <v/>
      </c>
      <c r="B602">
        <f>IF($A602=1,SUM($A$2:$A602),"")</f>
        <v/>
      </c>
      <c r="C602">
        <f>IF($A602=1,SUM($A$2:$A602),0)</f>
        <v/>
      </c>
    </row>
    <row r="603">
      <c r="A603">
        <f>IF(AND(OR('Compliance Database'!$A603='Data Transfer'!$B$4,'Compliance Database'!$A603='Data Transfer'!$B$5),OR('Data Transfer'!$B$6="",ISNUMBER(SEARCH('Data Transfer'!$B$6,'Compliance Database'!$D603&amp;" "&amp;'Compliance Database'!$L603&amp;" "&amp;'Compliance Database'!$M603&amp;" "&amp;'Compliance Database'!$N603&amp;" "&amp;'Compliance Database'!$O603)))),1,0)</f>
        <v/>
      </c>
      <c r="B603">
        <f>IF($A603=1,SUM($A$2:$A603),"")</f>
        <v/>
      </c>
      <c r="C603">
        <f>IF($A603=1,SUM($A$2:$A603),0)</f>
        <v/>
      </c>
    </row>
    <row r="604">
      <c r="A604">
        <f>IF(AND(OR('Compliance Database'!$A604='Data Transfer'!$B$4,'Compliance Database'!$A604='Data Transfer'!$B$5),OR('Data Transfer'!$B$6="",ISNUMBER(SEARCH('Data Transfer'!$B$6,'Compliance Database'!$D604&amp;" "&amp;'Compliance Database'!$L604&amp;" "&amp;'Compliance Database'!$M604&amp;" "&amp;'Compliance Database'!$N604&amp;" "&amp;'Compliance Database'!$O604)))),1,0)</f>
        <v/>
      </c>
      <c r="B604">
        <f>IF($A604=1,SUM($A$2:$A604),"")</f>
        <v/>
      </c>
      <c r="C604">
        <f>IF($A604=1,SUM($A$2:$A604),0)</f>
        <v/>
      </c>
    </row>
    <row r="605">
      <c r="A605">
        <f>IF(AND(OR('Compliance Database'!$A605='Data Transfer'!$B$4,'Compliance Database'!$A605='Data Transfer'!$B$5),OR('Data Transfer'!$B$6="",ISNUMBER(SEARCH('Data Transfer'!$B$6,'Compliance Database'!$D605&amp;" "&amp;'Compliance Database'!$L605&amp;" "&amp;'Compliance Database'!$M605&amp;" "&amp;'Compliance Database'!$N605&amp;" "&amp;'Compliance Database'!$O605)))),1,0)</f>
        <v/>
      </c>
      <c r="B605">
        <f>IF($A605=1,SUM($A$2:$A605),"")</f>
        <v/>
      </c>
      <c r="C605">
        <f>IF($A605=1,SUM($A$2:$A605),0)</f>
        <v/>
      </c>
    </row>
    <row r="606">
      <c r="A606">
        <f>IF(AND(OR('Compliance Database'!$A606='Data Transfer'!$B$4,'Compliance Database'!$A606='Data Transfer'!$B$5),OR('Data Transfer'!$B$6="",ISNUMBER(SEARCH('Data Transfer'!$B$6,'Compliance Database'!$D606&amp;" "&amp;'Compliance Database'!$L606&amp;" "&amp;'Compliance Database'!$M606&amp;" "&amp;'Compliance Database'!$N606&amp;" "&amp;'Compliance Database'!$O606)))),1,0)</f>
        <v/>
      </c>
      <c r="B606">
        <f>IF($A606=1,SUM($A$2:$A606),"")</f>
        <v/>
      </c>
      <c r="C606">
        <f>IF($A606=1,SUM($A$2:$A606),0)</f>
        <v/>
      </c>
    </row>
    <row r="607">
      <c r="A607">
        <f>IF(AND(OR('Compliance Database'!$A607='Data Transfer'!$B$4,'Compliance Database'!$A607='Data Transfer'!$B$5),OR('Data Transfer'!$B$6="",ISNUMBER(SEARCH('Data Transfer'!$B$6,'Compliance Database'!$D607&amp;" "&amp;'Compliance Database'!$L607&amp;" "&amp;'Compliance Database'!$M607&amp;" "&amp;'Compliance Database'!$N607&amp;" "&amp;'Compliance Database'!$O607)))),1,0)</f>
        <v/>
      </c>
      <c r="B607">
        <f>IF($A607=1,SUM($A$2:$A607),"")</f>
        <v/>
      </c>
      <c r="C607">
        <f>IF($A607=1,SUM($A$2:$A607),0)</f>
        <v/>
      </c>
    </row>
    <row r="608">
      <c r="A608">
        <f>IF(AND(OR('Compliance Database'!$A608='Data Transfer'!$B$4,'Compliance Database'!$A608='Data Transfer'!$B$5),OR('Data Transfer'!$B$6="",ISNUMBER(SEARCH('Data Transfer'!$B$6,'Compliance Database'!$D608&amp;" "&amp;'Compliance Database'!$L608&amp;" "&amp;'Compliance Database'!$M608&amp;" "&amp;'Compliance Database'!$N608&amp;" "&amp;'Compliance Database'!$O608)))),1,0)</f>
        <v/>
      </c>
      <c r="B608">
        <f>IF($A608=1,SUM($A$2:$A608),"")</f>
        <v/>
      </c>
      <c r="C608">
        <f>IF($A608=1,SUM($A$2:$A608),0)</f>
        <v/>
      </c>
    </row>
    <row r="609">
      <c r="A609">
        <f>IF(AND(OR('Compliance Database'!$A609='Data Transfer'!$B$4,'Compliance Database'!$A609='Data Transfer'!$B$5),OR('Data Transfer'!$B$6="",ISNUMBER(SEARCH('Data Transfer'!$B$6,'Compliance Database'!$D609&amp;" "&amp;'Compliance Database'!$L609&amp;" "&amp;'Compliance Database'!$M609&amp;" "&amp;'Compliance Database'!$N609&amp;" "&amp;'Compliance Database'!$O609)))),1,0)</f>
        <v/>
      </c>
      <c r="B609">
        <f>IF($A609=1,SUM($A$2:$A609),"")</f>
        <v/>
      </c>
      <c r="C609">
        <f>IF($A609=1,SUM($A$2:$A609),0)</f>
        <v/>
      </c>
    </row>
    <row r="610">
      <c r="A610">
        <f>IF(AND(OR('Compliance Database'!$A610='Data Transfer'!$B$4,'Compliance Database'!$A610='Data Transfer'!$B$5),OR('Data Transfer'!$B$6="",ISNUMBER(SEARCH('Data Transfer'!$B$6,'Compliance Database'!$D610&amp;" "&amp;'Compliance Database'!$L610&amp;" "&amp;'Compliance Database'!$M610&amp;" "&amp;'Compliance Database'!$N610&amp;" "&amp;'Compliance Database'!$O610)))),1,0)</f>
        <v/>
      </c>
      <c r="B610">
        <f>IF($A610=1,SUM($A$2:$A610),"")</f>
        <v/>
      </c>
      <c r="C610">
        <f>IF($A610=1,SUM($A$2:$A610),0)</f>
        <v/>
      </c>
    </row>
    <row r="611">
      <c r="A611">
        <f>IF(AND(OR('Compliance Database'!$A611='Data Transfer'!$B$4,'Compliance Database'!$A611='Data Transfer'!$B$5),OR('Data Transfer'!$B$6="",ISNUMBER(SEARCH('Data Transfer'!$B$6,'Compliance Database'!$D611&amp;" "&amp;'Compliance Database'!$L611&amp;" "&amp;'Compliance Database'!$M611&amp;" "&amp;'Compliance Database'!$N611&amp;" "&amp;'Compliance Database'!$O611)))),1,0)</f>
        <v/>
      </c>
      <c r="B611">
        <f>IF($A611=1,SUM($A$2:$A611),"")</f>
        <v/>
      </c>
      <c r="C611">
        <f>IF($A611=1,SUM($A$2:$A611),0)</f>
        <v/>
      </c>
    </row>
    <row r="612">
      <c r="A612">
        <f>IF(AND(OR('Compliance Database'!$A612='Data Transfer'!$B$4,'Compliance Database'!$A612='Data Transfer'!$B$5),OR('Data Transfer'!$B$6="",ISNUMBER(SEARCH('Data Transfer'!$B$6,'Compliance Database'!$D612&amp;" "&amp;'Compliance Database'!$L612&amp;" "&amp;'Compliance Database'!$M612&amp;" "&amp;'Compliance Database'!$N612&amp;" "&amp;'Compliance Database'!$O612)))),1,0)</f>
        <v/>
      </c>
      <c r="B612">
        <f>IF($A612=1,SUM($A$2:$A612),"")</f>
        <v/>
      </c>
      <c r="C612">
        <f>IF($A612=1,SUM($A$2:$A612),0)</f>
        <v/>
      </c>
    </row>
    <row r="613">
      <c r="A613">
        <f>IF(AND(OR('Compliance Database'!$A613='Data Transfer'!$B$4,'Compliance Database'!$A613='Data Transfer'!$B$5),OR('Data Transfer'!$B$6="",ISNUMBER(SEARCH('Data Transfer'!$B$6,'Compliance Database'!$D613&amp;" "&amp;'Compliance Database'!$L613&amp;" "&amp;'Compliance Database'!$M613&amp;" "&amp;'Compliance Database'!$N613&amp;" "&amp;'Compliance Database'!$O613)))),1,0)</f>
        <v/>
      </c>
      <c r="B613">
        <f>IF($A613=1,SUM($A$2:$A613),"")</f>
        <v/>
      </c>
      <c r="C613">
        <f>IF($A613=1,SUM($A$2:$A613),0)</f>
        <v/>
      </c>
    </row>
    <row r="614">
      <c r="A614">
        <f>IF(AND(OR('Compliance Database'!$A614='Data Transfer'!$B$4,'Compliance Database'!$A614='Data Transfer'!$B$5),OR('Data Transfer'!$B$6="",ISNUMBER(SEARCH('Data Transfer'!$B$6,'Compliance Database'!$D614&amp;" "&amp;'Compliance Database'!$L614&amp;" "&amp;'Compliance Database'!$M614&amp;" "&amp;'Compliance Database'!$N614&amp;" "&amp;'Compliance Database'!$O614)))),1,0)</f>
        <v/>
      </c>
      <c r="B614">
        <f>IF($A614=1,SUM($A$2:$A614),"")</f>
        <v/>
      </c>
      <c r="C614">
        <f>IF($A614=1,SUM($A$2:$A614),0)</f>
        <v/>
      </c>
    </row>
    <row r="615">
      <c r="A615">
        <f>IF(AND(OR('Compliance Database'!$A615='Data Transfer'!$B$4,'Compliance Database'!$A615='Data Transfer'!$B$5),OR('Data Transfer'!$B$6="",ISNUMBER(SEARCH('Data Transfer'!$B$6,'Compliance Database'!$D615&amp;" "&amp;'Compliance Database'!$L615&amp;" "&amp;'Compliance Database'!$M615&amp;" "&amp;'Compliance Database'!$N615&amp;" "&amp;'Compliance Database'!$O615)))),1,0)</f>
        <v/>
      </c>
      <c r="B615">
        <f>IF($A615=1,SUM($A$2:$A615),"")</f>
        <v/>
      </c>
      <c r="C615">
        <f>IF($A615=1,SUM($A$2:$A615),0)</f>
        <v/>
      </c>
    </row>
    <row r="616">
      <c r="A616">
        <f>IF(AND(OR('Compliance Database'!$A616='Data Transfer'!$B$4,'Compliance Database'!$A616='Data Transfer'!$B$5),OR('Data Transfer'!$B$6="",ISNUMBER(SEARCH('Data Transfer'!$B$6,'Compliance Database'!$D616&amp;" "&amp;'Compliance Database'!$L616&amp;" "&amp;'Compliance Database'!$M616&amp;" "&amp;'Compliance Database'!$N616&amp;" "&amp;'Compliance Database'!$O616)))),1,0)</f>
        <v/>
      </c>
      <c r="B616">
        <f>IF($A616=1,SUM($A$2:$A616),"")</f>
        <v/>
      </c>
      <c r="C616">
        <f>IF($A616=1,SUM($A$2:$A616),0)</f>
        <v/>
      </c>
    </row>
    <row r="617">
      <c r="A617">
        <f>IF(AND(OR('Compliance Database'!$A617='Data Transfer'!$B$4,'Compliance Database'!$A617='Data Transfer'!$B$5),OR('Data Transfer'!$B$6="",ISNUMBER(SEARCH('Data Transfer'!$B$6,'Compliance Database'!$D617&amp;" "&amp;'Compliance Database'!$L617&amp;" "&amp;'Compliance Database'!$M617&amp;" "&amp;'Compliance Database'!$N617&amp;" "&amp;'Compliance Database'!$O617)))),1,0)</f>
        <v/>
      </c>
      <c r="B617">
        <f>IF($A617=1,SUM($A$2:$A617),"")</f>
        <v/>
      </c>
      <c r="C617">
        <f>IF($A617=1,SUM($A$2:$A617),0)</f>
        <v/>
      </c>
    </row>
    <row r="618">
      <c r="A618">
        <f>IF(AND(OR('Compliance Database'!$A618='Data Transfer'!$B$4,'Compliance Database'!$A618='Data Transfer'!$B$5),OR('Data Transfer'!$B$6="",ISNUMBER(SEARCH('Data Transfer'!$B$6,'Compliance Database'!$D618&amp;" "&amp;'Compliance Database'!$L618&amp;" "&amp;'Compliance Database'!$M618&amp;" "&amp;'Compliance Database'!$N618&amp;" "&amp;'Compliance Database'!$O618)))),1,0)</f>
        <v/>
      </c>
      <c r="B618">
        <f>IF($A618=1,SUM($A$2:$A618),"")</f>
        <v/>
      </c>
      <c r="C618">
        <f>IF($A618=1,SUM($A$2:$A618),0)</f>
        <v/>
      </c>
    </row>
    <row r="619">
      <c r="A619">
        <f>IF(AND(OR('Compliance Database'!$A619='Data Transfer'!$B$4,'Compliance Database'!$A619='Data Transfer'!$B$5),OR('Data Transfer'!$B$6="",ISNUMBER(SEARCH('Data Transfer'!$B$6,'Compliance Database'!$D619&amp;" "&amp;'Compliance Database'!$L619&amp;" "&amp;'Compliance Database'!$M619&amp;" "&amp;'Compliance Database'!$N619&amp;" "&amp;'Compliance Database'!$O619)))),1,0)</f>
        <v/>
      </c>
      <c r="B619">
        <f>IF($A619=1,SUM($A$2:$A619),"")</f>
        <v/>
      </c>
      <c r="C619">
        <f>IF($A619=1,SUM($A$2:$A619),0)</f>
        <v/>
      </c>
    </row>
    <row r="620">
      <c r="A620">
        <f>IF(AND(OR('Compliance Database'!$A620='Data Transfer'!$B$4,'Compliance Database'!$A620='Data Transfer'!$B$5),OR('Data Transfer'!$B$6="",ISNUMBER(SEARCH('Data Transfer'!$B$6,'Compliance Database'!$D620&amp;" "&amp;'Compliance Database'!$L620&amp;" "&amp;'Compliance Database'!$M620&amp;" "&amp;'Compliance Database'!$N620&amp;" "&amp;'Compliance Database'!$O620)))),1,0)</f>
        <v/>
      </c>
      <c r="B620">
        <f>IF($A620=1,SUM($A$2:$A620),"")</f>
        <v/>
      </c>
      <c r="C620">
        <f>IF($A620=1,SUM($A$2:$A620),0)</f>
        <v/>
      </c>
    </row>
    <row r="621">
      <c r="A621">
        <f>IF(AND(OR('Compliance Database'!$A621='Data Transfer'!$B$4,'Compliance Database'!$A621='Data Transfer'!$B$5),OR('Data Transfer'!$B$6="",ISNUMBER(SEARCH('Data Transfer'!$B$6,'Compliance Database'!$D621&amp;" "&amp;'Compliance Database'!$L621&amp;" "&amp;'Compliance Database'!$M621&amp;" "&amp;'Compliance Database'!$N621&amp;" "&amp;'Compliance Database'!$O621)))),1,0)</f>
        <v/>
      </c>
      <c r="B621">
        <f>IF($A621=1,SUM($A$2:$A621),"")</f>
        <v/>
      </c>
      <c r="C621">
        <f>IF($A621=1,SUM($A$2:$A621),0)</f>
        <v/>
      </c>
    </row>
    <row r="622">
      <c r="A622">
        <f>IF(AND(OR('Compliance Database'!$A622='Data Transfer'!$B$4,'Compliance Database'!$A622='Data Transfer'!$B$5),OR('Data Transfer'!$B$6="",ISNUMBER(SEARCH('Data Transfer'!$B$6,'Compliance Database'!$D622&amp;" "&amp;'Compliance Database'!$L622&amp;" "&amp;'Compliance Database'!$M622&amp;" "&amp;'Compliance Database'!$N622&amp;" "&amp;'Compliance Database'!$O622)))),1,0)</f>
        <v/>
      </c>
      <c r="B622">
        <f>IF($A622=1,SUM($A$2:$A622),"")</f>
        <v/>
      </c>
      <c r="C622">
        <f>IF($A622=1,SUM($A$2:$A622),0)</f>
        <v/>
      </c>
    </row>
    <row r="623">
      <c r="A623">
        <f>IF(AND(OR('Compliance Database'!$A623='Data Transfer'!$B$4,'Compliance Database'!$A623='Data Transfer'!$B$5),OR('Data Transfer'!$B$6="",ISNUMBER(SEARCH('Data Transfer'!$B$6,'Compliance Database'!$D623&amp;" "&amp;'Compliance Database'!$L623&amp;" "&amp;'Compliance Database'!$M623&amp;" "&amp;'Compliance Database'!$N623&amp;" "&amp;'Compliance Database'!$O623)))),1,0)</f>
        <v/>
      </c>
      <c r="B623">
        <f>IF($A623=1,SUM($A$2:$A623),"")</f>
        <v/>
      </c>
      <c r="C623">
        <f>IF($A623=1,SUM($A$2:$A623),0)</f>
        <v/>
      </c>
    </row>
    <row r="624">
      <c r="A624">
        <f>IF(AND(OR('Compliance Database'!$A624='Data Transfer'!$B$4,'Compliance Database'!$A624='Data Transfer'!$B$5),OR('Data Transfer'!$B$6="",ISNUMBER(SEARCH('Data Transfer'!$B$6,'Compliance Database'!$D624&amp;" "&amp;'Compliance Database'!$L624&amp;" "&amp;'Compliance Database'!$M624&amp;" "&amp;'Compliance Database'!$N624&amp;" "&amp;'Compliance Database'!$O624)))),1,0)</f>
        <v/>
      </c>
      <c r="B624">
        <f>IF($A624=1,SUM($A$2:$A624),"")</f>
        <v/>
      </c>
      <c r="C624">
        <f>IF($A624=1,SUM($A$2:$A624),0)</f>
        <v/>
      </c>
    </row>
    <row r="625">
      <c r="A625">
        <f>IF(AND(OR('Compliance Database'!$A625='Data Transfer'!$B$4,'Compliance Database'!$A625='Data Transfer'!$B$5),OR('Data Transfer'!$B$6="",ISNUMBER(SEARCH('Data Transfer'!$B$6,'Compliance Database'!$D625&amp;" "&amp;'Compliance Database'!$L625&amp;" "&amp;'Compliance Database'!$M625&amp;" "&amp;'Compliance Database'!$N625&amp;" "&amp;'Compliance Database'!$O625)))),1,0)</f>
        <v/>
      </c>
      <c r="B625">
        <f>IF($A625=1,SUM($A$2:$A625),"")</f>
        <v/>
      </c>
      <c r="C625">
        <f>IF($A625=1,SUM($A$2:$A625),0)</f>
        <v/>
      </c>
    </row>
    <row r="626">
      <c r="A626">
        <f>IF(AND(OR('Compliance Database'!$A626='Data Transfer'!$B$4,'Compliance Database'!$A626='Data Transfer'!$B$5),OR('Data Transfer'!$B$6="",ISNUMBER(SEARCH('Data Transfer'!$B$6,'Compliance Database'!$D626&amp;" "&amp;'Compliance Database'!$L626&amp;" "&amp;'Compliance Database'!$M626&amp;" "&amp;'Compliance Database'!$N626&amp;" "&amp;'Compliance Database'!$O626)))),1,0)</f>
        <v/>
      </c>
      <c r="B626">
        <f>IF($A626=1,SUM($A$2:$A626),"")</f>
        <v/>
      </c>
      <c r="C626">
        <f>IF($A626=1,SUM($A$2:$A626),0)</f>
        <v/>
      </c>
    </row>
    <row r="627">
      <c r="A627">
        <f>IF(AND(OR('Compliance Database'!$A627='Data Transfer'!$B$4,'Compliance Database'!$A627='Data Transfer'!$B$5),OR('Data Transfer'!$B$6="",ISNUMBER(SEARCH('Data Transfer'!$B$6,'Compliance Database'!$D627&amp;" "&amp;'Compliance Database'!$L627&amp;" "&amp;'Compliance Database'!$M627&amp;" "&amp;'Compliance Database'!$N627&amp;" "&amp;'Compliance Database'!$O627)))),1,0)</f>
        <v/>
      </c>
      <c r="B627">
        <f>IF($A627=1,SUM($A$2:$A627),"")</f>
        <v/>
      </c>
      <c r="C627">
        <f>IF($A627=1,SUM($A$2:$A627),0)</f>
        <v/>
      </c>
    </row>
    <row r="628">
      <c r="A628">
        <f>IF(AND(OR('Compliance Database'!$A628='Data Transfer'!$B$4,'Compliance Database'!$A628='Data Transfer'!$B$5),OR('Data Transfer'!$B$6="",ISNUMBER(SEARCH('Data Transfer'!$B$6,'Compliance Database'!$D628&amp;" "&amp;'Compliance Database'!$L628&amp;" "&amp;'Compliance Database'!$M628&amp;" "&amp;'Compliance Database'!$N628&amp;" "&amp;'Compliance Database'!$O628)))),1,0)</f>
        <v/>
      </c>
      <c r="B628">
        <f>IF($A628=1,SUM($A$2:$A628),"")</f>
        <v/>
      </c>
      <c r="C628">
        <f>IF($A628=1,SUM($A$2:$A628),0)</f>
        <v/>
      </c>
    </row>
    <row r="629">
      <c r="A629">
        <f>IF(AND(OR('Compliance Database'!$A629='Data Transfer'!$B$4,'Compliance Database'!$A629='Data Transfer'!$B$5),OR('Data Transfer'!$B$6="",ISNUMBER(SEARCH('Data Transfer'!$B$6,'Compliance Database'!$D629&amp;" "&amp;'Compliance Database'!$L629&amp;" "&amp;'Compliance Database'!$M629&amp;" "&amp;'Compliance Database'!$N629&amp;" "&amp;'Compliance Database'!$O629)))),1,0)</f>
        <v/>
      </c>
      <c r="B629">
        <f>IF($A629=1,SUM($A$2:$A629),"")</f>
        <v/>
      </c>
      <c r="C629">
        <f>IF($A629=1,SUM($A$2:$A629),0)</f>
        <v/>
      </c>
    </row>
    <row r="630">
      <c r="A630">
        <f>IF(AND(OR('Compliance Database'!$A630='Data Transfer'!$B$4,'Compliance Database'!$A630='Data Transfer'!$B$5),OR('Data Transfer'!$B$6="",ISNUMBER(SEARCH('Data Transfer'!$B$6,'Compliance Database'!$D630&amp;" "&amp;'Compliance Database'!$L630&amp;" "&amp;'Compliance Database'!$M630&amp;" "&amp;'Compliance Database'!$N630&amp;" "&amp;'Compliance Database'!$O630)))),1,0)</f>
        <v/>
      </c>
      <c r="B630">
        <f>IF($A630=1,SUM($A$2:$A630),"")</f>
        <v/>
      </c>
      <c r="C630">
        <f>IF($A630=1,SUM($A$2:$A630),0)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2026-07-14T09:54:24Z</dcterms:created>
  <dcterms:modified xmlns:dcterms="http://purl.org/dc/terms/" xmlns:xsi="http://www.w3.org/2001/XMLSchema-instance" xsi:type="dcterms:W3CDTF">2026-07-14T09:54:24Z</dcterms:modified>
</cp:coreProperties>
</file>